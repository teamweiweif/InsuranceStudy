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ink/ink1.xml" ContentType="application/inkml+xml"/>
  <Override PartName="/xl/comments1.xml" ContentType="application/vnd.openxmlformats-officedocument.spreadsheetml.comments+xml"/>
  <Override PartName="/xl/drawings/drawing2.xml" ContentType="application/vnd.openxmlformats-officedocument.drawing+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ink/ink7.xml" ContentType="application/inkml+xml"/>
  <Override PartName="/xl/ink/ink8.xml" ContentType="application/inkml+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08"/>
  <workbookPr defaultThemeVersion="166925"/>
  <mc:AlternateContent xmlns:mc="http://schemas.openxmlformats.org/markup-compatibility/2006">
    <mc:Choice Requires="x15">
      <x15ac:absPath xmlns:x15ac="http://schemas.microsoft.com/office/spreadsheetml/2010/11/ac" url="\\NDATA9\anthok$\Desktop\"/>
    </mc:Choice>
  </mc:AlternateContent>
  <xr:revisionPtr revIDLastSave="0" documentId="8_{61FD8DED-D787-461A-A7EF-0419C5818998}" xr6:coauthVersionLast="47" xr6:coauthVersionMax="47" xr10:uidLastSave="{00000000-0000-0000-0000-000000000000}"/>
  <bookViews>
    <workbookView xWindow="-28920" yWindow="-120" windowWidth="29040" windowHeight="15720" tabRatio="856" firstSheet="1" activeTab="1" xr2:uid="{00000000-000D-0000-FFFF-FFFF00000000}"/>
  </bookViews>
  <sheets>
    <sheet name="Front Cover" sheetId="2" r:id="rId1"/>
    <sheet name="Overview" sheetId="56" r:id="rId2"/>
    <sheet name="Data Tables" sheetId="46" r:id="rId3"/>
    <sheet name="COVID19 Impact" sheetId="55" r:id="rId4"/>
    <sheet name="SC_Pupil_01-02_to_20-21" sheetId="24" r:id="rId5"/>
    <sheet name="PRU_Census_09-10_to_12-13" sheetId="26" r:id="rId6"/>
    <sheet name="EYFSP_02-03_to_09-10" sheetId="28" r:id="rId7"/>
    <sheet name="Alt_Provision_07-08_to_20-21" sheetId="27" r:id="rId8"/>
    <sheet name="KS1_97-98_to_11-12" sheetId="29" r:id="rId9"/>
    <sheet name="KS2_95-96_to_15-16 " sheetId="30" r:id="rId10"/>
    <sheet name="KS3_97-98_to_12-13" sheetId="32" r:id="rId11"/>
    <sheet name="KS4_01-02_to_20-21" sheetId="33" r:id="rId12"/>
    <sheet name="KS5_01-02_to_20-21" sheetId="34" r:id="rId13"/>
    <sheet name="CIN_08-09_to_20-21" sheetId="35" r:id="rId14"/>
    <sheet name="CLA_05-06_to_20-21" sheetId="36" r:id="rId15"/>
    <sheet name="Absence_05-06_to_20-21" sheetId="37" r:id="rId16"/>
    <sheet name="Exclusions_01-02_to_04-05" sheetId="38" r:id="rId17"/>
    <sheet name="Exclusions_05-06_to_20-21" sheetId="39" r:id="rId18"/>
    <sheet name="PLAMS_07-08_to_20-21" sheetId="40" r:id="rId19"/>
    <sheet name="NCCIS_10-11_to_20-21" sheetId="41" r:id="rId20"/>
    <sheet name="YPMAD_01-02_to_20-21" sheetId="43" r:id="rId21"/>
    <sheet name="LILR_Learners_02-03_to_20-21" sheetId="47" r:id="rId22"/>
    <sheet name="LILR_Aims _02-03_to_20-21" sheetId="12" r:id="rId23"/>
    <sheet name="LILR_LARS _02-03_to_20-21" sheetId="13" r:id="rId24"/>
    <sheet name="HESA 04-05 to 19-20" sheetId="23" r:id="rId25"/>
    <sheet name="UCAS_07-08_to_20-21" sheetId="57" r:id="rId26"/>
    <sheet name="LEARNER_AE_ID_TO_RECID_LOOKUP" sheetId="14" r:id="rId27"/>
    <sheet name="LEARNER_AE_ID_TO_EDUKEY_LOOKUP " sheetId="15" r:id="rId28"/>
    <sheet name="LEARNER_AE_ID_TO_PMR_LOOKUP" sheetId="16" r:id="rId29"/>
    <sheet name="Benefit_99-00_to_20-21" sheetId="17" r:id="rId30"/>
    <sheet name="Employment_97-98_to_20-21" sheetId="18" r:id="rId31"/>
    <sheet name="Earnings_and_IDBR_03-04_20_21" sheetId="19" r:id="rId32"/>
    <sheet name="IDBR_ENTERPRISE_04-05_to_20-21" sheetId="48" r:id="rId33"/>
    <sheet name="SA_13-14_to_20-21" sheetId="20" r:id="rId34"/>
    <sheet name="CJRS_19-20_to_20-21" sheetId="51" r:id="rId35"/>
    <sheet name="SEISS_20-21" sheetId="52" r:id="rId36"/>
    <sheet name="Geography_04-05_to_20-21" sheetId="21" r:id="rId37"/>
  </sheets>
  <externalReferences>
    <externalReference r:id="rId38"/>
    <externalReference r:id="rId39"/>
    <externalReference r:id="rId40"/>
  </externalReferences>
  <definedNames>
    <definedName name="_AMO_UniqueIdentifier" hidden="1">"'f9c8179d-4772-475a-bedd-990c2eef7e25'"</definedName>
    <definedName name="_xlnm._FilterDatabase" localSheetId="15" hidden="1">'Absence_05-06_to_20-21'!$A$7:$Q$163</definedName>
    <definedName name="_xlnm._FilterDatabase" localSheetId="7" hidden="1">'Alt_Provision_07-08_to_20-21'!$A$5:$O$24</definedName>
    <definedName name="_xlnm._FilterDatabase" localSheetId="13" hidden="1">'CIN_08-09_to_20-21'!$A$10:$O$105</definedName>
    <definedName name="_xlnm._FilterDatabase" localSheetId="14" hidden="1">'CLA_05-06_to_20-21'!$A$10:$O$36</definedName>
    <definedName name="_xlnm._FilterDatabase" localSheetId="16" hidden="1">'Exclusions_01-02_to_04-05'!$A$5:$O$15</definedName>
    <definedName name="_xlnm._FilterDatabase" localSheetId="17" hidden="1">'Exclusions_05-06_to_20-21'!$A$7:$R$62</definedName>
    <definedName name="_xlnm._FilterDatabase" localSheetId="6" hidden="1">'EYFSP_02-03_to_09-10'!$A$5:$N$17</definedName>
    <definedName name="_xlnm._FilterDatabase" localSheetId="24" hidden="1">'HESA 04-05 to 19-20'!$A$8:$J$174</definedName>
    <definedName name="_xlnm._FilterDatabase" localSheetId="8" hidden="1">'KS1_97-98_to_11-12'!$A$5:$P$14</definedName>
    <definedName name="_xlnm._FilterDatabase" localSheetId="9" hidden="1">'KS2_95-96_to_15-16 '!$A$5:$Q$59</definedName>
    <definedName name="_xlnm._FilterDatabase" localSheetId="10" hidden="1">'KS3_97-98_to_12-13'!$A$5:$P$18</definedName>
    <definedName name="_xlnm._FilterDatabase" localSheetId="11" hidden="1">'KS4_01-02_to_20-21'!$A$5:$R$68</definedName>
    <definedName name="_xlnm._FilterDatabase" localSheetId="12" hidden="1">'KS5_01-02_to_20-21'!$A$5:$R$37</definedName>
    <definedName name="_xlnm._FilterDatabase" localSheetId="27" hidden="1">'LEARNER_AE_ID_TO_EDUKEY_LOOKUP '!$B$19:$I$19</definedName>
    <definedName name="_xlnm._FilterDatabase" localSheetId="28" hidden="1">LEARNER_AE_ID_TO_PMR_LOOKUP!$B$19:$I$19</definedName>
    <definedName name="_xlnm._FilterDatabase" localSheetId="26" hidden="1">LEARNER_AE_ID_TO_RECID_LOOKUP!$B$19:$I$19</definedName>
    <definedName name="_xlnm._FilterDatabase" localSheetId="19" hidden="1">'NCCIS_10-11_to_20-21'!$A$5:$O$16</definedName>
    <definedName name="_xlnm._FilterDatabase" localSheetId="18" hidden="1">'PLAMS_07-08_to_20-21'!$A$5:$P$15</definedName>
    <definedName name="_xlnm._FilterDatabase" localSheetId="5" hidden="1">'PRU_Census_09-10_to_12-13'!$A$6:$O$38</definedName>
    <definedName name="_xlnm._FilterDatabase" localSheetId="4" hidden="1">'SC_Pupil_01-02_to_20-21'!$A$12:$R$77</definedName>
    <definedName name="_xlnm._FilterDatabase" localSheetId="25" hidden="1">'UCAS_07-08_to_20-21'!$A$7:$C$7</definedName>
    <definedName name="_xlnm._FilterDatabase" localSheetId="20" hidden="1">'YPMAD_01-02_to_20-21'!$A$6:$O$8</definedName>
    <definedName name="cpi">[1]CPI!$A$1:$D$13</definedName>
    <definedName name="data_all">[2]Output!$A$28:$AW$40</definedName>
    <definedName name="data_raw">[2]Output!$C$1:$AU$25</definedName>
    <definedName name="Five_year" localSheetId="32">#REF!</definedName>
    <definedName name="Five_year" localSheetId="25">#REF!</definedName>
    <definedName name="Five_year">#REF!</definedName>
    <definedName name="kj" localSheetId="32">#REF!</definedName>
    <definedName name="kj" localSheetId="25">#REF!</definedName>
    <definedName name="kj">#REF!</definedName>
    <definedName name="lemstem_time">[1]lemstem_time!$A$2:$AE$4</definedName>
    <definedName name="One_year" localSheetId="32">#REF!</definedName>
    <definedName name="One_year" localSheetId="25">#REF!</definedName>
    <definedName name="One_year">#REF!</definedName>
    <definedName name="one_year2" localSheetId="32">#REF!</definedName>
    <definedName name="one_year2" localSheetId="25">#REF!</definedName>
    <definedName name="one_year2">#REF!</definedName>
    <definedName name="output_10yr">'[3]10yr'!$C$2:$X$20</definedName>
    <definedName name="output_1yr">'[3]1yr'!$C$2:$X$191</definedName>
    <definedName name="output_3yr">'[3]3yr'!$C$2:$X$153</definedName>
    <definedName name="output_5yr">'[3]5yr'!$C$2:$X$115</definedName>
    <definedName name="Output_all">'[1]SQL output- All'!$C$1:$S$191</definedName>
    <definedName name="output_FT">'[1]SQL output-FTPT'!$B$2:$T$191</definedName>
    <definedName name="output_PT">'[1]SQL output-FTPT'!$B$192:$T$376</definedName>
    <definedName name="Table" localSheetId="32">#REF!</definedName>
    <definedName name="Table" localSheetId="25">#REF!</definedName>
    <definedName name="Table">#REF!</definedName>
    <definedName name="ten_year" localSheetId="32">#REF!</definedName>
    <definedName name="ten_year" localSheetId="25">#REF!</definedName>
    <definedName name="ten_year">#REF!</definedName>
    <definedName name="Three_year" localSheetId="32">#REF!</definedName>
    <definedName name="Three_year" localSheetId="25">#REF!</definedName>
    <definedName name="Three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5" i="23" l="1"/>
  <c r="B84" i="23"/>
  <c r="B83" i="23"/>
  <c r="B82" i="23"/>
  <c r="B81" i="23"/>
  <c r="B80" i="23"/>
  <c r="B79" i="23"/>
  <c r="B78" i="23"/>
  <c r="B77" i="23"/>
  <c r="B76" i="23"/>
  <c r="B75" i="23"/>
  <c r="B74" i="23"/>
  <c r="B73" i="23"/>
  <c r="B72" i="23"/>
  <c r="B71" i="23"/>
  <c r="B70" i="23"/>
  <c r="B69" i="23"/>
  <c r="B68" i="23"/>
  <c r="B67" i="23"/>
  <c r="B66" i="23"/>
  <c r="B65" i="23"/>
  <c r="A27" i="43"/>
  <c r="A26" i="43"/>
  <c r="A25" i="43"/>
  <c r="A24" i="43"/>
  <c r="A21" i="43"/>
  <c r="A20" i="43"/>
  <c r="A19" i="43"/>
  <c r="A18" i="43"/>
  <c r="A17" i="43"/>
  <c r="A16" i="43"/>
  <c r="A15" i="43"/>
  <c r="A14" i="43"/>
  <c r="A13" i="43"/>
  <c r="A12" i="43"/>
  <c r="A11" i="43"/>
  <c r="A10" i="43"/>
  <c r="A9" i="43"/>
  <c r="A128" i="37"/>
  <c r="A127" i="37"/>
  <c r="A124" i="37"/>
  <c r="A123" i="37"/>
  <c r="A122" i="37"/>
  <c r="A121" i="37"/>
  <c r="A120" i="37"/>
  <c r="A119" i="37"/>
  <c r="A118" i="37"/>
  <c r="A117" i="37"/>
  <c r="A116" i="37"/>
  <c r="A115" i="37"/>
  <c r="A114" i="37"/>
  <c r="A1240" i="33"/>
  <c r="A1239" i="33"/>
  <c r="A1238" i="33"/>
  <c r="A1237" i="33"/>
  <c r="A1236" i="33"/>
  <c r="A1235" i="33"/>
  <c r="A1234" i="33"/>
  <c r="A1233" i="33"/>
  <c r="A1232" i="33"/>
  <c r="A1231" i="33"/>
  <c r="A1230" i="33"/>
  <c r="A1229" i="33"/>
  <c r="A1228" i="33"/>
  <c r="A1227" i="33"/>
  <c r="A1226" i="33"/>
  <c r="A1225" i="33"/>
  <c r="A1224" i="33"/>
  <c r="A1223" i="33"/>
  <c r="A1222" i="33"/>
  <c r="A1221" i="33"/>
  <c r="A1220" i="33"/>
  <c r="A1219" i="33"/>
  <c r="A1218" i="33"/>
  <c r="A1217" i="33"/>
  <c r="A1216" i="33"/>
  <c r="A1215" i="33"/>
  <c r="A1214" i="33"/>
  <c r="A1134" i="33"/>
  <c r="A1128" i="33"/>
  <c r="A1124" i="33"/>
  <c r="A1112" i="33"/>
  <c r="A1104" i="33"/>
  <c r="A997" i="33"/>
  <c r="A996" i="33"/>
  <c r="A995" i="33"/>
  <c r="A994" i="33"/>
  <c r="A960" i="33"/>
  <c r="A959" i="33"/>
  <c r="A958" i="33"/>
  <c r="A957" i="33"/>
  <c r="A956" i="33"/>
  <c r="A955" i="33"/>
  <c r="A954" i="33"/>
  <c r="A953" i="33"/>
  <c r="A952" i="33"/>
  <c r="A951" i="33"/>
  <c r="A240" i="33"/>
  <c r="A239" i="33"/>
  <c r="A238" i="33"/>
  <c r="A237" i="33"/>
  <c r="A236" i="33"/>
  <c r="A235" i="33"/>
  <c r="A234" i="33"/>
  <c r="A233" i="33"/>
  <c r="A232" i="33"/>
  <c r="A231" i="33"/>
  <c r="A230" i="33"/>
  <c r="A229" i="33"/>
  <c r="A228" i="33"/>
  <c r="A227" i="33"/>
  <c r="A226" i="33"/>
  <c r="A225" i="33"/>
  <c r="A38" i="33"/>
  <c r="A37" i="33"/>
  <c r="A48" i="24"/>
  <c r="A47"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MASTERS, Natalie</author>
  </authors>
  <commentList>
    <comment ref="F21" authorId="0" shapeId="0" xr:uid="{00000000-0006-0000-0F00-000001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 ref="F22" authorId="0" shapeId="0" xr:uid="{00000000-0006-0000-0F00-000002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 ref="F23" authorId="0" shapeId="0" xr:uid="{00000000-0006-0000-0F00-000003000000}">
      <text>
        <r>
          <rPr>
            <b/>
            <sz val="9"/>
            <color indexed="81"/>
            <rFont val="Tahoma"/>
            <family val="2"/>
          </rPr>
          <t>MASTERS, Natalie:</t>
        </r>
        <r>
          <rPr>
            <sz val="9"/>
            <color indexed="81"/>
            <rFont val="Tahoma"/>
            <family val="2"/>
          </rPr>
          <t xml:space="preserve">
Relates to the most recent episode of care only. Future iterations will need to consider if information on all episodes of care are required. </t>
        </r>
      </text>
    </comment>
  </commentList>
</comments>
</file>

<file path=xl/sharedStrings.xml><?xml version="1.0" encoding="utf-8"?>
<sst xmlns="http://schemas.openxmlformats.org/spreadsheetml/2006/main" count="42768" uniqueCount="14046">
  <si>
    <t>EXEMPLAR VRF</t>
  </si>
  <si>
    <t>(Official)</t>
  </si>
  <si>
    <t>Longitudinal Educational Outcomes</t>
  </si>
  <si>
    <t>(LEO) via SRS I2</t>
  </si>
  <si>
    <t>LEO I2SE Variable Request Form</t>
  </si>
  <si>
    <t>Version 2.4</t>
  </si>
  <si>
    <t xml:space="preserve">This Exemplar of the VRF has been put together as a guide to show how to complete the form when requesting access to the LEO Standard Extract.
</t>
  </si>
  <si>
    <t xml:space="preserve">
</t>
  </si>
  <si>
    <r>
      <rPr>
        <b/>
        <u/>
        <sz val="10"/>
        <color rgb="FF000000"/>
        <rFont val="Arial"/>
      </rPr>
      <t xml:space="preserve">Why do you need to fill in this form?
</t>
    </r>
    <r>
      <rPr>
        <sz val="10"/>
        <color rgb="FF000000"/>
        <rFont val="Arial"/>
      </rPr>
      <t xml:space="preserve">
You are required to fill out this form and attach it alongside your application on the Project Accreditation Service for SRS (PASS) to specify the data tables and variables that are being requested for the project in order to support the governance process, the scrutiny of your application and the technical handing of any approved variables.
</t>
    </r>
    <r>
      <rPr>
        <b/>
        <sz val="10"/>
        <color rgb="FF000000"/>
        <rFont val="Arial"/>
      </rPr>
      <t xml:space="preserve">
</t>
    </r>
    <r>
      <rPr>
        <b/>
        <u/>
        <sz val="10"/>
        <color rgb="FF000000"/>
        <rFont val="Arial"/>
      </rPr>
      <t xml:space="preserve">Further important information 
</t>
    </r>
    <r>
      <rPr>
        <sz val="10"/>
        <color rgb="FF000000"/>
        <rFont val="Arial"/>
      </rPr>
      <t xml:space="preserve">
As part of the ONS review a feasibility check of your application will assess whether the variables selected align with the research goals outlined in your application. The Department for Education, HM Revenue and Customs and the Department for Work and Pensions will also conduct a further review of the variables selected for the project to ensure the request is proportionate. 
Any application that requests access to all the variables contained within all the NPD, LILR, HESA, UCAS and LEO data tables will not be approved for proportionality reasons. 
Additionally, requests must include and be approved to use LEO data  (i.e. this is not a means to access education data on it's own, this is a means to enable longitudinal analysis of education and LEO data).
If you require access to only the NPD, LILR and/or HESA datasets and do not require any of the LEO data tables please contact data.sharing@education.gov.uk for information on how to access these datasets.
The LEO linking data tables will be included by default for all projects in order to link to the education datasets. 
It is the responsibility of the applicant to ensure that there is an accurate summary of their variable selections across the various tabs in this form on the adjacent Data Tables tab.
</t>
    </r>
  </si>
  <si>
    <t>Requesting variables:</t>
  </si>
  <si>
    <t>Use the table below to select which data tables from the LEO dataset you are requesting for your project. You will also need to ensure that you justify how the data table and variables contained within will help to answer your research questions. Please provide at least a short paragraph for each table justification.</t>
  </si>
  <si>
    <t xml:space="preserve">When to select the following under "Is this table required":
</t>
  </si>
  <si>
    <t>Yes</t>
  </si>
  <si>
    <t xml:space="preserve">If you require any of the by request data items within a data table. You will be prompted to select the individual data items on the corresponding table name tab as well as giving a justification for why the table and variables are needed. </t>
  </si>
  <si>
    <t>No</t>
  </si>
  <si>
    <t xml:space="preserve">If you do not require any of the variables within a data table </t>
  </si>
  <si>
    <t xml:space="preserve">Default variables only (NPD only) </t>
  </si>
  <si>
    <t>The NPD data tables contain 'by request' data items that need to be individually selected as well as default items which will be included by default if you request a data table. Please select this option if you require only the items in the default data items section of an NPD data table.</t>
  </si>
  <si>
    <t xml:space="preserve">Dataset 
</t>
  </si>
  <si>
    <t>Table Name</t>
  </si>
  <si>
    <t>Description</t>
  </si>
  <si>
    <t xml:space="preserve">Is this table required? </t>
  </si>
  <si>
    <t xml:space="preserve">Which data items are required? </t>
  </si>
  <si>
    <t>Please provide justification for why tables and variables have been requested</t>
  </si>
  <si>
    <t xml:space="preserve">  </t>
  </si>
  <si>
    <t>NPD</t>
  </si>
  <si>
    <t>SC_Pupil 01-02 to 20-21 SUM</t>
  </si>
  <si>
    <t xml:space="preserve">School Census data. </t>
  </si>
  <si>
    <t>Please use the corresponding tab to request which variables and years are required</t>
  </si>
  <si>
    <t xml:space="preserve">This table provides data on pupil background characteristics and school enrolments. We will use these to define the populations of interest for the research along with a set of controls/ instruments for statistical models where we analyse differences in post-16 routes and labour market outcomes for pupils.
We are asking for data at the LSOA level of geography. To incorporate measures of neighbourhood disadvantage measured at LSOA level (e.g. IMD). This will be used alongside data on pupils’ free school meal histories to assess the impact of disadvantage on post-16 study choices and labour market outcomes. </t>
  </si>
  <si>
    <t>PRU Census 09-10 to 12-13</t>
  </si>
  <si>
    <t xml:space="preserve">Pupil Referral Unit census data. </t>
  </si>
  <si>
    <t>EYFSP - 02-03 to 09-10</t>
  </si>
  <si>
    <t xml:space="preserve">Early Years Foundation Stage Profile data. </t>
  </si>
  <si>
    <t>Alt Provision 07-08 to 20-21</t>
  </si>
  <si>
    <t>Alternative Provision census data.</t>
  </si>
  <si>
    <t>As School Census</t>
  </si>
  <si>
    <t>KS1 - 97-98 to 11-12</t>
  </si>
  <si>
    <t>Key stage 1 attainment data.</t>
  </si>
  <si>
    <t>Along with other attainment datasets, to build a history of attainment within the school system. These will be used as controls in statistical models.</t>
  </si>
  <si>
    <t>KS2 - 95-96 to 15-16</t>
  </si>
  <si>
    <t xml:space="preserve">Key stage 2 attainment data. </t>
  </si>
  <si>
    <t>KS3 97-98 to 12-13</t>
  </si>
  <si>
    <t xml:space="preserve">Key stage 3 attainment data. </t>
  </si>
  <si>
    <t>KS4 01-02 to 20-21</t>
  </si>
  <si>
    <t xml:space="preserve">Key stage 4 attainment data (all methodologies). </t>
  </si>
  <si>
    <t>KS5 01-02 to 20-21</t>
  </si>
  <si>
    <t xml:space="preserve">Key stage 5 attainment data. </t>
  </si>
  <si>
    <t>Default Variables only</t>
  </si>
  <si>
    <t>CIN 08-09 to 20-21</t>
  </si>
  <si>
    <t>This has information covering all children who are referred to children’s social care services.</t>
  </si>
  <si>
    <t>CLA 05-06 to 20-21</t>
  </si>
  <si>
    <t>This has information on children looked after by local authorities in England.</t>
  </si>
  <si>
    <t>Absence 05-06 to 20-21</t>
  </si>
  <si>
    <t>This has information on pupil absences derived from the termly School Census.</t>
  </si>
  <si>
    <t>Exclusions 01-02 to 04-05</t>
  </si>
  <si>
    <t>This has information on pupil exclusions as collected in the termly School Census.</t>
  </si>
  <si>
    <t>Exclusions 05-06 to 19-20</t>
  </si>
  <si>
    <t>This has information on pupil exclusions as collected in the termly School Census (new format).</t>
  </si>
  <si>
    <t>PLAMS 07-08 to 20-21</t>
  </si>
  <si>
    <t>This has information on post-16 learning aims as collected in the School Census.</t>
  </si>
  <si>
    <t>Provides information on the post-16 choices made by students in schools before and after the policy change being studied.</t>
  </si>
  <si>
    <t>NCCIS 10-11 to 20-21</t>
  </si>
  <si>
    <t>This has information from the National Client Caseload Information System on employment destinations.</t>
  </si>
  <si>
    <t>YPMAD 20-21</t>
  </si>
  <si>
    <t>This has information on level of achievement at age 19</t>
  </si>
  <si>
    <t>LILR</t>
  </si>
  <si>
    <t>‘LILR_Learners_02-03_to_20-21</t>
  </si>
  <si>
    <t>Learners records</t>
  </si>
  <si>
    <t>Please use the corresponding tab to request which variables are required</t>
  </si>
  <si>
    <t>Used to link students to the LEO linking tables and to provide information on the learner.</t>
  </si>
  <si>
    <t>LILR_Aims _02-03_to_20-21</t>
  </si>
  <si>
    <t>Learning aims</t>
  </si>
  <si>
    <t>Provides information on the post-16 choices made by students in colleges and work-based learning before and after the policy change being studied.</t>
  </si>
  <si>
    <t>LILR_LARS _02-03_to_20-21</t>
  </si>
  <si>
    <t>Learning aims reference service</t>
  </si>
  <si>
    <t>Provides information on the nature of qualifications (e.g. level, subject) taken by young people in colleges and work-based learning. Will be beneficial to determine if this was impacted by the policy change being studied.</t>
  </si>
  <si>
    <t>HESA</t>
  </si>
  <si>
    <t>HESA 04-05 to 19-20</t>
  </si>
  <si>
    <t>This has information on Higher Education participation and outcomes.</t>
  </si>
  <si>
    <t xml:space="preserve">Provides information on the higher education choices and participation by students without our cohort. Will be used to determine if choice and participation changed after the policy change being studied.  </t>
  </si>
  <si>
    <t>UCAS</t>
  </si>
  <si>
    <t>UCAS_07-08_to_20-21</t>
  </si>
  <si>
    <t>UCAS variables available through the ONS SRS (held by ONS not transferred from DfE)</t>
  </si>
  <si>
    <t>All variables will be included by default if this table is selected</t>
  </si>
  <si>
    <t>LEO</t>
  </si>
  <si>
    <t>Resolved LEARNER_AE_ID_TO_RECID_LOOKUP</t>
  </si>
  <si>
    <t>Linking table - used to link to non-NPD datasets</t>
  </si>
  <si>
    <t>All variables will be included by default - PLEASE SELECT 'Yes - with older ILR learners' if required</t>
  </si>
  <si>
    <t>To enable linkage across datasets</t>
  </si>
  <si>
    <t>Resolved Learner AE_ID To Edukey Lookup</t>
  </si>
  <si>
    <t>Linking table - Used to link resolved Edukeys to education records in order to link learners to DWP / HMRC outcomes</t>
  </si>
  <si>
    <t xml:space="preserve">Resolved Learner AE_ID To PMR Lookup </t>
  </si>
  <si>
    <t>Linking table - used to link resolved PMRs to education records in order to identify unique NPD learners in the LEO data</t>
  </si>
  <si>
    <t>All variables will be included by default</t>
  </si>
  <si>
    <t>Benefit Spells table</t>
  </si>
  <si>
    <t>This allows investigation of the impact of learning and any resulting benefit uptake</t>
  </si>
  <si>
    <t xml:space="preserve">To look at long-term outcomes of benefit uptake for pupils.  Will be used to determine the impact of the policy change being implemented. </t>
  </si>
  <si>
    <t>Employment Spells table</t>
  </si>
  <si>
    <t>This allows investigation of the impact of learning and any resulting employment.</t>
  </si>
  <si>
    <t xml:space="preserve">To look at long-term outcomes of employment for pupils.  Will be used to determine the impact of the policy change being implemented. </t>
  </si>
  <si>
    <t>Earnings_&amp;_IDBR_SIC_03-04_20_21</t>
  </si>
  <si>
    <t>This allows investigation of earnings split by tax year and pupil characteristics (using EDUKEY in order to link to variables of interest in other datasets).
The earnings table also includes IDBR data.
Please note: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t>
  </si>
  <si>
    <t xml:space="preserve">To investigate the long-term outcomes of earnings of pupils. Will be used to determine the impact of the policy change being implemented. </t>
  </si>
  <si>
    <t>IDBR_ENTERPRISE_04-05_to_20-21</t>
  </si>
  <si>
    <t>This table contains enterprise level information from IDBR</t>
  </si>
  <si>
    <t>Self -assessment table</t>
  </si>
  <si>
    <t xml:space="preserve"> This allows investigation of self-employment and pupil characteristics (using EDUKEY/PMR in order to link to variables of interest in other datasets).</t>
  </si>
  <si>
    <t xml:space="preserve">To investigate the long-term outcomes of self-employment earnings of pupils. Will be used to determine the impact of the policy change being implemented. </t>
  </si>
  <si>
    <t>CJRS</t>
  </si>
  <si>
    <t>Coronavirus Job Retention Scheme</t>
  </si>
  <si>
    <t>SEISS</t>
  </si>
  <si>
    <t>Self-Employment Income Support Scheme</t>
  </si>
  <si>
    <t xml:space="preserve">Geography table </t>
  </si>
  <si>
    <t>This allows investigation of region split by tax year and pupil characteristics (using EDUKEY in order to link to variables of interest in other datasets).</t>
  </si>
  <si>
    <t xml:space="preserve">To examine geographic variation and used to analyse redion of residence of learners at different points in our analysis. 
</t>
  </si>
  <si>
    <t>COVID19 impact on data availability (points accepted in the detail of this I2SE Specification).</t>
  </si>
  <si>
    <t>The following table provides a summary of the COVID19 impact on individual NPD datasets to date (this will be updated as and when further details become available):</t>
  </si>
  <si>
    <t>Dataset</t>
  </si>
  <si>
    <t>Collection impacted by COVID19</t>
  </si>
  <si>
    <t>Year(s) impacted</t>
  </si>
  <si>
    <t>Notes</t>
  </si>
  <si>
    <t>Early Years Foundation Stage Profile</t>
  </si>
  <si>
    <t>2019/20,</t>
  </si>
  <si>
    <r>
      <t>Data not available as not collected during the 2019/20 and 2020/21 academic years</t>
    </r>
    <r>
      <rPr>
        <vertAlign val="superscript"/>
        <sz val="10"/>
        <color rgb="FF000000"/>
        <rFont val="Arial"/>
        <family val="2"/>
      </rPr>
      <t>1</t>
    </r>
    <r>
      <rPr>
        <sz val="10"/>
        <color rgb="FF000000"/>
        <rFont val="Arial"/>
        <family val="2"/>
      </rPr>
      <t>.</t>
    </r>
  </si>
  <si>
    <t>2020/21</t>
  </si>
  <si>
    <t>Key Stage 1</t>
  </si>
  <si>
    <t>Key Stage 2</t>
  </si>
  <si>
    <r>
      <t>Data not available for 2019/20 and 2020/21 as not collected for those academic years</t>
    </r>
    <r>
      <rPr>
        <vertAlign val="superscript"/>
        <sz val="10"/>
        <color rgb="FF000000"/>
        <rFont val="Arial"/>
        <family val="2"/>
      </rPr>
      <t>1,4</t>
    </r>
    <r>
      <rPr>
        <sz val="10"/>
        <color rgb="FF000000"/>
        <rFont val="Arial"/>
        <family val="2"/>
      </rPr>
      <t>. Data is available for 2021/22 but is subject to limitations on its use</t>
    </r>
    <r>
      <rPr>
        <vertAlign val="superscript"/>
        <sz val="10"/>
        <color rgb="FF000000"/>
        <rFont val="Arial"/>
        <family val="2"/>
      </rPr>
      <t>2,4,5</t>
    </r>
    <r>
      <rPr>
        <sz val="10"/>
        <color rgb="FF000000"/>
        <rFont val="Arial"/>
        <family val="2"/>
      </rPr>
      <t>.</t>
    </r>
  </si>
  <si>
    <t>2020/21,</t>
  </si>
  <si>
    <t>2021/22</t>
  </si>
  <si>
    <t>Key Stage 4</t>
  </si>
  <si>
    <r>
      <t>Amended data not available as not collected during 2019/20 or 2020/21. Unamended and Final data is available but is subject to limitations on its use</t>
    </r>
    <r>
      <rPr>
        <vertAlign val="superscript"/>
        <sz val="10"/>
        <rFont val="Arial"/>
        <family val="2"/>
      </rPr>
      <t>2,3,4</t>
    </r>
    <r>
      <rPr>
        <sz val="10"/>
        <rFont val="Arial"/>
        <family val="2"/>
      </rPr>
      <t>.</t>
    </r>
  </si>
  <si>
    <t>Key Stage 5</t>
  </si>
  <si>
    <t>Alternative Provision</t>
  </si>
  <si>
    <t>N/A</t>
  </si>
  <si>
    <t>Children in Need</t>
  </si>
  <si>
    <t>Children Looked After</t>
  </si>
  <si>
    <t>Spring Census</t>
  </si>
  <si>
    <t>Summer Census</t>
  </si>
  <si>
    <t>2019/20</t>
  </si>
  <si>
    <r>
      <t>Data not available as not collected during the 2019/20 academic year</t>
    </r>
    <r>
      <rPr>
        <vertAlign val="superscript"/>
        <sz val="10"/>
        <color rgb="FF000000"/>
        <rFont val="Arial"/>
        <family val="2"/>
      </rPr>
      <t>1</t>
    </r>
    <r>
      <rPr>
        <sz val="10"/>
        <color rgb="FF000000"/>
        <rFont val="Arial"/>
        <family val="2"/>
      </rPr>
      <t>.</t>
    </r>
  </si>
  <si>
    <t>Autumn Census</t>
  </si>
  <si>
    <t>Absence</t>
  </si>
  <si>
    <r>
      <t>2-term and 3-term data not available as not collected during the 2019/20 academic year</t>
    </r>
    <r>
      <rPr>
        <vertAlign val="superscript"/>
        <sz val="10"/>
        <color rgb="FF000000"/>
        <rFont val="Arial"/>
        <family val="2"/>
      </rPr>
      <t>1</t>
    </r>
    <r>
      <rPr>
        <sz val="10"/>
        <color rgb="FF000000"/>
        <rFont val="Arial"/>
        <family val="2"/>
      </rPr>
      <t>.</t>
    </r>
  </si>
  <si>
    <t>Exclusions</t>
  </si>
  <si>
    <t>Post-16 Learning Aims (PLAMS)</t>
  </si>
  <si>
    <t>National Client Caseload Information</t>
  </si>
  <si>
    <t>Young Person's Matched Administrative Dataset (YPMAD)</t>
  </si>
  <si>
    <t xml:space="preserve">1. To help reduce the burden on educational and care settings during the coronavirus (COVID-19) pandemic, the Department for Education (DfE) and its agencies continue to assess whether data collections, services and requests are feasible or necessary. In some instances, this resulted in data collections being cancelled or paused. Further details of this can be found here: </t>
  </si>
  <si>
    <t>https://www.gov.uk/government/publications/coronavirus-covid-19-reducing-burdens-on-educational-and-care-settings</t>
  </si>
  <si>
    <t xml:space="preserve">2. Due to coronavirus (COVID-19), DfE and its agencies changed our approach to accountability data in 2019 to 2020 and 2020 to 2021. Further details of this can be found here: </t>
  </si>
  <si>
    <t>https://www.gov.uk/government/publications/coronavirus-covid-19-school-and-college-performance-measures</t>
  </si>
  <si>
    <t>3. Given DfE's commitment to not hold schools and colleges to account on the basis of exams and assessment data from summer 2020 or 2021 and our commitment that the data will not be used by others, such as Ofsted and local authorities, to hold schools and colleges to account, all those working with schools and colleges should use data from previous years when assessing or measuring school and college performance, and not the 2019/20 or 2020/21 data. In accordance with this commitment, DfE are not permitted to share any establishment IDs (School Name, URNs, LAESTABs, etc.) alongside any attainment data from 2019/20 or 2020/21 - i.e. within the KS4 and/or KS5 data directly or within any other data provided alongside this which can then be linked to the KS4 and/or KS5 data.</t>
  </si>
  <si>
    <t xml:space="preserve">Where a project requiring 2020 or 2021 attainment data has a need to distinguish between schools (e.g. for cluster analysis), or link establishment data from other sources (e.g. GIAS), without directly identifying the individual school then DfE will be willing to explore whether this could be enabled via the use pseudo-anonymised school IDs. This will enable requesters to link and/or analyse data at an establishment level without the ability/need to directly identify any individual establishment. This will be on agreement that the requester will not attempt to use the exams and assessment data from summer 2020 or 2021 for accountability purposes nor will they not attempt to re-identify, extract or publish any establishment level data from the data provided. </t>
  </si>
  <si>
    <t>4. Including any School level datasets derived using this dataset (KS2, KS4, KS5 and Level 3 value added).</t>
  </si>
  <si>
    <t>5. Given DfE's commitment to not hold schools to account on the basis of KS2 exams and assessment data from summer 2022 and our commitment that the data will not be used by others, such as Ofsted and local authorities, to hold schools to account, all those working with schools should use KS2 data from previous years when assessing or measuring school performance, and not the 2021/22 data. In accordance with this commitment, DfE are not permitted to share any establishment IDs (School Name, URNs, LAESTABs, etc.) alongside any KS2 attainment data from 2021/22 - i.e. within the KS2 data directly or within any other data provided alongside this which can then be linked to the KS2 data.</t>
  </si>
  <si>
    <t xml:space="preserve">Where a project requiring 2022 KS2 attainment data has a need to distinguish between schools (e.g. for cluster analysis), or link establishment data from other sources (e.g. GIAS), without directly identifying the individual school then DfE will be willing to explore whether this could be enabled via the use pseudo-anonymised school IDs. This will enable requesters to link and/or analyse data at an establishment level without the ability/need to directly identify any individual establishment. This will be on agreement that the requester will not attempt to use the KS2 exams and assessment data from summer 2022 for accountability purposes nor will they not attempt to re-identify, extract or publish any establishment level data from the data provided. </t>
  </si>
  <si>
    <t>School Census Pupil Level (includes Pupil Referral Units from 2013/14)</t>
  </si>
  <si>
    <t>'By request' Data items</t>
  </si>
  <si>
    <t>Column J 'Collection term' indicates the collection each data item is included in. Collection years populated:</t>
  </si>
  <si>
    <t>Pupil-level Autumn Census 2006/07 to 2020/21</t>
  </si>
  <si>
    <t>Pupil-level Spring Census 2001/02 to 2020/21</t>
  </si>
  <si>
    <t xml:space="preserve">Pupil-level Summer Census 2005/06 to 2020/21 </t>
  </si>
  <si>
    <t>THERE IS NO SUMMER CENSUS FOR 19/20 DUE TO COVID IMPACT</t>
  </si>
  <si>
    <t>NPD Alias</t>
  </si>
  <si>
    <t>Field Reference</t>
  </si>
  <si>
    <t>Old Alias</t>
  </si>
  <si>
    <t>Standard Extract</t>
  </si>
  <si>
    <t>Category</t>
  </si>
  <si>
    <t>Years Populated</t>
  </si>
  <si>
    <t>Data Type</t>
  </si>
  <si>
    <t>Allowed Values</t>
  </si>
  <si>
    <t>Collection term</t>
  </si>
  <si>
    <t>Educational Phase</t>
  </si>
  <si>
    <t>Level of Care</t>
  </si>
  <si>
    <t>Old Tier of Variable</t>
  </si>
  <si>
    <t>Available from UKDS?</t>
  </si>
  <si>
    <t>Identifiability</t>
  </si>
  <si>
    <t>Sensitivity</t>
  </si>
  <si>
    <t>Data request data item required?</t>
  </si>
  <si>
    <t>Data request years required?</t>
  </si>
  <si>
    <t>Gender_[term][yy]</t>
  </si>
  <si>
    <t>Gender</t>
  </si>
  <si>
    <t>gend_[yy]</t>
  </si>
  <si>
    <t>Demographics</t>
  </si>
  <si>
    <t>2001/2002 - 2020/2021</t>
  </si>
  <si>
    <t>Currently the Department use a variety of methods, and underlying code sets, for the collection of gender and / or sex across our data collections. As a result of the response options allowed within some data collections, alongside the potential to view changes in reported gender over time, the Department have taken the decision to treat gender and sex as special category data. As a result, we now ask all applicants to provide justification for receiving and using this this data in their analysis/research.</t>
  </si>
  <si>
    <t>Dichotomous</t>
  </si>
  <si>
    <t>M = Male
F = Female</t>
  </si>
  <si>
    <t>Aut, Spr, Sum</t>
  </si>
  <si>
    <t>None</t>
  </si>
  <si>
    <t>C</t>
  </si>
  <si>
    <t>AgeAtStartOfAcademicYear_[term][yy]</t>
  </si>
  <si>
    <t>AgeAtStartOfAcademicYear</t>
  </si>
  <si>
    <t>age_[yy]</t>
  </si>
  <si>
    <t>Age</t>
  </si>
  <si>
    <t>Age of pupil at start of the academic year (in full years).</t>
  </si>
  <si>
    <t>Continuous</t>
  </si>
  <si>
    <t>E</t>
  </si>
  <si>
    <t>MonthPartOfAgeAtStartOfAcademicYear_[term][yy]</t>
  </si>
  <si>
    <t>MonthPartOfAgeAtStartOfAcademicYear</t>
  </si>
  <si>
    <t>month_[yy]</t>
  </si>
  <si>
    <t>Month part of age of pupil at start of the academic year.</t>
  </si>
  <si>
    <t>Categorical</t>
  </si>
  <si>
    <t xml:space="preserve">0 to 11 </t>
  </si>
  <si>
    <t>YearOfBirth_[term][yy]</t>
  </si>
  <si>
    <t>YearOfBirth</t>
  </si>
  <si>
    <t>yob_[yy]</t>
  </si>
  <si>
    <t>The year in which the pupil was born.</t>
  </si>
  <si>
    <t>MonthOfBirth_[term][yy]</t>
  </si>
  <si>
    <t>MonthOfBirth</t>
  </si>
  <si>
    <t>mob_[yy]</t>
  </si>
  <si>
    <t>The month in which the pupil was born.</t>
  </si>
  <si>
    <t xml:space="preserve">1 to 12 </t>
  </si>
  <si>
    <t>Ethnicity_[term][yy]</t>
  </si>
  <si>
    <t>Ethnicity</t>
  </si>
  <si>
    <t>eth_[yy]</t>
  </si>
  <si>
    <t>2002/2003 - 2020/2021</t>
  </si>
  <si>
    <t>Pupil's ethnic code.</t>
  </si>
  <si>
    <t>See Census (Characteristics) tab for allowed values</t>
  </si>
  <si>
    <t>Spr</t>
  </si>
  <si>
    <t>D</t>
  </si>
  <si>
    <t>EthnicGroup_[term][yy]</t>
  </si>
  <si>
    <t>EthnicGroup</t>
  </si>
  <si>
    <t>ethg_[yy]</t>
  </si>
  <si>
    <t>2001/2002 - 2008/2009</t>
  </si>
  <si>
    <t>Pupil's ethnic group based on ethnic code.</t>
  </si>
  <si>
    <t>2002 Code
African
Any Other Asian Background
Any Other Black Background
Any Other Ethnic Group
Any Other Mixed Background
Any Other White Background
Bangladeshi
Caribbean
Chinese
Gypsy / Romany
Indian
Information Not Obtained
Irish
Missing
Pakistani
Pre 2002 Code
Refused
Traveller Of Irish Heritage
White and Asian
White and Black African
White and Black Caribbean
White British</t>
  </si>
  <si>
    <t>EthnicGroupMinor_[term][yy]</t>
  </si>
  <si>
    <t>EthnicGroupMinor</t>
  </si>
  <si>
    <t>2005/2006 - 2020/2021</t>
  </si>
  <si>
    <t>Pupil's minor ethnic group based on extended ethnicity code.</t>
  </si>
  <si>
    <t>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t>
  </si>
  <si>
    <t>EthnicGroupMajor_[term][yy]</t>
  </si>
  <si>
    <t>EthnicGroupMajor</t>
  </si>
  <si>
    <t>ethgm_[yy]</t>
  </si>
  <si>
    <t>Pupil's major ethnic group based on extended ethnicity code.</t>
  </si>
  <si>
    <t>AOEG = Any Other Ethnic Group
ASIA = Asian
BLAC = Black
CHIN = Chinese
MIXD = Mixed
UNCL = Unclassified
WHIT = White</t>
  </si>
  <si>
    <t>EthnicitySource_[term][yy]
SourceOfEthnicity_[term][yy] in 2001/02</t>
  </si>
  <si>
    <t>EthnicitySource</t>
  </si>
  <si>
    <t>ethsc_[yy]</t>
  </si>
  <si>
    <t>Attainment</t>
  </si>
  <si>
    <t>2002/2003 - 2010/2011</t>
  </si>
  <si>
    <t>Source of pupil's recorded ethnic code.</t>
  </si>
  <si>
    <t>C = Provided by the child (ie pupil)
P = Provided by the parent
S = Ascribed by the current school
T = Ascribed by a previous school
O = Other</t>
  </si>
  <si>
    <t>FSMeligible_[term][yy]
FreeSchoolMeals for 2001/02
FSMeligibility for 2002/03 - 2004/05
Based on periods of FSM from 2012/13</t>
  </si>
  <si>
    <t>FSMeligible</t>
  </si>
  <si>
    <t>fsm_[yy]</t>
  </si>
  <si>
    <t>Pupil recorded as eligible for Free School Meals on Census day. From 2012/13, set to 'true' if a pupil has an FSM period with a start date and end date blank or end date on or after census date which means they are FSM eligible on Census day.</t>
  </si>
  <si>
    <t>1 = True
0 = False</t>
  </si>
  <si>
    <t>EVERFSM_3_[term][yy]
Based on Spring Census only up to 2011/12.</t>
  </si>
  <si>
    <t>EVERFSM_3</t>
  </si>
  <si>
    <t>2009/2010 - 2020/2021</t>
  </si>
  <si>
    <t>Flag to indicate if pupil has ever been recorded as eligible for free school meals on Census day in any termly or annual Census (including Alternative Provision Census and PRU Census where available) in the last 3 years up to the pupil's current year (not including nursery)</t>
  </si>
  <si>
    <t>EVERFSM_6_[term][yy]
Based on Spring Census only up to 2011/12.</t>
  </si>
  <si>
    <t>EVERFSM_6</t>
  </si>
  <si>
    <t>2016/2017-2020/2021</t>
  </si>
  <si>
    <t>Flag to indicate if pupil has ever been recorded as eligible for free school meals on Census day in any termly or annual Census (including Alternative Provision Census and PRU Census where available) in the last 6 years up to the pupil's current year (not including nursery)</t>
  </si>
  <si>
    <t xml:space="preserve">EVERFSM_6_P_[term][yy]
</t>
  </si>
  <si>
    <t>EVERFSM_6_P</t>
  </si>
  <si>
    <t>2015/2016 - 2020/2021</t>
  </si>
  <si>
    <r>
      <t xml:space="preserve">Flag to indicate if pupil has ever been recorded as eligible for free school meals at any time in any termly or annual Census (including Alternative Provision Census and PRU Census where available) in the last 6 years up to the pupil's current year (not including nursery). </t>
    </r>
    <r>
      <rPr>
        <b/>
        <sz val="8"/>
        <color rgb="FF000000"/>
        <rFont val="Arial"/>
        <family val="2"/>
      </rPr>
      <t>This is used as the FSM6 indicator for the Pupil Premium calculations.</t>
    </r>
  </si>
  <si>
    <t>EVERFSM_ALL_[term][yy]</t>
  </si>
  <si>
    <t>EVERFSM_ALL</t>
  </si>
  <si>
    <t>Flag to indicate if pupil has ever been recorded as eligible for free school meals on Census day in any Spring Census up to the pupil's current year (not including nursery)</t>
  </si>
  <si>
    <t>FirstLanguage_[term][yy]
MotherTongue_[term][yy] in 2001/02</t>
  </si>
  <si>
    <t>FirstLanguage</t>
  </si>
  <si>
    <t>flang_[yy]</t>
  </si>
  <si>
    <t xml:space="preserve">2002/2003 - 2007/2008 </t>
  </si>
  <si>
    <t>The language to which the child was exposed during early development and continues to use this language in the home or in the community.  If a child acquires English subsequent to early development, then English is not their first language no matter how proficient in it they become.</t>
  </si>
  <si>
    <t>ENG = English
ENB = Not known but believed to be English
OTH = Other than English
OTB = Not known but believed to be other than English
REF = Refused
NOT = Information not obtained</t>
  </si>
  <si>
    <t>Language_[term][yy]</t>
  </si>
  <si>
    <t>Language</t>
  </si>
  <si>
    <t>lang_[yy]</t>
  </si>
  <si>
    <t>2006/2007 - 2020/2021</t>
  </si>
  <si>
    <t>Codes for language information about pupils whose first language is other than English.</t>
  </si>
  <si>
    <t>See Codesets_(Characteristics) tab for allowed values</t>
  </si>
  <si>
    <t>LanguageGroup_[term][yy]</t>
  </si>
  <si>
    <t>LanguageGroup</t>
  </si>
  <si>
    <t>lgrp_[yy]</t>
  </si>
  <si>
    <t>2006/2007 - 2008/2009</t>
  </si>
  <si>
    <t>Pupil's language group based on language code.</t>
  </si>
  <si>
    <t>ENG = English
ENB = Not known but believed to be English
OTH = Other than English
OTB = Not known but believed to be other than English
REF = Refused
NOT = Information not obtained
INV = Invalid code</t>
  </si>
  <si>
    <t>LanguageGroupMinor_[term][yy]</t>
  </si>
  <si>
    <t>LanguageGroupMinor</t>
  </si>
  <si>
    <t>Pupil's minor language group based on language code.</t>
  </si>
  <si>
    <t>ENB = Not known but believed to be English
ENG = English
INV = Invalid code entered
MIS = Missing value
N/A = Not applicable
NOT = Information not obtained
OTB = Not known but believed to be other than English
OTH = Other than English
PEN = Classification pending
REF = Refused</t>
  </si>
  <si>
    <t>LanguageGroupMajor_[term][yy]</t>
  </si>
  <si>
    <t>LanguageGroupMajor</t>
  </si>
  <si>
    <t>lgrpm_[yy]</t>
  </si>
  <si>
    <t>Pupil's major language group based on language code.</t>
  </si>
  <si>
    <t>1_ENG = English (includes not known but believed to be English)
2_OTH = Other than English (includes not known but believed to be other than English)
3_UNCL = Unclassified</t>
  </si>
  <si>
    <t>GandTindicator_[term][yy]</t>
  </si>
  <si>
    <t>GandTindicator</t>
  </si>
  <si>
    <t>gant_[yy]</t>
  </si>
  <si>
    <t>2005/2006 - 2011/2012</t>
  </si>
  <si>
    <t>Indicates if the child is in the Gifted &amp; Talented cohort for the school.</t>
  </si>
  <si>
    <t>ServiceChild_[term][yy]</t>
  </si>
  <si>
    <t>ServiceChild</t>
  </si>
  <si>
    <t>svcd_[yy]</t>
  </si>
  <si>
    <t>Sensitive</t>
  </si>
  <si>
    <t>2007/2008 - 2020/2021</t>
  </si>
  <si>
    <t>Indicates if a child has parent(s) who are Service personnel serving in regular military units of all forces and exercising parental care and responsibility</t>
  </si>
  <si>
    <t>Y = Yes
N = No
R = Refused
U = Unknown</t>
  </si>
  <si>
    <t>Spr (Aut and Sum also from 2018/19)</t>
  </si>
  <si>
    <t>ServiceChildSource_[term][yy]</t>
  </si>
  <si>
    <t>ServiceChildSource</t>
  </si>
  <si>
    <t>svcds_[yy]</t>
  </si>
  <si>
    <t>2007/2008 - 2009/2010</t>
  </si>
  <si>
    <t>Source of recorded service children in education indicator</t>
  </si>
  <si>
    <t>C = Provided by the child (ie pupil)
P = Provided by the parent
S = Ascribed by the current school
O = Other</t>
  </si>
  <si>
    <t>EntryDate_[term][yy]
DateOfJoining_[term][yy] in 2001/02</t>
  </si>
  <si>
    <t>EntryDate</t>
  </si>
  <si>
    <t>entry_[yy]</t>
  </si>
  <si>
    <t>Date of entry to current school.</t>
  </si>
  <si>
    <t>LeavingDate_[term][yy]
DateOfLeavingSch_[term][yy] 2001/02</t>
  </si>
  <si>
    <t>LeavingDate</t>
  </si>
  <si>
    <t>leave_[yy]</t>
  </si>
  <si>
    <t>Date pupil left current school.</t>
  </si>
  <si>
    <t>PartTime_[term][yy]
PartTimeInd_[term][yy] in 2001/02</t>
  </si>
  <si>
    <t>PartTime</t>
  </si>
  <si>
    <t>pti_[yy]</t>
  </si>
  <si>
    <t>2001/02 - 2020/2021</t>
  </si>
  <si>
    <t>Indicates whether a pupil is part-time or not.</t>
  </si>
  <si>
    <t>Boarder_[term][yy]
BoarderInd_[term][yy] in 2001/02</t>
  </si>
  <si>
    <t>Boarder</t>
  </si>
  <si>
    <t>board_[yy]</t>
  </si>
  <si>
    <t>2008/2009 - 2020/2021</t>
  </si>
  <si>
    <t>Indicates whether a pupil is a boarder or not.</t>
  </si>
  <si>
    <t>B = Boarder, nights per week not specified
6 = Boarder, six nights or less a week
7 = Boarder, seven nights a week
N = Not a boarder</t>
  </si>
  <si>
    <t>SENprovision_[term][yy]
SENstage_[term][yy] in 2001/02
SENstatus_[term][yy] 2002/03-2004/05</t>
  </si>
  <si>
    <t>SENprovision</t>
  </si>
  <si>
    <t>sen_[yy]</t>
  </si>
  <si>
    <t>Provision types under the SEN Code of Practice.</t>
  </si>
  <si>
    <t>N = No Special Educational Need
A = School Action or Early Years Action (up to 2014/15)
P = School Action Plus or Early Years Action Plus (up to 2014/15)
S = Statement (up to 2017/18)
K = SEN support (since 2014/15)
E = Education, health and care plan (since 2014/15)</t>
  </si>
  <si>
    <t>SENprovisionMajor_[term][yy]</t>
  </si>
  <si>
    <t>SENprovisionMajor</t>
  </si>
  <si>
    <t>Pupil's major SEN provision group based on SEN provision code.</t>
  </si>
  <si>
    <t>1_NON = No identified SEN
2_SNS = SEN without a Statement
3_SS = SEN with a Statement
4_UNCL = Unclassified (includes information refused or not obtained)</t>
  </si>
  <si>
    <t>PrimarySENtype_[term][yy]</t>
  </si>
  <si>
    <t>PrimarySENtype</t>
  </si>
  <si>
    <t>sen1_[yy]</t>
  </si>
  <si>
    <t>2003/2004 - 2020/2021</t>
  </si>
  <si>
    <t>Nature of pupil's primary special educational need. For pupils with a SEN status of E or K their main or primary need and, if appropriate, their secondary, need, should be recorded.</t>
  </si>
  <si>
    <t>SPLD = Specific Learning Difficulty
MLD  = Moderate Learning Difficulty
SLD  = Severe Learning Difficulty
PMLD = Profound &amp; Multiple Learning Difficulty
BESD = Behaviour, Emotional &amp; Social Difficulties (up to 2013/14)
SLCN = Speech, Language and Communication Needs
HI   = Hearing Impairment
VI   = Visual Impairment
MSI  = Multi-Sensory Impairment
PD   = Physical Disability
ASD  = Autistic Spectrum Disorder
OTH  = Other Difficulty/Disability
SEMH = Social, emotional and mental health (from 2014/15)
NSA = SEN support but no specialist assessment of type of need (from 2014/15)</t>
  </si>
  <si>
    <t>SecondarySENtype_[term][yy]</t>
  </si>
  <si>
    <t>SecondarySENtype</t>
  </si>
  <si>
    <t>sen2_[yy]</t>
  </si>
  <si>
    <t>Nature of pupil's secondary special educational need. For pupils with a SEN status of E or K their main or primary need and, if appropriate, their secondary, need, should be recorded.</t>
  </si>
  <si>
    <t>As for PrimarySENtype</t>
  </si>
  <si>
    <t>SpecialProvisionIndicator_[term][yy]</t>
  </si>
  <si>
    <t>SpecialProvisionIndicator</t>
  </si>
  <si>
    <t>spi_[yy]</t>
  </si>
  <si>
    <t>2005/2006 - 2006/2007</t>
  </si>
  <si>
    <t>Indicates if a pupil with SEN in a mainstream school is a member of an SEN Unit, special class or resourced provision.</t>
  </si>
  <si>
    <t>SENUnitIndicator_[term][yy]</t>
  </si>
  <si>
    <t>SENUnitIndicator</t>
  </si>
  <si>
    <t>sui_[yy]</t>
  </si>
  <si>
    <t>Indicates if a pupil with SEN in a mainstream school is a member of a SEN Unit (sometimes called special class)</t>
  </si>
  <si>
    <t>Aut (from 2017/18), Spr, Sum (from 2017/18)</t>
  </si>
  <si>
    <t>ResourcedProvisionIndicator_[term][yy]</t>
  </si>
  <si>
    <t>ResourcedProvisionIndicator</t>
  </si>
  <si>
    <t>rpi_[yy]</t>
  </si>
  <si>
    <t>Indicates if a pupil with SEN in a mainstream school is a member of a resourced provision</t>
  </si>
  <si>
    <t>TopUpFunding</t>
  </si>
  <si>
    <t>2013/2014 - 2020/2021</t>
  </si>
  <si>
    <t>Indicates whether the school is in receipt of top up funding from the local authority</t>
  </si>
  <si>
    <t>1, 0, true, false</t>
  </si>
  <si>
    <t>FTEmp</t>
  </si>
  <si>
    <t>2014/2015 - 2020/2021</t>
  </si>
  <si>
    <t>Pupil is in full time employment</t>
  </si>
  <si>
    <t>0 = false
1 = true</t>
  </si>
  <si>
    <t>Aut</t>
  </si>
  <si>
    <t>Disability_[term][yy]</t>
  </si>
  <si>
    <t>Disability</t>
  </si>
  <si>
    <t>2010/2011 - 2011/2012</t>
  </si>
  <si>
    <t>Type of Disability</t>
  </si>
  <si>
    <t>MobilityInd_[term][yy]</t>
  </si>
  <si>
    <t>MobilityInd</t>
  </si>
  <si>
    <t>Flag to show if the Pupil's postcode has changed since the previous Spring Census</t>
  </si>
  <si>
    <t>0 = Postcode unchanged
1 = Postcode change between Spring censuses
2 = Incomplete address details in previous census
3 = Incomplete address details in current census</t>
  </si>
  <si>
    <t>DistCurrSch_[term][yy]</t>
  </si>
  <si>
    <t>DistCurrSch</t>
  </si>
  <si>
    <t>Distance in miles from pupil postcode to current school</t>
  </si>
  <si>
    <t>DistNearSch_[term][yy]</t>
  </si>
  <si>
    <t>DistNearSch</t>
  </si>
  <si>
    <t>Distance in miles from pupil postcode to nearest suitable school</t>
  </si>
  <si>
    <t>COA_[term][yy]</t>
  </si>
  <si>
    <t>OACODE</t>
  </si>
  <si>
    <t>oa_[yy]</t>
  </si>
  <si>
    <t>2001/2002 - 2012/2013</t>
  </si>
  <si>
    <t>National Statistics Postcode Directory Census Output Area derived from the pupil's postcode.</t>
  </si>
  <si>
    <t>LSOA01_[term][yy] 
LLSOA_[term[yy]) 2001/02-2011/12</t>
  </si>
  <si>
    <t>LSOA01</t>
  </si>
  <si>
    <t>soa_[yy]</t>
  </si>
  <si>
    <t>2001/2002 - 2013/2014</t>
  </si>
  <si>
    <t>National Statistics Postcode Directory Lower Layer Super Output Area derived from the pupil's postcode (based on 2001 Census)</t>
  </si>
  <si>
    <t>LSOA11_[term][yy]</t>
  </si>
  <si>
    <t>LSOA11</t>
  </si>
  <si>
    <t>2012/2013 - 2020/2021</t>
  </si>
  <si>
    <t>National Statistics Postcode Directory Lower Layer Super Output Area derived from the pupil's postcode (based on 2011 Census)</t>
  </si>
  <si>
    <t>IDACIScore_[term][yy]</t>
  </si>
  <si>
    <t>IDACI_S</t>
  </si>
  <si>
    <t>idaci_[yy]</t>
  </si>
  <si>
    <t>2001/2002 - 2014/2015</t>
  </si>
  <si>
    <t>IDACI (Income Deprivation Affecting Children Indices) score derived from the pupil's postcode.</t>
  </si>
  <si>
    <t>IDACIRank_[term][yy]</t>
  </si>
  <si>
    <t>IDACI_R</t>
  </si>
  <si>
    <t>rank_[yy]</t>
  </si>
  <si>
    <t>IDACI (Income Deprivation Affecting Children Indices) rank derived from the pupil's postcode.</t>
  </si>
  <si>
    <t>NSiblings_SGA_[term][yy]</t>
  </si>
  <si>
    <t>NSiblings_SGA</t>
  </si>
  <si>
    <t>2007/2008, 2012/2013, 2015/2016</t>
  </si>
  <si>
    <t>Number of siblings in the pupil's sibling group based on address only</t>
  </si>
  <si>
    <t>BirthOrder_SGA_[term][yy]</t>
  </si>
  <si>
    <t>BirthOrder_SGA</t>
  </si>
  <si>
    <t>The pupil's sibling group birth order (oldest = 1) based on address only</t>
  </si>
  <si>
    <t>1 upwards</t>
  </si>
  <si>
    <t>GroupID_SGA_[term][yy]</t>
  </si>
  <si>
    <t>GroupID_SGA</t>
  </si>
  <si>
    <t>The pupil's sibling group identifier based on address only</t>
  </si>
  <si>
    <t>A sequential reference number to group siblings into SG(A) groups for the census year. It is not preserved across years.</t>
  </si>
  <si>
    <t>NSiblings_SGAS_[term][yy]</t>
  </si>
  <si>
    <t>NSiblings_SGAS</t>
  </si>
  <si>
    <t>Number of siblings in the pupil's sibling group based on address and surname</t>
  </si>
  <si>
    <t>BirthOrder_SGAS_[term][yy]</t>
  </si>
  <si>
    <t>BirthOrder_SGAS</t>
  </si>
  <si>
    <t>The pupil's sibling group birth order (oldest = 1) based on address and surname</t>
  </si>
  <si>
    <t>GroupID_SGAS_[term][yy]</t>
  </si>
  <si>
    <t>GroupID_SGAS</t>
  </si>
  <si>
    <t>The pupil's sibling group identifier based on address and surname</t>
  </si>
  <si>
    <t>A sequential reference number to group siblings into SG(A+S) groups for the census year. It is not preserved across years.</t>
  </si>
  <si>
    <t>DAFIndicator_[term][yy]</t>
  </si>
  <si>
    <t>DAFIndicator</t>
  </si>
  <si>
    <t>2017/2018 - 2020/2021</t>
  </si>
  <si>
    <t>Indicates if pupil is in receipt of disability access fund</t>
  </si>
  <si>
    <t>1,0, true, false</t>
  </si>
  <si>
    <t>SBEntitlement_[term][yy]</t>
  </si>
  <si>
    <t>SBEntitlement</t>
  </si>
  <si>
    <t>Entitlement for schools block funding</t>
  </si>
  <si>
    <t>Aut, Spr</t>
  </si>
  <si>
    <t>PPEntitlement_[term][yy]</t>
  </si>
  <si>
    <t>PPEntitlement</t>
  </si>
  <si>
    <t>Entitlement for pupil premium funding (if criteria met)</t>
  </si>
  <si>
    <t>LA_[term][yy]_anon</t>
  </si>
  <si>
    <t>LA_anon</t>
  </si>
  <si>
    <t>la_[yy]</t>
  </si>
  <si>
    <t>Local Authority (LA) that the school where the pupil attends reports to. This variable has been pseudonymised in line with the impact of COVID19 on DfE data sharing (See COVID19 Impact worksheet) and/or the requirements of Digital Economy Act in relation to a body corporate.</t>
  </si>
  <si>
    <t>LA_9Code_[term][yy]_anon</t>
  </si>
  <si>
    <t>LA_9Code_anon</t>
  </si>
  <si>
    <t>2010/2011 - 2020/2021</t>
  </si>
  <si>
    <t>New 9 digit Local Authority code introduced by ONS. This variable has been pseudonymised in line with the impact of COVID19 on DfE data sharing (See COVID19 Impact worksheet) and/or the requirements of Digital Economy Act in relation to a body corporate.</t>
  </si>
  <si>
    <t>LAEstab_[term][yy]_anon</t>
  </si>
  <si>
    <t>LAEstab_anon</t>
  </si>
  <si>
    <t>laest_[yy]</t>
  </si>
  <si>
    <t>The LA and ESTAB fields joined together. This variable has been pseudonymised in line with the impact of COVID19 on DfE data sharing (See COVID19 Impact worksheet) and/or the requirements of Digital Economy Act in relation to a body corporate.</t>
  </si>
  <si>
    <t>LA_LGR_[term][yy]_anon</t>
  </si>
  <si>
    <t>LA_LGR_anon</t>
  </si>
  <si>
    <t>lgr_[yy]</t>
  </si>
  <si>
    <t>2008/2009</t>
  </si>
  <si>
    <t>Local Authority code of the school after the April 2009 Local Government Reorganisation. This variable has been pseudonymised in line with the impact of COVID19 on DfE data sharing (See COVID19 Impact worksheet) and/or the requirements of Digital Economy Act in relation to a body corporate.</t>
  </si>
  <si>
    <t>URN_[term][yy]_anon</t>
  </si>
  <si>
    <t>URN_anon</t>
  </si>
  <si>
    <t>urn_[yy]</t>
  </si>
  <si>
    <t>School unique reference number. This variable has been pseudonymised in line with the impact of COVID19 on DfE data sharing (See COVID19 Impact worksheet) and/or the requirements of Digital Economy Act in relation to a body corporate.</t>
  </si>
  <si>
    <t>Text</t>
  </si>
  <si>
    <t>HomeLA_[term][yy]_anon</t>
  </si>
  <si>
    <t>HomeLA_anon</t>
  </si>
  <si>
    <t>LA number based on pupil postcode. This variable has been pseudonymised in line with the impact of COVID19 on DfE data sharing (See COVID19 Impact worksheet) and/or the requirements of Digital Economy Act in relation to a body corporate.</t>
  </si>
  <si>
    <t>HomeLA_9Code_[term][yy]_anon</t>
  </si>
  <si>
    <t>HomeLA_9Code_anon</t>
  </si>
  <si>
    <t>MathsGCSEHighestPriorAttainmentPreviousYear_[term][yy]</t>
  </si>
  <si>
    <t>MathsGCSEHighestPriorAttainmentPreviousYear</t>
  </si>
  <si>
    <t xml:space="preserve">2015/16-2020/21 </t>
  </si>
  <si>
    <t>Indicates the highest grade the pupil achieved in GCSE maths in the previous academic year</t>
  </si>
  <si>
    <t>A* - Grade A*
A - Grade A
B - Grade B
C - Grade C
D - Grade D
E - Grade E
F - Grade F
G - Grade G
U - Grade U
9 - Grade 9
8 - Grade 8
7 - Grade 7
6 - Grade 6
5 - Grade 5
4 - Grade 4
3 - Grade 3
2 - Grade 2
1 - Grade 1
NR - Not required</t>
  </si>
  <si>
    <t>Sec, P16</t>
  </si>
  <si>
    <t>EnglishGCSEHighestPriorAttainmentPreviousYear_[term][yy]</t>
  </si>
  <si>
    <t>EnglishGCSEHighestPriorAttainmentPreviousYear</t>
  </si>
  <si>
    <t>Indicates the highest grade the pupil achieved in GCSE English in the previous academic year</t>
  </si>
  <si>
    <t>MathsGCSEPriorAttainmentYear11_[term][yy]</t>
  </si>
  <si>
    <t>MathsGCSEPriorAttainmentYear11</t>
  </si>
  <si>
    <t>Indicates the stage at which the pupil achieved GCSE maths</t>
  </si>
  <si>
    <t xml:space="preserve">1 - Learner achieved grade A*-C at end of year 11		
2 - Learner achieved grade A*-C since the end of year 11		
3 - Learner has not yet achieved grade A*-C	</t>
  </si>
  <si>
    <t>EnglishGCSEPriorAttainmentYear11_[term][yy]</t>
  </si>
  <si>
    <t>EnglishGCSEPriorAttainmentYear11</t>
  </si>
  <si>
    <t>Indicates the stage at which the pupil achieved GCSE English</t>
  </si>
  <si>
    <t>Default Data Items (applicants will receive these data items by default if they have requested this dataset)</t>
  </si>
  <si>
    <t>(Old Tier 4 = Identifiability 3 or 5, and Sensitivity E; "de-identified personal level data of sensitivity level E")</t>
  </si>
  <si>
    <t>PupilMatchingRefAnonymous_[term][yy]</t>
  </si>
  <si>
    <t>s.PupilMatchingRefAnonymous</t>
  </si>
  <si>
    <t>pmr_[yy]</t>
  </si>
  <si>
    <t>All</t>
  </si>
  <si>
    <t>Pupil matching reference - Anonymous.</t>
  </si>
  <si>
    <t>RecordStatus_[term][yy]</t>
  </si>
  <si>
    <t>RecordStatus</t>
  </si>
  <si>
    <t>rs_[yy]</t>
  </si>
  <si>
    <t>Where duplicate, defines how the main record was identified.</t>
  </si>
  <si>
    <r>
      <t>Main/Duplicate Rules</t>
    </r>
    <r>
      <rPr>
        <sz val="8"/>
        <color rgb="FF000000"/>
        <rFont val="Arial"/>
        <family val="2"/>
      </rPr>
      <t xml:space="preserve">
1/ 101 = 2 records, Main record (1) is POR, Duplicate record (101) is PNLOR</t>
    </r>
    <r>
      <rPr>
        <sz val="8"/>
        <color rgb="FF000000"/>
        <rFont val="Arial"/>
        <family val="2"/>
      </rPr>
      <t xml:space="preserve">
2/102 = 2 PNLOR records, Main record (2) has latest LeavingDate</t>
    </r>
    <r>
      <rPr>
        <sz val="8"/>
        <color rgb="FF000000"/>
        <rFont val="Arial"/>
        <family val="2"/>
      </rPr>
      <t xml:space="preserve">
3/103 = 2 POR records, Main record (3) set using EnrolStatus (as defined in the hierarchy below)</t>
    </r>
    <r>
      <rPr>
        <sz val="8"/>
        <color rgb="FF000000"/>
        <rFont val="Arial"/>
        <family val="2"/>
      </rPr>
      <t xml:space="preserve">
4/104 =  2 POR records, Main record (4) set using School Type (as in the hierarchy below) or, if not possible, latest EntryDate</t>
    </r>
    <r>
      <rPr>
        <sz val="8"/>
        <color rgb="FF000000"/>
        <rFont val="Arial"/>
        <family val="2"/>
      </rPr>
      <t xml:space="preserve">
5/105 =  &gt;2 records, Main record (5) is POR, Duplicate record (105) is PNLOR </t>
    </r>
    <r>
      <rPr>
        <sz val="8"/>
        <color rgb="FF000000"/>
        <rFont val="Arial"/>
        <family val="2"/>
      </rPr>
      <t xml:space="preserve">
6/106 =  &gt;2 PNLOR records, Main record (6) has latest LeavingDate</t>
    </r>
    <r>
      <rPr>
        <sz val="8"/>
        <color rgb="FF000000"/>
        <rFont val="Arial"/>
        <family val="2"/>
      </rPr>
      <t xml:space="preserve">
7/107 =  &gt;2 POR records, Main record (7) set using EnrolStatus (as defined in the hierarchy below)</t>
    </r>
    <r>
      <rPr>
        <sz val="8"/>
        <color rgb="FF000000"/>
        <rFont val="Arial"/>
        <family val="2"/>
      </rPr>
      <t xml:space="preserve">
8/108 =  &gt;2 POR records, Main record (8) set using School Type (as defined in the hierarchy below) or, if not possible, latest EntryDate</t>
    </r>
    <r>
      <rPr>
        <sz val="8"/>
        <color rgb="FF000000"/>
        <rFont val="Arial"/>
        <family val="2"/>
      </rPr>
      <t xml:space="preserve">
9/109 =  Set manually (i.e. any remaining after applying stages defined as above)</t>
    </r>
    <r>
      <rPr>
        <sz val="8"/>
        <color rgb="FF000000"/>
        <rFont val="Arial"/>
        <family val="2"/>
      </rPr>
      <t xml:space="preserve">
10/110 = Duplicates where not matched to core pupil table i.e. MATCH_FFT_ID allocated after adding the (10) record to Core Pupil Table</t>
    </r>
    <r>
      <rPr>
        <sz val="8"/>
        <color rgb="FF000000"/>
        <rFont val="Arial"/>
        <family val="2"/>
      </rPr>
      <t xml:space="preserve">
20/120 = Duplicate pupils from N1 and N2 and who currently have PupilIDs set to -2 and Record_Status is not NULL</t>
    </r>
  </si>
  <si>
    <t>AcademicYear_[term][yy]</t>
  </si>
  <si>
    <t>AcademicYear</t>
  </si>
  <si>
    <t>ac_[yy]</t>
  </si>
  <si>
    <t>Academic year.</t>
  </si>
  <si>
    <t>CensusDate_[term][yy]</t>
  </si>
  <si>
    <t>CensusDate</t>
  </si>
  <si>
    <t>cdate_[yy]</t>
  </si>
  <si>
    <t>Census reference date.</t>
  </si>
  <si>
    <t>CensusTerm_[term][yy]</t>
  </si>
  <si>
    <t>CensusTerm</t>
  </si>
  <si>
    <t>ctrm_[yy]</t>
  </si>
  <si>
    <t>Term to which the Census applies.</t>
  </si>
  <si>
    <t>DataCollection_[term][yy]</t>
  </si>
  <si>
    <t>DataCollection</t>
  </si>
  <si>
    <t>coll_[yy]</t>
  </si>
  <si>
    <t>2005/2006</t>
  </si>
  <si>
    <t>Primary / special schools completed PLASC 2006; secondary schools completed School Census for Spring 2006.</t>
  </si>
  <si>
    <t>OnRoll_[term][yy]</t>
  </si>
  <si>
    <t>OnRoll</t>
  </si>
  <si>
    <t>onrl_[yy]</t>
  </si>
  <si>
    <t>Indicates whether the record is for a pupil who is on roll or no longer on roll.</t>
  </si>
  <si>
    <t>1 = On roll
0 = No longer on roll</t>
  </si>
  <si>
    <t>SourceTable_[term][yy]</t>
  </si>
  <si>
    <t>SourceTable</t>
  </si>
  <si>
    <t>src_[yy]</t>
  </si>
  <si>
    <t>2005/2006 - 2008/2009</t>
  </si>
  <si>
    <t>Source of data.</t>
  </si>
  <si>
    <t>PupilsOnRoll
PupilsNoLongerOnRoll</t>
  </si>
  <si>
    <t>PHASE_[term][yy]</t>
  </si>
  <si>
    <t>PHASE</t>
  </si>
  <si>
    <t>phase_[yy]</t>
  </si>
  <si>
    <t xml:space="preserve">Phase of Education offered by Mainstream Schools </t>
  </si>
  <si>
    <t>NS = Nursery
PS = Primary 
MP = Middle (Deemed Primary)
MS = Middle (Deemed Secondary)
SS = Secondary (including CTC and Academies)
SP = Special
EY = Early Years Settings
PR = Pupil Referral Unit (PRU)
AT = All Through
XX = Multiple Phases (not Middle, Special or PRU)</t>
  </si>
  <si>
    <t>YSSA_[term][yy]
ConnexionsAssent for 2002/03 to 2004/05
Connexions for 2005/06 to 2011/12</t>
  </si>
  <si>
    <t>YSSA</t>
  </si>
  <si>
    <t>conn_[yy]</t>
  </si>
  <si>
    <t>Do parents consent to pupil data being shared with Connexions?</t>
  </si>
  <si>
    <t xml:space="preserve">Yes = Permission has been given by the parent or guardian 
No = Parent or guardian has refused permission 
UNS = Unsought - school has not yet sent out Fair Processing Notices (Data cannot be shared with Connexions) 
SNR = Sought, No Reply - School has sent out Fair Processing Notices, but has received no reply from parent or guardian (Data can be shared with Connexions) </t>
  </si>
  <si>
    <t>ModeOfTravel_[term][yy]</t>
  </si>
  <si>
    <t>ModeOfTravel</t>
  </si>
  <si>
    <t>mot_[yy]</t>
  </si>
  <si>
    <t>2006/2007 - 2010/2011</t>
  </si>
  <si>
    <t>Indicates the usual mode of travel used by the child for the greater part (in distance) of the journey to school</t>
  </si>
  <si>
    <t>WLK = Walk
CYC = Cycle
CAR = Car/Van
CRS = Car Share (with a child/children from a different household)
PSB = Public Service Bus
DSB = Dedicated School Bus
BNK = Bus (type not known)
TXI = Taxi
TRN = Train
LUL = London Underground
MTL = Metro/Tram/Light Rail
BDR = Boarder - not applicable
OTH = Other</t>
  </si>
  <si>
    <t>FundedHours_[term][yy]</t>
  </si>
  <si>
    <t>FundedHours</t>
  </si>
  <si>
    <t>fund_[yy]</t>
  </si>
  <si>
    <t>2008/2009 - 2009/2010, 2011/2012 - 2020/2021</t>
  </si>
  <si>
    <t xml:space="preserve">The number of hours for which the pupil is funded by the LA at the setting </t>
  </si>
  <si>
    <t>0-25</t>
  </si>
  <si>
    <t>UnitContactTime_[term][yy]</t>
  </si>
  <si>
    <t>UnitContactTime</t>
  </si>
  <si>
    <t>Indicates number of Contact hours pupil should spend in Census week (PRUs only)</t>
  </si>
  <si>
    <t>HoursAtSetting_[term][yy]</t>
  </si>
  <si>
    <t>HoursAtSetting</t>
  </si>
  <si>
    <t>hrs_[yy]</t>
  </si>
  <si>
    <t xml:space="preserve">The number of hours for which the pupil attends educational ativities at the setting </t>
  </si>
  <si>
    <t>&gt;= 0</t>
  </si>
  <si>
    <t>EnrolStatus_[term][yy]
RegistrationType_[term][yy] in 2001/02</t>
  </si>
  <si>
    <t>EnrolStatus</t>
  </si>
  <si>
    <t>enrol_[yy]</t>
  </si>
  <si>
    <t>Indicates enrolment status of a pupil using one of the registration codes supplied in the pick list.</t>
  </si>
  <si>
    <t>C = Current (single registration at this school)
G = Guest (pupil not registered at this school but attending some lessons or sessions)
M = Current Main (dual registration)
S = Current Subsidiary (dual registration)
F = FE College (since 2014/15)
O = Other provider (since 2014/15)</t>
  </si>
  <si>
    <t>TypeOfClass_[term][yy]
NurseryClassInd_[term][yy] in 2001/02
ClassType_[term][yy] 2002/03-2006/07</t>
  </si>
  <si>
    <t>TypeOfClass</t>
  </si>
  <si>
    <t>cti_[yy]</t>
  </si>
  <si>
    <t>Denotes whether or not the pupil is in a nursery class or not.  Class equates to registration group.  A nursery class is one designated by the LA – any pupil in a class not designated as a nursery class by the LA should be counted as an other (O) class even if they are of nursery age.</t>
  </si>
  <si>
    <t>N = Nursery Class
O = Other Class</t>
  </si>
  <si>
    <t>EY</t>
  </si>
  <si>
    <t>NCyearActual_[term][yy]
ActualNCYearGroup_[term][yy] in 2001/02</t>
  </si>
  <si>
    <t>NCyearActual</t>
  </si>
  <si>
    <t>ncyr_[yy]</t>
  </si>
  <si>
    <t>The year group in which the pupil is taught for the majority of their time, regardless of their chronological age.</t>
  </si>
  <si>
    <t>E1 = Early years education first year
E2 = Early years education second year
N1 = Nursery first year
N2 = Nursery second year
R = Reception
1-14 = Years 1 to 14
X = National Curriculum not followed - used for Special Schools</t>
  </si>
  <si>
    <t>EY, Pri, Sec, P16</t>
  </si>
  <si>
    <t xml:space="preserve">NCyearLeaving_[term][yy]
</t>
  </si>
  <si>
    <t>NCyearLeaving</t>
  </si>
  <si>
    <t>The year group in which the pupil is taught for the majority of their time, regardless of their chronological age (off roll pupils).</t>
  </si>
  <si>
    <t>SchoolLunchTaken_[term][yy]</t>
  </si>
  <si>
    <t>SchoolLunchTaken</t>
  </si>
  <si>
    <t>Indicates whether a pupil in year 1, 2 or aged 4-6 in year X took a school lunch</t>
  </si>
  <si>
    <t>Pri</t>
  </si>
  <si>
    <t>QualHrs_[term][yy]</t>
  </si>
  <si>
    <t>QualHrs</t>
  </si>
  <si>
    <t>Planned learning hours in the current academic year</t>
  </si>
  <si>
    <t>QualHrsPrev_[term][yy]</t>
  </si>
  <si>
    <t>QualHrsPrev</t>
  </si>
  <si>
    <t>2014/2015</t>
  </si>
  <si>
    <t>Planned learning hours in the previous academic year</t>
  </si>
  <si>
    <t>NonQualHrs_[term][yy]</t>
  </si>
  <si>
    <t>Non_qualHrs</t>
  </si>
  <si>
    <t>Planned employability, enrichment and pastoral hours in the current academic year</t>
  </si>
  <si>
    <t>NonqualHrsPrev_[term][yy]</t>
  </si>
  <si>
    <t>Non_qualHrsPrev</t>
  </si>
  <si>
    <t>Planned employability, enrichment and pastoral hours in the previous academic year</t>
  </si>
  <si>
    <t>QualHrsPreviousYear_[term][yy]</t>
  </si>
  <si>
    <t>QualHrsPreviousYear</t>
  </si>
  <si>
    <t>2019/20 -</t>
  </si>
  <si>
    <t>Non-qualHrsPreviousYear_[term][yy]</t>
  </si>
  <si>
    <t>Non-qualHrsPreviousYear</t>
  </si>
  <si>
    <t>TLevelQualHrs_[term][yy]</t>
  </si>
  <si>
    <t>2020/21 -</t>
  </si>
  <si>
    <t>The planned learning hours that the pupil is timetabled to be in learning activities for the entirety of the T Level</t>
  </si>
  <si>
    <t>TLevelNon_qualHrs_[term][yy]</t>
  </si>
  <si>
    <t xml:space="preserve">The planned hours that the pupil is timetabled to be in employability, enrichment and pastoral activities for the entirety of the T Level </t>
  </si>
  <si>
    <t>PostAdvanced_[term][yy]</t>
  </si>
  <si>
    <t>PostAdvanced</t>
  </si>
  <si>
    <t>pa_[yy]</t>
  </si>
  <si>
    <t>2002/2003 - 2005/2006</t>
  </si>
  <si>
    <t>Indicates whether a pupil is taking a post advanced level course or not. A post advanced level course is any course taken by a pupil who has completed GCE A Levels, an advanced GNVA or GNVQ precursor or a NVQ Level 3 and is no longer studying at that level.</t>
  </si>
  <si>
    <t>Alevel_[term][yy]</t>
  </si>
  <si>
    <t>Alevel</t>
  </si>
  <si>
    <t>alev_[yy]</t>
  </si>
  <si>
    <t>The total number of A-Levels being taken by that pupil.  This includes AS (Advanced Subsidiary), A2 and linear A Levels, but excludes General Studies and Vocational Certificates of Education (VCEs), sometimes known as Vocational A Levels.</t>
  </si>
  <si>
    <t>GCSE_[term][yy]</t>
  </si>
  <si>
    <t>GCSE</t>
  </si>
  <si>
    <t>gcse_[yy]</t>
  </si>
  <si>
    <t>The total number of GCSEs being taken by that pupil.</t>
  </si>
  <si>
    <t>GNVQ_[term][yy]</t>
  </si>
  <si>
    <t>GNVQ</t>
  </si>
  <si>
    <t>gnvq_[yy]</t>
  </si>
  <si>
    <t>Indicates whether a pupil is not taking a GNVQ or VCE, or is taking a foundation GNVQ, intermediate GNVQ, or advanced GNVQ or VCE.</t>
  </si>
  <si>
    <t>0 = Not taking a GNVQ or VCE
1 = Taking a foundation GNVQ
2 = Taking an intermediate GNVQ
3 = Taking an advanced GNVQ or VCE (3, 6 or 12 units)</t>
  </si>
  <si>
    <t>PreGNVQ_[term][yy]</t>
  </si>
  <si>
    <t>PreGNVQ</t>
  </si>
  <si>
    <t>pgnvq_[yy]</t>
  </si>
  <si>
    <t>Indicates whether a pupil is not taking a GNVQ precursor, or is taking a level 2 GNVQ precursor or a level 3 GNVQ precursor.</t>
  </si>
  <si>
    <t>0 = Not taking a GNVQ precursor
2 = Taking a level 2 GNVQ precursor (ie a BTEC First or City &amp; Guilds Diploma of Vocational Education at intermediate level
3 = Taking a level 3 GNVQ precursor (ie a BTEC National or City &amp; Guilds Diploma of Vocational Education at national level</t>
  </si>
  <si>
    <t>NVQ_[term][yy]</t>
  </si>
  <si>
    <t>NVQ</t>
  </si>
  <si>
    <t>nvq_[yy]</t>
  </si>
  <si>
    <t>Indicates whether a pupil is not taking a NVQ or is taking a NVQ level 1, 2 or 3.</t>
  </si>
  <si>
    <t xml:space="preserve">0 = not taking a NVQ
1 = taking a NVQ level 1
2 = taking a NVQ level 2
3 = taking a NVQ level 3
</t>
  </si>
  <si>
    <t>Other_[term][yy]</t>
  </si>
  <si>
    <t>Other</t>
  </si>
  <si>
    <t>other_[yy]</t>
  </si>
  <si>
    <t>Indicates whether a pupil is taking the International Baccalaureate, another course (all categories not counted elsewhere, including General Studies) or not taking any other post year 12 courses.</t>
  </si>
  <si>
    <t>B = Taking the International Baccalaureate
O = Taking another course (not Advanced Subsidiary or International Baccalaureate) this is a catch of all other categories not counted elsewhere, including General Studies
N = Not taking another course</t>
  </si>
  <si>
    <t>MathsGCSEHighestPriorAttainment_[term][yy]</t>
  </si>
  <si>
    <t xml:space="preserve"> </t>
  </si>
  <si>
    <t>Indicates the highest grade the pupil achieved in GCSE maths</t>
  </si>
  <si>
    <t>MathsGCSEPriorAttainmentYearGroup_[term][yy]</t>
  </si>
  <si>
    <t>MathsGCSEPriorAttainmentYearGroup</t>
  </si>
  <si>
    <t>EnglishGCSEHighestPriorAttainment_[term][yy]</t>
  </si>
  <si>
    <t>EnglishGCSEHighestPriorAttainment</t>
  </si>
  <si>
    <t>Indicates the highest grade the pupil achieved in GCSE English</t>
  </si>
  <si>
    <t>EnglishGCSEPriorAttainmentYearGroup_[term][yy]</t>
  </si>
  <si>
    <t>EnglishGCSEPriorAttainmentYearGroup</t>
  </si>
  <si>
    <t>MathsGCSEFundingExemption_[term][yy]</t>
  </si>
  <si>
    <t>MathsGCSEFundingExemption</t>
  </si>
  <si>
    <t>Indicates why the pupil is exempt from the condition of funding for maths</t>
  </si>
  <si>
    <t>EnglishGCSEFundingExemption_[term][yy]</t>
  </si>
  <si>
    <t>EnglishGCSEFundingExemption</t>
  </si>
  <si>
    <t>Indicates why the pupil is exempt from the condition of funding for English</t>
  </si>
  <si>
    <t>Pupil Referral Unit Census (incorporated into the School Census from 2013/14)</t>
  </si>
  <si>
    <t>Identification Risk</t>
  </si>
  <si>
    <t>PRU_Gender[yy]</t>
  </si>
  <si>
    <t>2009/2010 - 2012/2013</t>
  </si>
  <si>
    <t>PRU_AgeAtStartOfAcademicYear[yy]</t>
  </si>
  <si>
    <t>PRU_MonthPartOfAgeAtStartOfAcademicYear[yy]</t>
  </si>
  <si>
    <t>0 to 11</t>
  </si>
  <si>
    <t>PRU_YearOfBirth_SPR[yy]</t>
  </si>
  <si>
    <t>PRU_MonthOfBirth[yy]</t>
  </si>
  <si>
    <t>1 to 12</t>
  </si>
  <si>
    <t>PRU_Ethnicity[yy]</t>
  </si>
  <si>
    <t>PRU_EthnicGroupMinor[yy]</t>
  </si>
  <si>
    <t>Pupil's minor ethnic group based on extended ethnicity code</t>
  </si>
  <si>
    <t xml:space="preserve">ABAN = Bangladeshi
AIND = Indian
AOTH = Any Other Asian Background
APKN = Pakistani
BAFR = Black - African
BCRB = Black Caribbean
BOTH = Any Other Black Background
CHNE = Chinese
INVA = Invalid value
MISS = Missing value
MOTH = Any Other Mixed Background
MWAS = White and Asian
MWBA = White and Black African
MWBC = White and Black Caribbean
N/A  = Not applicable
NOBT = Information Not Yet Obtained
OOTH = Any Other Ethnic Group
REFU = Refused 
WBRI = White - British
WIRI = White - Irish
WIRT = Traveller of Irish Heritage
WOTH = Any Other White Background
WROM = Gypsy / Roma
</t>
  </si>
  <si>
    <t>PRU_EthnicGroupMajor[yy]</t>
  </si>
  <si>
    <t>Pupil's major ethnic group based on extended ethnicity code</t>
  </si>
  <si>
    <t>PRU_FSMeligible[yy]
Based on periods of FSM from 2012/13.</t>
  </si>
  <si>
    <t>PRU_Language[yy]</t>
  </si>
  <si>
    <t>PRU_LanguageGroupMinor[yy]</t>
  </si>
  <si>
    <t>ENB = Not known but believed to be English
ENG = English
INV = Invalid code entered
MIS = Missing value
N/A = Not applicable
NOT = Information not obtained
OTB = Not known but believed to be other than English
OTH = Other than English
PEN = Classification Pending</t>
  </si>
  <si>
    <t>PRU_LanguageGroupMajor[yy]</t>
  </si>
  <si>
    <t>PRU_GandTindicator[yy]</t>
  </si>
  <si>
    <t>2009/2010 - 2010/2011</t>
  </si>
  <si>
    <t>PRU_EntryDate_SPR[yy]</t>
  </si>
  <si>
    <t>PRU_EntryDate[yy]</t>
  </si>
  <si>
    <t>PRU_PartTime[yy]</t>
  </si>
  <si>
    <t>PRU_Boarder[yy]</t>
  </si>
  <si>
    <t>B = Boarder, nights per week not specified
N = Not a boarder</t>
  </si>
  <si>
    <t>PRU_SENprovision[yy]</t>
  </si>
  <si>
    <t>N = No Special Educational Need
A = School Action or Early Years Action
P = School Action Plus or Early Years Action Plus
S = Statement</t>
  </si>
  <si>
    <t>PRU_SENprovisionMajor[yy]</t>
  </si>
  <si>
    <t>PRU_PrimarySENtype[yy]</t>
  </si>
  <si>
    <t>Primary SEN type.</t>
  </si>
  <si>
    <t>SPLD = Specific Learning Difficulty
MLD  = Moderate Learning Difficulty
SLD  = Severe Learning Difficulty
PMLD = Profound &amp; Multiple Learning Difficulty
BESD = Behaviour, Emotional &amp; Social Difficulties
SLCN = Speech, Language and Communication Needs
HI   = Hearing Impairment
VI   = Visual Impairment
MSI  = Multi-Sensory Impairment
PD   = Physical Disability
ASD  = Autistic Spectrum Disorder
OTH  = Other Difficulty/Disability</t>
  </si>
  <si>
    <t>PRU_SecondarySENtype[yy]</t>
  </si>
  <si>
    <t>Secondary SEN type.</t>
  </si>
  <si>
    <t>PRU_DistCurrSch[yy]</t>
  </si>
  <si>
    <t>PRU_OACODE[yy]</t>
  </si>
  <si>
    <t>PRU_LSOA01 or PRU_LSOA11</t>
  </si>
  <si>
    <t>SOA1</t>
  </si>
  <si>
    <t>National Statistics Postcode Directory Lower Layer Super Output Area derived from the pupil's postcode.</t>
  </si>
  <si>
    <t>PRU_IDACI_S[yy]</t>
  </si>
  <si>
    <t>PRU_IDACI_R[yy]</t>
  </si>
  <si>
    <t>PRU_LA[yy]_anon</t>
  </si>
  <si>
    <t>PRU_LA_9Code[yy]_anon</t>
  </si>
  <si>
    <t>New 9 digit code Local Authority code introduced by ONS. This variable has been pseudonymised in line with the impact of COVID19 on DfE data sharing (See COVID19 Impact worksheet) and/or the requirements of Digital Economy Act in relation to a body corporate.</t>
  </si>
  <si>
    <t>PRU_LAEstab[yy]_anon</t>
  </si>
  <si>
    <t>PRU_URN[yy]_anon</t>
  </si>
  <si>
    <t>PRU_HomeLA[yy]_anon</t>
  </si>
  <si>
    <t>PRU_HomeLA_9Code[yy]_anon</t>
  </si>
  <si>
    <t>2010/2011 - 2012/2013</t>
  </si>
  <si>
    <t>PRU_PupilMatchingRefAnonymous_SPR[yy]</t>
  </si>
  <si>
    <t>PupilMatchingRefAnonymous</t>
  </si>
  <si>
    <t>PRU_RecordStatus_SPR[yy]</t>
  </si>
  <si>
    <t>1/101, 2/102, 3/103, 4/104, 5/105, 6/106, 7/107, 8/108, 9/109, 10/110, 20/120</t>
  </si>
  <si>
    <t>PRU_AcademicYear_SPR[yy]</t>
  </si>
  <si>
    <t>PRU_CensusDate_SPR[yy]</t>
  </si>
  <si>
    <t>PRU_CensusTerm_SPR[yy]</t>
  </si>
  <si>
    <t>This will only be Spring as the collection will only be collected Annually</t>
  </si>
  <si>
    <t>Spring</t>
  </si>
  <si>
    <t>PRU_OnRoll_SPR[yy]</t>
  </si>
  <si>
    <t>PRU_YSSA_SPR[yy]
PRU_Connexions_SPR[yy] up to 2011/12.</t>
  </si>
  <si>
    <t>Yes = Permission has been given by the parent or guardian 
No = Parent or guardian has refused permission 
UNS = Unsought - school has not yet sent out Fair Processing Notices (Data cannot be shared with Connexions) 
SNR = Sought, No Reply - School has se</t>
  </si>
  <si>
    <t>PRU_EnrolStatus_SPR[yy]</t>
  </si>
  <si>
    <t>C = Current (single registration at this school)
G = Guest (pupil not registered at this school but attending some lessons or sessions)
M = Current Main (dual registration)
S = Current Subsidiary (dual registration)</t>
  </si>
  <si>
    <t>PRU_ModeOfTravel_SPR[yy]</t>
  </si>
  <si>
    <t>PRU_HoursAtSetting_SPR[yy]</t>
  </si>
  <si>
    <t>The number of hours for which the pupil attends educational activities at the setting (to the nearest 0.5 hour)</t>
  </si>
  <si>
    <t>PRU_FundedHours_SPR[yy]</t>
  </si>
  <si>
    <t>2011/2012 - 2012/2013</t>
  </si>
  <si>
    <t>The number of hours funded per week by an LA for the children at the setting (to the nearest 0.5 hour)</t>
  </si>
  <si>
    <t>PRU_UnitContactTime_SPR[yy]</t>
  </si>
  <si>
    <t xml:space="preserve">Indicates number of Contact hours pupil should spend in Census week </t>
  </si>
  <si>
    <t>PRU_NCyearActual_SPR[yy]</t>
  </si>
  <si>
    <t>N1 = Nursery first year
N2 = Nursery second year
R = Reception
1-14 = Years 1 to 14
X = National Curriculum not followed - used for Special Schools</t>
  </si>
  <si>
    <t>Years populated</t>
  </si>
  <si>
    <t>FSP_GENDER</t>
  </si>
  <si>
    <t>GENDER</t>
  </si>
  <si>
    <t>f_gend</t>
  </si>
  <si>
    <t>2002/03 - 2009/2010</t>
  </si>
  <si>
    <t>FSP_AGE_START</t>
  </si>
  <si>
    <t>AGE_START</t>
  </si>
  <si>
    <t>f_age</t>
  </si>
  <si>
    <t>FSP_MONTH_PART</t>
  </si>
  <si>
    <t>MONTH_PART</t>
  </si>
  <si>
    <t>f_mth</t>
  </si>
  <si>
    <t xml:space="preserve">Categorical </t>
  </si>
  <si>
    <t>FSP_YEAROFBIRTH</t>
  </si>
  <si>
    <t>YEAROFBIRTH</t>
  </si>
  <si>
    <t>f_yob</t>
  </si>
  <si>
    <t>FSP_MONTHOFBIRTH</t>
  </si>
  <si>
    <t>MONTHOFBIRTH</t>
  </si>
  <si>
    <t>f_mob</t>
  </si>
  <si>
    <t>FSP_LSOA01</t>
  </si>
  <si>
    <t>FSP_LLSOA</t>
  </si>
  <si>
    <t>2006/07 - 2009/2010</t>
  </si>
  <si>
    <t>National Statistics Postcode Directory Lower Layer Super Output Area derived from pupil's postcode (based on 2001 Census)</t>
  </si>
  <si>
    <t>FSP_IDACISCORE</t>
  </si>
  <si>
    <t>2008/09 - 2009/2010</t>
  </si>
  <si>
    <t>Income Deprivation Affecting Children Indices. IDACI Score</t>
  </si>
  <si>
    <t>FSP_IDACIRANK</t>
  </si>
  <si>
    <t>Income Deprivation Affecting Children Indices. IDACI Rank.</t>
  </si>
  <si>
    <t>FSP_AGE</t>
  </si>
  <si>
    <t>AGE</t>
  </si>
  <si>
    <t>n/a</t>
  </si>
  <si>
    <t>2007/08 - 2009/2010</t>
  </si>
  <si>
    <t>Age within academic year (derived from DOB and refers to age within academic year, relative to 1st September (a pupil born on 1st September will be 1 and 31st August will be 0)).</t>
  </si>
  <si>
    <t>FSP_LA_anon</t>
  </si>
  <si>
    <t>f_la</t>
  </si>
  <si>
    <t>FSP_LAESTAB_anon</t>
  </si>
  <si>
    <t>LAESTAB_anon</t>
  </si>
  <si>
    <t>f_laest</t>
  </si>
  <si>
    <t>FSP_URN_anon</t>
  </si>
  <si>
    <t>f_urn</t>
  </si>
  <si>
    <t>Unique Establishment Number or early learner provider number. In most cases it will be the four character Estab number, but it could also be a six character Early Learner Provider number. This variable has been pseudonymised in line with the impact of COVID19 on DfE data sharing (See COVID19 Impact worksheet) and/or the requirements of Digital Economy Act in relation to a body corporate.</t>
  </si>
  <si>
    <t>FSP_ACADYR</t>
  </si>
  <si>
    <t>ACADYR</t>
  </si>
  <si>
    <t>f_ac</t>
  </si>
  <si>
    <t>2002/2003 - 2009/2010</t>
  </si>
  <si>
    <t>FSP_PupilMatchingRefAnonymous</t>
  </si>
  <si>
    <t>f_pmr</t>
  </si>
  <si>
    <t>FSP_MTH_ENTRY</t>
  </si>
  <si>
    <t>MTH_ENTRY</t>
  </si>
  <si>
    <t>2008/09 -  - 2009/2010</t>
  </si>
  <si>
    <t>Actual month of starting the academic year derived from date of entry</t>
  </si>
  <si>
    <t>FSP_NFTYPE</t>
  </si>
  <si>
    <t>NFTYPE</t>
  </si>
  <si>
    <t>Institution type</t>
  </si>
  <si>
    <t>See School Types tab for the list of values</t>
  </si>
  <si>
    <t>FSP_NPDPUB</t>
  </si>
  <si>
    <t>NPDPUB</t>
  </si>
  <si>
    <t>2009/10</t>
  </si>
  <si>
    <t>Pupil included in LA and National averages in published NPD-based EYFSP figures such as those in 'Attainment by Pupil Characteristics' SFRs.</t>
  </si>
  <si>
    <t>1 = Yes
0 = No</t>
  </si>
  <si>
    <t>FSP_PSE_AS1</t>
  </si>
  <si>
    <t>PSE_AS1</t>
  </si>
  <si>
    <t>f_pse1</t>
  </si>
  <si>
    <t>Score in AS1 for Personal, Social and Emotional Development.</t>
  </si>
  <si>
    <t>N, 0 - 9</t>
  </si>
  <si>
    <t>FSP_PSEAS1R1</t>
  </si>
  <si>
    <t>PSEAS1R1</t>
  </si>
  <si>
    <t>PSEAS1_RESPOINT1</t>
  </si>
  <si>
    <t>2006/2007 - 2009/2010</t>
  </si>
  <si>
    <t xml:space="preserve">PSE1 - shows an interest in classroom activities </t>
  </si>
  <si>
    <t>T (True), F(False), N(Not Assessed), NULL</t>
  </si>
  <si>
    <t>FSP_PSEAS1R2</t>
  </si>
  <si>
    <t>PSEAS1R2</t>
  </si>
  <si>
    <t>PSEAS1_RESPOINT2</t>
  </si>
  <si>
    <t>PSE1 - dresses, undresses with adult support</t>
  </si>
  <si>
    <t>FSP_PSEAS1R3</t>
  </si>
  <si>
    <t>PSEAS1R3</t>
  </si>
  <si>
    <t>PSEAS1_RESPOINT3</t>
  </si>
  <si>
    <t>PSE1 - high level of involvement in self-chosen activities</t>
  </si>
  <si>
    <t>FSP_PSEAS1R4</t>
  </si>
  <si>
    <t>PSEAS1R4</t>
  </si>
  <si>
    <t>PSEAS1_RESPOINT4</t>
  </si>
  <si>
    <t>PSE1 - dresses and undresses independently</t>
  </si>
  <si>
    <t>FSP_PSEAS1R5</t>
  </si>
  <si>
    <t>PSEAS1R5</t>
  </si>
  <si>
    <t>PSEAS1_RESPOINT5</t>
  </si>
  <si>
    <t>PSE1 - selects and uses activities and resources independently</t>
  </si>
  <si>
    <t>FSP_PSEAS1R6</t>
  </si>
  <si>
    <t>PSEAS1R6</t>
  </si>
  <si>
    <t>PSEAS1_RESPOINT6</t>
  </si>
  <si>
    <t>PSE1 - continues to be interested, motivated and excited to learn</t>
  </si>
  <si>
    <t>FSP_PSEAS1R7</t>
  </si>
  <si>
    <t>PSEAS1R7</t>
  </si>
  <si>
    <t>PSEAS1_RESPOINT7</t>
  </si>
  <si>
    <t>PSE1 - is confident to try new activities, initiate ideas and speak in a familiar group</t>
  </si>
  <si>
    <t>FSP_PSEAS1R8</t>
  </si>
  <si>
    <t>PSEAS1R8</t>
  </si>
  <si>
    <t>PSEAS1_RESPOINT8</t>
  </si>
  <si>
    <t>PSE1 - maintains attention and concentrates</t>
  </si>
  <si>
    <t>FSP_PSEAS1R9</t>
  </si>
  <si>
    <t>PSEAS1R9</t>
  </si>
  <si>
    <t>PSEAS1_RESPOINT9</t>
  </si>
  <si>
    <t>PSE1 - sustains involvement and perseveres, particularly when trying to solve a problem or reach a satisfactory conclusion</t>
  </si>
  <si>
    <t>FSP_PSE_AS2</t>
  </si>
  <si>
    <t>PSE_AS2</t>
  </si>
  <si>
    <t>f_pse2</t>
  </si>
  <si>
    <t>Score in AS2 for Personal, Social and Emotional Development.</t>
  </si>
  <si>
    <t>FSP_PSEAS2R1</t>
  </si>
  <si>
    <t>PSEAS2R1</t>
  </si>
  <si>
    <t>PSEAS2_RESPOINT1</t>
  </si>
  <si>
    <t>Plays alongside others</t>
  </si>
  <si>
    <t>FSP_PSEAS2R2</t>
  </si>
  <si>
    <t>PSEAS2R2</t>
  </si>
  <si>
    <t>PSEAS2_RESPOINT2</t>
  </si>
  <si>
    <t>builds relationships through gesture and talk</t>
  </si>
  <si>
    <t>FSP_PSEAS2R3</t>
  </si>
  <si>
    <t>PSEAS2R3</t>
  </si>
  <si>
    <t>PSEAS2_RESPOINT3</t>
  </si>
  <si>
    <t>takes turns and shares with adult support</t>
  </si>
  <si>
    <t>FSP_PSEAS2R4</t>
  </si>
  <si>
    <t>PSEAS2R4</t>
  </si>
  <si>
    <t>PSEAS2_RESPOINT4</t>
  </si>
  <si>
    <t>works as part of a group or class, taking turns and sharing fairly</t>
  </si>
  <si>
    <t>FSP_PSEAS2R5</t>
  </si>
  <si>
    <t>PSEAS2R5</t>
  </si>
  <si>
    <t>PSEAS2_RESPOINT5</t>
  </si>
  <si>
    <t>forms good relationships with adults and peers</t>
  </si>
  <si>
    <t>FSP_PSEAS2R6</t>
  </si>
  <si>
    <t>PSEAS2R6</t>
  </si>
  <si>
    <t>PSEAS2_RESPOINT6</t>
  </si>
  <si>
    <t>understands that there need to be agreed values and codes of behaviour</t>
  </si>
  <si>
    <t>FSP_PSEAS2R7</t>
  </si>
  <si>
    <t>PSEAS2R7</t>
  </si>
  <si>
    <t>PSEAS2_RESPOINT7</t>
  </si>
  <si>
    <t>understands that people have different needs and views</t>
  </si>
  <si>
    <t>FSP_PSEAS2R8</t>
  </si>
  <si>
    <t>PSEAS2R8</t>
  </si>
  <si>
    <t>PSEAS2_RESPOINT8</t>
  </si>
  <si>
    <t>understands that he/she can expect others to treat her with respect</t>
  </si>
  <si>
    <t>FSP_PSEAS2R9</t>
  </si>
  <si>
    <t>PSEAS2R9</t>
  </si>
  <si>
    <t>PSEAS2_RESPOINT9</t>
  </si>
  <si>
    <t>takes into account the ideas of others</t>
  </si>
  <si>
    <t>FSP_PSE_AS3</t>
  </si>
  <si>
    <t>PSE_AS3</t>
  </si>
  <si>
    <t>f_pse3</t>
  </si>
  <si>
    <t>Score in AS3 for Personal, Social and Emotional Development.</t>
  </si>
  <si>
    <t>FSP_PSEAS3R1</t>
  </si>
  <si>
    <t>PSEAS3R1</t>
  </si>
  <si>
    <t>PSEAS3_RESPOINT1</t>
  </si>
  <si>
    <t>separates from main carer with support</t>
  </si>
  <si>
    <t>FSP_PSEAS3R2</t>
  </si>
  <si>
    <t>PSEAS3R2</t>
  </si>
  <si>
    <t>PSEAS3_RESPOINT2</t>
  </si>
  <si>
    <t>communicates freely about home and community</t>
  </si>
  <si>
    <t>FSP_PSEAS3R3</t>
  </si>
  <si>
    <t>PSEAS3R3</t>
  </si>
  <si>
    <t>PSEAS3_RESPOINT3</t>
  </si>
  <si>
    <t>expresses needs and feelings in appropriate ways</t>
  </si>
  <si>
    <t>FSP_PSEAS3R4</t>
  </si>
  <si>
    <t>PSEAS3R4</t>
  </si>
  <si>
    <t>PSEAS3_RESPOINT4</t>
  </si>
  <si>
    <t>responds to significant experiences showing a range of feelings</t>
  </si>
  <si>
    <t>FSP_PSEAS3R5</t>
  </si>
  <si>
    <t>PSEAS3R5</t>
  </si>
  <si>
    <t>PSEAS3_RESPOINT5</t>
  </si>
  <si>
    <t>has a developing awareness of own needs and is sensitive to the needs of others</t>
  </si>
  <si>
    <t>FSP_PSEAS3R6</t>
  </si>
  <si>
    <t>PSEAS3R6</t>
  </si>
  <si>
    <t>PSEAS3_RESPOINT6</t>
  </si>
  <si>
    <t>has a developing respect for own culture and beliefs and those of other people</t>
  </si>
  <si>
    <t>FSP_PSEAS3R7</t>
  </si>
  <si>
    <t>PSEAS3R7</t>
  </si>
  <si>
    <t>PSEAS3_RESPOINT7</t>
  </si>
  <si>
    <t>considers the consequences of words and actions for self and others</t>
  </si>
  <si>
    <t>FSP_PSEAS3R8</t>
  </si>
  <si>
    <t>PSEAS3R8</t>
  </si>
  <si>
    <t>PSEAS3_RESPOINT8</t>
  </si>
  <si>
    <t>understands what is right and wrong and why</t>
  </si>
  <si>
    <t>FSP_PSEAS3R9</t>
  </si>
  <si>
    <t>PSEAS3R9</t>
  </si>
  <si>
    <t>PSEAS3_RESPOINT9</t>
  </si>
  <si>
    <t>displays a strong positive sense of self-identity and is able to express a range of emotions fluently and appropriately</t>
  </si>
  <si>
    <t>FSP_PSE_TOTAL</t>
  </si>
  <si>
    <t>PSE_TOTAL</t>
  </si>
  <si>
    <t>PSE_AOL</t>
  </si>
  <si>
    <t>Total score in area of learning for Personal, Social and Emotional Development.</t>
  </si>
  <si>
    <t>N, 0 - 27</t>
  </si>
  <si>
    <t>FSP_CLL_AS1</t>
  </si>
  <si>
    <t>CLL_AS1</t>
  </si>
  <si>
    <t>f_cll1</t>
  </si>
  <si>
    <t>Score in AS1 for Communication, Language and Literacy.</t>
  </si>
  <si>
    <t>FSP_CLLAS1R1</t>
  </si>
  <si>
    <t>CLLAS1R1</t>
  </si>
  <si>
    <t>CLLAS1_RESPOINT1</t>
  </si>
  <si>
    <t>listens and responds</t>
  </si>
  <si>
    <t>FSP_CLLAS1R2</t>
  </si>
  <si>
    <t>CLLAS1R2</t>
  </si>
  <si>
    <t>CLLAS1_RESPOINT2</t>
  </si>
  <si>
    <t>initiates communication with others, displaying greater confidence in more informal contexts</t>
  </si>
  <si>
    <t>FSP_CLLAS1R3</t>
  </si>
  <si>
    <t>CLLAS1R3</t>
  </si>
  <si>
    <t>CLLAS1_RESPOINT3</t>
  </si>
  <si>
    <t>talks activities through reflecting on and modifying actions</t>
  </si>
  <si>
    <t>FSP_CLLAS1R4</t>
  </si>
  <si>
    <t>CLLAS1R4</t>
  </si>
  <si>
    <t>CLLAS1_RESPOINT4</t>
  </si>
  <si>
    <t>listens with enjoyment to stories, songs and rhymes, sustains attentive listening and responds with questions</t>
  </si>
  <si>
    <t>FSP_CLLAS1R5</t>
  </si>
  <si>
    <t>CLLAS1R5</t>
  </si>
  <si>
    <t>CLLAS1_RESPOINT5</t>
  </si>
  <si>
    <t>uses language to imagine and recreate roles and experiences</t>
  </si>
  <si>
    <t>FSP_CLLAS1R6</t>
  </si>
  <si>
    <t>CLLAS1R6</t>
  </si>
  <si>
    <t>CLLAS1_RESPOINT6</t>
  </si>
  <si>
    <t>interacts with others in variety of contexts, negotiating plans and activities and taking turns in conversation</t>
  </si>
  <si>
    <t>FSP_CLLAS1R7</t>
  </si>
  <si>
    <t>CLLAS1R7</t>
  </si>
  <si>
    <t>CLLAS1_RESPOINT7</t>
  </si>
  <si>
    <t>uses talk to organise, sequence and clarify thinking</t>
  </si>
  <si>
    <t>FSP_CLLAS1R8</t>
  </si>
  <si>
    <t>CLLAS1R8</t>
  </si>
  <si>
    <t>CLLAS1_RESPOINT8</t>
  </si>
  <si>
    <t>speaks clearly with confidence and control, showing awareness of listener</t>
  </si>
  <si>
    <t>FSP_CLLAS1R9</t>
  </si>
  <si>
    <t>CLLAS1R9</t>
  </si>
  <si>
    <t>CLLAS1_RESPOINT9</t>
  </si>
  <si>
    <t>talks and listens confidently and with control, consistency showing awareness of the listener by including relevant detail</t>
  </si>
  <si>
    <t>FSP_CLL_AS2</t>
  </si>
  <si>
    <t>CLL_AS2</t>
  </si>
  <si>
    <t>f_cll2</t>
  </si>
  <si>
    <t>Score in AS2 for Communication, Language and Literacy.</t>
  </si>
  <si>
    <t>FSP_CLLAS2R1</t>
  </si>
  <si>
    <t>CLLAS2R1</t>
  </si>
  <si>
    <t>CLLAS2_RESPOINT1</t>
  </si>
  <si>
    <t>joins in with rhyming and rhythmic activities</t>
  </si>
  <si>
    <t>FSP_CLLAS2R2</t>
  </si>
  <si>
    <t>CLLAS2R2</t>
  </si>
  <si>
    <t>CLLAS2_RESPOINT2</t>
  </si>
  <si>
    <t>shows an awareness of rhyme and alliteration</t>
  </si>
  <si>
    <t>FSP_CLLAS2R3</t>
  </si>
  <si>
    <t>CLLAS2R3</t>
  </si>
  <si>
    <t>CLLAS2_RESPOINT3</t>
  </si>
  <si>
    <t>links some sounds to letters</t>
  </si>
  <si>
    <t>FSP_CLLAS2R4</t>
  </si>
  <si>
    <t>CLLAS2R4</t>
  </si>
  <si>
    <t>CLLAS2_RESPOINT4</t>
  </si>
  <si>
    <t>links sounds to letters, naming and sounding letters of the alphabet</t>
  </si>
  <si>
    <t>FSP_CLLAS2R5</t>
  </si>
  <si>
    <t>CLLAS2R5</t>
  </si>
  <si>
    <t>CLLAS2_RESPOINT5</t>
  </si>
  <si>
    <t>hears and says initial and final sounds in words</t>
  </si>
  <si>
    <t>FSP_CLLAS2R6</t>
  </si>
  <si>
    <t>CLLAS2R6</t>
  </si>
  <si>
    <t>CLLAS2_RESPOINT6</t>
  </si>
  <si>
    <t>hears and says short vowels sounds and within words</t>
  </si>
  <si>
    <t>FSP_CLLAS2R7</t>
  </si>
  <si>
    <t>CLLAS2R7</t>
  </si>
  <si>
    <t>CLLAS2_RESPOINT7</t>
  </si>
  <si>
    <t>uses phonic knowledge to read simple regular words</t>
  </si>
  <si>
    <t>FSP_CLLAS2R8</t>
  </si>
  <si>
    <t>CLLAS2R8</t>
  </si>
  <si>
    <t>CLLAS2_RESPOINT8</t>
  </si>
  <si>
    <t>attempts to read more complex words, using phonic knowledge</t>
  </si>
  <si>
    <t>FSP_CLLAS2R9</t>
  </si>
  <si>
    <t>CLLAS2R9</t>
  </si>
  <si>
    <t>CLLAS2_RESPOINT9</t>
  </si>
  <si>
    <t>uses knowledge of letters, sounds and words when reading and writing independently</t>
  </si>
  <si>
    <t>FSP_CLL_AS3</t>
  </si>
  <si>
    <t>CLL_AS3</t>
  </si>
  <si>
    <t>f_cll3</t>
  </si>
  <si>
    <t>2003/2003 - 2009/2010</t>
  </si>
  <si>
    <t>Score in AS3 for Communication, Language and Literacy.</t>
  </si>
  <si>
    <t>FSP_CLLAS3R1</t>
  </si>
  <si>
    <t>CLLAS3R1</t>
  </si>
  <si>
    <t>CLLAS3_RESPOINT1</t>
  </si>
  <si>
    <t>is developing an interest in books</t>
  </si>
  <si>
    <t>FSP_CLLAS3R2</t>
  </si>
  <si>
    <t>CLLAS3R2</t>
  </si>
  <si>
    <t>CLLAS3_RESPOINT2</t>
  </si>
  <si>
    <t>knows that print conveys meaning</t>
  </si>
  <si>
    <t>FSP_CLLAS3R3</t>
  </si>
  <si>
    <t>CLLAS3R3</t>
  </si>
  <si>
    <t>CLLAS3_RESPOINT3</t>
  </si>
  <si>
    <t>recognises a few familiar words</t>
  </si>
  <si>
    <t>FSP_CLLAS3R4</t>
  </si>
  <si>
    <t>CLLAS3R4</t>
  </si>
  <si>
    <t>CLLAS3_RESPOINT4</t>
  </si>
  <si>
    <t>knows that, in English, print is read from left to right and top to bottom</t>
  </si>
  <si>
    <t>FSP_CLLAS3R5</t>
  </si>
  <si>
    <t>CLLAS3R5</t>
  </si>
  <si>
    <t>CLLAS3_RESPOINT5</t>
  </si>
  <si>
    <t>shows an understanding of the element of stories, such as main character, sequence of events and openings</t>
  </si>
  <si>
    <t>FSP_CLLAS3R6</t>
  </si>
  <si>
    <t>CLLAS3R6</t>
  </si>
  <si>
    <t>CLLAS3_RESPOINT6</t>
  </si>
  <si>
    <t xml:space="preserve">reads a range of familiar and common words  and simple sentences independently </t>
  </si>
  <si>
    <t>FSP_CLLAS3R7</t>
  </si>
  <si>
    <t>CLLAS3R7</t>
  </si>
  <si>
    <t>CLLAS3_RESPOINT7</t>
  </si>
  <si>
    <t>retells narratives in the correct sequence, drawing on language patterns of stories</t>
  </si>
  <si>
    <t>FSP_CLLAS3R8</t>
  </si>
  <si>
    <t>CLLAS3R8</t>
  </si>
  <si>
    <t>CLLAS3_RESPOINT8</t>
  </si>
  <si>
    <t>shows an understanding of how information can be found in non-fiction texts to answer questions about where, who, why and how</t>
  </si>
  <si>
    <t>FSP_CLLAS3R9</t>
  </si>
  <si>
    <t>CLLAS3R9</t>
  </si>
  <si>
    <t>CLLAS3_RESPOINT9</t>
  </si>
  <si>
    <t>reads books of own choice with some fluency and accuracy</t>
  </si>
  <si>
    <t>FSP_CLL_AS4</t>
  </si>
  <si>
    <t>CLL_AS4</t>
  </si>
  <si>
    <t>f_cll4</t>
  </si>
  <si>
    <t>Score in AS4 for Communication, Language and Literacy.</t>
  </si>
  <si>
    <t>FSP_CLLAS4R1</t>
  </si>
  <si>
    <t>CLLAS4R1</t>
  </si>
  <si>
    <t>CLLAS4_RESPOINT1</t>
  </si>
  <si>
    <t>experiments with mark-making, sometimes ascribing meaning to the marks</t>
  </si>
  <si>
    <t>FSP_CLLAS4R2</t>
  </si>
  <si>
    <t>CLLAS4R2</t>
  </si>
  <si>
    <t>CLLAS4_RESPOINT2</t>
  </si>
  <si>
    <t>uses some clearly identifiable letters to communicate meaning</t>
  </si>
  <si>
    <t>FSP_CLLAS4R3</t>
  </si>
  <si>
    <t>CLLAS4R3</t>
  </si>
  <si>
    <t>CLLAS4_RESPOINT3</t>
  </si>
  <si>
    <t xml:space="preserve">represents some sounds correctly in writing </t>
  </si>
  <si>
    <t>FSP_CLLAS4R4</t>
  </si>
  <si>
    <t>CLLAS4R4</t>
  </si>
  <si>
    <t>CLLAS4_RESPOINT4</t>
  </si>
  <si>
    <t>writes own name and other words from memory</t>
  </si>
  <si>
    <t>FSP_CLLAS4R5</t>
  </si>
  <si>
    <t>CLLAS4R5</t>
  </si>
  <si>
    <t>CLLAS4_RESPOINT5</t>
  </si>
  <si>
    <t>holds a pencil and uses it effectively to form recognisable letters, most of which are correctly formed</t>
  </si>
  <si>
    <t>FSP_CLLAS4R6</t>
  </si>
  <si>
    <t>CLLAS4R6</t>
  </si>
  <si>
    <t>CLLAS4_RESPOINT6</t>
  </si>
  <si>
    <t>attempts writing for a variety of purposes, using features of different forms</t>
  </si>
  <si>
    <t>FSP_CLLAS4R7</t>
  </si>
  <si>
    <t>CLLAS4R7</t>
  </si>
  <si>
    <t>CLLAS4_RESPOINT7</t>
  </si>
  <si>
    <t>uses phonic knowledge to write simple regular words and make phonetically plausible attempts at more complex words</t>
  </si>
  <si>
    <t>FSP_CLLAS4R8</t>
  </si>
  <si>
    <t>CLLAS4R8</t>
  </si>
  <si>
    <t>CLLAS4_RESPOINT8</t>
  </si>
  <si>
    <t>begins to form captions and simple sentences, sometimes using punctuation</t>
  </si>
  <si>
    <t>FSP_CLLAS4R9</t>
  </si>
  <si>
    <t>CLLAS4R9</t>
  </si>
  <si>
    <t>CLLAS4_RESPOINT9</t>
  </si>
  <si>
    <t>communicates meaning through phrases and simple sentences with some consistency in punctuating sentences</t>
  </si>
  <si>
    <t>FSP_CLL_TOTAL</t>
  </si>
  <si>
    <t>CLL_TOTAL</t>
  </si>
  <si>
    <t>CLL_AOL</t>
  </si>
  <si>
    <t>Total score in area of learning for Communication, Language and Literacy.</t>
  </si>
  <si>
    <t>N, 0 - 36</t>
  </si>
  <si>
    <t>FSP_PSRN_AS1</t>
  </si>
  <si>
    <t>PSRN_AS1</t>
  </si>
  <si>
    <t>MAT_AS1</t>
  </si>
  <si>
    <t>Result in AS1 for Problem Solving, Reasoning and Numeracy.</t>
  </si>
  <si>
    <t>N, 0 - 9,</t>
  </si>
  <si>
    <t>FSP_PSRNAS1R1</t>
  </si>
  <si>
    <t>PSRNAS1R1</t>
  </si>
  <si>
    <t>MATAS1_RESPOINT1</t>
  </si>
  <si>
    <t>says some number names in familiar contexts, such as nursery rhymes</t>
  </si>
  <si>
    <t>FSP_PSRNAS1R2</t>
  </si>
  <si>
    <t>PSRNAS1R2</t>
  </si>
  <si>
    <t>MATAS1_RESPOINT2</t>
  </si>
  <si>
    <t>counts reliably up to three everyday objects</t>
  </si>
  <si>
    <t>FSP_PSRNAS1R3</t>
  </si>
  <si>
    <t>PSRNAS1R3</t>
  </si>
  <si>
    <t>MATAS1_RESPOINT3</t>
  </si>
  <si>
    <t>counts reliably up to six everyday objects</t>
  </si>
  <si>
    <t>FSP_PSRNAS1R4</t>
  </si>
  <si>
    <t>PSRNAS1R4</t>
  </si>
  <si>
    <t>MATAS1_RESPOINT4</t>
  </si>
  <si>
    <t>says number names in order</t>
  </si>
  <si>
    <t>FSP_PSRNAS1R5</t>
  </si>
  <si>
    <t>PSRNAS1R5</t>
  </si>
  <si>
    <t>MATAS1_RESPOINT5</t>
  </si>
  <si>
    <t>recognises numerals 1 to 9</t>
  </si>
  <si>
    <t>FSP_PSRNAS1R6</t>
  </si>
  <si>
    <t>PSRNAS1R6</t>
  </si>
  <si>
    <t>MATAS1_RESPOINT6</t>
  </si>
  <si>
    <t>counts reliably up to 10 everyday objects</t>
  </si>
  <si>
    <t>FSP_PSRNAS1R7</t>
  </si>
  <si>
    <t>PSRNAS1R7</t>
  </si>
  <si>
    <t>MATAS1_RESPOINT7</t>
  </si>
  <si>
    <t>orders numbers, up to 10</t>
  </si>
  <si>
    <t>FSP_PSRNAS1R8</t>
  </si>
  <si>
    <t>PSRNAS1R8</t>
  </si>
  <si>
    <t>MATAS1_RESPOINT8</t>
  </si>
  <si>
    <t>uses developing mathematical ideas and methods to solve practical problems</t>
  </si>
  <si>
    <t>FSP_PSRNAS1R9</t>
  </si>
  <si>
    <t>PSRNAS1R9</t>
  </si>
  <si>
    <t>MATAS1_RESPOINT9</t>
  </si>
  <si>
    <t>recognises, counts, orders, writes and uses numbers up to 20</t>
  </si>
  <si>
    <t>FSP_PSRN_AS2</t>
  </si>
  <si>
    <t>PSRN_AS2</t>
  </si>
  <si>
    <t>MAT_AS2</t>
  </si>
  <si>
    <t>Result in AS2 for Problem Solving, Reasoning and Numeracy.</t>
  </si>
  <si>
    <t>FSP_PSRNAS2R1</t>
  </si>
  <si>
    <t>PSRNAS2R1</t>
  </si>
  <si>
    <t>MATAS2_RESPOINT1</t>
  </si>
  <si>
    <t>responds to vocabulary involved in addition and subtraction in rhymes and games</t>
  </si>
  <si>
    <t>FSP_PSRNAS2R2</t>
  </si>
  <si>
    <t>PSRNAS2R2</t>
  </si>
  <si>
    <t>MATAS2_RESPOINT2</t>
  </si>
  <si>
    <t>recognises differences in quantity when comparing sets of objects</t>
  </si>
  <si>
    <t>FSP_PSRNAS2R3</t>
  </si>
  <si>
    <t>PSRNAS2R3</t>
  </si>
  <si>
    <t>MATAS2_RESPOINT3</t>
  </si>
  <si>
    <t>finds out more or one less from a group of up to five objects</t>
  </si>
  <si>
    <t>FSP_PSRNAS2R4</t>
  </si>
  <si>
    <t>PSRNAS2R4</t>
  </si>
  <si>
    <t>MATAS2_RESPOINT4</t>
  </si>
  <si>
    <t xml:space="preserve">relates addition to combining two groups </t>
  </si>
  <si>
    <t>FSP_PSRNAS2R5</t>
  </si>
  <si>
    <t>PSRNAS2R5</t>
  </si>
  <si>
    <t>MATAS2_RESPOINT5</t>
  </si>
  <si>
    <t>relates subtraction to taking away</t>
  </si>
  <si>
    <t>FSP_PSRNAS2R6</t>
  </si>
  <si>
    <t>PSRNAS2R6</t>
  </si>
  <si>
    <t>MATAS2_RESPOINT6</t>
  </si>
  <si>
    <t>in practical activities and discussion, begins to use the vocabulary involved in adding and subtracting</t>
  </si>
  <si>
    <t>FSP_PSRNAS2R7</t>
  </si>
  <si>
    <t>PSRNAS2R7</t>
  </si>
  <si>
    <t>MATAS2_RESPOINT7</t>
  </si>
  <si>
    <t>finds one more or one less than a number from 1 to 10</t>
  </si>
  <si>
    <t>FSP_PSRNAS2R8</t>
  </si>
  <si>
    <t>PSRNAS2R8</t>
  </si>
  <si>
    <t>MATAS2_RESPOINT8</t>
  </si>
  <si>
    <t>FSP_PSRNAS2R9</t>
  </si>
  <si>
    <t>PSRNAS2R9</t>
  </si>
  <si>
    <t>MATAS2_RESPOINT9</t>
  </si>
  <si>
    <t>uses a range of strategies for addition and subtraction, inclusion some mental recall of number bonds</t>
  </si>
  <si>
    <t>FSP_PSRN_AS3</t>
  </si>
  <si>
    <t>PSRN_AS3</t>
  </si>
  <si>
    <t>MAT_AS3</t>
  </si>
  <si>
    <t>Result in AS3 for Problem Solving, Reasoning and Numeracy.</t>
  </si>
  <si>
    <t>FSP_PSRNAS3R1</t>
  </si>
  <si>
    <t>PSRNAS3R1</t>
  </si>
  <si>
    <t>MATAS3_RESPOINT1</t>
  </si>
  <si>
    <t>experiments with a range of objects and materials showing some mathematical awareness</t>
  </si>
  <si>
    <t>FSP_PSRNAS3R2</t>
  </si>
  <si>
    <t>PSRNAS3R2</t>
  </si>
  <si>
    <t>MATAS3_RESPOINT2</t>
  </si>
  <si>
    <t>sorts or matches objects and talks about sorting</t>
  </si>
  <si>
    <t>FSP_PSRNAS3R3</t>
  </si>
  <si>
    <t>PSRNAS3R3</t>
  </si>
  <si>
    <t>MATAS3_RESPOINT3</t>
  </si>
  <si>
    <t>describes shapes in simple models, pictures and patterns</t>
  </si>
  <si>
    <t>FSP_PSRNAS3R4</t>
  </si>
  <si>
    <t>PSRNAS3R4</t>
  </si>
  <si>
    <t>MATAS3_RESPOINT4</t>
  </si>
  <si>
    <t>talks about, recognises and recreates simple patterns</t>
  </si>
  <si>
    <t>FSP_PSRNAS3R5</t>
  </si>
  <si>
    <t>PSRNAS3R5</t>
  </si>
  <si>
    <t>MATAS3_RESPOINT5</t>
  </si>
  <si>
    <t>uses everyday words to describe positions</t>
  </si>
  <si>
    <t>FSP_PSRNAS3R6</t>
  </si>
  <si>
    <t>PSRNAS3R6</t>
  </si>
  <si>
    <t>MATAS3_RESPOINT6</t>
  </si>
  <si>
    <t>uses language such as 'circle'  or 'bigger' to describe the shape and size of solids and flat shapes</t>
  </si>
  <si>
    <t>FSP_PSRNAS3R7</t>
  </si>
  <si>
    <t>PSRNAS3R7</t>
  </si>
  <si>
    <t>MATAS3_RESPOINT7</t>
  </si>
  <si>
    <t>uses language such as 'greater', 'smaller', 'heavier', or 'lighter to compare quantities</t>
  </si>
  <si>
    <t>FSP_PSRNAS3R8</t>
  </si>
  <si>
    <t>PSRNAS3R8</t>
  </si>
  <si>
    <t>MATAS3_RESPOINT8</t>
  </si>
  <si>
    <t>FSP_PSRNAS3R9</t>
  </si>
  <si>
    <t>PSRNAS3R9</t>
  </si>
  <si>
    <t>MATAS3_RESPOINT9</t>
  </si>
  <si>
    <t>uses mathematical language to describe solid (3D) objects and flat (2D) shapes</t>
  </si>
  <si>
    <t>FSP_PSRN_TOTAL</t>
  </si>
  <si>
    <t>PSRN_TOTAL</t>
  </si>
  <si>
    <t>Total score in area of learning for Mathematical Development.</t>
  </si>
  <si>
    <t>FSP_RKUW</t>
  </si>
  <si>
    <t>RKUW</t>
  </si>
  <si>
    <t xml:space="preserve">KUW_AOL </t>
  </si>
  <si>
    <t>Score in Knowledge and Understanding of the World.</t>
  </si>
  <si>
    <t>FSP_RKUWR1</t>
  </si>
  <si>
    <t>RKUWR1</t>
  </si>
  <si>
    <t>KUW_RESPOINT1</t>
  </si>
  <si>
    <t>shows curiosity and interest by exploring surroundings</t>
  </si>
  <si>
    <t>FSP_RKUWR2</t>
  </si>
  <si>
    <t>RKUWR2</t>
  </si>
  <si>
    <t>KUW_RESPOINT2</t>
  </si>
  <si>
    <t>observes, selects and manipulates objects and materials. Identifies simple features and significant personal events.</t>
  </si>
  <si>
    <t>FSP_RKUWR3</t>
  </si>
  <si>
    <t>RKUWR3</t>
  </si>
  <si>
    <t>KUW_RESPOINT3</t>
  </si>
  <si>
    <t>identifies obvious similarities and differences when exploring and observing.  Constructs in a purposeful way, using simple tools and techniques.</t>
  </si>
  <si>
    <t>FSP_RKUWR4</t>
  </si>
  <si>
    <t>RKUWR4</t>
  </si>
  <si>
    <t>KUW_RESPOINT4</t>
  </si>
  <si>
    <t>investigates places, objects, materials and living things by using all the senses as appropriate. Identifies some features and talks about those features s/he likes and dislikes.</t>
  </si>
  <si>
    <t>FSP_RKUWR5</t>
  </si>
  <si>
    <t>RKUWR5</t>
  </si>
  <si>
    <t>KUW_RESPOINT5</t>
  </si>
  <si>
    <t>asks questions about why things happen and how things work.  Looks closely at similarities, differences, patters and change.</t>
  </si>
  <si>
    <t>FSP_RKUWR6</t>
  </si>
  <si>
    <t>RKUWR6</t>
  </si>
  <si>
    <t>KUW_RESPOINT6</t>
  </si>
  <si>
    <t>finds out about past and present events in own life, and in those of family members and other people s/he knows.  Begins to know about own culture and beliefs and those f other people.</t>
  </si>
  <si>
    <t>FSP_RKUWR7</t>
  </si>
  <si>
    <t>RKUWR7</t>
  </si>
  <si>
    <t>KUW_RESPOINT7</t>
  </si>
  <si>
    <t>finds out about and identifies the uses of everyday technology and uses information and communicative technology and programmable toys to support her/his learning.</t>
  </si>
  <si>
    <t>FSP_RKUWR8</t>
  </si>
  <si>
    <t>RKUWR8</t>
  </si>
  <si>
    <t>KUW_RESPOINT8</t>
  </si>
  <si>
    <t>builds and constructs with a wide range of objects, selecting appropriate resources, tools and techniques and adapting her/his work where necessary.</t>
  </si>
  <si>
    <t>FSP_RKUWR9</t>
  </si>
  <si>
    <t>RKUWR9</t>
  </si>
  <si>
    <t>KUW_RESPOINT9</t>
  </si>
  <si>
    <t>communicates simple panning for investigations and constructions and makes simple records and evaluations of her/his work.  Identifies and names key features and properties, sometimes linking different experiences, observations and events. Begins to explore what it means to belong to a variety of groups and communities.</t>
  </si>
  <si>
    <t>FSP_RIPD</t>
  </si>
  <si>
    <t>RIPD</t>
  </si>
  <si>
    <t>PHY_AOL</t>
  </si>
  <si>
    <t>Score in Physical Development.</t>
  </si>
  <si>
    <t>FSP_RIPDR1</t>
  </si>
  <si>
    <t>RIPDR1</t>
  </si>
  <si>
    <t>PHY_RESPOINT1</t>
  </si>
  <si>
    <t>moves spontaneously, showing some control and coordination</t>
  </si>
  <si>
    <t>FSP_RIPDR2</t>
  </si>
  <si>
    <t>RIPDR2</t>
  </si>
  <si>
    <t>PHY_RESPOINT2</t>
  </si>
  <si>
    <t>moves with confidence in a variety of ways, showing some awareness of space.</t>
  </si>
  <si>
    <t>FSP_RIPDR3</t>
  </si>
  <si>
    <t>RIPDR3</t>
  </si>
  <si>
    <t>PHY_RESPOINT3</t>
  </si>
  <si>
    <t>usually shows appropriate control in large and small scale movements.</t>
  </si>
  <si>
    <t>FSP_RIPDR4</t>
  </si>
  <si>
    <t>RIPDR4</t>
  </si>
  <si>
    <t>PHY_RESPOINT4</t>
  </si>
  <si>
    <t>moves with confidence, imagination and in safety.  Travels around, under, over and through balancing and climbing equipment.  Shows awareness of space, of self and others.</t>
  </si>
  <si>
    <t>FSP_RIPDR5</t>
  </si>
  <si>
    <t>RIPDR5</t>
  </si>
  <si>
    <t>PHY_RESPOINT5</t>
  </si>
  <si>
    <t>demonstrates fine motor control and coordination</t>
  </si>
  <si>
    <t>FSP_RIPDR6</t>
  </si>
  <si>
    <t>RIPDR6</t>
  </si>
  <si>
    <t>PHY_RESPOINT6</t>
  </si>
  <si>
    <t>uses small and large equipment, showing a range of basic skills</t>
  </si>
  <si>
    <t>FSP_RIPDR7</t>
  </si>
  <si>
    <t>RIPDR7</t>
  </si>
  <si>
    <t>PHY_RESPOINT7</t>
  </si>
  <si>
    <t>handles tools, objects, construction and malleable materials safely and with basic control.</t>
  </si>
  <si>
    <t>FSP_RIPDR8</t>
  </si>
  <si>
    <t>RIPDR8</t>
  </si>
  <si>
    <t>PHY_RESPOINT8</t>
  </si>
  <si>
    <t>recognises the importance of keeping healthy and those things which contribute to this.  Recognises the changes that happen to her/his body when s/he is active.</t>
  </si>
  <si>
    <t>FSP_RIPDR9</t>
  </si>
  <si>
    <t>RIPDR9</t>
  </si>
  <si>
    <t>PHY_RESPOINT9</t>
  </si>
  <si>
    <t>Repeats, links and adapts simple movements, sometimes commenting on her/his work.  Demonstrates coordination and control in large and small movements, and in using a range of tools and equipment.</t>
  </si>
  <si>
    <t>FSP_RICD</t>
  </si>
  <si>
    <t>RICD</t>
  </si>
  <si>
    <t>CRE_AOL</t>
  </si>
  <si>
    <t>Score in Creative Development.</t>
  </si>
  <si>
    <t>FSP_RICDR1</t>
  </si>
  <si>
    <t>RICDR1</t>
  </si>
  <si>
    <t>CRE_RESPOINT1</t>
  </si>
  <si>
    <t>explores different media and responds to a variety of sensory experiences.  Engages in representational play.</t>
  </si>
  <si>
    <t>FSP_RICDR2</t>
  </si>
  <si>
    <t>RICDR2</t>
  </si>
  <si>
    <t>CRE_RESPOINT2</t>
  </si>
  <si>
    <t>creates simple representations of events, people and objects and engages in music making</t>
  </si>
  <si>
    <t>FSP_RICDR3</t>
  </si>
  <si>
    <t>RICDR3</t>
  </si>
  <si>
    <t>CRE_RESPOINT3</t>
  </si>
  <si>
    <t>tries to capture experiences, using a variety of different media.</t>
  </si>
  <si>
    <t>FSP_RICDR4</t>
  </si>
  <si>
    <t>RICDR4</t>
  </si>
  <si>
    <t>CRE_RESPOINT4</t>
  </si>
  <si>
    <t>sings simple songs from memory</t>
  </si>
  <si>
    <t>FSP_RICDR5</t>
  </si>
  <si>
    <t>RICDR5</t>
  </si>
  <si>
    <t>CRE_RESPOINT5</t>
  </si>
  <si>
    <t>explores colour, texture, shape, form and space in 2 or 3 dimensions.</t>
  </si>
  <si>
    <t>FSP_RICDR6</t>
  </si>
  <si>
    <t>RICDR6</t>
  </si>
  <si>
    <t>CRE_RESPOINT6</t>
  </si>
  <si>
    <t>recognises and explores how sounds can be changed. Recognises repeated sounds and sound patterns and matches movements to music.</t>
  </si>
  <si>
    <t>FSP_RICDR7</t>
  </si>
  <si>
    <t>RICDR7</t>
  </si>
  <si>
    <t>CRE_RESPOINT7</t>
  </si>
  <si>
    <t>uses imagination in art and design, music, dance, imaginative and role-play and stories.  Responds in a variety of ways to what she/he sees, hears, smells, touches and feels.</t>
  </si>
  <si>
    <t>FSP_RICDR8</t>
  </si>
  <si>
    <t>RICDR8</t>
  </si>
  <si>
    <t>CRE_RESPOINT8</t>
  </si>
  <si>
    <t>expresses and communicates ideas, thoughts and feelings using a range of materials, suitable tools, imaginative and role-play, movement, designing and making, and a variety of songs and musical instruments.</t>
  </si>
  <si>
    <t>FSP_RICDR9</t>
  </si>
  <si>
    <t>RICDR9</t>
  </si>
  <si>
    <t>CRE_RESPOINT9</t>
  </si>
  <si>
    <t>expresses feelings and preferences in response to artwork, drama and music and makes some comparisons and links between different pieces.  Responds to own work and that of others when exploring and communicating ideas, feelings and preferences through art, music, dance, role-play and imaginative play.</t>
  </si>
  <si>
    <t>FSP_EYFSP_TOTAL</t>
  </si>
  <si>
    <t>EYFSP_TOTAL</t>
  </si>
  <si>
    <t>FSP_TOT</t>
  </si>
  <si>
    <t>Foundation Stage Profile total score.</t>
  </si>
  <si>
    <t>N, 0 - 117</t>
  </si>
  <si>
    <t>FSP_VERSION</t>
  </si>
  <si>
    <t>VERSION</t>
  </si>
  <si>
    <t>f_ver</t>
  </si>
  <si>
    <t>Data version.</t>
  </si>
  <si>
    <t>U = Unamended
F = Final</t>
  </si>
  <si>
    <t>Alternative Provision Census</t>
  </si>
  <si>
    <t>AP_Gender</t>
  </si>
  <si>
    <t>2007/08 - 2020/21</t>
  </si>
  <si>
    <t>1=Male
2=Female
0=Not Known
9=Not Specified</t>
  </si>
  <si>
    <t>AP_Age_Start</t>
  </si>
  <si>
    <t>Age_Start</t>
  </si>
  <si>
    <t>AP_Month_Part</t>
  </si>
  <si>
    <t>Month_Part</t>
  </si>
  <si>
    <t>0 - 11.  0 = August</t>
  </si>
  <si>
    <t>AP_YearOfBirth</t>
  </si>
  <si>
    <t>AP_MonthOfBirth</t>
  </si>
  <si>
    <t>1-12.  1 = January</t>
  </si>
  <si>
    <t>AP_Ethnicity</t>
  </si>
  <si>
    <t>Pupil's ethnic code</t>
  </si>
  <si>
    <t>AP_EthnicGroupMinor</t>
  </si>
  <si>
    <t>AP_EthnicGroupMajor</t>
  </si>
  <si>
    <t>AP_FSMeligible</t>
  </si>
  <si>
    <t>FSMeligibility</t>
  </si>
  <si>
    <t>2007/2008 - 2020/21</t>
  </si>
  <si>
    <t>Pupil recorded as eligible for Free School Meals on Census day. From 2012/13, should be set to ‘1’ if pupil has at least one FSM period where [FSM start date is present] AND [FSM end date is either after Census day or not present], otherwise set to '0'</t>
  </si>
  <si>
    <t>AP_ServiceChild</t>
  </si>
  <si>
    <t>2011/12 - 2020/21</t>
  </si>
  <si>
    <t>AP_SENProvision</t>
  </si>
  <si>
    <t>SENProvision</t>
  </si>
  <si>
    <t>Provision types under the SEN Code of Practice</t>
  </si>
  <si>
    <t>N = No SEN
A = School Action or Early Years Action (up to 14/15)
P = School Action Plus or Early Years Action Plus (up to 14/15)
S = Statemented
K = SEN support (from 14/15)
E = Education, health and care plan (from 14/15)</t>
  </si>
  <si>
    <t>AP_PrimarySENtype</t>
  </si>
  <si>
    <t>2017/18 - 2020/21</t>
  </si>
  <si>
    <t>Nature of pupil's primary special educational need. For pupils with a SEN status of E, K, or S their main or primary need and, if appropriate, their secondary, need, should be recorded.</t>
  </si>
  <si>
    <t xml:space="preserve">SPLD - Specific learning difficulty
MLD - Moderate learning difficulty
SLD - Severe learning difficulty
PMLD - Profound &amp; multiple learning difficulty
SEMH - Social, emotional and mental health
SLCN - Speech, language and communication needs
HI - Hearing impairment
VI - Visual impairment
MSI - Multi-sensory impairment
PD - Physical disability
ASD  - Autistic spectrum disorder
OTH - Other difficulty / disorder
NSA - SEN support but no specialist assessment of type of need
</t>
  </si>
  <si>
    <t>AP_SecondarySENtype</t>
  </si>
  <si>
    <t>Nature of pupil's secondary special educational need. For pupils with a SEN status of E, K, or S their main or primary need and, if appropriate, their secondary, need, should be recorded.</t>
  </si>
  <si>
    <t>AP_Locality</t>
  </si>
  <si>
    <t>Locality</t>
  </si>
  <si>
    <t>2007/2008 - 2016/2017</t>
  </si>
  <si>
    <t>The locality name refers to a neighbourhood, suburb, district, village, estate, settlement, or parish that may form part of a town, or stand in its own right within the context of an administrative area.  Where an industrial estate contains streets it is defined as a locality in its in own right.</t>
  </si>
  <si>
    <t>AP_Town</t>
  </si>
  <si>
    <t>Town</t>
  </si>
  <si>
    <t>The town name refers to a city or town that is not an administrative area, a suburb of an administrative area that does not form part of another town or a London district</t>
  </si>
  <si>
    <t>AP_AdministrativeArea</t>
  </si>
  <si>
    <t>AdministrativeArea</t>
  </si>
  <si>
    <t>The administrative area is a geographic area that may be the highest level local administrative area, which may be a county or a unitary authority, an island or island group or London</t>
  </si>
  <si>
    <t>AP_PostTown</t>
  </si>
  <si>
    <t>PostTown</t>
  </si>
  <si>
    <t>Post Office usually assigns these based on Sorting Office</t>
  </si>
  <si>
    <t>AP_LANumber_anon</t>
  </si>
  <si>
    <t>LA code. This variable has been pseudonymised in line with the impact of COVID19 on DfE data sharing (See COVID19 Impact worksheet) and/or the requirements of Digital Economy Act in relation to a body corporate.</t>
  </si>
  <si>
    <t>AP_ACADYR</t>
  </si>
  <si>
    <t>AP_Year</t>
  </si>
  <si>
    <t>Year of collection</t>
  </si>
  <si>
    <t>AP_PupilMatchingRefAnonymous</t>
  </si>
  <si>
    <t>AP_RecordStatus</t>
  </si>
  <si>
    <t>Record_Status</t>
  </si>
  <si>
    <t>2017/2018 - 2020/21</t>
  </si>
  <si>
    <t>Main/Duplicate Rules (POR = Record found with OpenPlacement = 1; PNLOR = Record found with OpenPlacement = 0)
1/ 101 = 2 records, Main record (1) is POR, Duplicate record (101) is PNLOR
2/102 = 2 PNLOR records, Main record (2) has latest LeavingDate
3/103 = 2 POR records, Main record (3) set using earliest EntryDate
4/104 = 2 POR records with same EntryDate, Main record (4) set where AttendancePattern = ‘FT’. If AttendancePattern are all ‘FT’, Main Record (4) set for highest SessionsPerWeek. If AttendancePattern are all ‘PT’, see 9/109.
5/105 =  &gt;2 records, Main record (5) is POR, Duplicate record (105) is PNLOR 
6/106 =  &gt;2 PNLOR records, Main record (6) has latest LeavingDate
7/107 =  &gt;2 POR records, Main record (7) set using earliest EntryDate
8/108 =  &gt;2 POR records with same EntryDate, Main record (8) set where AttendancePattern = ‘FT’. If AttendancePattern are all ‘FT’, Main Record (4) set for highest SessionsPerWeek. If AttendancePattern are all ‘PT’, see 9/109.
9/109 =  Set manually (i.e. any remaining after applying stages defined as above)
10/110 = Duplicates where not matched to core pupil table i.e. MATCH_ID allocated after adding the (10) record to Core Pupil Table</t>
  </si>
  <si>
    <t>AP_OpenPlacement</t>
  </si>
  <si>
    <t>Open_Placement</t>
  </si>
  <si>
    <t>Derived OpenPlacement flag should be set to ‘1’ if pupil has at least one Placement Details record where [Entry Date is present] AND [Leaving Date is greater than or equal to Census date or not present], otherwise set to '0'</t>
  </si>
  <si>
    <t>AP_APTypeDescription</t>
  </si>
  <si>
    <t>APtype</t>
  </si>
  <si>
    <t>2007/2008 - 2015/2016</t>
  </si>
  <si>
    <t>The type of provision, for example Independent School, Hospital, etc.</t>
  </si>
  <si>
    <t>ACD = Academy (up to 2012/13 only)
HSP = Hospital School
IND = Independent School
NMS = Non-maintained School
NOT = Not a school</t>
  </si>
  <si>
    <t>APTypeDescription</t>
  </si>
  <si>
    <t>2016/2017 only</t>
  </si>
  <si>
    <t>HSP = Hospital School
IND = Independent School
NMS = Non-maintained School
NOT = Not a school</t>
  </si>
  <si>
    <t>OpenPlacement</t>
  </si>
  <si>
    <t>KS1_GENDER</t>
  </si>
  <si>
    <t>k1_gend</t>
  </si>
  <si>
    <t>1997/98 - 2011/12</t>
  </si>
  <si>
    <t>2006/07-2011/12</t>
  </si>
  <si>
    <t>KS1_AGE_START</t>
  </si>
  <si>
    <t>k1_age</t>
  </si>
  <si>
    <t>KS1_MONTH_PART</t>
  </si>
  <si>
    <t>k1_mth</t>
  </si>
  <si>
    <t>KS1_YEAROFBIRTH</t>
  </si>
  <si>
    <t>k1_yob</t>
  </si>
  <si>
    <t>KS1_MONTHOFBIRTH</t>
  </si>
  <si>
    <t>k1_mob</t>
  </si>
  <si>
    <t>KS1_AGE</t>
  </si>
  <si>
    <t>k1_ageyr</t>
  </si>
  <si>
    <t>2006/07 - 2011/12</t>
  </si>
  <si>
    <t>KS1_LA_anon</t>
  </si>
  <si>
    <t>k1_la</t>
  </si>
  <si>
    <t>201 - 938</t>
  </si>
  <si>
    <t>KS1_LAESTAB_anon</t>
  </si>
  <si>
    <t>k1_laest</t>
  </si>
  <si>
    <t>100000-999999</t>
  </si>
  <si>
    <t>KS1_URN_anon</t>
  </si>
  <si>
    <t>k1_urn</t>
  </si>
  <si>
    <t>School's Unique Reference Number. This variable has been pseudonymised in line with the impact of COVID19 on DfE data sharing (See COVID19 Impact worksheet) and/or the requirements of Digital Economy Act in relation to a body corporate.</t>
  </si>
  <si>
    <t>KS1_ACADYR</t>
  </si>
  <si>
    <t>k1_ac</t>
  </si>
  <si>
    <t xml:space="preserve">1997/98 - 2011/2012 </t>
  </si>
  <si>
    <t>KS1_PupilMatchingRefAnonymous</t>
  </si>
  <si>
    <t>k1_pmr</t>
  </si>
  <si>
    <t>KS1_RECORD_STATUS</t>
  </si>
  <si>
    <t>RECORD_STATUS</t>
  </si>
  <si>
    <t>k1_rcst</t>
  </si>
  <si>
    <t xml:space="preserve">2005/06 - 2011/2012 </t>
  </si>
  <si>
    <t>Identifies status of duplicate (see DuplicateCodes)</t>
  </si>
  <si>
    <t>KS1_ToE_CODE</t>
  </si>
  <si>
    <t>ToE_CODE</t>
  </si>
  <si>
    <t>k1_stype</t>
  </si>
  <si>
    <t>Type of establishment code taken from Edubase.</t>
  </si>
  <si>
    <t>KS1_ToE_DESC</t>
  </si>
  <si>
    <t>ToE_DESC</t>
  </si>
  <si>
    <t>k1_sdesc</t>
  </si>
  <si>
    <t>2003/04 only</t>
  </si>
  <si>
    <t>Type of establishment description taken from Edubase.</t>
  </si>
  <si>
    <t>KS1_NFTYPE</t>
  </si>
  <si>
    <t>k1_nftyp</t>
  </si>
  <si>
    <t>2005/06 - 2015/16</t>
  </si>
  <si>
    <t>Institution type generated by AAT.</t>
  </si>
  <si>
    <t>KS1_MMSCH</t>
  </si>
  <si>
    <t>MMSCH</t>
  </si>
  <si>
    <t>k1_mms</t>
  </si>
  <si>
    <t>2006/07 - 2011/2012</t>
  </si>
  <si>
    <t>Maintained mainstream school (including CTCs and Academies)
NFTYPE = ANY(20-25,50-52) (ToECODE = ANY (28,1-6,33-35) from 2016/17)</t>
  </si>
  <si>
    <t>0 = No
1 = Yes</t>
  </si>
  <si>
    <t>KS1_MMSCH2</t>
  </si>
  <si>
    <t>MMSCH2</t>
  </si>
  <si>
    <t>k1_mms2</t>
  </si>
  <si>
    <t>Maintained mainstream school (excluding CTCs and Academies)
NFTYPE = ANY(21-24) (ToECODE = ANY (1-5) from 2016/17)</t>
  </si>
  <si>
    <t>KS1_MSCH</t>
  </si>
  <si>
    <t>MSCH</t>
  </si>
  <si>
    <t>k1_ms</t>
  </si>
  <si>
    <t>Maintained school (including CTCs and Academies)
NFTYPE = ANY(20-27,50-53,55) (ToECODE = ANY (28,1-7,12,33-36,36,37,44) from 2016/17)</t>
  </si>
  <si>
    <t>KS1_MSCH2</t>
  </si>
  <si>
    <t>MSCH2</t>
  </si>
  <si>
    <t>k1_ms2</t>
  </si>
  <si>
    <t>Maintained school (excluding CTCs and Academies)
NFTYPE = ANY(21-24,26,27) (ToECODE = ANY (1-5,7,12) from 2016/17)</t>
  </si>
  <si>
    <t>KS1_MOB1</t>
  </si>
  <si>
    <t>MOB1</t>
  </si>
  <si>
    <t>k1_mob1</t>
  </si>
  <si>
    <t>Pupil joined in latest academic year (year 2)</t>
  </si>
  <si>
    <t>KS1_MOB2</t>
  </si>
  <si>
    <t>MOB2</t>
  </si>
  <si>
    <t>k1_mob2</t>
  </si>
  <si>
    <t>Pupil joined in previous academic year (year 1)</t>
  </si>
  <si>
    <t>KS1_DISC_SPLI</t>
  </si>
  <si>
    <t>DISC_SPLI</t>
  </si>
  <si>
    <t>k1_dspli</t>
  </si>
  <si>
    <t>2006/2007 - 2011/2012</t>
  </si>
  <si>
    <t>Multi Year Discount flag</t>
  </si>
  <si>
    <t>1=Result discounted
0=Otherwise</t>
  </si>
  <si>
    <t>KS1_DISC_READ</t>
  </si>
  <si>
    <t>DISC_READ</t>
  </si>
  <si>
    <t>k1_dread</t>
  </si>
  <si>
    <t>KS1_DISC_WRIT</t>
  </si>
  <si>
    <t>DISC_WRIT</t>
  </si>
  <si>
    <t>k1_dwrit</t>
  </si>
  <si>
    <t>KS1_DISC_MAT</t>
  </si>
  <si>
    <t>DISC_MAT</t>
  </si>
  <si>
    <t>k1_dmat</t>
  </si>
  <si>
    <t>KS1_DISC_SCI</t>
  </si>
  <si>
    <t>DISC_SCI</t>
  </si>
  <si>
    <t>k1_dsci</t>
  </si>
  <si>
    <t>KS1_DISC_PSENG</t>
  </si>
  <si>
    <t>DISC_PSENG</t>
  </si>
  <si>
    <t>2007/08 - 2011/2012</t>
  </si>
  <si>
    <t>English P-scale multi-year discount flag.</t>
  </si>
  <si>
    <t>KS1_DISC_PSREAD</t>
  </si>
  <si>
    <t>DISC_PSREAD</t>
  </si>
  <si>
    <t>Reading P-scale multi-year discount flag.</t>
  </si>
  <si>
    <t>KS1_DISC_PSWRITE</t>
  </si>
  <si>
    <t>DISC_PSWRITE</t>
  </si>
  <si>
    <t>Writing P-scale multi-year discount flag.</t>
  </si>
  <si>
    <t>KS1_DISC_PSSPEAK</t>
  </si>
  <si>
    <t>DISC_PSSPEAK</t>
  </si>
  <si>
    <t>Speaking P-scale multi-year discount flag.</t>
  </si>
  <si>
    <t>KS1_DISC_PSLISTEN</t>
  </si>
  <si>
    <t>DISC_PSLISTEN</t>
  </si>
  <si>
    <t>Listening P-scale multi-year discount flag.</t>
  </si>
  <si>
    <t>KS1_DISC_PSMATHS</t>
  </si>
  <si>
    <t>DISC_PSMATHS</t>
  </si>
  <si>
    <t>Maths P-scale multi-year discount flag.</t>
  </si>
  <si>
    <t>KS1_DISC_PSNUM</t>
  </si>
  <si>
    <t>DISC_PSNUM</t>
  </si>
  <si>
    <t>Number P-scale multi-year discount flag.</t>
  </si>
  <si>
    <t>KS1_DISC_PSUSING</t>
  </si>
  <si>
    <t>DISC_PSUSING</t>
  </si>
  <si>
    <t>Using and Applying P-scale multi-year discount flag.</t>
  </si>
  <si>
    <t>KS1_DISC_PSSHAPE</t>
  </si>
  <si>
    <t>DISC_PSSHAPE</t>
  </si>
  <si>
    <t>Shape, Space and Measure P-scale multi-year discount flag.</t>
  </si>
  <si>
    <t>KS1_DISC_PSSCIENCE</t>
  </si>
  <si>
    <t>DISC_PSSCIENCE</t>
  </si>
  <si>
    <t>Science P-scale multi-year discount flag.</t>
  </si>
  <si>
    <t>KS1_SOURCECTY</t>
  </si>
  <si>
    <t>SOURCECTY</t>
  </si>
  <si>
    <t>k1_land</t>
  </si>
  <si>
    <t>1997/98 -  2004/05</t>
  </si>
  <si>
    <t>Source Country (England/Wales).</t>
  </si>
  <si>
    <t>E = England 
W = Wales</t>
  </si>
  <si>
    <t>KS1_LANGSCH</t>
  </si>
  <si>
    <t>LANGSCH</t>
  </si>
  <si>
    <t>k1_lang</t>
  </si>
  <si>
    <t>1997/98 - 2004/05</t>
  </si>
  <si>
    <t>Language of School (English/Welsh).</t>
  </si>
  <si>
    <t>E = English
W = Welsh</t>
  </si>
  <si>
    <t>KS1_TRIALFLAG</t>
  </si>
  <si>
    <t>TRIALFLAG</t>
  </si>
  <si>
    <t>k1_trial</t>
  </si>
  <si>
    <t>Involved in KS1 trial (Academic Year 0304).</t>
  </si>
  <si>
    <t>0 = Non-trial maintained and independent schools
1 = Trial schools
2 = Evaluation trial schools</t>
  </si>
  <si>
    <t>KS1_ERELIG</t>
  </si>
  <si>
    <t>ERELIG</t>
  </si>
  <si>
    <t>k1_rer</t>
  </si>
  <si>
    <t>Eligible result for Reading.</t>
  </si>
  <si>
    <t>KS1_EWELIG</t>
  </si>
  <si>
    <t>EWELIG</t>
  </si>
  <si>
    <t>k1_wer</t>
  </si>
  <si>
    <t>Eligible result for Writing.</t>
  </si>
  <si>
    <t>KS1_MAELIG</t>
  </si>
  <si>
    <t>MAELIG</t>
  </si>
  <si>
    <t>k1_mer</t>
  </si>
  <si>
    <t>Eligible result for Maths.</t>
  </si>
  <si>
    <t>KS1_SCELIG</t>
  </si>
  <si>
    <t>SCELIG</t>
  </si>
  <si>
    <t>k1_ser</t>
  </si>
  <si>
    <t>Eligible result for Science.</t>
  </si>
  <si>
    <t>KS1_SPEAKANDLISTEN</t>
  </si>
  <si>
    <t>SPEAKANDLISTEN</t>
  </si>
  <si>
    <t>k1_lista</t>
  </si>
  <si>
    <t>National Curriculum level awarded for speaking and listening.  (Teacher Assessment)</t>
  </si>
  <si>
    <t>A  = Absent
D  = Disapplied from National Curriculum
W = Working towards level 1
1 = Achieved Level 1
2 = Achieved Level 2 
3 = Achieved Level 3
4 = Achieved Level 4                                                            
4+ = Achieved Level 4 or above                                                     
5 = Achieved Level 5                                                              
6 = Achieved Level 6
IN = Invalid</t>
  </si>
  <si>
    <t>KS1_ENGREADTSK</t>
  </si>
  <si>
    <t>ENGREADTSK</t>
  </si>
  <si>
    <t>k1_read</t>
  </si>
  <si>
    <t>1997/98 - 2011/2012 2003/04</t>
  </si>
  <si>
    <t>English Reading Task.</t>
  </si>
  <si>
    <t>A = Absent
D = Disapplied from National Curriculum
W = Working towards level 1
1 = Achieved Level 1
2C = Achieved Level 2C
2B = Achieved Level 2B
2A = Achieved Level 2A (highest achievable in task)
X = Not awarded a level as the pupil
 achieved a level 3 in the reading test</t>
  </si>
  <si>
    <t>KS1_ENGCOMPTST</t>
  </si>
  <si>
    <t>ENGCOMPTST</t>
  </si>
  <si>
    <t>k1_comp</t>
  </si>
  <si>
    <t>English Comprehension Test.</t>
  </si>
  <si>
    <t>A = Absent
D = Disapplied from National Curriculum
L = Entered for test, but did not achieve at least a level 2
2C = Achieved Level 2C
2B = Achieved Level 2B
2A = Achieved Level 2A 
3 = Achieved Level 3
4+ (4 from 01/02 onwards) = Achieved Level 4 or above (no longer achievable from 2003)
X = Not required to be entered for the test</t>
  </si>
  <si>
    <t>KS1_OVERREAD</t>
  </si>
  <si>
    <t>OVERREAD</t>
  </si>
  <si>
    <t>k1_orttl</t>
  </si>
  <si>
    <t>Overall Reading Test/Task level</t>
  </si>
  <si>
    <t>A = Absent
D = Disapplied from National Curriculum
W = Working towards level 1
1 = Achieved Level 1
2C = Achieved Level 2C 
2B = Achieved Level 2B
2A = Achieved Level 2A
3 = Achieved Level 3</t>
  </si>
  <si>
    <t>KS1_READING</t>
  </si>
  <si>
    <t>READING</t>
  </si>
  <si>
    <t>k1_rdta</t>
  </si>
  <si>
    <t>1997/98 - 2011/2012 2014/15</t>
  </si>
  <si>
    <t>National Curriculum level awarded for reading.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</si>
  <si>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</si>
  <si>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KS1_ENGWRITTST</t>
  </si>
  <si>
    <t>ENGWRITTST</t>
  </si>
  <si>
    <t>k1_writ</t>
  </si>
  <si>
    <t>English Writing Test.</t>
  </si>
  <si>
    <t>A = Absent
D = Disapplied from National Curriculum
W = Working towards level 1
1 = Achieved Level 1
2C = Achieved Level 2C
2B = Achieved Level 2B
2A = Achieved Level 2A
3 = Achieved Level 3
4+ (4 from 01/02 onwards) = Achieved Level 4 or above (no longer achievable from 2003)</t>
  </si>
  <si>
    <t>KS1_ENGSPELLTST</t>
  </si>
  <si>
    <t>ENGSPELLTST</t>
  </si>
  <si>
    <t>k1_spell</t>
  </si>
  <si>
    <t>1997/98 - 2011/2012 2001/02</t>
  </si>
  <si>
    <t>English Spelling Test.</t>
  </si>
  <si>
    <t>X = Not required to be entered for the test
A = Absent
D = Disapplied from National Curriculum
L = entered for test, but did not achieve at least a level 2
2 = Achieved Level 2 
3 = Achieved Level 3</t>
  </si>
  <si>
    <t>KS1_WRITING</t>
  </si>
  <si>
    <t>WRITING</t>
  </si>
  <si>
    <t>k1_writa</t>
  </si>
  <si>
    <t>1997/1998 - 2011/2012 2011/2012</t>
  </si>
  <si>
    <t>National Curriculum level awarded for writing.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</si>
  <si>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</si>
  <si>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KS1_ENGLEV</t>
  </si>
  <si>
    <t>ENGLEV</t>
  </si>
  <si>
    <t>k1_englv</t>
  </si>
  <si>
    <t>2007/08  only</t>
  </si>
  <si>
    <t>English Average Level (derived from Reading and Writing)</t>
  </si>
  <si>
    <t>AD = Absent and/or Disapplied from both Reading and Writing
W = Working towards Level 1
1 = Achieved Level 1
2C = Achieved Level 2C
2B = Achieved Level 2B
2A = Achieved Level 2A
3 = Achieved Level 3
4 = Achieved Level 4 or above</t>
  </si>
  <si>
    <t>KS1_READWRIT</t>
  </si>
  <si>
    <t>READWRIT</t>
  </si>
  <si>
    <t>k1_rdwr</t>
  </si>
  <si>
    <t>2007/2008 - 2011/2012</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</si>
  <si>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</si>
  <si>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KS1_ENGSUBTA</t>
  </si>
  <si>
    <t>ENGSUBTA</t>
  </si>
  <si>
    <t>k1_engta</t>
  </si>
  <si>
    <t>Overall English Teacher Assessment Level.</t>
  </si>
  <si>
    <t>A = Absent
D = Disapplied from National Curriculum
U = Unable to access 
W = Working towards level 1
1 = Achieved Level 1
2 = Achieved Level 2 
3 = Achieved Level 3
4+ (4 from 01/02 onwards) = Achieved Level 4 or above</t>
  </si>
  <si>
    <t>KS1_MATHUSEAPP</t>
  </si>
  <si>
    <t>MATHUSEAPP</t>
  </si>
  <si>
    <t>k1_matua</t>
  </si>
  <si>
    <t>Maths Using and Applying.  (Teacher Assessment)</t>
  </si>
  <si>
    <t>KS1_MATHNOALG</t>
  </si>
  <si>
    <t>MATHNOALG</t>
  </si>
  <si>
    <t>k1_matna</t>
  </si>
  <si>
    <t>Maths Number and Algebra.  (Teacher Assessment)</t>
  </si>
  <si>
    <t>KS1_MATSHAPMEAS</t>
  </si>
  <si>
    <t>MATSHAPMEAS</t>
  </si>
  <si>
    <t>k1_matsm</t>
  </si>
  <si>
    <t>Maths Shapes and Measures.  (Teacher Assessment)</t>
  </si>
  <si>
    <t>KS1_MATHTSKTST</t>
  </si>
  <si>
    <t>MATHTSKTST</t>
  </si>
  <si>
    <t>k1_math</t>
  </si>
  <si>
    <t>Maths Task/Test.</t>
  </si>
  <si>
    <t>KS1_MATHS</t>
  </si>
  <si>
    <t>MATHS</t>
  </si>
  <si>
    <t>k1_matta</t>
  </si>
  <si>
    <t>National Curriculum level awarded for Maths.  (Teacher Assessment)</t>
  </si>
  <si>
    <t>A = Absent
D = Disapplied from National Curriculum
W = Working towards level 1
1 = Achieved Level 1
2C = Achieved Level 2C 
2B = Achieved Level 2B
2A = Achieved Level 2A
3 = Achieved Level 3
4 = Achieved Level 4                                                           
4+ = Achieved Level 4 or above                                                        
5 = Achieved Level 5                                                              
6 = Achieved Level 6
IN = Invalid</t>
  </si>
  <si>
    <t>KS1_SCIEXPINVEST</t>
  </si>
  <si>
    <t>SCIEXPINVEST</t>
  </si>
  <si>
    <t>k1_sciei</t>
  </si>
  <si>
    <t>National Curriculum level awarded for scientific enquiry.  (Teacher Assessment)</t>
  </si>
  <si>
    <t>A = Absent
D = Disapplied from National Curriculum
W = Working towards level 1
1 = Achieved Level 1
2 = Achieved Level 2 
3 = Achieved Level 3
4 = Achieved Level 4                                                            4+ = Achieved Level 4 or above                                                      5 = Achieved Level 5                                                               6 = Achieved Level 6
IN = Invalid</t>
  </si>
  <si>
    <t>KS1_SCILIFPROT</t>
  </si>
  <si>
    <t>SCILIFPROT</t>
  </si>
  <si>
    <t>k1_scilt</t>
  </si>
  <si>
    <t>National Curriculum level awarded for life and living processes.  (Teacher Assessment)</t>
  </si>
  <si>
    <t>KS1_SCIMATPROP</t>
  </si>
  <si>
    <t>SCIMATPROP</t>
  </si>
  <si>
    <t>k1_scimp</t>
  </si>
  <si>
    <t>National Curriculum level awarded for materials and their properties.  (Teacher Assessment)</t>
  </si>
  <si>
    <t>KS1_SCIPHYSPROC</t>
  </si>
  <si>
    <t>SCIPHYSPROC</t>
  </si>
  <si>
    <t>k1_scipp</t>
  </si>
  <si>
    <t>National Curriculum level awarded for physical processes.  (Teacher Assessment)</t>
  </si>
  <si>
    <t>KS1_SCIENCE</t>
  </si>
  <si>
    <t>SCIENCE</t>
  </si>
  <si>
    <t>k1_scita</t>
  </si>
  <si>
    <t>National Curriculum level awarded for overall Science.  (Teacher Assessment)</t>
  </si>
  <si>
    <t>U = Unable to access 
W = Working towards level 1
1 = Achieved Level 1
2 = Achieved Level 2 
3 = Achieved Level 3
4 = Achieved Level 4                                                           4+ = Achieved Level 4 or above                                                    5 = Achieved Level 5                                                               6 = Achieved Level 6
IN = Invalid</t>
  </si>
  <si>
    <t>KS1_PSENG</t>
  </si>
  <si>
    <t>PSENG</t>
  </si>
  <si>
    <t>English P-scale level.</t>
  </si>
  <si>
    <t>P1i, P1ii, P2i, P2ii, P3i, P3ii, NOTSEN or blank</t>
  </si>
  <si>
    <t>KS1_PSREAD</t>
  </si>
  <si>
    <t>PSREAD</t>
  </si>
  <si>
    <t>Reading P-scale level.</t>
  </si>
  <si>
    <t>P4, P5, P6, P7, P8, NOTSEN or blank</t>
  </si>
  <si>
    <t>KS1_PSWRITE</t>
  </si>
  <si>
    <t>PSWRITE</t>
  </si>
  <si>
    <t>Writing P-scale level.</t>
  </si>
  <si>
    <t>KS1_PSSPEAK</t>
  </si>
  <si>
    <t>PSSPEAK</t>
  </si>
  <si>
    <t>Speaking P-scale level.</t>
  </si>
  <si>
    <t>KS1_PSLISTEN</t>
  </si>
  <si>
    <t>PSLISTEN</t>
  </si>
  <si>
    <t>Listening P-scale level.</t>
  </si>
  <si>
    <t>KS1_PSMATHS</t>
  </si>
  <si>
    <t>PSMATHS</t>
  </si>
  <si>
    <t>Mathematics P-scale level.</t>
  </si>
  <si>
    <t>KS1_PSNUM</t>
  </si>
  <si>
    <t>PSNUM</t>
  </si>
  <si>
    <t>Number P-scale level.</t>
  </si>
  <si>
    <t>KS1_PSUSING</t>
  </si>
  <si>
    <t>PSUSING</t>
  </si>
  <si>
    <t>Using &amp; Applying P-scale level.</t>
  </si>
  <si>
    <t>KS1_PSSHAPE</t>
  </si>
  <si>
    <t>PSSHAPE</t>
  </si>
  <si>
    <t>Shape, Space &amp; Measure P-scale level.</t>
  </si>
  <si>
    <t>KS1_PSSCIENCE</t>
  </si>
  <si>
    <t>PSSCIENCE</t>
  </si>
  <si>
    <t>Science P-scale level.</t>
  </si>
  <si>
    <t xml:space="preserve">P1i, P1ii, P2i, P2ii, P3i, P3ii, P4, P5, P6, P7, P8, NOTSEN or blank </t>
  </si>
  <si>
    <t>KS1_READPOINTS</t>
  </si>
  <si>
    <t>READPOINTS</t>
  </si>
  <si>
    <t>k1_rdpts</t>
  </si>
  <si>
    <t xml:space="preserve">2006/2007 - 2011/2012 </t>
  </si>
  <si>
    <t>Reading attainment point score.</t>
  </si>
  <si>
    <t>3,9,13,15,17,21,27,33,39</t>
  </si>
  <si>
    <t>KS1_WRITPOINTS</t>
  </si>
  <si>
    <t>WRITPOINTS</t>
  </si>
  <si>
    <t>k1_wtpts</t>
  </si>
  <si>
    <t>Writing attainment point score.</t>
  </si>
  <si>
    <t>KS1_READWRITPOINTS</t>
  </si>
  <si>
    <t>READWRITPOINTS</t>
  </si>
  <si>
    <t>k1_rwpts</t>
  </si>
  <si>
    <t xml:space="preserve">207/2008 - 2011/2012 </t>
  </si>
  <si>
    <t>Average Reading and Writing attainment point score</t>
  </si>
  <si>
    <t>3,6,8,9,10,11,12,13,14,15,16,17,18,19,20,21,22,24,27</t>
  </si>
  <si>
    <t>KS1_MATPOINTS</t>
  </si>
  <si>
    <t>MATPOINTS</t>
  </si>
  <si>
    <t>k1_mtpts</t>
  </si>
  <si>
    <t>Maths attainment point score.</t>
  </si>
  <si>
    <t>KS1_SCIPOINTS</t>
  </si>
  <si>
    <t>SCIPOINTS</t>
  </si>
  <si>
    <t>k1_scpts</t>
  </si>
  <si>
    <t>Overall Science attainment point score.</t>
  </si>
  <si>
    <t>3,9,15,21,27,33,39</t>
  </si>
  <si>
    <t>KS1_APS</t>
  </si>
  <si>
    <t>APS</t>
  </si>
  <si>
    <t>k1_avpts</t>
  </si>
  <si>
    <t>Average attainment point score (including Reading, Writing, Maths and Overall Science only).</t>
  </si>
  <si>
    <t>KS1_APSRWM</t>
  </si>
  <si>
    <t>APSRWM</t>
  </si>
  <si>
    <t xml:space="preserve">2010/2011 - 2011/2012 </t>
  </si>
  <si>
    <t>Average attainment point score (including Reading, Writing and Maths only).</t>
  </si>
  <si>
    <t>KS1_NPDPUB</t>
  </si>
  <si>
    <t>2009/10-</t>
  </si>
  <si>
    <t>Pupil included in LA and National averages in published NPD-based KS1 figures such as those published in 'Attainment by Pupil Characteristics' SFRs.</t>
  </si>
  <si>
    <t>KS1_LEVLSPLI</t>
  </si>
  <si>
    <t>LEVLSPLI</t>
  </si>
  <si>
    <t>k1_lvlsp</t>
  </si>
  <si>
    <t>Achieved Level 1 or below (low attainment) in KS1 Speaking and Listening.</t>
  </si>
  <si>
    <t>KS1_LEVLREAD</t>
  </si>
  <si>
    <t>LEVLREAD</t>
  </si>
  <si>
    <t>k1_lvlrd</t>
  </si>
  <si>
    <t>Achieved Level 1 or below (low attainment) in KS1 Reading.</t>
  </si>
  <si>
    <t>KS1_LEVLWRIT</t>
  </si>
  <si>
    <t>LEVLWRIT</t>
  </si>
  <si>
    <t>k1_lvlwt</t>
  </si>
  <si>
    <t>Achieved Level 1 or below (low attainment) in KS1 Writing.</t>
  </si>
  <si>
    <t>KS1_LEVLMAT</t>
  </si>
  <si>
    <t>LEVLMAT</t>
  </si>
  <si>
    <t>k1_lvlmt</t>
  </si>
  <si>
    <t>Achieved Level 1 or below (low attainment) in KS1 Maths.</t>
  </si>
  <si>
    <t>KS1_LEVLSCI</t>
  </si>
  <si>
    <t>LEVLSCI</t>
  </si>
  <si>
    <t>k1_lvlsc</t>
  </si>
  <si>
    <t>Achieved Level 1 or below (low attainment) in KS1 overall Science.</t>
  </si>
  <si>
    <t>KS1_LEVXSPLI</t>
  </si>
  <si>
    <t>LEVXSPLI</t>
  </si>
  <si>
    <t>k1_lvxsp</t>
  </si>
  <si>
    <t>Achieved Level 2 or above (expected level) in KS1 Speaking and Listening.</t>
  </si>
  <si>
    <t>KS1_LEVXREAD</t>
  </si>
  <si>
    <t>LEVXREAD</t>
  </si>
  <si>
    <t>k1_lvxrd</t>
  </si>
  <si>
    <t>Achieved Level 2 or above (expected level) in KS1 Reading.</t>
  </si>
  <si>
    <t>KS1_LEVXWRIT</t>
  </si>
  <si>
    <t>LEVXWRIT</t>
  </si>
  <si>
    <t>k1_lvxwt</t>
  </si>
  <si>
    <t>Achieved Level 2 or above (expected level) in KS1 Writing.</t>
  </si>
  <si>
    <t>KS1_LEVXMAT</t>
  </si>
  <si>
    <t>LEVXMAT</t>
  </si>
  <si>
    <t>k1_lvxmt</t>
  </si>
  <si>
    <t>Achieved Level 2 or above (expected level) in KS1 Maths.</t>
  </si>
  <si>
    <t>KS1_LEVXSCI</t>
  </si>
  <si>
    <t>LEVXSCI</t>
  </si>
  <si>
    <t>k1_lvxsc</t>
  </si>
  <si>
    <t>Achieved Level 2 or above (expected level) in KS1 overall Science.</t>
  </si>
  <si>
    <t>KS1_LEV2BREAD</t>
  </si>
  <si>
    <t>LEV2BREAD</t>
  </si>
  <si>
    <t>k1_lv2br</t>
  </si>
  <si>
    <t>Achieved Level 2B or above in KS1 Reading.</t>
  </si>
  <si>
    <t>KS1_LEV2BWRIT</t>
  </si>
  <si>
    <t>LEV2BWRIT</t>
  </si>
  <si>
    <t>k1_lv2bw</t>
  </si>
  <si>
    <t>Achieved Level 2B or above in KS1 Writing.</t>
  </si>
  <si>
    <t>KS1_LEV2BMAT</t>
  </si>
  <si>
    <t>LEV2BMAT</t>
  </si>
  <si>
    <t>k1_lv2bm</t>
  </si>
  <si>
    <t>Achieved Level 2B or above in KS1 Maths.</t>
  </si>
  <si>
    <t>KS1_LEVAXSPLI</t>
  </si>
  <si>
    <t>LEVAXSPLI</t>
  </si>
  <si>
    <t>k1_lv3sp</t>
  </si>
  <si>
    <t>Achieved Level 3 or above (above expected level) in KS1 Speaking and Listening.</t>
  </si>
  <si>
    <t>KS1_LEVAXREAD</t>
  </si>
  <si>
    <t>LEVAXREAD</t>
  </si>
  <si>
    <t>k1_lv3rd</t>
  </si>
  <si>
    <t>Achieved Level 3 or above (above expected level) in KS1 Reading.</t>
  </si>
  <si>
    <t>KS1_LEVAXWRIT</t>
  </si>
  <si>
    <t>LEVAXWRIT</t>
  </si>
  <si>
    <t>k1_lv3wt</t>
  </si>
  <si>
    <t>Achieved Level 3 or above (above expected level) in KS1 Writing.</t>
  </si>
  <si>
    <t>KS1_LEVAXMAT</t>
  </si>
  <si>
    <t>LEVAXMAT</t>
  </si>
  <si>
    <t>k1_lv3mt</t>
  </si>
  <si>
    <t>Achieved Level 3 or above (above expected level) in KS1 Maths.</t>
  </si>
  <si>
    <t>KS1_LEVAXSCI</t>
  </si>
  <si>
    <t>LEVAXSCI</t>
  </si>
  <si>
    <t>k1_lv3sc</t>
  </si>
  <si>
    <t>Achieved Level 3 or above (above expected level) in KS1 overall Science.</t>
  </si>
  <si>
    <t>KS1_READ2PLUS</t>
  </si>
  <si>
    <t>READ2PLUS</t>
  </si>
  <si>
    <t>k1_rl2</t>
  </si>
  <si>
    <t>Achieved Level 2 and above in Reading.</t>
  </si>
  <si>
    <t>KS1_WRIT2PLUS</t>
  </si>
  <si>
    <t>WRIT2PLUS</t>
  </si>
  <si>
    <t>k1_wl2</t>
  </si>
  <si>
    <t>Achieved Level 2 and above in Writing.</t>
  </si>
  <si>
    <t>KS1_MATHS2PLUS</t>
  </si>
  <si>
    <t>MATHS2PLUS</t>
  </si>
  <si>
    <t>k1_ml2</t>
  </si>
  <si>
    <t>Achieved Level 2and above  in Maths.</t>
  </si>
  <si>
    <t>KS1_SCISUB2PLUS</t>
  </si>
  <si>
    <t>SCISUB2PLUS</t>
  </si>
  <si>
    <t>k1_sl2</t>
  </si>
  <si>
    <t>Achieved Level 2 and above in Science.</t>
  </si>
  <si>
    <t>KS1_READ2BPLUS</t>
  </si>
  <si>
    <t>READ2BPLUS</t>
  </si>
  <si>
    <t>k1_rl2b</t>
  </si>
  <si>
    <t>Achieved Level 2B and above in Reading.</t>
  </si>
  <si>
    <t>KS1_WRIT2BPLUS</t>
  </si>
  <si>
    <t>WRIT2BPLUS</t>
  </si>
  <si>
    <t>k1_wl2b</t>
  </si>
  <si>
    <t>Achieved Level 2B and above in Writing.</t>
  </si>
  <si>
    <t>KS1_MATHS2BPLUS</t>
  </si>
  <si>
    <t>MATHS2BPLUS</t>
  </si>
  <si>
    <t>k1_ml2b</t>
  </si>
  <si>
    <t>Achieved Level 2B and above in Maths.</t>
  </si>
  <si>
    <t>KS1_READ3PLUS</t>
  </si>
  <si>
    <t>READ3PLUS</t>
  </si>
  <si>
    <t>k1_rl3</t>
  </si>
  <si>
    <t>Achieved Level 3 and above in Reading.</t>
  </si>
  <si>
    <t>KS1_WRIT3PLUS</t>
  </si>
  <si>
    <t>WRIT3PLUS</t>
  </si>
  <si>
    <t>k1_wl3</t>
  </si>
  <si>
    <t>Achieved Level 3 and above n Writing.</t>
  </si>
  <si>
    <t>KS1_MATHS3PLUS</t>
  </si>
  <si>
    <t>MATHS3PLUS</t>
  </si>
  <si>
    <t>k1_ml3</t>
  </si>
  <si>
    <t>Achieved Level 3 and above in Maths.</t>
  </si>
  <si>
    <t>KS1_SCISUB3PLUS</t>
  </si>
  <si>
    <t>SCISUB3PLUS</t>
  </si>
  <si>
    <t>k1_sl3</t>
  </si>
  <si>
    <t>Achieved Level 3 and above  in Science.</t>
  </si>
  <si>
    <t>KS1_READOTPS</t>
  </si>
  <si>
    <t>READOTPS</t>
  </si>
  <si>
    <t>k1_rps</t>
  </si>
  <si>
    <t>Reading Overall Total Point Score.</t>
  </si>
  <si>
    <t>KS1_WRITOTPS</t>
  </si>
  <si>
    <t>WRITOTPS</t>
  </si>
  <si>
    <t>k1_wps</t>
  </si>
  <si>
    <t>Writing Overall Total Point Score.</t>
  </si>
  <si>
    <t>KS1_MATHSOTPS</t>
  </si>
  <si>
    <t>MATHSOTPS</t>
  </si>
  <si>
    <t>k1_mps</t>
  </si>
  <si>
    <t>Maths Overall Total Point Score.</t>
  </si>
  <si>
    <t>KS1_SCISUBOTPS</t>
  </si>
  <si>
    <t>SCISUBOTPS</t>
  </si>
  <si>
    <t>k1_sp</t>
  </si>
  <si>
    <t>Science Overall Total Point Score.</t>
  </si>
  <si>
    <t>KS1_VERSION</t>
  </si>
  <si>
    <t>k1_ver</t>
  </si>
  <si>
    <t>U = Unamended
A = Amended
F = Final</t>
  </si>
  <si>
    <t>KS2 Pupil table</t>
  </si>
  <si>
    <t>KS2_GENDER</t>
  </si>
  <si>
    <t>k2_gend</t>
  </si>
  <si>
    <t>1995/96 - 2015/16</t>
  </si>
  <si>
    <t>2006/07 - 2015/16</t>
  </si>
  <si>
    <t>KS2_AGE_START</t>
  </si>
  <si>
    <t>k2_age</t>
  </si>
  <si>
    <t>KS2_MONTH_PART</t>
  </si>
  <si>
    <t>k2_mth</t>
  </si>
  <si>
    <t>KS2_YEAROFBIRTH</t>
  </si>
  <si>
    <t>k2_yob</t>
  </si>
  <si>
    <t>KS2_MONTHOFBIRTH</t>
  </si>
  <si>
    <t>k2_mob</t>
  </si>
  <si>
    <t>KS2_IDACI</t>
  </si>
  <si>
    <t>IDACI</t>
  </si>
  <si>
    <t>k2_idaci</t>
  </si>
  <si>
    <t>2006/07- 2009/10</t>
  </si>
  <si>
    <t>Deprivation indicator - IDACI score (as used in CVA) - output from AAT pupil file not MLWin file.</t>
  </si>
  <si>
    <t>0.00 - 1.00</t>
  </si>
  <si>
    <t>2006/07 - 2009/10</t>
  </si>
  <si>
    <t>KS2_REFUGEE</t>
  </si>
  <si>
    <t>REFUGEE</t>
  </si>
  <si>
    <t>k2_refug</t>
  </si>
  <si>
    <t>1995/1996 - 2005/2006</t>
  </si>
  <si>
    <t>Refugee Flag</t>
  </si>
  <si>
    <t>KS2_ENTRYDAT</t>
  </si>
  <si>
    <t>ENTRYDAT</t>
  </si>
  <si>
    <t>2014/15 -</t>
  </si>
  <si>
    <t>Pupil date of entry</t>
  </si>
  <si>
    <t>KS2_CLA_6_MONTHS</t>
  </si>
  <si>
    <t>CLA_6_MONTHS</t>
  </si>
  <si>
    <t>CIN-CLA</t>
  </si>
  <si>
    <t>2010/11 - 2015/16</t>
  </si>
  <si>
    <t>Pupil looked after continuously for last 6 months i.e. since 1 October</t>
  </si>
  <si>
    <t>1 = True
0 = False
Null = child not looked after at 31 March</t>
  </si>
  <si>
    <t>CLA</t>
  </si>
  <si>
    <t>B</t>
  </si>
  <si>
    <t>KS2_CLA_12_MONTHS</t>
  </si>
  <si>
    <t>CLA_12_MONTHS</t>
  </si>
  <si>
    <t>Pupil looked after continuously for last 12 months up to 31 March i.e. since 1 April</t>
  </si>
  <si>
    <t>CLA_PP_6_MONTHS</t>
  </si>
  <si>
    <t>CLA_PP</t>
  </si>
  <si>
    <t>2010/11 - 2011/12</t>
  </si>
  <si>
    <t>Pupil looked after continuously for 6 months during the year and aged 5 - 15.</t>
  </si>
  <si>
    <t>KS2_CLA_PP_6_MONTHS</t>
  </si>
  <si>
    <t>2012/13 - 2015/16</t>
  </si>
  <si>
    <t>Pupil looked after continuously for 6 months during the year and aged 4 - 15.</t>
  </si>
  <si>
    <t>KS2_CLA_PP_1_DAY</t>
  </si>
  <si>
    <t>CLA_PP_1_DAY</t>
  </si>
  <si>
    <t>Pupil looked after for 1 day or more during the year ending 31 March and aged 4 - 15</t>
  </si>
  <si>
    <t>FSM6_CLA</t>
  </si>
  <si>
    <t>FSM_CLA</t>
  </si>
  <si>
    <t>The pupil is either eligible for free school meals or has been eligible for free school meals at some point in the last 6 years or has been looked after continuously for 6 months during the year  + aged 5-15</t>
  </si>
  <si>
    <t>KS2_FSM6_CLA</t>
  </si>
  <si>
    <t>2012/13 - 2014/15</t>
  </si>
  <si>
    <t>The pupil is either been eligible for free school meals at some point on the last 6 years or has been looked after continuously for 6 months during the year and aged 4 - 15.</t>
  </si>
  <si>
    <t>KS2_ADOPTEDFROMCARE_ALLYEARS</t>
  </si>
  <si>
    <t>ADOPTEDFROMCARE_ALLYEARS</t>
  </si>
  <si>
    <t>2014/15 - 2015/16</t>
  </si>
  <si>
    <t>Identifies children who have ever been adopted from care</t>
  </si>
  <si>
    <t xml:space="preserve">N -Not declared
A -Ceased to be looked after through adoption
G -Ceased to be looked after through a special guardianship order (SGO)
R -Ceased to be looked after through a residence order (RO)
C -Ceased to be looked after through a child arrangement order (CAO)
</t>
  </si>
  <si>
    <t>KS2_FSM6CLA1A</t>
  </si>
  <si>
    <t>FSM6CLA1A</t>
  </si>
  <si>
    <t>Pupil ever eligible for free school meals or has been looked after for a day or more or has been adopted from care</t>
  </si>
  <si>
    <t>2014/15-2020/21</t>
  </si>
  <si>
    <t>KS2_AGE</t>
  </si>
  <si>
    <t>k2_ageyr</t>
  </si>
  <si>
    <t>2006/07- 2014/15</t>
  </si>
  <si>
    <t>Age within academic year.</t>
  </si>
  <si>
    <t>KS2_FEMALE</t>
  </si>
  <si>
    <t>FEMALE</t>
  </si>
  <si>
    <t>k2_fem</t>
  </si>
  <si>
    <t>Is pupil female?</t>
  </si>
  <si>
    <t>KS2_FSM</t>
  </si>
  <si>
    <t>FSM</t>
  </si>
  <si>
    <t>k2_fsm</t>
  </si>
  <si>
    <t>Is pupil known to be eligible for FSM?</t>
  </si>
  <si>
    <t>KS2_FSM6</t>
  </si>
  <si>
    <t>FSM6</t>
  </si>
  <si>
    <t>2011/12 - 2015/16</t>
  </si>
  <si>
    <t>Is pupil known to have been eligible for FSM in the last 6 years?</t>
  </si>
  <si>
    <t>KS2_FSM6_P</t>
  </si>
  <si>
    <t>FSM6_P</t>
  </si>
  <si>
    <t>2015/16 -</t>
  </si>
  <si>
    <t>Is pupil known to have been eligible for FSM for any period in the last 6 years?</t>
  </si>
  <si>
    <t>KS2_SENPS</t>
  </si>
  <si>
    <t>SENPS</t>
  </si>
  <si>
    <t>k2_senps</t>
  </si>
  <si>
    <t>Does pupil have SEN - Action Plus or Statemented?</t>
  </si>
  <si>
    <t>KS2_SENA</t>
  </si>
  <si>
    <t>SENA</t>
  </si>
  <si>
    <t>k2_sena</t>
  </si>
  <si>
    <t>Does pupil have SEN - school action?</t>
  </si>
  <si>
    <t>KS2_SENF</t>
  </si>
  <si>
    <t>SENF</t>
  </si>
  <si>
    <t>Pupil SEN status</t>
  </si>
  <si>
    <t>A=School Action
P=School Action Plus
S=Statemented
N=No special provision        
K=SEN support
E=EHC plan</t>
  </si>
  <si>
    <t>KS2_SENELK</t>
  </si>
  <si>
    <t>SENELK</t>
  </si>
  <si>
    <t>2014/15 only</t>
  </si>
  <si>
    <t>Does pupil have SEN support</t>
  </si>
  <si>
    <t>2014/15</t>
  </si>
  <si>
    <t>KS2_SENELE</t>
  </si>
  <si>
    <t>SENELE</t>
  </si>
  <si>
    <t>Does pupil have EHC plan</t>
  </si>
  <si>
    <t>KS2_SENELSE</t>
  </si>
  <si>
    <t>SENELSE</t>
  </si>
  <si>
    <t>Does pupil have SEN with statement or EHC plan</t>
  </si>
  <si>
    <t>KS2_SENELAPK</t>
  </si>
  <si>
    <t>SENELAPK</t>
  </si>
  <si>
    <t>Does pupil have SEN without statement or EHC plan</t>
  </si>
  <si>
    <t>KS2_SENTYPE</t>
  </si>
  <si>
    <t>SENTYPE</t>
  </si>
  <si>
    <t>SEN type</t>
  </si>
  <si>
    <t>SPLD,MLD,SLD,PMLD,BESD,SLCN,
HI,VI,MSI,PD,ASD,OTH</t>
  </si>
  <si>
    <t>2012/13-2015/16</t>
  </si>
  <si>
    <t>KS2_FLANG</t>
  </si>
  <si>
    <t>FLANG</t>
  </si>
  <si>
    <t>k2_flang</t>
  </si>
  <si>
    <t>Is English not the pupil's first language?</t>
  </si>
  <si>
    <t>2006/07-2011/2012</t>
  </si>
  <si>
    <t>KS2_WIRI</t>
  </si>
  <si>
    <t>WIRI</t>
  </si>
  <si>
    <t xml:space="preserve">k2_wri </t>
  </si>
  <si>
    <t>2006/07- 2011/12</t>
  </si>
  <si>
    <t>Is the pupil White Irish?</t>
  </si>
  <si>
    <t>KS2_WIRT</t>
  </si>
  <si>
    <t>WIRT</t>
  </si>
  <si>
    <t>k2_wirt</t>
  </si>
  <si>
    <t>Is the pupil a White Irish traveller?</t>
  </si>
  <si>
    <t>KS2_WROM</t>
  </si>
  <si>
    <t>WROM</t>
  </si>
  <si>
    <t>k2_wrom</t>
  </si>
  <si>
    <t>Is the pupil White Gypsy/Roma?</t>
  </si>
  <si>
    <t>KS2_WOTH</t>
  </si>
  <si>
    <t>WOTH</t>
  </si>
  <si>
    <t>k2_woth</t>
  </si>
  <si>
    <t>Is the pupil White other?</t>
  </si>
  <si>
    <t>KS2_MWBC</t>
  </si>
  <si>
    <t>MWBC</t>
  </si>
  <si>
    <t>k2_mwbc</t>
  </si>
  <si>
    <t>Is the pupil Mixed White/Black Caribbean?</t>
  </si>
  <si>
    <t>KS2_MWBA</t>
  </si>
  <si>
    <t>MWBA</t>
  </si>
  <si>
    <t>k2_mwba</t>
  </si>
  <si>
    <t>Is the pupil Mixed White/Black African?</t>
  </si>
  <si>
    <t>KS2_MWAS</t>
  </si>
  <si>
    <t>MWAS</t>
  </si>
  <si>
    <t>k2_mwas</t>
  </si>
  <si>
    <t>Is the pupil Mixed White/Asian?</t>
  </si>
  <si>
    <t>KS2_MOTH</t>
  </si>
  <si>
    <t>MOTH</t>
  </si>
  <si>
    <t>k2_moth</t>
  </si>
  <si>
    <t>Is the pupil any other Mixed ethnic group?</t>
  </si>
  <si>
    <t>KS2_AIND</t>
  </si>
  <si>
    <t>AIND</t>
  </si>
  <si>
    <t>k2_aind</t>
  </si>
  <si>
    <t>Is the pupil Indian?</t>
  </si>
  <si>
    <t>KS2_APKN</t>
  </si>
  <si>
    <t>APKN</t>
  </si>
  <si>
    <t>k2_apkn</t>
  </si>
  <si>
    <t>Is the pupil Pakistani?</t>
  </si>
  <si>
    <t>KS2_ABAN</t>
  </si>
  <si>
    <t>ABAN</t>
  </si>
  <si>
    <t>k2_aban</t>
  </si>
  <si>
    <t>Is the pupil Bangladeshi?</t>
  </si>
  <si>
    <t>KS2_AOTH</t>
  </si>
  <si>
    <t>AOTH</t>
  </si>
  <si>
    <t>k2_aoth</t>
  </si>
  <si>
    <t>Is the pupil any other Asian ethnic group?</t>
  </si>
  <si>
    <t>KS2_BCRB</t>
  </si>
  <si>
    <t>BCRB</t>
  </si>
  <si>
    <t>k2_bcrb</t>
  </si>
  <si>
    <t>Is the pupil Black Caribbean?</t>
  </si>
  <si>
    <t>KS2_BAFR</t>
  </si>
  <si>
    <t>BAFR</t>
  </si>
  <si>
    <t>k2_bafr</t>
  </si>
  <si>
    <t>Is the pupil Black African?</t>
  </si>
  <si>
    <t>KS2_BOTH</t>
  </si>
  <si>
    <t>BOTH</t>
  </si>
  <si>
    <t>k2_both</t>
  </si>
  <si>
    <t>Is the pupil any other Black ethnic group?</t>
  </si>
  <si>
    <t>KS2_CHNE</t>
  </si>
  <si>
    <t>CHNE</t>
  </si>
  <si>
    <t>k2_chne</t>
  </si>
  <si>
    <t>Is the pupil Chinese?</t>
  </si>
  <si>
    <t>KS2_OOTH</t>
  </si>
  <si>
    <t>OOTH</t>
  </si>
  <si>
    <t>k2_ooth</t>
  </si>
  <si>
    <t>Is the pupil any other ethnic group?</t>
  </si>
  <si>
    <t>KS2_UNCLA</t>
  </si>
  <si>
    <t>UNCLA</t>
  </si>
  <si>
    <t>k2_uncla</t>
  </si>
  <si>
    <t>Is the pupil in an unclassified ethnic group?</t>
  </si>
  <si>
    <t>KS2_EALGRP</t>
  </si>
  <si>
    <t>EALGRP</t>
  </si>
  <si>
    <t>English as additional language</t>
  </si>
  <si>
    <t>KS2_LA_anon</t>
  </si>
  <si>
    <t>k2_la</t>
  </si>
  <si>
    <t>Local Authority (LA) that the school where the pupil attends reports to (original data). This variable has been pseudonymised in line with the impact of COVID19 on DfE data sharing (See COVID19 Impact worksheet) and/or the requirements of Digital Economy Act in relation to a body corporate.</t>
  </si>
  <si>
    <t>2006/07-2015/16</t>
  </si>
  <si>
    <t>KS2_LAESTAB_anon</t>
  </si>
  <si>
    <t>k2_laest</t>
  </si>
  <si>
    <t>2010000 - 9389999</t>
  </si>
  <si>
    <t>KS2_URN_anon</t>
  </si>
  <si>
    <t>k2_urn</t>
  </si>
  <si>
    <t>KS2 Exam table</t>
  </si>
  <si>
    <t>KS2_EXAMNO</t>
  </si>
  <si>
    <t>EXAMNO</t>
  </si>
  <si>
    <t>Test serial number</t>
  </si>
  <si>
    <t>KS2_s.PupilMatchingRefNonAnonymous</t>
  </si>
  <si>
    <t>s.PupilMatchingRefNonAnonymous</t>
  </si>
  <si>
    <t>k2_pmrn</t>
  </si>
  <si>
    <t>Pupil matching reference - Non Anonymous.</t>
  </si>
  <si>
    <t>KS2_BRDSUBNO</t>
  </si>
  <si>
    <t>BRDSUBNO</t>
  </si>
  <si>
    <t>External marking agency subject number</t>
  </si>
  <si>
    <t>k2r_lest</t>
  </si>
  <si>
    <t>2010000-9389999</t>
  </si>
  <si>
    <t>2010/11 -</t>
  </si>
  <si>
    <t>2010/11 -2020/21</t>
  </si>
  <si>
    <t>KS2_ACADYR</t>
  </si>
  <si>
    <t>k2_ac</t>
  </si>
  <si>
    <t xml:space="preserve">1995/96 - </t>
  </si>
  <si>
    <t>KS2_PupilMatchingRefAnonymous</t>
  </si>
  <si>
    <t>k2_pmr</t>
  </si>
  <si>
    <t>KS2_YEARGRP</t>
  </si>
  <si>
    <t>YEARGRP</t>
  </si>
  <si>
    <t>k2_yrgrp</t>
  </si>
  <si>
    <t xml:space="preserve">2005/06 - </t>
  </si>
  <si>
    <t>Year group - derived from date of birth.</t>
  </si>
  <si>
    <t>01 - 17, 99</t>
  </si>
  <si>
    <t>KS2_ACTYRGRP</t>
  </si>
  <si>
    <t>ACTYRGRP</t>
  </si>
  <si>
    <t>Actual Year group</t>
  </si>
  <si>
    <t>N1 = Nursery, age at previous 31 Aug &lt;3:
N2=Nursery, 3&lt;= age at previous 31 Aug &lt;4:
R=Reception, 4&lt;= age at previous 31 Aug &lt;5:
1-14</t>
  </si>
  <si>
    <t>KS2_ToE_CODE</t>
  </si>
  <si>
    <t>k2_stype</t>
  </si>
  <si>
    <t>KS2_NFTYPE</t>
  </si>
  <si>
    <t>k2_nftyp</t>
  </si>
  <si>
    <t xml:space="preserve">2004/05 - </t>
  </si>
  <si>
    <t>KS2_MMSCH</t>
  </si>
  <si>
    <t>k2_mms</t>
  </si>
  <si>
    <t>2006/07-</t>
  </si>
  <si>
    <t>Maintained Mainstream school (including CTCs and Academies)
NFTYPE = ANY(20-25, 50-52)</t>
  </si>
  <si>
    <t>KS2_MMSCH2</t>
  </si>
  <si>
    <t>k2_mms2</t>
  </si>
  <si>
    <t>Maintained Mainstream school (excluding CTCs and Academies)
NFTYPE = ANY(21-24)</t>
  </si>
  <si>
    <t>KS2_MSCH</t>
  </si>
  <si>
    <t>k2_ms</t>
  </si>
  <si>
    <t>Maintained school (including CTCs and Academies)
NFTYPE = ANY(20-27, 50-53,55)</t>
  </si>
  <si>
    <t>KS2_MSCH2</t>
  </si>
  <si>
    <t>k2_ms2</t>
  </si>
  <si>
    <t>Maintained school (excluding CTCs and Academies)
NFTYPE = ANY(21-24,26,27)</t>
  </si>
  <si>
    <t>KS2_AMEND</t>
  </si>
  <si>
    <t>AMEND</t>
  </si>
  <si>
    <t>k2_amend</t>
  </si>
  <si>
    <t>2002/03 - 2005/06</t>
  </si>
  <si>
    <t>Type of amendment made either prior to mail out or as a result of the checking exercise.</t>
  </si>
  <si>
    <t>KS2_AMDPUPIL</t>
  </si>
  <si>
    <t>AMDPUPIL</t>
  </si>
  <si>
    <t>k2_ampup</t>
  </si>
  <si>
    <t>Type of pupil level amendment made either prior to mail out or as a result of the checking exercise.</t>
  </si>
  <si>
    <t>See sheet 'Codeset (Results)', subsection AMDPUPIL</t>
  </si>
  <si>
    <t>KS2_VERSION</t>
  </si>
  <si>
    <t>k2_ver</t>
  </si>
  <si>
    <t>U = Unamended – Data which has not been checked by schools as part of the School and College Achievement and Attainment tables
A = Amended – Data which has been checked by schools as part of the School and College Achievement and Attainment tables
F = Final –  Data which has been checked by schools as part of the School and College Achievement and Attainment tables , plus any additional amendments made through the errata process.</t>
  </si>
  <si>
    <t>KS2_SOURCECTY</t>
  </si>
  <si>
    <t>k2_land</t>
  </si>
  <si>
    <t>1995/96 - 2004/05</t>
  </si>
  <si>
    <t>Source Country (England/Wales)</t>
  </si>
  <si>
    <t>E = England
W = Wales
O = Other</t>
  </si>
  <si>
    <t>KS2_LANGSCH</t>
  </si>
  <si>
    <t>k2_lang</t>
  </si>
  <si>
    <t>Language of School (English/Welsh)</t>
  </si>
  <si>
    <t>KS2_LANGMATTA</t>
  </si>
  <si>
    <t>LANGMATTA</t>
  </si>
  <si>
    <t>k2_langm</t>
  </si>
  <si>
    <t>Language of Maths Teacher Assessment</t>
  </si>
  <si>
    <t>C = Welsh
E = English
M = Mixed</t>
  </si>
  <si>
    <t>KS2_LANGSCITA</t>
  </si>
  <si>
    <t>LANGSCITA</t>
  </si>
  <si>
    <t>k2_langs</t>
  </si>
  <si>
    <t>Language of Science Teacher Assessment</t>
  </si>
  <si>
    <t>KS2_ENDKS</t>
  </si>
  <si>
    <t>ENDKS</t>
  </si>
  <si>
    <t>k2_endks</t>
  </si>
  <si>
    <t>Pupils at the end of Key Stage 2</t>
  </si>
  <si>
    <t>KS2_ENROLSTS</t>
  </si>
  <si>
    <t>ENROLSTS</t>
  </si>
  <si>
    <t>Pupil enrolment status</t>
  </si>
  <si>
    <t>KS2_NENTRIES</t>
  </si>
  <si>
    <t>NENTRIES</t>
  </si>
  <si>
    <t>Number of entries</t>
  </si>
  <si>
    <t>KS2_EXAMYEAR_EN</t>
  </si>
  <si>
    <t>EXAMYEAR_EN</t>
  </si>
  <si>
    <t>k2_en</t>
  </si>
  <si>
    <t>2004/05 - 2011/12</t>
  </si>
  <si>
    <t>English examination year.</t>
  </si>
  <si>
    <t>KS2_EXAMYEAR_RE</t>
  </si>
  <si>
    <t>EXAMYEAR_RE</t>
  </si>
  <si>
    <t>2012/13 -</t>
  </si>
  <si>
    <t>Reading examination year.</t>
  </si>
  <si>
    <t>KS2_EXAMYEAR_GPS</t>
  </si>
  <si>
    <t>EXAMYEAR_GPS</t>
  </si>
  <si>
    <t>Grammar, Punctuation and Spelling examination year.</t>
  </si>
  <si>
    <t>KS2_EXAMYEAR_MA</t>
  </si>
  <si>
    <t>EXAMYEAR_MA</t>
  </si>
  <si>
    <t>k2_ma</t>
  </si>
  <si>
    <t>Maths examination year.</t>
  </si>
  <si>
    <t>KS2_EXAMYEAR_SC</t>
  </si>
  <si>
    <t>EXAMYEAR_SC</t>
  </si>
  <si>
    <t>k2_sc</t>
  </si>
  <si>
    <t>2004/05 - 2008/09</t>
  </si>
  <si>
    <t>Science examination year.</t>
  </si>
  <si>
    <t>KS2_SCHRES</t>
  </si>
  <si>
    <t>SCHRES</t>
  </si>
  <si>
    <t>k2_schrs</t>
  </si>
  <si>
    <t xml:space="preserve">2003/04 - </t>
  </si>
  <si>
    <t>Pupil included in school level averages.</t>
  </si>
  <si>
    <t>KS2_LARES</t>
  </si>
  <si>
    <t>LARES</t>
  </si>
  <si>
    <t>k2_lars</t>
  </si>
  <si>
    <t>Pupil included in LA averages.</t>
  </si>
  <si>
    <t>KS2_NATRES</t>
  </si>
  <si>
    <t>NATRES</t>
  </si>
  <si>
    <t>k2_natrs</t>
  </si>
  <si>
    <t>Pupil included in national averages.</t>
  </si>
  <si>
    <t>KS2_NATMTDRES</t>
  </si>
  <si>
    <t>NATMTDRES</t>
  </si>
  <si>
    <t>KS2_NATRESMTD</t>
  </si>
  <si>
    <t xml:space="preserve">2008/09 - </t>
  </si>
  <si>
    <t>Pupil included in national results (Maintained)</t>
  </si>
  <si>
    <t>KS2_NPDDEN_LA</t>
  </si>
  <si>
    <t>NPDDEN_LA</t>
  </si>
  <si>
    <t>Pupil included in denominator for LA averages in NPD-based figures such as those published in 'Attainment by Pupil Characteristics' SFRs.</t>
  </si>
  <si>
    <t>KS2_NPDDEN_NAT</t>
  </si>
  <si>
    <t>NPDDEN_NAT</t>
  </si>
  <si>
    <t>Pupil included in denominator for national averages in NPD-based figures such as those published in 'Attainment by Pupil Characteristics' SFRs.</t>
  </si>
  <si>
    <t>KS2_SCHRESTA</t>
  </si>
  <si>
    <t>SCHRESTA</t>
  </si>
  <si>
    <t>Pupil included in school results for TA calculations</t>
  </si>
  <si>
    <t>KS2_LARESTA</t>
  </si>
  <si>
    <t>LARESTA</t>
  </si>
  <si>
    <t>Pupil included in LA results for TAs</t>
  </si>
  <si>
    <t>KS2_NATRESTA</t>
  </si>
  <si>
    <t>NATRESTA</t>
  </si>
  <si>
    <t>Pupil included in National results  (all)  for TAs</t>
  </si>
  <si>
    <t>KS2_NATMTDRESTA</t>
  </si>
  <si>
    <t>NATMTDRESTA</t>
  </si>
  <si>
    <t>Pupil included in National results  (MAINTAINED)  for TAs</t>
  </si>
  <si>
    <t>KS2_READOUTCOME</t>
  </si>
  <si>
    <t>READOUTCOME</t>
  </si>
  <si>
    <t>Outcome for the reading test</t>
  </si>
  <si>
    <t xml:space="preserve">A	Absent 	
B	Working below the level of the test 	
L	Left 	
M	Missing 	
T	Unable to access test (for 2016 and previous years)
F	Pupil will take test in the future 	
P	Pupil has taken test in the past 	
H	Pupil cheating 	
S	Marks suppressed (pending maladministration investigation)	
J	Just arrived (from 2017)
U	Unable to access test (from 2017)
Q	Maladministration 	
AS	Achieved Standard 	
NS	Not achieved Standard 	
CA	 Ability to represent their actual ability in the test affected (2016 only)
CN 	 Ability to represent their actual ability in the test not affected 	(2016 only)
X	Lost	
Z	Ineligible	</t>
  </si>
  <si>
    <t>KS2_MATOUTCOME</t>
  </si>
  <si>
    <t>MATOUTCOME</t>
  </si>
  <si>
    <t>Outcome for the maths test</t>
  </si>
  <si>
    <t>KS2_GPSOUTCOME</t>
  </si>
  <si>
    <t>GPSOUTCOME</t>
  </si>
  <si>
    <t>Outcome for the GPS test</t>
  </si>
  <si>
    <t>KS2_READSCORE</t>
  </si>
  <si>
    <t>READSCORE</t>
  </si>
  <si>
    <t>Scaled score in reading</t>
  </si>
  <si>
    <t>0-999</t>
  </si>
  <si>
    <t>KS2_MATSCORE</t>
  </si>
  <si>
    <t>MATSCORE</t>
  </si>
  <si>
    <t>Scaled score in maths</t>
  </si>
  <si>
    <t>KS2_GPSSCORE</t>
  </si>
  <si>
    <t>GPSSCORE</t>
  </si>
  <si>
    <t>Scaled score in GPS</t>
  </si>
  <si>
    <t>KS2_WRITTAOUTCOME</t>
  </si>
  <si>
    <t>WRITTAOUTCOME</t>
  </si>
  <si>
    <t>Outcome for the writing teacher assessment</t>
  </si>
  <si>
    <t>BLW	Below the standard of the pre-key stage (to be reported with P-scales or NOTSEN as appropriate)	
HNM	Has not met the standard (not applicable to writing)
PKF	Pre-key stage foundation (2016-2018)	
PKE	Pre-key stage early development (2016-2018)	
PKG	Pre-key stage growing development (2016-2018)	
PK1	Pre Key Stage Standard 1	(2019 onwards)	
PK2	Pre Key Stage Standard 2	(2019 onwards)	
PK3	Pre Key Stage Standard 3	(2019 onwards)	
PK4	Pre Key Stage Standard 4	(2019 onwards)	
PK5	Pre Key Stage Standard 5	(2019 onwards)	
PK6	Pre Key Stage Standard 6	(2019 onwards)	
EXS	Working at the expected standard 		
WTS	Working towards the expected standard 	(Writing only)	
GDS	Working at greater depth within the expected standard (Writing only)
	B = working below the level assessed by the tests
T = working at the level of the tests but unable to access them
N = Did not achieve the level
2 = Achieved level 2
3 = Achieved level 3
4 = Achieved level 4
5 = Achieved level 5
6 = Achieved level 6
A = Absent from one or more test papers
L = Pupil left the school before the test
M = Script missing
Q = Maladministration
S = Pending Maladmin
X = Lost
Z = Ineligible
F = will take test in future year
P = has taken test in previous year
NULL (blank) = results deliberately not provided by school
Q	Maladministration 		
A	Absent 		
D	Disapplied 		
L	Left  		
F	Pupil will take test in the future 		
P	Pupil has taken test in the past		
M	Missing (used where school records are unavailable)		
Z	Ineligible</t>
  </si>
  <si>
    <t>KS2_SCITAOUTCOME</t>
  </si>
  <si>
    <t>SCITAOUTCOME</t>
  </si>
  <si>
    <t>Outcome for the science teacher assessment</t>
  </si>
  <si>
    <t>KS2_MATTAOUTCOME</t>
  </si>
  <si>
    <t>MATTAOUTCOME</t>
  </si>
  <si>
    <t>Outcome for the maths teacher assessment</t>
  </si>
  <si>
    <t>KS2_READTAOUTCOME</t>
  </si>
  <si>
    <t>READTAOUTCOME</t>
  </si>
  <si>
    <t>Outcome for the reading teacher assessment</t>
  </si>
  <si>
    <t>KS2_ELIGREAD</t>
  </si>
  <si>
    <t>ELIGREAD</t>
  </si>
  <si>
    <t>k2_elgrd</t>
  </si>
  <si>
    <t xml:space="preserve">2007/08 - </t>
  </si>
  <si>
    <t>Pupil included in the eligible pupil number for Reading i.e. has a test result of A,B,M,T,P,H,Q,S,AS,NS,CA,CN.  It is used as the denominator for school and LA calculations of achievement in Reading.</t>
  </si>
  <si>
    <t>KS2_ELIGREADTA</t>
  </si>
  <si>
    <t>ELIGREADTA</t>
  </si>
  <si>
    <t>2011/12 -</t>
  </si>
  <si>
    <t>Pupil included in the eligible pupil number for Reading TA i.e. has teacher assessment of A,D,M,P,HNM, EXS.</t>
  </si>
  <si>
    <t>KS2_ELIGWRIT</t>
  </si>
  <si>
    <t>ELIGWRIT</t>
  </si>
  <si>
    <t>k2_elwrt</t>
  </si>
  <si>
    <t>2007/08 - 2011/12</t>
  </si>
  <si>
    <t>Pupil included in the eligible pupil number for Writing i.e. has a test result of A, B, M, N, P, T, 2-6, Q or S.  It is used as the denominator for school and LA calculations of achievement in Writing.</t>
  </si>
  <si>
    <t>KS2_ELIGWRITTA</t>
  </si>
  <si>
    <t>ELIGWRITTA</t>
  </si>
  <si>
    <t xml:space="preserve">Pupil included in the eligible pupil number for Writing TA i.e. has teacher assessment of A,D,M,P,WTS, GDS, EXS, BLW, PKE, PKF, PKG.  </t>
  </si>
  <si>
    <t>KS2_ELIGENG</t>
  </si>
  <si>
    <t>ELIGENG</t>
  </si>
  <si>
    <t>k2_elige</t>
  </si>
  <si>
    <t>2003/04 - 2011/12</t>
  </si>
  <si>
    <t>Pupil included in the eligible pupil number for English i.e. has a test result of A, B, M, N, P, T, 2-6 or Q.  It is used as the denominator for school and LA calculations of achievement in English.</t>
  </si>
  <si>
    <t>KS2_ELIGENGTA</t>
  </si>
  <si>
    <t>ELIGENGTA</t>
  </si>
  <si>
    <t>2009/10 - 2015/16</t>
  </si>
  <si>
    <t>Pupil included in the eligible pupil number for English TA i.e. has a teacher assessment level of 1-6, A, D or W.</t>
  </si>
  <si>
    <t>KS2_ELIGMAT</t>
  </si>
  <si>
    <t>ELIGMAT</t>
  </si>
  <si>
    <t>k2_eligm</t>
  </si>
  <si>
    <t xml:space="preserve">Pupil included in the eligible pupil number for Maths i.e. has a test result of A,B,M,T,P,H,Q,S,AS,NS,CA,CN.  It is used as the denominator for school and LA calculations of achievement in Maths.  </t>
  </si>
  <si>
    <t>KS2_ELIGMATTA</t>
  </si>
  <si>
    <t>ELIGMATTA</t>
  </si>
  <si>
    <t>2009/10 -</t>
  </si>
  <si>
    <t>Pupil included in the eligible pupil number for Maths TA i.e. has a teacher assessment of A,D,M,P,HNM, EXS, BLW, PKE, PKF, PKG</t>
  </si>
  <si>
    <t>KS2_ELIGENGLA</t>
  </si>
  <si>
    <t>ELIGENGLA</t>
  </si>
  <si>
    <t>2009/10 - 2011/12</t>
  </si>
  <si>
    <t>Eligible result in English for LA calcs</t>
  </si>
  <si>
    <t>KS2_ELIGREADLA</t>
  </si>
  <si>
    <t>ELIGREADLA</t>
  </si>
  <si>
    <t>Eligible result in Reading for LA calcs</t>
  </si>
  <si>
    <t>KS2_ELIGWRITLA</t>
  </si>
  <si>
    <t>ELIGWRITLA</t>
  </si>
  <si>
    <t>Eligible result in Writing for LA calcs</t>
  </si>
  <si>
    <t>KS2_ELIGGPSLA</t>
  </si>
  <si>
    <t>ELIGGPSLA</t>
  </si>
  <si>
    <t>Eligible result in GPS for LA calcs</t>
  </si>
  <si>
    <t>KS2_ELIGWRITTALA</t>
  </si>
  <si>
    <t>ELIGWRITTALA</t>
  </si>
  <si>
    <t>Eligible result in writing TA for LA calcs</t>
  </si>
  <si>
    <t>KS2_ELIGREADWRITTAMATLA</t>
  </si>
  <si>
    <t>ELIGREADWRITTAMATLA</t>
  </si>
  <si>
    <t>Eligible pupil  for reading, writing TA and maths for LA calcs</t>
  </si>
  <si>
    <t>KS2_ELIGMATLA</t>
  </si>
  <si>
    <t>ELIGMATLA</t>
  </si>
  <si>
    <t>Eligible result in Maths for LA calcs</t>
  </si>
  <si>
    <t>KS2_ELIGRWMLA</t>
  </si>
  <si>
    <t>ELIGRWMLA</t>
  </si>
  <si>
    <t>Eligible pupil for reading, writing TA and maths for LA calcs</t>
  </si>
  <si>
    <t>KS2_ELIGSCI</t>
  </si>
  <si>
    <t>ELIGSCI</t>
  </si>
  <si>
    <t>k2_eligs</t>
  </si>
  <si>
    <t>2003/04 - 2008/09</t>
  </si>
  <si>
    <t>Pupil included in the eligible pupil number for Science i.e. has a test result of A, B, M, N, P, T, 2-5 or Q.  It is used as the denominator for school and LA calculations of achievement in Science.</t>
  </si>
  <si>
    <t>KS2_ELIGSCITA</t>
  </si>
  <si>
    <t>ELIGSCITA</t>
  </si>
  <si>
    <t>Pupil included in the eligible pupil number for Science TA i.e. has a teacher assessment of A,D,M,P,HNM, EXS</t>
  </si>
  <si>
    <t>KS2_ELIGREADWRITTAMAT</t>
  </si>
  <si>
    <t>ELIGREADWRITTAMAT</t>
  </si>
  <si>
    <t>Eligible pupil for reading, writing TA and maths flag</t>
  </si>
  <si>
    <t>KS2_VALREADWRITTAMAT</t>
  </si>
  <si>
    <t>VALREADWRITTAMAT</t>
  </si>
  <si>
    <t>Eligible pupil for reading, writing TA and maths (exc missing) flag</t>
  </si>
  <si>
    <t>KS2_ELIGGPS</t>
  </si>
  <si>
    <t>ELIGGPS</t>
  </si>
  <si>
    <t xml:space="preserve">Pupil included in the eligible pupil number for GPS i.e. has a test result of A,B,M,T,P,H,Q,S,AS,NS,CA,CN.  It is used as the denominator for school and LA calculations of achievement in GPS.  </t>
  </si>
  <si>
    <t>KS2_VALENG</t>
  </si>
  <si>
    <t>VALENG</t>
  </si>
  <si>
    <t>k2_vale</t>
  </si>
  <si>
    <t>Pupil included in the eligible pupil number for English and does not have a missing, unmatched past or lost results i.e. has a test result of A, B, N, T, 2-6 or Q (including overseas pupils).  It is used as the denominator for national calculations of achievement in English.</t>
  </si>
  <si>
    <t>KS2_VALENGTA</t>
  </si>
  <si>
    <t>VALENGTA</t>
  </si>
  <si>
    <t xml:space="preserve">Pupil included in the eligible pupil number for English TA and does not have a missing, unmatched past results i.e. has a teacher assessment level of 1-6, A, D or W.  </t>
  </si>
  <si>
    <t>KS2_VALREAD</t>
  </si>
  <si>
    <t>VALREAD</t>
  </si>
  <si>
    <t>2008/09 -</t>
  </si>
  <si>
    <t xml:space="preserve">Pupil included in the eligible pupil number for reading and does not have a missing, unmatched past or lost results i.e. has a test result of A,B,T,H,Q,AS,NS,CA,CN (including overseas pupils).  It is used as the denominator for national calculations of achievement in reading.  </t>
  </si>
  <si>
    <t>KS2_VALREADTA</t>
  </si>
  <si>
    <t>VALREADTA</t>
  </si>
  <si>
    <t>Pupil included in the eligible pupil number for Reading TA and does not have a missing, unmatched past results i.e. has a teacher assessment level of A,D,HNM, EXS, BLW, PKE, PKF, PKG (including overseas pupils).</t>
  </si>
  <si>
    <t>KS2_VALWRIT</t>
  </si>
  <si>
    <t>VALWRIT</t>
  </si>
  <si>
    <t>2008/09 - 2011/12</t>
  </si>
  <si>
    <t xml:space="preserve">Pupil included in the eligible pupil number for writing and does not have a missing, unmatched past or lost results i.e. has a test result of A, B, N, T, 2-6 or Q (including overseas pupils).  It is used as the denominator for national calculations of achievement in writing.  </t>
  </si>
  <si>
    <t>KS2_VALWRITTA</t>
  </si>
  <si>
    <t>VALWRITTA</t>
  </si>
  <si>
    <t>Pupil included in the eligible pupil number for Writing TA and does not have a missing, unmatched past results i.e. has a teacher assessment level of A,D,WTS, GDS, EXS, BLW, PKE, PKF, PKG (including overseas pupils).</t>
  </si>
  <si>
    <t>KS2_VALMAT</t>
  </si>
  <si>
    <t>VALMAT</t>
  </si>
  <si>
    <t>k2_valm</t>
  </si>
  <si>
    <t xml:space="preserve">Pupil included in the eligible pupil number for Maths and does not have a missing, unmatched past or lost results i.e. has a test result of A,B,T,H,Q,AS,NS,CA,CN (including overseas pupils).  It is used as the denominator for national calculations of achievement in Maths.  </t>
  </si>
  <si>
    <t>KS2_VALMATTA</t>
  </si>
  <si>
    <t>VALMATTA</t>
  </si>
  <si>
    <t>Pupil included in the eligible pupil number for Maths TA and does not have a missing, unmatched past results i.e. has a teacher assessment level of A,D,HNM, EXS, BLW, PKE, PKF, PKG (including overseas pupils).</t>
  </si>
  <si>
    <t>KS2_VALSCI</t>
  </si>
  <si>
    <t>VALSCI</t>
  </si>
  <si>
    <t>k2_vals</t>
  </si>
  <si>
    <t>Pupil included in the eligible pupil number for Science and does not have a missing, unmatched past or lost results i.e. has a test result of A, B, N, T, 2-5 or Q (including overseas pupils).  It is used as the denominator for national calculations of achievement in Science.</t>
  </si>
  <si>
    <t>KS2_VALSCITA</t>
  </si>
  <si>
    <t>VALSCITA</t>
  </si>
  <si>
    <t>Pupil included in the eligible pupil number for Science TA and does not have a missing, unmatched past results i.e. has a teacher assessment level of A,D,HNM, EXS (including overseas pupils).</t>
  </si>
  <si>
    <t>KS2_VALGPS</t>
  </si>
  <si>
    <t>VALGPS</t>
  </si>
  <si>
    <t>Eligible pupil for KS2 GPS  (exc missing) flag</t>
  </si>
  <si>
    <t>1 = No
1 = Yes</t>
  </si>
  <si>
    <t>KS2_READEXP</t>
  </si>
  <si>
    <t>READEXP</t>
  </si>
  <si>
    <t>Reached expected standard in reading test</t>
  </si>
  <si>
    <t>KS2_MATEXP</t>
  </si>
  <si>
    <t>MATEXP</t>
  </si>
  <si>
    <t>Reached expected standard in maths test</t>
  </si>
  <si>
    <t>KS2_GPSEXP</t>
  </si>
  <si>
    <t>GPSEXP</t>
  </si>
  <si>
    <t>Reached expected standard in GPS test</t>
  </si>
  <si>
    <t>KS2_READHIGH</t>
  </si>
  <si>
    <t>READHIGH</t>
  </si>
  <si>
    <t>Achieved high score in reading test</t>
  </si>
  <si>
    <t>KS2_MATHIGH</t>
  </si>
  <si>
    <t>MATHIGH</t>
  </si>
  <si>
    <t>Achieved high score in maths test</t>
  </si>
  <si>
    <t>KS2_GPSHIGH</t>
  </si>
  <si>
    <t>GPSHIGH</t>
  </si>
  <si>
    <t>Achieved high score in GPS test</t>
  </si>
  <si>
    <t>KS2_READAT</t>
  </si>
  <si>
    <t>READAT</t>
  </si>
  <si>
    <t>Absent or unable to access the test in reading</t>
  </si>
  <si>
    <t>KS2_MATAT</t>
  </si>
  <si>
    <t>MATAT</t>
  </si>
  <si>
    <t>Absent or unable to access the test in maths</t>
  </si>
  <si>
    <t>KS2_GPSAT</t>
  </si>
  <si>
    <t>GPSAT</t>
  </si>
  <si>
    <t>Absent or unable to access the test in GPS</t>
  </si>
  <si>
    <t>KS2_READLEVTA</t>
  </si>
  <si>
    <t>READLEVTA</t>
  </si>
  <si>
    <t>National Curriculum level awarded for English reading Teacher Assessment.</t>
  </si>
  <si>
    <t>KS2_WRITLEVTA</t>
  </si>
  <si>
    <t>WRITLEVTA</t>
  </si>
  <si>
    <t>National Curriculum level awarded for English writing Teacher Assessment.</t>
  </si>
  <si>
    <t>KS2_PRREADLEV</t>
  </si>
  <si>
    <t>PRREADLEV</t>
  </si>
  <si>
    <t>Prior KS1 reading level</t>
  </si>
  <si>
    <t>A, D, W, 1, 2C, 2B, 2A, 3, 4</t>
  </si>
  <si>
    <t>KS2_PRWRITLEV</t>
  </si>
  <si>
    <t>PRWRITLEV</t>
  </si>
  <si>
    <t>Prior KS1 writing level</t>
  </si>
  <si>
    <t>KS2_PRMATLEV</t>
  </si>
  <si>
    <t>PRMATLEV</t>
  </si>
  <si>
    <t>Prior KS1 maths level</t>
  </si>
  <si>
    <t>KS2_WELSHTALEV</t>
  </si>
  <si>
    <t>WELSHTALEV</t>
  </si>
  <si>
    <t>k2_welta</t>
  </si>
  <si>
    <t>1996/97 - 2000/01</t>
  </si>
  <si>
    <t>Overall level for Welsh Teacher Assessment Level</t>
  </si>
  <si>
    <t>A = Absent
D = Disapplied
L = Left
N = No test level awarded
W = Working towards level 1
1 = Achieved Level 1
2 = Achieved Level 2
3 = Achieved Level 3
4 = Achieved Level 4
5 = Achieved Level 5</t>
  </si>
  <si>
    <t>KS2_WELSHLEV</t>
  </si>
  <si>
    <t>WELSHLEV</t>
  </si>
  <si>
    <t>k2_levwe</t>
  </si>
  <si>
    <t>Overall Welsh Test Level</t>
  </si>
  <si>
    <t>A = Absent
B = Below level of test
D = Disapplied
L = Left
N = No test level awarded
W = Working towards level 1
1 = Achieved Level 1
2 = Achieved Level 2
3 = Achieved Level 3
4 = Achieved Level 4
5 = Achieved Level 5</t>
  </si>
  <si>
    <t>KS2_ENGTIER</t>
  </si>
  <si>
    <t>ENGTIER</t>
  </si>
  <si>
    <t>k2_tiere</t>
  </si>
  <si>
    <t>1998/99 - 2011/12</t>
  </si>
  <si>
    <t>English paper sat by pupil.</t>
  </si>
  <si>
    <t>35 = Tier 3-5
A,B,F,IN,L,M,P,T,Y,Z
See sheet 'Codeset (Results)', subsection GRADE for an explanation of allowable values</t>
  </si>
  <si>
    <t>KS2_READMRK</t>
  </si>
  <si>
    <t>READMRK</t>
  </si>
  <si>
    <t>k2_read</t>
  </si>
  <si>
    <t>Marks achieved in English reading test.</t>
  </si>
  <si>
    <t>0 - 50
A,IN,M
See sheet 'Codeset (Results)', subsection GRADE for an explanation of allowable values</t>
  </si>
  <si>
    <t>KS2_GPSPAPER1MRK</t>
  </si>
  <si>
    <t>GPSPAPER1MRK</t>
  </si>
  <si>
    <t>Marks achieved in grammar, vocabulary and punctuation</t>
  </si>
  <si>
    <t>0 - 50
A,IN,M</t>
  </si>
  <si>
    <t>KS2_GPSPAPER2MRK</t>
  </si>
  <si>
    <t>GPSPAPER2MRK</t>
  </si>
  <si>
    <t>Marks achieved in spelling</t>
  </si>
  <si>
    <t xml:space="preserve">0 - 20
A,IN,M
</t>
  </si>
  <si>
    <t>KS2_GPSMRK</t>
  </si>
  <si>
    <t>GPSMRK</t>
  </si>
  <si>
    <t>Marks achieved in English grammar,punctuation and spelling test test</t>
  </si>
  <si>
    <t xml:space="preserve">0 -70
A,IN,M
</t>
  </si>
  <si>
    <t>KS2_MATPAPER2MRK</t>
  </si>
  <si>
    <t>MATPAPER2MRK</t>
  </si>
  <si>
    <t>Marks achieved in Paper 2 (mathematical reasoning) of the maths test</t>
  </si>
  <si>
    <t xml:space="preserve">0 - 35
A,IN,M
</t>
  </si>
  <si>
    <t>KS2_MATPAPER3MRK</t>
  </si>
  <si>
    <t>MATPAPER3MRK</t>
  </si>
  <si>
    <t>Marks achieved in Paper 3 (mathematical reasoning) of the maths test</t>
  </si>
  <si>
    <t>KS2_MATARITHMRK</t>
  </si>
  <si>
    <t>MATARITHMRK</t>
  </si>
  <si>
    <t xml:space="preserve">Marks achieved in Paper 1 (arithmetic) of the maths test </t>
  </si>
  <si>
    <t xml:space="preserve">0 - 40
A,IN,M
</t>
  </si>
  <si>
    <t>KS2_MATMRK</t>
  </si>
  <si>
    <t>MATMRK</t>
  </si>
  <si>
    <t>Total marks achieved in maths test (sum of arithmetic, paper 2 and paper 3 marks)</t>
  </si>
  <si>
    <t xml:space="preserve">0 - 110
A,IN,M
</t>
  </si>
  <si>
    <t>KS2_ENGWRITMRK</t>
  </si>
  <si>
    <t>ENGWRITMRK</t>
  </si>
  <si>
    <t>k2_writ</t>
  </si>
  <si>
    <t>1995/96 - 2011/12</t>
  </si>
  <si>
    <t>Marks achieved in English writing test.</t>
  </si>
  <si>
    <t>KS2_ENGHNDWRMRK</t>
  </si>
  <si>
    <t>ENGHNDWRMRK</t>
  </si>
  <si>
    <t>k2_hwrit</t>
  </si>
  <si>
    <t>1995/96 - 2001/02</t>
  </si>
  <si>
    <t>English Handwriting Test Mark</t>
  </si>
  <si>
    <t>0 - 5
_NV = Null value entered</t>
  </si>
  <si>
    <t>KS2_ENGSPELLMRK</t>
  </si>
  <si>
    <t>ENGSPELLMRK</t>
  </si>
  <si>
    <t>k2_spell</t>
  </si>
  <si>
    <t>English Spelling Test Mark</t>
  </si>
  <si>
    <t>0 - 10
_NV = Null value entered</t>
  </si>
  <si>
    <t>KS2_ENGTOTMRK</t>
  </si>
  <si>
    <t>ENGTOTMRK</t>
  </si>
  <si>
    <t>k2_tote</t>
  </si>
  <si>
    <t>Total marks achieved in English test (sum of reading and writing tests).</t>
  </si>
  <si>
    <t>0 - 100
A,IN,M
See sheet 'Codeset (Results)', subsection GRADE for an explanation of allowable values</t>
  </si>
  <si>
    <t>KS2_ENGEXTMRK</t>
  </si>
  <si>
    <t>ENGEXTMRK</t>
  </si>
  <si>
    <t>k2_extem</t>
  </si>
  <si>
    <t>English Extension Mark</t>
  </si>
  <si>
    <t>0 - 34
_NV = Null Value entered</t>
  </si>
  <si>
    <t>KS2_READLEV</t>
  </si>
  <si>
    <t>READLEV</t>
  </si>
  <si>
    <t>k2_levr</t>
  </si>
  <si>
    <t>1998/99 - 2015/16</t>
  </si>
  <si>
    <t>National Curriculum level awarded for English reading test.</t>
  </si>
  <si>
    <t>3-6,A,B,F,IN,L,M,N,P,Q,S,T,X,Y,Z
See sheet 'Codeset (Results)', subsection GRADE for an explanation of allowable values</t>
  </si>
  <si>
    <t>KS2_ENGWRITLEV</t>
  </si>
  <si>
    <t>ENGWRITLEV</t>
  </si>
  <si>
    <t>k2_levwr</t>
  </si>
  <si>
    <t>National Curriculum level awarded for English writing test (forms half of overall English test).</t>
  </si>
  <si>
    <t>KS2_ENGTALEV</t>
  </si>
  <si>
    <t>ENGTALEV</t>
  </si>
  <si>
    <t>k2_engta</t>
  </si>
  <si>
    <t>1995/96 - 2008/09</t>
  </si>
  <si>
    <t>National Curriculum level awarded for English Teacher Assessment.</t>
  </si>
  <si>
    <t>2-5,A,B,F,L,M,N,P,Q,S,T,X,Z
See sheet 'Codeset (Results)', subsection GRADE for an explanation of allowable values</t>
  </si>
  <si>
    <t>KS2_ENGMAINLEV</t>
  </si>
  <si>
    <t>ENGMAINLEV</t>
  </si>
  <si>
    <t>k2_maine</t>
  </si>
  <si>
    <t>English Main Test Level</t>
  </si>
  <si>
    <t>2 = Achieved Level 2
3 = Achieved Level 3
4 = Achieved Level 4
5 = Achieved Level 5
A = Absent
B = Below level of test
D = Disapplied
L = Left
M = Missing
N = No test level awarded
Q = Malpractice
X =  Not entered for test
Z = Pupils who registered but are ineligible
_X = Invalid Code entered</t>
  </si>
  <si>
    <t>KS2_ENGLEV</t>
  </si>
  <si>
    <t>k2_leve</t>
  </si>
  <si>
    <t>National Curriculum level awarded for English test.</t>
  </si>
  <si>
    <t>KS2_ENGLEVTA</t>
  </si>
  <si>
    <t>ENGLEVTA</t>
  </si>
  <si>
    <t>1-6,A,D,F,IN,L,M,P,W,Z
See sheet 'Codeset (Results)', subsection GRADE for an explanation of allowable values</t>
  </si>
  <si>
    <t>KS2_ENGEXTLEV</t>
  </si>
  <si>
    <t>ENGEXTLEV</t>
  </si>
  <si>
    <t>k2_extel</t>
  </si>
  <si>
    <t>English Extension Test Level</t>
  </si>
  <si>
    <t>See sheet 'Codeset (Results)', subsection GRADE for an explanation of allowable values</t>
  </si>
  <si>
    <t>KS2_ENGPOINTS</t>
  </si>
  <si>
    <t>ENGPOINTS</t>
  </si>
  <si>
    <t>k2_epts</t>
  </si>
  <si>
    <t>2005/06 - 2011/12</t>
  </si>
  <si>
    <t>English attainment point score.</t>
  </si>
  <si>
    <t>0, 15, 21, 27, 33, 39, 45, 51</t>
  </si>
  <si>
    <t>KS2_ENGFINE</t>
  </si>
  <si>
    <t>ENGFINE</t>
  </si>
  <si>
    <t>k2_efine</t>
  </si>
  <si>
    <t>Finely graded level of English test.</t>
  </si>
  <si>
    <t>2.5-8.0</t>
  </si>
  <si>
    <t>KS2_MATTIER</t>
  </si>
  <si>
    <t>MATTIER</t>
  </si>
  <si>
    <t>k2_tierm</t>
  </si>
  <si>
    <t>Maths paper sat by pupil.</t>
  </si>
  <si>
    <t>35 = Tier 3-5
A,B,F,H,IN,L,M,P,T,Y,Z
See sheet 'Codeset (Results)', subsection GRADE for an explanation of allowable values</t>
  </si>
  <si>
    <t>KS2_MATTESTAMRK</t>
  </si>
  <si>
    <t>MATTESTAMRK</t>
  </si>
  <si>
    <t>k2_pap1m</t>
  </si>
  <si>
    <t>Marks achieved in Paper A of Maths test.</t>
  </si>
  <si>
    <t>0 - 40
A,IN,M
See sheet 'Codeset (Results)', subsection GRADE for an explanation of allowable values</t>
  </si>
  <si>
    <t>KS2_MATTESTBMRK</t>
  </si>
  <si>
    <t>MATTESTBMRK</t>
  </si>
  <si>
    <t>k2_pap2m</t>
  </si>
  <si>
    <t>Marks achieved in Paper B of Maths test.</t>
  </si>
  <si>
    <t>KS2_MATARTHMRK</t>
  </si>
  <si>
    <t>MATARTHMRK</t>
  </si>
  <si>
    <t>k2_marit</t>
  </si>
  <si>
    <t>1997/98 - 2015/16</t>
  </si>
  <si>
    <t>Marks achieved in mental arithmetic paper of Maths test.</t>
  </si>
  <si>
    <t>0 - 20
A,IN,M
See sheet 'Codeset (Results)', subsection GRADE for an explanation of allowable values</t>
  </si>
  <si>
    <t>KS2_MATTOTMRK</t>
  </si>
  <si>
    <t>MATTOTMRK</t>
  </si>
  <si>
    <t>k2_totm</t>
  </si>
  <si>
    <t>Total marks achieved in Maths test (sum of Paper A, Paper B and mental arithmetic tests).</t>
  </si>
  <si>
    <t>KS2_MATEXTMRK</t>
  </si>
  <si>
    <t>MATEXTMRK</t>
  </si>
  <si>
    <t>k2_extmm</t>
  </si>
  <si>
    <t>Maths Extension Mark</t>
  </si>
  <si>
    <t>0 - 30
_NV = Null Value entered</t>
  </si>
  <si>
    <t>KS2_MATTALEV</t>
  </si>
  <si>
    <t>MATTALEV</t>
  </si>
  <si>
    <t>k2_matta</t>
  </si>
  <si>
    <t>National Curriculum level awarded for Maths Teacher Assessment.</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</si>
  <si>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ineligible
Z = Pupils who registered but are ineligible
IN = Invalid
_X = Invalid Code entered</t>
  </si>
  <si>
    <t>KS2_MATMAINLEV</t>
  </si>
  <si>
    <t>MATMAINLEV</t>
  </si>
  <si>
    <t>k2_mainm</t>
  </si>
  <si>
    <t>Maths Main Test Level</t>
  </si>
  <si>
    <t>2 = Achieved Level 2
3 = Achieved Level 3
4 = Achieved Level 4
5 = Achieved Level 5
6 =  Achieved Level 6
A = Absent
B = Below level of test
D = Disapplied
L = Left
M = Missing
N = No test level awarded
Q = Malpractice
X =  Not entered for test
Y= ineligible
Z = Pupils who registered but are ineligible
_X = Invalid Code entered</t>
  </si>
  <si>
    <t>KS2_MATLEV</t>
  </si>
  <si>
    <t>MATLEV</t>
  </si>
  <si>
    <t>k2_levm</t>
  </si>
  <si>
    <t>National Curriculum level awarded for Maths test.</t>
  </si>
  <si>
    <t>2-6,A,H,L,M,N,Q,S,W,X,-
See sheet 'Codeset (Results)', subsection GRADE for an explanation of allowable values</t>
  </si>
  <si>
    <t>KS2_MATEXTLEV</t>
  </si>
  <si>
    <t>MATEXTLEV</t>
  </si>
  <si>
    <t>k2_extml</t>
  </si>
  <si>
    <t>Maths Extension Test Level</t>
  </si>
  <si>
    <t>6
_X = Invalid Code entered</t>
  </si>
  <si>
    <t>KS2_MATLEVTA</t>
  </si>
  <si>
    <t>MATLEVTA</t>
  </si>
  <si>
    <t>KS2_MATPOINTS</t>
  </si>
  <si>
    <t>k2_mpts</t>
  </si>
  <si>
    <t>KS2_MATFINE</t>
  </si>
  <si>
    <t>MATFINE</t>
  </si>
  <si>
    <t>k2_mfine</t>
  </si>
  <si>
    <t>Finely graded level of Maths test.</t>
  </si>
  <si>
    <t>KS2_SCILEVTA</t>
  </si>
  <si>
    <t>SCILEVTA</t>
  </si>
  <si>
    <t>k2_scita</t>
  </si>
  <si>
    <t>National Curriculum level awarded for Science Teacher Assessment.</t>
  </si>
  <si>
    <t>KS2_GPSLEV</t>
  </si>
  <si>
    <t>GPSLEV</t>
  </si>
  <si>
    <t>Current attainment KS2: Grammar, Punctuation and Spelling</t>
  </si>
  <si>
    <t>KS2_READFINE</t>
  </si>
  <si>
    <t>READFINE</t>
  </si>
  <si>
    <t>Finely graded level of Reading test.</t>
  </si>
  <si>
    <t>2.5-6.50</t>
  </si>
  <si>
    <t>KS2_GPSFINE</t>
  </si>
  <si>
    <t>GPSFINE</t>
  </si>
  <si>
    <t>Finely graded level of GPS test.</t>
  </si>
  <si>
    <t>KS2_SCITIER</t>
  </si>
  <si>
    <t>SCITIER</t>
  </si>
  <si>
    <t>k2_tiers</t>
  </si>
  <si>
    <t xml:space="preserve">1998/99 - 2008/09 </t>
  </si>
  <si>
    <t>Science paper sat by pupil.</t>
  </si>
  <si>
    <t>2 = Tier 2
35 = Tiers 3 to 5
A = Absent
B = Working below level of test
D = Disapplied
E = Extension Paper
F = Taking test in a future year
L = Left
M = Missing
P = Took test in a previous year
T = Unable to access test
Y/Z = Ineligible
IN = Invalid
_X = Invalid Code entered</t>
  </si>
  <si>
    <t>KS2_SCITESTAMRK</t>
  </si>
  <si>
    <t>SCITESTAMRK</t>
  </si>
  <si>
    <t>k2_papas</t>
  </si>
  <si>
    <t>Marks achieved in Paper A of Science test.</t>
  </si>
  <si>
    <t>0 - 40
A = Absent
M = Missing
_NV = Null Value entered</t>
  </si>
  <si>
    <t>KS2_SCITESTBMRK</t>
  </si>
  <si>
    <t>SCITESTBMRK</t>
  </si>
  <si>
    <t>k2_papbs</t>
  </si>
  <si>
    <t>Marks achieved in Paper B of Science test.</t>
  </si>
  <si>
    <t>KS2_SCITOTMRK</t>
  </si>
  <si>
    <t>SCITOTMRK</t>
  </si>
  <si>
    <t>k2_tots</t>
  </si>
  <si>
    <t>Total marks achieved in Science test (sum of Paper A and Paper B tests).</t>
  </si>
  <si>
    <t>0 - 80
A = Absent
M = Missing
_NV = Null Value entered</t>
  </si>
  <si>
    <t>KS2_SCIEXTMRK</t>
  </si>
  <si>
    <t>SCIEXTMRK</t>
  </si>
  <si>
    <t>k2_extsm</t>
  </si>
  <si>
    <t>Science Extension Mark</t>
  </si>
  <si>
    <t>KS2_SCITALEV</t>
  </si>
  <si>
    <t>SCITALEV</t>
  </si>
  <si>
    <t>1 = Achieved Level 1
2 = Achieved Level 2
3 = Achieved Level 3
4 = Achieved Level 4
5 = Achieved Level 5
6 = Achieved Level 6
A = Absent
D = Disapplied
F = KS2 pupil not at end of KS2 and taking this subject in future years
L = Left
M = Missing
N = No test level awarded
P = Results for this subject found in previous year's dataset 
W = Working towards level 1
Y = ineligible
Z = Pupils who registered but are ineligible
IN = Invalid
_X = Invalid Code entered</t>
  </si>
  <si>
    <t>KS2_SCIMAINLEV</t>
  </si>
  <si>
    <t>SCIMAINLEV</t>
  </si>
  <si>
    <t>k2_mains</t>
  </si>
  <si>
    <t>Science Main Test Level</t>
  </si>
  <si>
    <t>2 = Achieved Level 2
3 = Achieved Level 3
4 = Achieved Level 4
5 = Achieved Level 5
A = Absent
B = Below level of test
D = Disapplied
L = Left
M = Missing
N = No test level awarded
Q = Malpractice
Z = Pupils who registered but are ineligible
_X = Invalid Code entered</t>
  </si>
  <si>
    <t>KS2_SCILEV</t>
  </si>
  <si>
    <t>SCILEV</t>
  </si>
  <si>
    <t>k2_levs</t>
  </si>
  <si>
    <t>National Curriculum level awarded for Science test.</t>
  </si>
  <si>
    <t>1 = Achieved Level 1
2 = Achieved Level 2
3 = Achieved Level 3
4 = Achieved Level 4
5 = Achieved Level 5
6 = Achieved Level 6
A = Absent
B = Working below the level assessed by the test
D = Disapplied
F = KS2 pupil not at end of KS2 and taking this subject in future years 
L = Left
M = Missing
N = No test level awarded
P = Results for this subject found in previous year's dataset 
Q = Malpractice
T = Working at the level of the tests but not able to access them
W = Working towards level 1
X = Lost
Y = DfE ineligible
Z = Ineligible
_X = Invalid Code entered</t>
  </si>
  <si>
    <t>KS2_SCIEXTLEV</t>
  </si>
  <si>
    <t>SCIEXTLEV</t>
  </si>
  <si>
    <t>k2_extsl</t>
  </si>
  <si>
    <t>Science Extension Test Level</t>
  </si>
  <si>
    <t>KS2_SCIPOINTS</t>
  </si>
  <si>
    <t>k2_spts</t>
  </si>
  <si>
    <t xml:space="preserve">2005/06 - 2008/09  </t>
  </si>
  <si>
    <t>Science attainment point score.</t>
  </si>
  <si>
    <t>15, 21, 27, 33</t>
  </si>
  <si>
    <t>KS2_SCIFINE</t>
  </si>
  <si>
    <t>SCIFINE</t>
  </si>
  <si>
    <t>k2_sfine</t>
  </si>
  <si>
    <t xml:space="preserve">2005/06 - 2008/09 </t>
  </si>
  <si>
    <t>Finely graded level of Science test.</t>
  </si>
  <si>
    <t>KS2_WRITTAEXP</t>
  </si>
  <si>
    <t>WRITTAEXP</t>
  </si>
  <si>
    <t>Working at the expected standard or at greater depth in writing TA</t>
  </si>
  <si>
    <t>KS2_SCITAEXP</t>
  </si>
  <si>
    <t>SCITAEXP</t>
  </si>
  <si>
    <t>Working at the expected standard in science TA</t>
  </si>
  <si>
    <t>KS2_MATTAEXP</t>
  </si>
  <si>
    <t>MATTAEXP</t>
  </si>
  <si>
    <t>2015/16 - 2017/18</t>
  </si>
  <si>
    <t>Working at the expected standard in maths TA</t>
  </si>
  <si>
    <t>KS2_READTAEXP</t>
  </si>
  <si>
    <t>READTAEXP</t>
  </si>
  <si>
    <t>Working at the expected standard in reading TA</t>
  </si>
  <si>
    <t>KS2_WRITTADEPTH</t>
  </si>
  <si>
    <t>WRITTADEPTH</t>
  </si>
  <si>
    <t>Working at greater depth within the expected standard in writing TA</t>
  </si>
  <si>
    <t>KS2_WRITTAWTS</t>
  </si>
  <si>
    <t>WRITTAWTS</t>
  </si>
  <si>
    <t>Working towards the expected standard  in writing TA</t>
  </si>
  <si>
    <t>KS2_WRITTABEXP</t>
  </si>
  <si>
    <t>WRITTABEXP</t>
  </si>
  <si>
    <t>Below the expected standard in writing TA</t>
  </si>
  <si>
    <t>KS2_SCITABEXP</t>
  </si>
  <si>
    <t>SCITABEXP</t>
  </si>
  <si>
    <t>Below the expected standard in science TA</t>
  </si>
  <si>
    <t>KS2_MATTABEXP</t>
  </si>
  <si>
    <t>MATTABEXP</t>
  </si>
  <si>
    <t>Below the expected standard in maths TA</t>
  </si>
  <si>
    <t>KS2_READTABEXP</t>
  </si>
  <si>
    <t>READTABEXP</t>
  </si>
  <si>
    <t>Below the expected standard in reading TA</t>
  </si>
  <si>
    <t>KS2_WRITTAAD</t>
  </si>
  <si>
    <t>WRITTAAD</t>
  </si>
  <si>
    <t>Absent or disapplied in writing TA</t>
  </si>
  <si>
    <t>KS2_SCITAAD</t>
  </si>
  <si>
    <t>SCITAAD</t>
  </si>
  <si>
    <t>Absent or disapplied in science TA</t>
  </si>
  <si>
    <t>KS2_MATTAAD</t>
  </si>
  <si>
    <t>MATTAAD</t>
  </si>
  <si>
    <t>Absent or disapplied in maths TA</t>
  </si>
  <si>
    <t>KS2_READTAAD</t>
  </si>
  <si>
    <t>READTAAD</t>
  </si>
  <si>
    <t>Absent or disapplied in reading TA</t>
  </si>
  <si>
    <t>KS2_ELIGRWM</t>
  </si>
  <si>
    <t>ELIGRWM</t>
  </si>
  <si>
    <t>Pupil included in the eligible pupil number for reading, writing TA and maths</t>
  </si>
  <si>
    <t>KS2_VALRWM</t>
  </si>
  <si>
    <t>VALRWM</t>
  </si>
  <si>
    <t>Pupil included in the valid pupil number for reading, writing TA and maths</t>
  </si>
  <si>
    <t>KS2_RWMEXP</t>
  </si>
  <si>
    <t>RWMEXP</t>
  </si>
  <si>
    <t>Achieved the expected standard in reading test, writing TA and maths test</t>
  </si>
  <si>
    <t>KS2_RWMHIGH</t>
  </si>
  <si>
    <t>RWMHIGH</t>
  </si>
  <si>
    <t>Achieved high standard in reading test, writing TA and maths test</t>
  </si>
  <si>
    <t>KS2_KS1AVERAGE</t>
  </si>
  <si>
    <t>KS1AVERAGE</t>
  </si>
  <si>
    <t>KS1 average point score</t>
  </si>
  <si>
    <t xml:space="preserve"> 3 - 27</t>
  </si>
  <si>
    <t>KS2_INREADPROG</t>
  </si>
  <si>
    <t>INREADPROG</t>
  </si>
  <si>
    <t>Pupil in reading progress measure calculation</t>
  </si>
  <si>
    <t>KS2_INWRITPROG</t>
  </si>
  <si>
    <t>INWRITPROG</t>
  </si>
  <si>
    <t>Pupil in writing progress measure calculation</t>
  </si>
  <si>
    <t>KS2_INMATPROG</t>
  </si>
  <si>
    <t>INMATPROG</t>
  </si>
  <si>
    <t>Pupil in maths progress measure calculation</t>
  </si>
  <si>
    <t>KS2_KS1AVERAGE_GRP</t>
  </si>
  <si>
    <t>KS1AVERAGE_GRP</t>
  </si>
  <si>
    <t>2015/16 - 2016/17</t>
  </si>
  <si>
    <t>Prior attainment group for progress measures</t>
  </si>
  <si>
    <t>KS2_KS1AVERAGE_GRP_P</t>
  </si>
  <si>
    <t>KS1AVERAGE_GRP_P</t>
  </si>
  <si>
    <t>Prior attainment group for progress measures (including Pscales)</t>
  </si>
  <si>
    <t>KS2_KS2READSCORE</t>
  </si>
  <si>
    <t>KS2READSCORE</t>
  </si>
  <si>
    <t>KS2 reading attainment score for progress measure</t>
  </si>
  <si>
    <t>KS2_KS2WRITSCORE</t>
  </si>
  <si>
    <t>KS2WRITSCORE</t>
  </si>
  <si>
    <t>KS2 writing attainment score for progress measure</t>
  </si>
  <si>
    <t>KS2_KS2MATSCORE</t>
  </si>
  <si>
    <t>KS2MATSCORE</t>
  </si>
  <si>
    <t>KS2 maths attainment score for progress measure</t>
  </si>
  <si>
    <t>KS2_KS2READPRED</t>
  </si>
  <si>
    <t>KS2READPRED</t>
  </si>
  <si>
    <t>Predicted KS2 reading score</t>
  </si>
  <si>
    <t>KS2_KS2WRITPRED</t>
  </si>
  <si>
    <t>KS2WRITPRED</t>
  </si>
  <si>
    <t>Predicted KS2 writing score</t>
  </si>
  <si>
    <t>KS2_KS2MATPRED</t>
  </si>
  <si>
    <t>KS2MATPRED</t>
  </si>
  <si>
    <t>Predicted KS2 maths score</t>
  </si>
  <si>
    <t>KS2_KS2READPRED_P</t>
  </si>
  <si>
    <t>KS2READPRED_P</t>
  </si>
  <si>
    <t>Predicted KS2 reading score (including Pscales)</t>
  </si>
  <si>
    <t>KS2_KS2WRITPRED_P</t>
  </si>
  <si>
    <t>KS2WRITPRED_P</t>
  </si>
  <si>
    <t>Predicted KS2 writing score (including Pscales)</t>
  </si>
  <si>
    <t>KS2_KS2MATPRED_P</t>
  </si>
  <si>
    <t>KS2MATPRED_P</t>
  </si>
  <si>
    <t>Predicted KS2 maths score (including Pscales)</t>
  </si>
  <si>
    <t>KS2_READPROGSCORE</t>
  </si>
  <si>
    <t>READPROGSCORE</t>
  </si>
  <si>
    <t>Reading progress score</t>
  </si>
  <si>
    <t>KS2_WRITPROGSCORE</t>
  </si>
  <si>
    <t>WRITPROGSCORE</t>
  </si>
  <si>
    <t>Writing progress score</t>
  </si>
  <si>
    <t>KS2_MATPROGSCORE</t>
  </si>
  <si>
    <t>MATPROGSCORE</t>
  </si>
  <si>
    <t>Maths progress score</t>
  </si>
  <si>
    <t>KS2_READPROGSCORE_P</t>
  </si>
  <si>
    <t>READPROGSCORE_P</t>
  </si>
  <si>
    <t>Reading progress score (including Pscales)</t>
  </si>
  <si>
    <t>KS2_WRITPROGSCORE_P</t>
  </si>
  <si>
    <t>WRITPROGSCORE_P</t>
  </si>
  <si>
    <t>Writing progress score (including Pscales)</t>
  </si>
  <si>
    <t>KS2_MATPROGSCORE_P</t>
  </si>
  <si>
    <t>MATPROGSCORE_P</t>
  </si>
  <si>
    <t>Maths progress score (including Pscales)</t>
  </si>
  <si>
    <t>KS2_LEVLENG</t>
  </si>
  <si>
    <t>LEVLENG</t>
  </si>
  <si>
    <t>k2_lev2e</t>
  </si>
  <si>
    <t>Achieved Level 2 or below (low attainment) in KS2 English</t>
  </si>
  <si>
    <t>KS2_LEVLMAT</t>
  </si>
  <si>
    <t>k2_lev2m</t>
  </si>
  <si>
    <t>Achieved Level 2 or below (low attainment) in KS2 Maths.</t>
  </si>
  <si>
    <t>KS2_LEVLSCI</t>
  </si>
  <si>
    <t>k2_lev2s</t>
  </si>
  <si>
    <t xml:space="preserve">2006/07- 2008/09 </t>
  </si>
  <si>
    <t>Achieved Level 2 or below (low attainment) in KS2 Science.</t>
  </si>
  <si>
    <t>KS2_LEVLEMS</t>
  </si>
  <si>
    <t>LEVLEMS</t>
  </si>
  <si>
    <t>k2_lev2a</t>
  </si>
  <si>
    <t xml:space="preserve">2006/07 - 2008/09 </t>
  </si>
  <si>
    <t>Achieved Level 2 or below (low attainment) in KS2 English, Maths and Science.</t>
  </si>
  <si>
    <t>KS2_LEVLEMSTA</t>
  </si>
  <si>
    <t>LEVLEMSTA</t>
  </si>
  <si>
    <t>k2_lv2ta</t>
  </si>
  <si>
    <t>Achieved Level 2 or below (low attainment) in KS2 English, Maths and Science Teacher Assessment.</t>
  </si>
  <si>
    <t>KS2_LEVXREAD</t>
  </si>
  <si>
    <t>2008/09 - 2015/16</t>
  </si>
  <si>
    <t>Achieved Level 4 or above (expected level) in KS2 English reading.</t>
  </si>
  <si>
    <t>KS2_LEVXREADTA</t>
  </si>
  <si>
    <t>LEVXREADTA</t>
  </si>
  <si>
    <t>Achieved Level 4 or above (expected level) in KS2 Reading TA.</t>
  </si>
  <si>
    <t>KS2_LEVXWRIT</t>
  </si>
  <si>
    <t>Achieved Level 4 or above (expected level) in KS2 English writing.</t>
  </si>
  <si>
    <t>KS2_LEVXWRITTA</t>
  </si>
  <si>
    <t>LEVXWRITTA</t>
  </si>
  <si>
    <t>Achieved Level 4 or above (expected level) in KS2 Writing TA.</t>
  </si>
  <si>
    <t>KS2_LEVXENG</t>
  </si>
  <si>
    <t>LEVXENG</t>
  </si>
  <si>
    <t>k2_lev4e</t>
  </si>
  <si>
    <t>Achieved Level 4 or above in KS2 English.</t>
  </si>
  <si>
    <t>KS2_LEVXENGTA</t>
  </si>
  <si>
    <t>LEVXENGTA</t>
  </si>
  <si>
    <t>Achieved Level 4 or above (expected level) in KS2 English TA.</t>
  </si>
  <si>
    <t>KS2_LEVXMAT</t>
  </si>
  <si>
    <t>k2_lev4m</t>
  </si>
  <si>
    <t>2003/04 - 2015/16</t>
  </si>
  <si>
    <t>Achieved Level 4 or above in KS2 Maths.</t>
  </si>
  <si>
    <t>KS2_LEVXMATTA</t>
  </si>
  <si>
    <t>LEVXMATTA</t>
  </si>
  <si>
    <t>Achieved Level 4 or above (expected level) in KS2 Maths TA.</t>
  </si>
  <si>
    <t>KS2_LEVXGPS</t>
  </si>
  <si>
    <t>LEVXGPS</t>
  </si>
  <si>
    <t>Achieved Level 4 or above (expected level) in KS2: GPS test</t>
  </si>
  <si>
    <t>KS2_LEV4BREAD</t>
  </si>
  <si>
    <t>LEV4BREAD</t>
  </si>
  <si>
    <t>Achieved Level 4B or above (expected level) in KS2: Reading test</t>
  </si>
  <si>
    <t>KS2_LEV4BMAT</t>
  </si>
  <si>
    <t>LEV4BMAT</t>
  </si>
  <si>
    <t>Achieved Level 4B or above (expected level) in KS2: Maths test</t>
  </si>
  <si>
    <t>KS2_LEV4BGPS</t>
  </si>
  <si>
    <t>LEV4BGPS</t>
  </si>
  <si>
    <t>Achieved Level 4B or above (expected level) in KS2: GPS test</t>
  </si>
  <si>
    <t>KS2_LEVXSCI</t>
  </si>
  <si>
    <t>LEVXSCITA</t>
  </si>
  <si>
    <t>k2_lev4s</t>
  </si>
  <si>
    <t xml:space="preserve">2003/04 - 2008/09 </t>
  </si>
  <si>
    <t>Achieved Level 4 or above in KS2 Science.</t>
  </si>
  <si>
    <t>KS2_LEVXSCITA</t>
  </si>
  <si>
    <t>Achieved Level 4 or above (expected level) in KS2 Science TA.</t>
  </si>
  <si>
    <t>KS2_LEVXENGMAT</t>
  </si>
  <si>
    <t>LEVXENGMAT</t>
  </si>
  <si>
    <t>Achieved Level 4 or above (expected level) in KS2 English and Maths</t>
  </si>
  <si>
    <t>KS2_LEVXEMS</t>
  </si>
  <si>
    <t>LEVXEMS</t>
  </si>
  <si>
    <t>k2_lev4a</t>
  </si>
  <si>
    <t>2006/07- 2008/09</t>
  </si>
  <si>
    <t>Achieved Level 4 or above (expected level) in KS2 English, Maths and Science.</t>
  </si>
  <si>
    <t>KS2_LEVXEMSTA</t>
  </si>
  <si>
    <t>LEVXEMSTA</t>
  </si>
  <si>
    <t>k2_lv4ta</t>
  </si>
  <si>
    <t>Achieved Level 4 or above (expected level) in KS2 English, Maths and Science Teacher Assessment.</t>
  </si>
  <si>
    <t>KS2_LEVAXREAD</t>
  </si>
  <si>
    <t>Achieved Level 5 (above expected level) in KS2 English reading.</t>
  </si>
  <si>
    <t>KS2_LEVAXREADTA</t>
  </si>
  <si>
    <t>LEVAXREADTA</t>
  </si>
  <si>
    <t>Achieved Level 5 (above expected level) in KS2 Reading TA.</t>
  </si>
  <si>
    <t>KS2_LEVAXWRIT</t>
  </si>
  <si>
    <t>Achieved Level 5 or above (expected level) in KS2 English writing.</t>
  </si>
  <si>
    <t>KS2_LEVAXWRITTA</t>
  </si>
  <si>
    <t>LEVAXWRITTA</t>
  </si>
  <si>
    <t>Achieved Level 5 (above expected level) in KS2 Writing TA.</t>
  </si>
  <si>
    <t>KS2_LEVAXENG</t>
  </si>
  <si>
    <t>LEVAXENG</t>
  </si>
  <si>
    <t>k2_lev5e</t>
  </si>
  <si>
    <t>Achieved Level 5 in KS2 English.</t>
  </si>
  <si>
    <t>KS2_LEVAXENGTA</t>
  </si>
  <si>
    <t>LEVAXENGTA</t>
  </si>
  <si>
    <t>Achieved Level 5 (above expected level) in KS2 English TA.</t>
  </si>
  <si>
    <t>KS2_LEVAXMATTA</t>
  </si>
  <si>
    <t>KS2_LEVAXMAT</t>
  </si>
  <si>
    <t>k2_lev5m</t>
  </si>
  <si>
    <t>Achieved Level 5 in KS2 Maths.</t>
  </si>
  <si>
    <t>LEVAXMATTA</t>
  </si>
  <si>
    <t>Achieved Level 5 (above expected level) in KS2 Maths TA.</t>
  </si>
  <si>
    <t>KS2_LEVAXGPS</t>
  </si>
  <si>
    <t>LEVAXGPS</t>
  </si>
  <si>
    <t>Achieved Level 5 (above expected level) in KS2 GPS.</t>
  </si>
  <si>
    <t>KS2_LEVAXENGMAT</t>
  </si>
  <si>
    <t>LEVAXENGMAT</t>
  </si>
  <si>
    <t>2011/12 only</t>
  </si>
  <si>
    <t>Achieved Level 5 (above expected level) in KS2 English and KS2 Maths.</t>
  </si>
  <si>
    <t>KS2_LEVAXSCI</t>
  </si>
  <si>
    <t>k2_lev5s</t>
  </si>
  <si>
    <t>Achieved Level 5 in KS2 Science.</t>
  </si>
  <si>
    <t>KS2_LEVAXSCITA</t>
  </si>
  <si>
    <t>LEVAXSCITA</t>
  </si>
  <si>
    <t>Achieved Level 5 (above expected level) in KS2 Science TA.</t>
  </si>
  <si>
    <t>KS2_LEVAXEMS</t>
  </si>
  <si>
    <t>LEVAXEMS</t>
  </si>
  <si>
    <t>k2_lev5a</t>
  </si>
  <si>
    <t>Achieved Level 5 (above expected level) in KS2 English, Maths and Science.</t>
  </si>
  <si>
    <t>KS2_LEVAXEMSTA</t>
  </si>
  <si>
    <t>LEVAXEMSTA</t>
  </si>
  <si>
    <t>k2_lv5ta</t>
  </si>
  <si>
    <t>Achieved Level 5 (above expected level) in KS2 English, Maths and Science Teacher Assessment.</t>
  </si>
  <si>
    <t>KS2_LEVBXREAD</t>
  </si>
  <si>
    <t>LEVBXREAD</t>
  </si>
  <si>
    <t>Achieved Level 3 or below in KS2 Reading.</t>
  </si>
  <si>
    <t>KS2_LEVBXREADTA</t>
  </si>
  <si>
    <t>LEVBXREADTA</t>
  </si>
  <si>
    <t>Achieved Level 3 or below in KS2 Reading TA.</t>
  </si>
  <si>
    <t>KS2_LEVBXWRIT</t>
  </si>
  <si>
    <t>LEVBXWRIT</t>
  </si>
  <si>
    <t>Achieved Level 3 or below in KS2 Writing.</t>
  </si>
  <si>
    <t>KS2_LEVBXWRITTA</t>
  </si>
  <si>
    <t>LEVBXWRITTA</t>
  </si>
  <si>
    <t>Achieved Level 3 or below in KS2 Writing TA.</t>
  </si>
  <si>
    <t>KS2_LEVBXENG</t>
  </si>
  <si>
    <t>LEVBXENG</t>
  </si>
  <si>
    <t>Achieved Level 3 or below in KS2 English.</t>
  </si>
  <si>
    <t>KS2_LEVBXENGTA</t>
  </si>
  <si>
    <t>LEVBXENGTA</t>
  </si>
  <si>
    <t>Achieved Level 3 or below in KS2 English TA.</t>
  </si>
  <si>
    <t>KS2_LEVBXMAT</t>
  </si>
  <si>
    <t>LEVBXMAT</t>
  </si>
  <si>
    <t>Achieved Level 3 or below in KS2 Maths.</t>
  </si>
  <si>
    <t>KS2_LEVBXENGMAT</t>
  </si>
  <si>
    <t>LEVBXENGMAT</t>
  </si>
  <si>
    <t>Achieved Level 3 or below in KS2 English and KS2 Maths.</t>
  </si>
  <si>
    <t>KS2_LEVBXMATTA</t>
  </si>
  <si>
    <t>LEVBXMATTA</t>
  </si>
  <si>
    <t>Achieved Level 3 or below in KS2 Maths TA.</t>
  </si>
  <si>
    <t>KS2_LEVBXGPS</t>
  </si>
  <si>
    <t>LEVBXGPS</t>
  </si>
  <si>
    <t>Achieved Level 3 or below in KS2 GPS.</t>
  </si>
  <si>
    <t>KS2_LEV6READ</t>
  </si>
  <si>
    <t>LEV6READ</t>
  </si>
  <si>
    <t>Achieved Level 6 in KS2 Reading test.</t>
  </si>
  <si>
    <t>KS2_LEV6MAT</t>
  </si>
  <si>
    <t>LEV6MAT</t>
  </si>
  <si>
    <t>Achieved Level 6 in KS2 Maths test.</t>
  </si>
  <si>
    <t>KS2_LEV6GPS</t>
  </si>
  <si>
    <t>LEV6GPS</t>
  </si>
  <si>
    <t>Achieved Level 6 in KS2 GPS test.</t>
  </si>
  <si>
    <t>KS2_LEVXREADWRITTAMAT</t>
  </si>
  <si>
    <t>LEVXREADWRITTAMAT</t>
  </si>
  <si>
    <t>Achieved Level 4 or above in KS2 read test and KS2 maths test and level 4 in KS2 writing TA</t>
  </si>
  <si>
    <t>KS2_LEVAXREADWRITTAMAT</t>
  </si>
  <si>
    <t>LEVAXREADWRITTAMAT</t>
  </si>
  <si>
    <t>Achieved Level 5 or above in KS2 read test and KS2 maths test and level 4 in KS2 writing TA</t>
  </si>
  <si>
    <t>KS2_LEVBXREADWRITTAMAT</t>
  </si>
  <si>
    <t>LEVBXREADWRITTAMAT</t>
  </si>
  <si>
    <t>Achieved Level 3 or below in KS2 read test and KS2 maths test and in KS2 writing TA</t>
  </si>
  <si>
    <t>KS2_LEV4BREADWRITTAMAT</t>
  </si>
  <si>
    <t>LEV4BREADWRITTAMAT</t>
  </si>
  <si>
    <t>Achieved Level 4B or above in KS2 read test and KS2 maths test and level 4 in KS2 writing TA</t>
  </si>
  <si>
    <t>KS2_LEVBXSCITA</t>
  </si>
  <si>
    <t>LEVBXSCITA</t>
  </si>
  <si>
    <t>Achieved Level 3 or below in KS2 Science TA.</t>
  </si>
  <si>
    <t>KS2_LEVBXEMSTA</t>
  </si>
  <si>
    <t>LEVBXEMSTA</t>
  </si>
  <si>
    <t>Achieved Level 3 or below in KS2 English, Maths and Science Teacher Assessment.</t>
  </si>
  <si>
    <t>KS2_LEV6READMAT</t>
  </si>
  <si>
    <t>LEV6READMAT</t>
  </si>
  <si>
    <t>Achieved Level 6 in KS2 Reading or KS2 Maths</t>
  </si>
  <si>
    <t>KS2_LEVADREADTA</t>
  </si>
  <si>
    <t>LEVADREADTA</t>
  </si>
  <si>
    <t>Absent or Disapplied in Reading TA.</t>
  </si>
  <si>
    <t>KS2_LEVADWRITTA</t>
  </si>
  <si>
    <t>LEVADWRITTA</t>
  </si>
  <si>
    <t>Absent or Disapplied in Writing TA.</t>
  </si>
  <si>
    <t>KS2_LEVADENGTA</t>
  </si>
  <si>
    <t>LEVADENGTA</t>
  </si>
  <si>
    <t>Absent or Disapplied in English TA.</t>
  </si>
  <si>
    <t>KS2_LEVADMATTA</t>
  </si>
  <si>
    <t>LEVADMATTA</t>
  </si>
  <si>
    <t>Absent or Disapplied in Maths TA.</t>
  </si>
  <si>
    <t>KS2_LEVADSCITA</t>
  </si>
  <si>
    <t>LEVADSCITA</t>
  </si>
  <si>
    <t>Absent or Disapplied in Science TA.</t>
  </si>
  <si>
    <t>KS2_LEVATENG</t>
  </si>
  <si>
    <t>LEVATENG</t>
  </si>
  <si>
    <t>k2_levae</t>
  </si>
  <si>
    <t>Absent or unable to access the test in English.</t>
  </si>
  <si>
    <t>KS2_LEVATREAD</t>
  </si>
  <si>
    <t>LEVATREAD</t>
  </si>
  <si>
    <t>Absent or unable to access the test in Reading.</t>
  </si>
  <si>
    <t>KS2_LEVATGPS</t>
  </si>
  <si>
    <t>LEVATGPS</t>
  </si>
  <si>
    <t>Absent or unable to access the test in GPS.</t>
  </si>
  <si>
    <t>KS2_LEVATMAT</t>
  </si>
  <si>
    <t>LEVATMAT</t>
  </si>
  <si>
    <t>k2_levam</t>
  </si>
  <si>
    <t>Absent or unable to access the test in Maths.</t>
  </si>
  <si>
    <t>KS2_LEV6ENGTA</t>
  </si>
  <si>
    <t>LEV6ENGTA</t>
  </si>
  <si>
    <t>Achieved Level 6 in English TA</t>
  </si>
  <si>
    <t>KS2_LEV6MATTA</t>
  </si>
  <si>
    <t>LEV6MATTA</t>
  </si>
  <si>
    <t>Achieved Level 6 in maths TA</t>
  </si>
  <si>
    <t>KS2_LEV6SCITA</t>
  </si>
  <si>
    <t>LEV6SCITA</t>
  </si>
  <si>
    <t>Achieved Level 6 in science TA</t>
  </si>
  <si>
    <t>KS2_LEV6READTA</t>
  </si>
  <si>
    <t>LEV6READTA</t>
  </si>
  <si>
    <t>Achieved Level 6 in reading TA</t>
  </si>
  <si>
    <t>KS2_LEV6WRITTA</t>
  </si>
  <si>
    <t>LEV6WRITTA</t>
  </si>
  <si>
    <t>Achieved Level 6 in writing TA</t>
  </si>
  <si>
    <t>KS2_LEVATSCI</t>
  </si>
  <si>
    <t>LEVATSCI</t>
  </si>
  <si>
    <t>k2_levas</t>
  </si>
  <si>
    <t>2006/07 - 2008/09</t>
  </si>
  <si>
    <t>Absent or unable to access the test in Science.</t>
  </si>
  <si>
    <t>KS2_TOTPTS</t>
  </si>
  <si>
    <t>TOTPTS</t>
  </si>
  <si>
    <t>k2_totps</t>
  </si>
  <si>
    <t>Total KS2 point score as used in the valued added calculations.</t>
  </si>
  <si>
    <t>0 - 99
IN = Invalid</t>
  </si>
  <si>
    <t>KS2_APSDENS</t>
  </si>
  <si>
    <t>APSDENS</t>
  </si>
  <si>
    <t>k2_slden</t>
  </si>
  <si>
    <t>Number of subjects in which the pupil contributes to the average point score at school level.</t>
  </si>
  <si>
    <t>0 - 2</t>
  </si>
  <si>
    <t>KS2_APSDENN</t>
  </si>
  <si>
    <t>APSDENN</t>
  </si>
  <si>
    <t>k2_nden</t>
  </si>
  <si>
    <t>Number of subjects in which the pupil contributes to the average point score at national level.</t>
  </si>
  <si>
    <t>KS2_APSDENNMTS</t>
  </si>
  <si>
    <t>APSDENNMTS</t>
  </si>
  <si>
    <t>Number of subjects in which the pupil contributes to the APS at national level for maintained schools.</t>
  </si>
  <si>
    <t>KS2_VAINPUT</t>
  </si>
  <si>
    <t>VAINPUT</t>
  </si>
  <si>
    <t>k2_vain</t>
  </si>
  <si>
    <t>KS1 average point score used as the input measure in the calculation of value added.
N.B. Not populated in Unamended data outputs</t>
  </si>
  <si>
    <t>Point Score – All Subjects
4+ = 27
3  = 21
2A = 17
2B = 15
2C = 13
1 = 9
Working towards level 1 (W) = 3
Absent (A) – Disregard
Disapplied (D) – Disregard
Missing (M) - Disregard
(0.0 - 27.0)</t>
  </si>
  <si>
    <t>KS2_VAOUTPUT</t>
  </si>
  <si>
    <t>VAOUTPUT</t>
  </si>
  <si>
    <t>k2_vaout</t>
  </si>
  <si>
    <t>KS2 average point score used as the output measure in the calculation of value added.
N.B. Not populated in Unamended data outputs</t>
  </si>
  <si>
    <t>Point Score – All Subjects
5 = 33
4 = 27
3 = 21
Compensatory 2 = 15
Below the level assessed by the test (B) = 15
Not awarded test level (N) = 15
Unable - access test (T), (or Disapplied (D) for KS2-KS3 VA) - Disregard
Absent (A) – Disregard
Missing (M) – Disregard 
Malpractice (Q) – Disregard
Lost/Stolen script (X) -  Disregard
Ineligible (Y or Z) - Disregard
(0.0 - 33.0)</t>
  </si>
  <si>
    <t>KS2_MEDIAN</t>
  </si>
  <si>
    <t>MEDIAN</t>
  </si>
  <si>
    <t>k2_medps</t>
  </si>
  <si>
    <t>2003/04 - 2005/06</t>
  </si>
  <si>
    <t>Median KS2 average point score for the KS1 bin which the pupil's KS1 average point score falls into.
N.B. Not populated in Unamended data outputs</t>
  </si>
  <si>
    <t>0.0 - 33.0</t>
  </si>
  <si>
    <t>KS2_VASCOREP</t>
  </si>
  <si>
    <t>VASCOREP</t>
  </si>
  <si>
    <t>k2_valas</t>
  </si>
  <si>
    <t>Value added score - calculated as the distance between the pupil's actual KS2 average point score (VAOUTPUT) and the median KS2 average point score (MEDIAN).
N.B. Not populated in Unamended data outputs</t>
  </si>
  <si>
    <t>0.0 - 16.0 and -1 - -18</t>
  </si>
  <si>
    <t>KS2_READLEVKS1</t>
  </si>
  <si>
    <t>READLEVKS1</t>
  </si>
  <si>
    <t>2007/08 - 2009/10</t>
  </si>
  <si>
    <t xml:space="preserve">KS1 Reading level for progress measure
</t>
  </si>
  <si>
    <t>0 to 4</t>
  </si>
  <si>
    <t>KS2_READLEVKS2</t>
  </si>
  <si>
    <t>READLEVKS2</t>
  </si>
  <si>
    <t>KS2 Reading level for progress measure (excluding TA)</t>
  </si>
  <si>
    <t>KS2_WRITLEVKS1</t>
  </si>
  <si>
    <t>WRITLEVKS1</t>
  </si>
  <si>
    <t xml:space="preserve">KS1 Writing level for progress measure
</t>
  </si>
  <si>
    <t>KS2_WRITLEVKS2</t>
  </si>
  <si>
    <t>WRITLEVKS2</t>
  </si>
  <si>
    <t>KS2 Writing level for progress measure (excluding TA)</t>
  </si>
  <si>
    <t>KS2_ENGLEVKS1</t>
  </si>
  <si>
    <t>ENGLEVKS1</t>
  </si>
  <si>
    <t xml:space="preserve">KS1 English level for progress measure
</t>
  </si>
  <si>
    <t>KS2_ENGLEVKS2</t>
  </si>
  <si>
    <t>ENGLEVKS2</t>
  </si>
  <si>
    <t>KS2 English level for progress measure (including TA)</t>
  </si>
  <si>
    <t>0 to 6</t>
  </si>
  <si>
    <t>KS2_MATHLEVKS1</t>
  </si>
  <si>
    <t>MATHLEVKS1</t>
  </si>
  <si>
    <t>2007/08 - 2015/16</t>
  </si>
  <si>
    <t>KS1 maths level for progress measure</t>
  </si>
  <si>
    <t>KS2_MATHLEVKS2</t>
  </si>
  <si>
    <t>MATHLEVKS2</t>
  </si>
  <si>
    <t>KS2 maths level for progress measure (including TA)</t>
  </si>
  <si>
    <t>KS2_PROGENG12</t>
  </si>
  <si>
    <t>PROGENG12</t>
  </si>
  <si>
    <t>Number of levels of progress in English between KS1 and KS2 (excluding TA)</t>
  </si>
  <si>
    <t>-3 to 6</t>
  </si>
  <si>
    <t>KS2_PROGREAD12</t>
  </si>
  <si>
    <t>PROGREAD12</t>
  </si>
  <si>
    <t>Number of levels of progress in reading between KS1 and KS2 (excluding TA)</t>
  </si>
  <si>
    <t>-2 to 5</t>
  </si>
  <si>
    <t>KS2_PROGWRIT12</t>
  </si>
  <si>
    <t xml:space="preserve">PROGWRIT12 </t>
  </si>
  <si>
    <t>Number of levels of progress in writing between KS1 and KS2 (excluding TA)</t>
  </si>
  <si>
    <t>KS2_PROGMATH12</t>
  </si>
  <si>
    <t xml:space="preserve">PROGMATH12 </t>
  </si>
  <si>
    <t>Number of levels of progress in maths between KS1 and KS2</t>
  </si>
  <si>
    <t>KS2_ENGLEVKS2TA</t>
  </si>
  <si>
    <t>ENGLEVKS2TA</t>
  </si>
  <si>
    <t>0 to 8</t>
  </si>
  <si>
    <t>KS2_MATHLEVKS2TA</t>
  </si>
  <si>
    <t>MATHLEVKS2TA</t>
  </si>
  <si>
    <t>KS2_PROGENG12TA</t>
  </si>
  <si>
    <t>PROGENG12TA</t>
  </si>
  <si>
    <t>Number of levels of progress in English between KS1 and KS2 (including TA)</t>
  </si>
  <si>
    <t>-4 to 8</t>
  </si>
  <si>
    <t>KS2_PROGMATH12TA</t>
  </si>
  <si>
    <t>PROGMATH12TA</t>
  </si>
  <si>
    <t>Number of levels of progress in maths between KS1 and KS2 (including TA)</t>
  </si>
  <si>
    <t>KS2_FLAGENG12TA</t>
  </si>
  <si>
    <t>FLAGENG12TA</t>
  </si>
  <si>
    <t>Pupil flag for making 2 levels of progress in English between KS1 and KS2 (including TA)</t>
  </si>
  <si>
    <t>KS2_FLAGMATH12TA</t>
  </si>
  <si>
    <t>FLAGMATH12TA</t>
  </si>
  <si>
    <t>Pupil flag for making 2 levels of progress in maths between KS1 and KS2 (including TA)</t>
  </si>
  <si>
    <t>KS2_FLAG2KENG12</t>
  </si>
  <si>
    <t>FLAG2KENG12</t>
  </si>
  <si>
    <t>Pupil flag for making 2 levels of progress in English between KS1 and KS2</t>
  </si>
  <si>
    <t>KS2_PROGENG12FLAG</t>
  </si>
  <si>
    <t>PROGENG12FLAG</t>
  </si>
  <si>
    <t>KS2_FLAG2KREAD12</t>
  </si>
  <si>
    <t>FLAG2KREAD12</t>
  </si>
  <si>
    <t>Pupil flag for making 2 levels of progress in Reading between KS1 and KS2 (excluding TA)</t>
  </si>
  <si>
    <t>1 = Yes
2 = No</t>
  </si>
  <si>
    <t>KS2_FLAG2KWRIT12</t>
  </si>
  <si>
    <t>FLAG2KWRIT12</t>
  </si>
  <si>
    <t>Pupil flag for making 2 levels of progress in Writing between KS1 and KS2 (excluding TA)</t>
  </si>
  <si>
    <t>KS2_FLAG2KMATH12</t>
  </si>
  <si>
    <t>FLAG2KMATH12</t>
  </si>
  <si>
    <t>Pupil flag for making 2 levels of progress in maths between KS1 and KS2</t>
  </si>
  <si>
    <t>KS2_PROGMAT12FLAG</t>
  </si>
  <si>
    <t>PROGMAT12FLAG</t>
  </si>
  <si>
    <t>KS2_PROGREAD12FLAG</t>
  </si>
  <si>
    <t>PROGREAD12FLAG</t>
  </si>
  <si>
    <t>Progress Flag reading KS1 to KS2</t>
  </si>
  <si>
    <t>If ProgRead12 &gt;= 2  then flag= 2
if ProgRead12 &lt;= 1 (and non-null) then flag = 1
Else= Null</t>
  </si>
  <si>
    <t>KS2_WRITTALEVKS2</t>
  </si>
  <si>
    <t>WRITTALEVKS2</t>
  </si>
  <si>
    <t>KS2 Writing TA level for progress measure inc TA</t>
  </si>
  <si>
    <t>0,1,2,3,4,5, 6 NULL</t>
  </si>
  <si>
    <t>KS2_PROGWRITTA12</t>
  </si>
  <si>
    <t>PROGWRITTA12</t>
  </si>
  <si>
    <t>Number of levels of progress in Writing TA between KS1-KS2</t>
  </si>
  <si>
    <t xml:space="preserve"> -3, -2,-1,0,1,2,3,4,5, 6 null</t>
  </si>
  <si>
    <t>KS2_PROGWRITTA2FLAG</t>
  </si>
  <si>
    <t>PROGWRITTA2Flag</t>
  </si>
  <si>
    <t>Progress Flag Writing TA KS1 to KS2</t>
  </si>
  <si>
    <t>If ProgWritTA12 &gt;= 2  then flag= 2
if ProgWritTA12 &lt;= 1 (and non-null) then flag = 1
Else= Null</t>
  </si>
  <si>
    <t>KS2_INCVA</t>
  </si>
  <si>
    <t>INCVA</t>
  </si>
  <si>
    <t>k2_incva</t>
  </si>
  <si>
    <t>Pupil included in old CVA calculations</t>
  </si>
  <si>
    <t>KS2_INKS12VA</t>
  </si>
  <si>
    <t>INKS12VA</t>
  </si>
  <si>
    <t>Pupil included in VA calculations</t>
  </si>
  <si>
    <t>KS2_INMLWIN</t>
  </si>
  <si>
    <t>INMLWIN</t>
  </si>
  <si>
    <t>k2_mlwin</t>
  </si>
  <si>
    <t>Pupil included in KS1-KS2 MLWin file (School Census data incorporated into CVA model).</t>
  </si>
  <si>
    <t>KS2_CVAPAPS</t>
  </si>
  <si>
    <t>CVAPAPS</t>
  </si>
  <si>
    <t>k2_paps</t>
  </si>
  <si>
    <t>2005/06 - 2009/10</t>
  </si>
  <si>
    <t>KS2_KS1APS</t>
  </si>
  <si>
    <t>KS1APS</t>
  </si>
  <si>
    <t>KS2_CVAAPS</t>
  </si>
  <si>
    <t>CVAAPS</t>
  </si>
  <si>
    <t>k2_aps</t>
  </si>
  <si>
    <t>KS2 average point score (fg)</t>
  </si>
  <si>
    <t>KS2_KS2APSFG</t>
  </si>
  <si>
    <t>KS2APSFG</t>
  </si>
  <si>
    <t>KS2_CVAPREAD</t>
  </si>
  <si>
    <t>CVAPREAD</t>
  </si>
  <si>
    <t>k2_prd</t>
  </si>
  <si>
    <t>2005/06 - KS1 prior attainment Reading level for contextual value added.
2006/07 - KS1 prior attainment Reading point score (not finely graded) for CVA (numeric).</t>
  </si>
  <si>
    <t>2005/06:
A = Absent
D = Disapplied from National Curriculum
L = Lower than Level 2 threshold for the Reading test
M = Missing
W = Working towards level 1
X = Not required to be entered for the Reading test
1 = Achieved Level 1
2C = Achieved Level 2C 
2B = Achieved
2006/07: Numeric (length 2)</t>
  </si>
  <si>
    <t>KS2_KS1READPS</t>
  </si>
  <si>
    <t>KS1READPS</t>
  </si>
  <si>
    <t>2010/11 - KS1 reading point score</t>
  </si>
  <si>
    <t>KS2_CVAPWRIT</t>
  </si>
  <si>
    <t>CVAPWRIT</t>
  </si>
  <si>
    <t>k2_pwrt</t>
  </si>
  <si>
    <t>2005/06 - KS1 prior attainment Writing level for contextual value added.
2006/07 - KS1 prior attainment Writing point score (not finely graded) for CVA (numeric).</t>
  </si>
  <si>
    <t>2005/06:
A = Absent
D = Disapplied from National Curriculum
L = Lower than Level 2 threshold for the Writing test
M = Missing
W = Working towards level 1
X = Not required to be entered for the Writing test
1 = Achieved Level 1
2C = Achieved Level 2C 
2B = Achieved
2006/07: Numeric (length 2)</t>
  </si>
  <si>
    <t>KS2_KS1WRITPS</t>
  </si>
  <si>
    <t>KS1WRITPS</t>
  </si>
  <si>
    <t>2010/11 - KS1 writing point score</t>
  </si>
  <si>
    <t>KS2_CVAPMAT</t>
  </si>
  <si>
    <t>CVAPMAT</t>
  </si>
  <si>
    <t>k2_pmat</t>
  </si>
  <si>
    <t>2005/06 - KS1 prior attainment Maths level for contextual value added.
2006/07 - KS1 prior attainment Maths point score (not finely graded) for CVA (numeric).</t>
  </si>
  <si>
    <t>2005/06:  
A = Absent
D = Disapplied from National Curriculum
L = Lower than Level 2 threshold for the Maths test
M = Missing
W = Working towards level 1
X = Not required to be entered for the Maths test
1 = Achieved Level 1
2C = Achieved Level 2C 
2B = Achieved Lev
2006/07:  Numeric (length 2)</t>
  </si>
  <si>
    <t>KS2_KS1MATPS</t>
  </si>
  <si>
    <t>KS1MATPS (previously CVAPMAT)</t>
  </si>
  <si>
    <t>2010/11 - KS1 maths point score</t>
  </si>
  <si>
    <t>KS2_KS1AVERAGEPS</t>
  </si>
  <si>
    <t>KS1AVERAGEPS</t>
  </si>
  <si>
    <t>KS1 average point score (including Pscales)</t>
  </si>
  <si>
    <t>0.25 to 27.00</t>
  </si>
  <si>
    <t>KS2_KS1READPS_P</t>
  </si>
  <si>
    <t>KS1READPS_P</t>
  </si>
  <si>
    <t>KS1 points for reading (including Pscales)</t>
  </si>
  <si>
    <t>KS2_WRITPS_P</t>
  </si>
  <si>
    <t>KS1WRITPS_P</t>
  </si>
  <si>
    <t>KS1 points for writing (including Pscales)</t>
  </si>
  <si>
    <t>KS2_KS1MATPS_P</t>
  </si>
  <si>
    <t>KS1MATPS_P</t>
  </si>
  <si>
    <t>KS1 points for maths (including Pscales)</t>
  </si>
  <si>
    <t>KS2_KS1_PSNUMPS</t>
  </si>
  <si>
    <t>KS1_PSNUMPS</t>
  </si>
  <si>
    <t>P4-P8 Pscale points in number</t>
  </si>
  <si>
    <t>1.75 to 3.00</t>
  </si>
  <si>
    <t>KS2_KS1PSUSINGPS</t>
  </si>
  <si>
    <t>KS1_PSUSINGPS</t>
  </si>
  <si>
    <t>P4-P8 Pscale points in using maths</t>
  </si>
  <si>
    <t>KS2_KS1_PSSHAPEPS</t>
  </si>
  <si>
    <t>KS1_PSSHAPEPS</t>
  </si>
  <si>
    <t>P4-P8 Pscale points in shapes, spaces and measures</t>
  </si>
  <si>
    <t>KS2_KS1_PSMATHSAV</t>
  </si>
  <si>
    <t>KS1_PSMATHSAV</t>
  </si>
  <si>
    <t>Average numeric P4-P8 scale in maths</t>
  </si>
  <si>
    <t>KS2_CVAPRED</t>
  </si>
  <si>
    <t>CVAPRED</t>
  </si>
  <si>
    <t>k2_pred</t>
  </si>
  <si>
    <t>Predicted KS2 average point score based on the contextual value added model.</t>
  </si>
  <si>
    <t>KS2_CVASCORE</t>
  </si>
  <si>
    <t>CVASCORE</t>
  </si>
  <si>
    <t>k2_score</t>
  </si>
  <si>
    <t>KS1-KS2 contextual value added score - calculated as the distance between the pupil's attainment (CVAAPS) and the predicted attainment (CVAPRED).</t>
  </si>
  <si>
    <t>KS2_KS1EXP</t>
  </si>
  <si>
    <t>KS1EXP</t>
  </si>
  <si>
    <t>KS1 Expected Levels</t>
  </si>
  <si>
    <t>KS2_KS1APS2</t>
  </si>
  <si>
    <t>KS1APS2</t>
  </si>
  <si>
    <t>KS1 APS - squared</t>
  </si>
  <si>
    <t>KS2_KS1APS3</t>
  </si>
  <si>
    <t>KS1APS3</t>
  </si>
  <si>
    <t>KS1 APS - cubed</t>
  </si>
  <si>
    <t>KS2_KS2READPS</t>
  </si>
  <si>
    <t>KS2READPS</t>
  </si>
  <si>
    <t>KS2 reading point score (based on level only)</t>
  </si>
  <si>
    <t>B, N, 2 = 15 points
3 = 21 points
4 = 27 points
5 = 33 points
6 = 39 points</t>
  </si>
  <si>
    <t>KS2_KS2MATPS</t>
  </si>
  <si>
    <t>KS2MATPS</t>
  </si>
  <si>
    <t>KS2 maths point score (based on level only)</t>
  </si>
  <si>
    <t>KS2_KS2WRITTAPS</t>
  </si>
  <si>
    <t>KS2WRITTAPS</t>
  </si>
  <si>
    <t>KS2 writing TA point score (based on level only)</t>
  </si>
  <si>
    <t>W = 3 points
1 = 9 points
2 = 15 points
3 = 21 points
4 = 27 points
5 = 33 points
6 = 39 points</t>
  </si>
  <si>
    <t>KS2_APS</t>
  </si>
  <si>
    <t>Pupil average point score based on reading, maths and writing TA</t>
  </si>
  <si>
    <t>3.00 - 39.00</t>
  </si>
  <si>
    <t>KS2_KS2ENGFG</t>
  </si>
  <si>
    <t>KS2ENGFG</t>
  </si>
  <si>
    <t>KS2 English point score (using fine grading)</t>
  </si>
  <si>
    <t>KS2_KS2READFG</t>
  </si>
  <si>
    <t>KS2READFG</t>
  </si>
  <si>
    <t xml:space="preserve">KS2 reading point score (using fine grading) </t>
  </si>
  <si>
    <t>KS2_KS2MATFG</t>
  </si>
  <si>
    <t>KS2MATFG</t>
  </si>
  <si>
    <t>KS2 maths point score (using fine grading)</t>
  </si>
  <si>
    <t>KS2_KS2WRITTAFG</t>
  </si>
  <si>
    <t>KS2WRITTAFG</t>
  </si>
  <si>
    <t xml:space="preserve">KS2 writing TA point score (using fine grading) </t>
  </si>
  <si>
    <t>KS2 average point score (using fine grading) with TA adjustment</t>
  </si>
  <si>
    <t>KS2_VAAPSSCORE</t>
  </si>
  <si>
    <t>VAAPSSCORE</t>
  </si>
  <si>
    <t>English + Maths VA score (Actual-predicted)</t>
  </si>
  <si>
    <t>KS2_VAENGSCORE</t>
  </si>
  <si>
    <t>VAENGSCORE</t>
  </si>
  <si>
    <t>English VA score (Actual-predicted)</t>
  </si>
  <si>
    <t>KS2_VAMATSCORE</t>
  </si>
  <si>
    <t>VAMATSCORE</t>
  </si>
  <si>
    <t>Maths VA score (Actual-predicted)</t>
  </si>
  <si>
    <t>KS2_VAAPSPRED1</t>
  </si>
  <si>
    <t>VAAPSPRED1</t>
  </si>
  <si>
    <t>Predicted score without deviation (English and Maths)</t>
  </si>
  <si>
    <t>KS2_VAAPSPRED</t>
  </si>
  <si>
    <t>VAAPSPRED</t>
  </si>
  <si>
    <t>Predicted score with ceiling (English and Maths)</t>
  </si>
  <si>
    <t>KS2_VAENGPRED1</t>
  </si>
  <si>
    <t>VAENGPRED1</t>
  </si>
  <si>
    <t>Predicted score without deviation (English)</t>
  </si>
  <si>
    <t>KS2_VAENGPRED</t>
  </si>
  <si>
    <t>VAENGPRED</t>
  </si>
  <si>
    <t>Predicted score with ceiling (English)</t>
  </si>
  <si>
    <t>KS2_VAMATPRED1</t>
  </si>
  <si>
    <t>VAMATPRED1</t>
  </si>
  <si>
    <t>Predicted score without deviation (maths)</t>
  </si>
  <si>
    <t>KS2_VAMATPRED</t>
  </si>
  <si>
    <t>VAMATPRED</t>
  </si>
  <si>
    <t>Predicted score with ceiling (maths)</t>
  </si>
  <si>
    <t>KS2_VAOPRED1</t>
  </si>
  <si>
    <t>VAOPred1</t>
  </si>
  <si>
    <t>Overall predicted score without deviation terms</t>
  </si>
  <si>
    <t>KS2_VAOPRED</t>
  </si>
  <si>
    <t>VAOPred</t>
  </si>
  <si>
    <t>Overall predicted score (with deviation and floor/ceiling)</t>
  </si>
  <si>
    <t>range 3 - 39</t>
  </si>
  <si>
    <t>KS2_VAOSCORE</t>
  </si>
  <si>
    <t>VAOScore</t>
  </si>
  <si>
    <t>Overall VA score (actual - predicted)</t>
  </si>
  <si>
    <t>VAMATPred1</t>
  </si>
  <si>
    <t>Maths predicted score without deviation</t>
  </si>
  <si>
    <t>VAMATPred</t>
  </si>
  <si>
    <t>Maths predicted score (with deviation and floor/ceiling)</t>
  </si>
  <si>
    <t>VAMATScore</t>
  </si>
  <si>
    <t xml:space="preserve">Maths VA score (actual-predicted) </t>
  </si>
  <si>
    <t>KS2_VAREADPRED1</t>
  </si>
  <si>
    <t>VAREADPred1</t>
  </si>
  <si>
    <t>Reading predicted score without deviation terms</t>
  </si>
  <si>
    <t>KS2_VAREADPRED</t>
  </si>
  <si>
    <t>VAREADPred</t>
  </si>
  <si>
    <t>Reading predicted score (with deviation and floor/ceiling)</t>
  </si>
  <si>
    <t>KS2_VAREADSCORE</t>
  </si>
  <si>
    <t>VAREADScore</t>
  </si>
  <si>
    <t>Reading VA score (actual - predicted)</t>
  </si>
  <si>
    <t>KS2_VAWRITTAPRED1</t>
  </si>
  <si>
    <t>VAWRITTAPred1</t>
  </si>
  <si>
    <t>Writing TA predicted score without deviation terms</t>
  </si>
  <si>
    <t>KS2_VAWRITTAPRED</t>
  </si>
  <si>
    <t>VAWRITTAPred</t>
  </si>
  <si>
    <t>Writing TA predicted score (with deviation and floor/ceiling)</t>
  </si>
  <si>
    <t>KS2_VAWRITTASCORE</t>
  </si>
  <si>
    <t>VAWRITTAScore</t>
  </si>
  <si>
    <t>Writing TA VA score (actual - predicted)</t>
  </si>
  <si>
    <t>KS2_PAPSSQ</t>
  </si>
  <si>
    <t>PAPSSQ</t>
  </si>
  <si>
    <t>k2_papsq</t>
  </si>
  <si>
    <t>Prior attainment APS - squared</t>
  </si>
  <si>
    <t>KS2_PE_DEV</t>
  </si>
  <si>
    <t>PE_DEV</t>
  </si>
  <si>
    <t>k2_pedev</t>
  </si>
  <si>
    <t>2006/07- 2010/11</t>
  </si>
  <si>
    <t>Prior attainment KS1 English point score deviation.</t>
  </si>
  <si>
    <t>KS2_PR_DEV</t>
  </si>
  <si>
    <t>PR_DEV</t>
  </si>
  <si>
    <t>Prior attainment KS1 Reading point score deviation.</t>
  </si>
  <si>
    <t>KS2_KS1GROUP</t>
  </si>
  <si>
    <t>KS1GROUP</t>
  </si>
  <si>
    <t>KS1 prior attainment band</t>
  </si>
  <si>
    <t>1 = low 
2 = medium
3 = high 
4 = NA</t>
  </si>
  <si>
    <t>KS2_PM_DEV</t>
  </si>
  <si>
    <t>PM_DEV</t>
  </si>
  <si>
    <t>k2_pmdev</t>
  </si>
  <si>
    <t>Prior attainment KS1 Maths point score deviation.</t>
  </si>
  <si>
    <t>KS2_PSENG</t>
  </si>
  <si>
    <t>English P-scale</t>
  </si>
  <si>
    <t>NOTSEN, P1i, P1ii,  P2i, P2ii, P3i, P3ii or blank</t>
  </si>
  <si>
    <t>KS2_PSREAD</t>
  </si>
  <si>
    <t>Reading P-scale</t>
  </si>
  <si>
    <t>NOTSEN, P4, P5, P6, P7, P8 or blank</t>
  </si>
  <si>
    <t>KS2_PSWRITE</t>
  </si>
  <si>
    <t>Writing P-scale</t>
  </si>
  <si>
    <t>KS2_PSSPEAK</t>
  </si>
  <si>
    <t>Speaking P-scale</t>
  </si>
  <si>
    <t>KS2_PSLISTEN</t>
  </si>
  <si>
    <t>Listening P-scale</t>
  </si>
  <si>
    <t>KS2_PSMATHS</t>
  </si>
  <si>
    <t>Mathematics P-scale</t>
  </si>
  <si>
    <t>KS2_PSNUM</t>
  </si>
  <si>
    <t>Number P-scale</t>
  </si>
  <si>
    <t>KS2_PSUSING</t>
  </si>
  <si>
    <t>Using and Applying P-scale</t>
  </si>
  <si>
    <t>KS2_PSSHAPE</t>
  </si>
  <si>
    <t>Shape, Space &amp; Measures P-scale</t>
  </si>
  <si>
    <t>KS2_PSSCIENCE</t>
  </si>
  <si>
    <t>Science P-scale</t>
  </si>
  <si>
    <t>NOTSEN, P1i, P1ii,  P2i, P2ii, P3i, P3ii, P4, P5, P6, P7, P8 or blank</t>
  </si>
  <si>
    <t>KS2_EAL_PAPS</t>
  </si>
  <si>
    <t>EAL_PAPS</t>
  </si>
  <si>
    <t>k2_ealpp</t>
  </si>
  <si>
    <t>Is English not first language?*Prior APS.</t>
  </si>
  <si>
    <t>0, 1</t>
  </si>
  <si>
    <t>KS2_EAL_PAPSSQ</t>
  </si>
  <si>
    <t>EAL_PAPSSQ</t>
  </si>
  <si>
    <t>k2ealpps</t>
  </si>
  <si>
    <t>Is English not first language?* Prior APS squared.</t>
  </si>
  <si>
    <t>KS2_MOB1</t>
  </si>
  <si>
    <t>k2_mob1</t>
  </si>
  <si>
    <t>2006/07- 2012/13</t>
  </si>
  <si>
    <t>Pupil joined in latest academic year (year 6)?</t>
  </si>
  <si>
    <t>KS2_MOB2</t>
  </si>
  <si>
    <t>k2_mob2</t>
  </si>
  <si>
    <t>Pupil joined in previous academic year (year 5)?</t>
  </si>
  <si>
    <t>KS2_MOB3</t>
  </si>
  <si>
    <t>MOB3</t>
  </si>
  <si>
    <t>k2_mob3</t>
  </si>
  <si>
    <t>Pupil joined in first two years of key stage (year 3 or 4)?</t>
  </si>
  <si>
    <t>KS2_NEWMOBILE</t>
  </si>
  <si>
    <t>NEWMOBILE</t>
  </si>
  <si>
    <t>Did pupil join the school after 12 September 2010 (in year 5)?</t>
  </si>
  <si>
    <t>KS2_SLTPILOT</t>
  </si>
  <si>
    <t>SLTPILOT</t>
  </si>
  <si>
    <t>2008/09 - 2009/10</t>
  </si>
  <si>
    <t>Pupil in SLT pilot school</t>
  </si>
  <si>
    <t>1=Pilot school
0=not in pilot school</t>
  </si>
  <si>
    <t>KS2_SLT_APP</t>
  </si>
  <si>
    <t>SLT_APP</t>
  </si>
  <si>
    <t>2009/10 - 2009/10</t>
  </si>
  <si>
    <t>Pupil entered for an appropriate SLT</t>
  </si>
  <si>
    <t>1= Yes
2 = No</t>
  </si>
  <si>
    <t>KS2_REFTEST</t>
  </si>
  <si>
    <t>REFTEST</t>
  </si>
  <si>
    <t>2009/10 - 2012/13</t>
  </si>
  <si>
    <t>Pupil KS2 results withheld by school?</t>
  </si>
  <si>
    <t xml:space="preserve">1 = all tests  withheld.
2 = all tests unavailable with reason
9 = all tests unavailable no reason
0 = available
</t>
  </si>
  <si>
    <t>KS2_REFTA</t>
  </si>
  <si>
    <t>REFTA</t>
  </si>
  <si>
    <t>Pupil TA results withheld by school?</t>
  </si>
  <si>
    <t>1 = all TAs withheld.
9 = all TAs unavailable no reason
0 = available</t>
  </si>
  <si>
    <t>A = Amended
U = Unamended
F = Final</t>
  </si>
  <si>
    <t>KS2 Exam Table</t>
  </si>
  <si>
    <t>KS2_PUPILMATCHINGREFANONYMOUS</t>
  </si>
  <si>
    <t>KS2_SUBLEVNO</t>
  </si>
  <si>
    <t>SUBLEVNO</t>
  </si>
  <si>
    <t>k2_sublv</t>
  </si>
  <si>
    <t>2006/07 -</t>
  </si>
  <si>
    <t>Qualification and assessment code.</t>
  </si>
  <si>
    <t>600,  670 (inc 650 prior to 2010/11)</t>
  </si>
  <si>
    <t>KS2_DSGSUBLEV</t>
  </si>
  <si>
    <t>DSGSUBLEV</t>
  </si>
  <si>
    <t>DSG version of SUBLEVNO</t>
  </si>
  <si>
    <t>KS2_LEAPCODE</t>
  </si>
  <si>
    <t>LEAPCODE</t>
  </si>
  <si>
    <t>k2r_qac</t>
  </si>
  <si>
    <t>LEAP subject mapping code - code that identifies the test subject.</t>
  </si>
  <si>
    <t>9981, 9982, 9983, 9984, 9985, 9986, 9987, 9988, 9901-9903, 9971, 9973, 9975, 9976, 9977, 9904-9907</t>
  </si>
  <si>
    <t>KS2_BOARDNO</t>
  </si>
  <si>
    <t>BOARDNO</t>
  </si>
  <si>
    <t>External marking agency number</t>
  </si>
  <si>
    <t>KS2_ASSESSYR</t>
  </si>
  <si>
    <t>ASSESSYR</t>
  </si>
  <si>
    <t>k2_assyr</t>
  </si>
  <si>
    <t>Assessment year.</t>
  </si>
  <si>
    <t>KS2_SEASON</t>
  </si>
  <si>
    <t>SEASON</t>
  </si>
  <si>
    <t>Assessment Season</t>
  </si>
  <si>
    <t>KS2_GRADE</t>
  </si>
  <si>
    <t>GRADE</t>
  </si>
  <si>
    <t>k2r_eg</t>
  </si>
  <si>
    <t>Test level. KS1 TA only from 2015/16.</t>
  </si>
  <si>
    <t>See sheet 'Codeset (Results)'</t>
  </si>
  <si>
    <t>KS2_DISC3</t>
  </si>
  <si>
    <t>DISC3</t>
  </si>
  <si>
    <t>k2r_dfmy</t>
  </si>
  <si>
    <t>Multi-year discount flag.</t>
  </si>
  <si>
    <t>KS2_DISCTA</t>
  </si>
  <si>
    <t>DISCTA</t>
  </si>
  <si>
    <t>k2r_dta</t>
  </si>
  <si>
    <t>2006/07-2008/09</t>
  </si>
  <si>
    <t>Teacher assessment discount flag.</t>
  </si>
  <si>
    <t>KS2_AMDEXAM</t>
  </si>
  <si>
    <t>AMDEXAM</t>
  </si>
  <si>
    <t>k2_amres</t>
  </si>
  <si>
    <t>Type of exam level amendment made either prior to mail out or as a result of the checking exercise</t>
  </si>
  <si>
    <t>See sheet 'Codeset (Results)', subsection AMDEXAM</t>
  </si>
  <si>
    <t>KS2_TESTSTAT</t>
  </si>
  <si>
    <t>TESTSTAT</t>
  </si>
  <si>
    <t>k2rtstat</t>
  </si>
  <si>
    <t>Paper sat by pupil.</t>
  </si>
  <si>
    <t>35=Tier 3-5, 
1 =  tests sat.
A,B,H,T,L,M,Z,F,P</t>
  </si>
  <si>
    <t>KS2_T1MARK</t>
  </si>
  <si>
    <t>T1MARK</t>
  </si>
  <si>
    <t>Test mark 1.</t>
  </si>
  <si>
    <t xml:space="preserve">A=Absent
M=Missing
0-40
 </t>
  </si>
  <si>
    <t>KS2_T2MARK</t>
  </si>
  <si>
    <t>T2MARK</t>
  </si>
  <si>
    <t>k2rt2mrk</t>
  </si>
  <si>
    <t>Test mark 2.</t>
  </si>
  <si>
    <t>A=Absent
M=Missing
0-50</t>
  </si>
  <si>
    <t>KS2_T3MARK</t>
  </si>
  <si>
    <t>T3MARK</t>
  </si>
  <si>
    <t>k2rt3mrk</t>
  </si>
  <si>
    <t>Test mark 3.</t>
  </si>
  <si>
    <t>KS2_T4MARK</t>
  </si>
  <si>
    <t>T4MARK</t>
  </si>
  <si>
    <t>k2rt4mrk</t>
  </si>
  <si>
    <t>Test mark 4.</t>
  </si>
  <si>
    <t>KS2_READMARK</t>
  </si>
  <si>
    <t>READMARK</t>
  </si>
  <si>
    <t>k2rrdmrk</t>
  </si>
  <si>
    <t>Reading test mark.</t>
  </si>
  <si>
    <t>KS2_WRITMARK</t>
  </si>
  <si>
    <t>WRITMARK</t>
  </si>
  <si>
    <t>k2rwrmrk</t>
  </si>
  <si>
    <t>Writing test mark.</t>
  </si>
  <si>
    <t>KS2_TESTMARK</t>
  </si>
  <si>
    <t>TESTMARK</t>
  </si>
  <si>
    <t>k2r_tmrk</t>
  </si>
  <si>
    <t>Main test mark.</t>
  </si>
  <si>
    <t>A=Absent
M=Missing
0-100</t>
  </si>
  <si>
    <t>KS2_TESTMRK</t>
  </si>
  <si>
    <t>TESTMRK</t>
  </si>
  <si>
    <t>A=Absent
M=Missing
0-110</t>
  </si>
  <si>
    <t>KS2_TESTLEV</t>
  </si>
  <si>
    <t>TESTLEV</t>
  </si>
  <si>
    <t>k2r_tlev</t>
  </si>
  <si>
    <t>Main test level.</t>
  </si>
  <si>
    <t>A, B, D, L, M, N, Z, F, P, Q, S, X, 2-6</t>
  </si>
  <si>
    <t>KS2_EXTMARK</t>
  </si>
  <si>
    <t>EXTMARK</t>
  </si>
  <si>
    <t>Extension test mark</t>
  </si>
  <si>
    <t>0-50</t>
  </si>
  <si>
    <t>KS2_EXTLEVEL</t>
  </si>
  <si>
    <t>EXTLEVEL</t>
  </si>
  <si>
    <t>Extension test level</t>
  </si>
  <si>
    <t>6, A,L,M,Z,R,Q,S,N, NULL</t>
  </si>
  <si>
    <t>k2r_rlev</t>
  </si>
  <si>
    <t>Reading level</t>
  </si>
  <si>
    <t>A, B, T, L, N, M, Z, F, P, Q, S, X, 3, 4, 5, 6</t>
  </si>
  <si>
    <t>KS2_WRITLEV</t>
  </si>
  <si>
    <t>WRITLEV</t>
  </si>
  <si>
    <t>k2r_wlev</t>
  </si>
  <si>
    <t>Writing level</t>
  </si>
  <si>
    <t>KS2_TA1</t>
  </si>
  <si>
    <t>TA1</t>
  </si>
  <si>
    <t>Teacher assessment 1</t>
  </si>
  <si>
    <t>KS1:  A, D, W, 1, 2, 3, 4
KS2: W,1,2,3,4,5,6, A,D,L,M,F,P,Z</t>
  </si>
  <si>
    <t>KS2_TA2</t>
  </si>
  <si>
    <t>TA2</t>
  </si>
  <si>
    <t>Teacher assessment 2</t>
  </si>
  <si>
    <t>KS2_TA3</t>
  </si>
  <si>
    <t>TA3</t>
  </si>
  <si>
    <t>Teacher assessment 3</t>
  </si>
  <si>
    <t>KS2_TA4</t>
  </si>
  <si>
    <t>TA4</t>
  </si>
  <si>
    <t>Teacher assessment 4</t>
  </si>
  <si>
    <t>KS2_TALEVEL</t>
  </si>
  <si>
    <t>TALEVEL</t>
  </si>
  <si>
    <t>k2rtalve</t>
  </si>
  <si>
    <t>Teacher assessment level</t>
  </si>
  <si>
    <t>A, W, D, L, M, Z, F, P, 1-6</t>
  </si>
  <si>
    <t>KS2_FINE</t>
  </si>
  <si>
    <t>FINE</t>
  </si>
  <si>
    <t>k2r_fine</t>
  </si>
  <si>
    <t>Fine grade of test level</t>
  </si>
  <si>
    <t>2.5 - 8.0</t>
  </si>
  <si>
    <t>KS2_SCORE</t>
  </si>
  <si>
    <t>SCORE</t>
  </si>
  <si>
    <t>Scaled Score</t>
  </si>
  <si>
    <t>0-999 (TBC)</t>
  </si>
  <si>
    <t>KS2_TESTOUTCOME</t>
  </si>
  <si>
    <t>TESTOUTCOME</t>
  </si>
  <si>
    <t>Test Outcome</t>
  </si>
  <si>
    <t xml:space="preserve">A,B,L,M,T,F,P,H,Q,AS,NS,CA,CN 
</t>
  </si>
  <si>
    <t>KS2_TAOUTCOME</t>
  </si>
  <si>
    <t>TAOUTCOME</t>
  </si>
  <si>
    <t>Teacher Assessment Outcome</t>
  </si>
  <si>
    <t xml:space="preserve">English Writing 9994 9904: A,D,L,F,P,Z,WTS, GDS, EXS, BLW, PKE, PKF, PKG                     
Science 9995 9905: A,D,L,F,P,Z,EXS, HNM                                                English Reading 9996 9906: A,D,L,F,P,Z,HNM, EXS, BLW, PKE, PKF, PKG 
Maths 9997 9907: A,D,L,F,P,Z,HNM, EXS, BLW, PKE, PKF, PKG
</t>
  </si>
  <si>
    <t>KS2_POINTS</t>
  </si>
  <si>
    <t>POINTS</t>
  </si>
  <si>
    <t>k2r_pts</t>
  </si>
  <si>
    <t>KS2/KS3 current attainment point score</t>
  </si>
  <si>
    <t>0,3,9,13,15,17,21,27,33,39</t>
  </si>
  <si>
    <t>KS2_REFTESTR</t>
  </si>
  <si>
    <t>REFTESTR</t>
  </si>
  <si>
    <t>Test refusal status flag</t>
  </si>
  <si>
    <t>0,1,2,9</t>
  </si>
  <si>
    <t>KS2_REFTAR</t>
  </si>
  <si>
    <t>REFTAR</t>
  </si>
  <si>
    <t>TA refusal status flag</t>
  </si>
  <si>
    <t>0,1,9</t>
  </si>
  <si>
    <t>KS2_INCLUDESLT</t>
  </si>
  <si>
    <t>INCLUDESLT</t>
  </si>
  <si>
    <t xml:space="preserve">2007/08 - 2008/09 </t>
  </si>
  <si>
    <t>Flag indicating if SLTs included in calculations</t>
  </si>
  <si>
    <t>0=No SLT results included in calcs</t>
  </si>
  <si>
    <t>1=Pilot school
0=Not in pilot school</t>
  </si>
  <si>
    <t>k2r_ver</t>
  </si>
  <si>
    <t>Key Stage 3</t>
  </si>
  <si>
    <t xml:space="preserve">NPD Alias </t>
  </si>
  <si>
    <t>KS3 Candidate</t>
  </si>
  <si>
    <t>KS3_GENDER</t>
  </si>
  <si>
    <t>k3_gend</t>
  </si>
  <si>
    <t xml:space="preserve">1997/98 - </t>
  </si>
  <si>
    <t>KS3_AGE_START</t>
  </si>
  <si>
    <t>k3_age</t>
  </si>
  <si>
    <t>KS3_MONTH_PART</t>
  </si>
  <si>
    <t>k3_mth</t>
  </si>
  <si>
    <t>KS3_YEAROFBIRTH</t>
  </si>
  <si>
    <t>k3_yob</t>
  </si>
  <si>
    <t>KS3_MONTHOFBIRTH</t>
  </si>
  <si>
    <t>k3_mob</t>
  </si>
  <si>
    <t>KS3_IDACI</t>
  </si>
  <si>
    <t>k3_idaci</t>
  </si>
  <si>
    <t>2006/07-2007/08</t>
  </si>
  <si>
    <t>Deprivation indicator - IDACI score (as used in CVA).</t>
  </si>
  <si>
    <t>0.00 - 0.99</t>
  </si>
  <si>
    <t>KS3_FEMALE</t>
  </si>
  <si>
    <t>k3_fem</t>
  </si>
  <si>
    <t>KS3_REFUGEE</t>
  </si>
  <si>
    <t>k3_refug</t>
  </si>
  <si>
    <t>1997/1998 - 2005/2006</t>
  </si>
  <si>
    <t>Refugee Indicator</t>
  </si>
  <si>
    <t>KS3_LA_anon</t>
  </si>
  <si>
    <t>k3_la</t>
  </si>
  <si>
    <t>KS3_LA_9CODE_anon</t>
  </si>
  <si>
    <t>LA_9CODE_anon</t>
  </si>
  <si>
    <t>Local Authority (LA) that the school where the pupil attends reports to (9-digit code). This variable has been pseudonymised in line with the impact of COVID19 on DfE data sharing (See COVID19 Impact worksheet) and/or the requirements of Digital Economy Act in relation to a body corporate.</t>
  </si>
  <si>
    <t>KS3_LAESTAB_anon</t>
  </si>
  <si>
    <t>k3_laest</t>
  </si>
  <si>
    <t>KS3_URN_anon</t>
  </si>
  <si>
    <t>k3_urn</t>
  </si>
  <si>
    <t>KS3 Indicators</t>
  </si>
  <si>
    <t>KS3_AGE</t>
  </si>
  <si>
    <t>2006/2007-</t>
  </si>
  <si>
    <t>KS3_INCVA</t>
  </si>
  <si>
    <t>k3_incva</t>
  </si>
  <si>
    <t>Pupil included in contextual value added (CVA) model.</t>
  </si>
  <si>
    <t>KS3_SENPS</t>
  </si>
  <si>
    <t>k3_senps</t>
  </si>
  <si>
    <t>KS3_SENA</t>
  </si>
  <si>
    <t>k3_sena</t>
  </si>
  <si>
    <t>KS3_FLANG</t>
  </si>
  <si>
    <t>k3_flang</t>
  </si>
  <si>
    <t>KS3_INCAREEV</t>
  </si>
  <si>
    <t>INCAREEV</t>
  </si>
  <si>
    <t>k3incare</t>
  </si>
  <si>
    <t>Has the pupil ever been in care at this school?</t>
  </si>
  <si>
    <t>KS3_WIRI</t>
  </si>
  <si>
    <t xml:space="preserve">k3_wri </t>
  </si>
  <si>
    <t>KS3_WIRT</t>
  </si>
  <si>
    <t>k3_wirt</t>
  </si>
  <si>
    <t>KS3_WROM</t>
  </si>
  <si>
    <t>k3_wrom</t>
  </si>
  <si>
    <t>KS3_WOTH</t>
  </si>
  <si>
    <t>k3_woth</t>
  </si>
  <si>
    <t>KS3_MWBC</t>
  </si>
  <si>
    <t>k3_mwbc</t>
  </si>
  <si>
    <t>KS3_MWBA</t>
  </si>
  <si>
    <t>k3_mwba</t>
  </si>
  <si>
    <t>KS3_MWAS</t>
  </si>
  <si>
    <t>k3_mwas</t>
  </si>
  <si>
    <t>KS3_MOTH</t>
  </si>
  <si>
    <t>k3_moth</t>
  </si>
  <si>
    <t>KS3_AIND</t>
  </si>
  <si>
    <t>k3_aind</t>
  </si>
  <si>
    <t>KS3_APKN</t>
  </si>
  <si>
    <t>k3_apkn</t>
  </si>
  <si>
    <t>KS3_ABAN</t>
  </si>
  <si>
    <t>k3_aban</t>
  </si>
  <si>
    <t>KS3_AOTH</t>
  </si>
  <si>
    <t>k3_aoth</t>
  </si>
  <si>
    <t>KS3_BCRB</t>
  </si>
  <si>
    <t>k3_bcrb</t>
  </si>
  <si>
    <t>KS3_BAFR</t>
  </si>
  <si>
    <t>k3_bafr</t>
  </si>
  <si>
    <t>KS3_BOTH</t>
  </si>
  <si>
    <t>k3_both</t>
  </si>
  <si>
    <t>KS3_CHNE</t>
  </si>
  <si>
    <t>k3_chne</t>
  </si>
  <si>
    <t>KS3_OOTH</t>
  </si>
  <si>
    <t>k3_ooth</t>
  </si>
  <si>
    <t>KS3_UNCLA</t>
  </si>
  <si>
    <t>k3_uncla</t>
  </si>
  <si>
    <t>KS3_FSM</t>
  </si>
  <si>
    <t>k3_fsm</t>
  </si>
  <si>
    <t>KS3_EAL_PAPS</t>
  </si>
  <si>
    <t>k3_ealpp</t>
  </si>
  <si>
    <t>KS3_EAL_PAPSSQ</t>
  </si>
  <si>
    <t>k3ealpps</t>
  </si>
  <si>
    <t>KS3_ACADYR</t>
  </si>
  <si>
    <t>k3_ac</t>
  </si>
  <si>
    <t>KS3_PUPILMATCHINGREFANONYMOUS</t>
  </si>
  <si>
    <t>k3_pmr</t>
  </si>
  <si>
    <t>KS3_YEARGRP</t>
  </si>
  <si>
    <t>k3_yrgrp</t>
  </si>
  <si>
    <t>2005/06 - 2007/2008</t>
  </si>
  <si>
    <t>KS3_TOE_CODE</t>
  </si>
  <si>
    <t>k3_stype</t>
  </si>
  <si>
    <t>KS3_REFTA</t>
  </si>
  <si>
    <t>2009/2010</t>
  </si>
  <si>
    <t>Indicates that the school is obliged to return TA but the school has confirmed in writing that they are withholding the pupil's TA</t>
  </si>
  <si>
    <t>1 = a school has provided no TA results, and on being approached confirm a refusal.</t>
  </si>
  <si>
    <t>KS3_NFTYPE</t>
  </si>
  <si>
    <t>k3_nftyp</t>
  </si>
  <si>
    <t>2004/05 - 2007/2008</t>
  </si>
  <si>
    <t>KS3_MMSCH</t>
  </si>
  <si>
    <t>k3_mms</t>
  </si>
  <si>
    <t>Maintained Mainstream school (including CTCs and Academies)
NFTYPE = ANY(20-25, 50-52, 57-58)</t>
  </si>
  <si>
    <t>KS3_MMSCH2</t>
  </si>
  <si>
    <t>k3_mms2</t>
  </si>
  <si>
    <t>KS3_MSCH</t>
  </si>
  <si>
    <t>k3_ms</t>
  </si>
  <si>
    <t>Maintained school (including CTCs and Academies)
NFTYPE = ANY(20-27, 50-53,55, 57-58)</t>
  </si>
  <si>
    <t>KS3_MSCH2</t>
  </si>
  <si>
    <t>k3_ms2</t>
  </si>
  <si>
    <t>KS3_AMEND</t>
  </si>
  <si>
    <t>k3_amend</t>
  </si>
  <si>
    <t>See Amendment Flags tab</t>
  </si>
  <si>
    <t>KS3_AMDPUPIL</t>
  </si>
  <si>
    <t>k3_ampup</t>
  </si>
  <si>
    <t>KS3_VERSION</t>
  </si>
  <si>
    <t>k3_ver</t>
  </si>
  <si>
    <t>KS3_SOURCECTY</t>
  </si>
  <si>
    <t>k3_land</t>
  </si>
  <si>
    <t>KS3_LANGSCH</t>
  </si>
  <si>
    <t>k3_lang</t>
  </si>
  <si>
    <t>KS3_LANGMATTA</t>
  </si>
  <si>
    <t>k3_langm</t>
  </si>
  <si>
    <t>KS3_LANGSCITA</t>
  </si>
  <si>
    <t>k3_langs</t>
  </si>
  <si>
    <t>KS3_MOB1</t>
  </si>
  <si>
    <t>Pupil joined in latest academic year (year 9)</t>
  </si>
  <si>
    <t>KS3_MOB2</t>
  </si>
  <si>
    <t>Pupil joined in previous two academic years outside of July-September (year 7 or 8)</t>
  </si>
  <si>
    <t>KS3_DISC_ENTA</t>
  </si>
  <si>
    <t>DISC_ENTA</t>
  </si>
  <si>
    <t>2008/2009-</t>
  </si>
  <si>
    <t>English TA multi-year discount flag.</t>
  </si>
  <si>
    <t>KS3_DISC_MATA</t>
  </si>
  <si>
    <t>DISC_MATA</t>
  </si>
  <si>
    <t>Maths TA multi-year discount flag.</t>
  </si>
  <si>
    <t>KS3_DISC_SCTA</t>
  </si>
  <si>
    <t>DISC_SCTA</t>
  </si>
  <si>
    <t>Science TA multi-year discount flag.</t>
  </si>
  <si>
    <t>KS3_LEVLENGTA</t>
  </si>
  <si>
    <t>LEVLENGTA</t>
  </si>
  <si>
    <t>Achieved Level 3 or below (low attainment) in KS3 English Teacher Assessment.</t>
  </si>
  <si>
    <t>KS3_LEVLMATTA</t>
  </si>
  <si>
    <t>LEVLMATTA</t>
  </si>
  <si>
    <t>Achieved Level 3 or below (low attainment) in KS3 Maths Teacher Assessment.</t>
  </si>
  <si>
    <t>KS3_LEVLSCITA</t>
  </si>
  <si>
    <t>LEVLSCITA</t>
  </si>
  <si>
    <t>Achieved Level 3 or below (low attainment) in KS3 Science Teacher Assessment.</t>
  </si>
  <si>
    <t>KS3_LEVXENGTA</t>
  </si>
  <si>
    <t>Achieved Level 5 or above (expected level) in KS3 English Teacher Assessment.</t>
  </si>
  <si>
    <t>KS3_LEVXMATTA</t>
  </si>
  <si>
    <t>Achieved Level 5 or above (expected level) in KS3 Maths Teacher Assessment.</t>
  </si>
  <si>
    <t>KS3_LEVXSCITA</t>
  </si>
  <si>
    <t>Achieved Level 5 or above (expected level) in KS3 Science Teacher Assessment.</t>
  </si>
  <si>
    <t>KS3_LEVAXENGTA</t>
  </si>
  <si>
    <t>Achieved Level 6 or above (expected level) in KS3 English Teacher Assessment.</t>
  </si>
  <si>
    <t>KS3_LEVAXMATTA</t>
  </si>
  <si>
    <t>Achieved Level 6 or above (expected level) in KS3 Maths Teacher Assessment.</t>
  </si>
  <si>
    <t>KS3_LEVAXSCITA</t>
  </si>
  <si>
    <t>Achieved Level 6 or above (expected level) in KS3 Science Teacher Assessment.</t>
  </si>
  <si>
    <t>KS3_ENDKS</t>
  </si>
  <si>
    <t>k3_endks</t>
  </si>
  <si>
    <t>2006/07-2007/2008</t>
  </si>
  <si>
    <t>KS3_EXAMYEAR_EN</t>
  </si>
  <si>
    <t>k3_en</t>
  </si>
  <si>
    <t>KS3_EXAMYEAR_MA</t>
  </si>
  <si>
    <t>k3_ma</t>
  </si>
  <si>
    <t>KS3_EXAMYEAR_SC</t>
  </si>
  <si>
    <t>k3_sc</t>
  </si>
  <si>
    <t xml:space="preserve">2004/05 - 2007/2008 </t>
  </si>
  <si>
    <t>KS3_SCHRES</t>
  </si>
  <si>
    <t>k3_schrs</t>
  </si>
  <si>
    <t>2003/04 - 2007/2008</t>
  </si>
  <si>
    <t>KS3_LARES</t>
  </si>
  <si>
    <t>k3_lars</t>
  </si>
  <si>
    <t>KS3_NATRES</t>
  </si>
  <si>
    <t>k3_natrs</t>
  </si>
  <si>
    <t>KS3_ELIGREAD</t>
  </si>
  <si>
    <t>2007/08 only</t>
  </si>
  <si>
    <t>Pupil included in the eligible pupil number for Reading i.e. has a test result of A, B, M, N, P, T, 3-7, Q or S.  It is used as the denominator for school and LA calculations of achievement in Reading.</t>
  </si>
  <si>
    <t>KS3_ELIGWRIT</t>
  </si>
  <si>
    <t>Pupil included in the eligible pupil number for Writing i.e. has a test result of A, B, M, N, P, T, 3-7, Q or S.  It is used as the denominator for school and LA calculations of achievement in Writing.</t>
  </si>
  <si>
    <t>KS3_ELIGENG</t>
  </si>
  <si>
    <t>k3_elige</t>
  </si>
  <si>
    <t>Pupil included in the eligible pupil number for English i.e. has a test result of A, B, M, N, P, T, 2-5, Q or S.  It is used as the denominator for school and LA calculations of achievement in English.</t>
  </si>
  <si>
    <t>KS3_ELIGMAT</t>
  </si>
  <si>
    <t>k3_eligm</t>
  </si>
  <si>
    <t xml:space="preserve">Pupil included in the eligible pupil number for Maths i.e. has a test result of A, B, M, N, P, T, 2-8 or Q.  It is used as the denominator for school and LA calculations of achievement in Maths.  </t>
  </si>
  <si>
    <t>KS3_ELIGSCI</t>
  </si>
  <si>
    <t>k3_eligs</t>
  </si>
  <si>
    <t xml:space="preserve">Pupil included in the eligible pupil number for Science i.e. has a test result of A, B, M, N, P, T, 2-7 or Q.  It is used as the denominator for school and LA calculations of achievement in Science.  </t>
  </si>
  <si>
    <t>KS3_VALENG</t>
  </si>
  <si>
    <t>k3_vale</t>
  </si>
  <si>
    <t>Pupil included in the eligible pupil number for English and does not have a missing, unmatched past or lost results i.e. has a test result of A, B, N, T, 2-7 or Q (including overseas pupils).  It is used as the denominator for national calculations of achievement in English</t>
  </si>
  <si>
    <t>KS3_VALMAT</t>
  </si>
  <si>
    <t>k3_valm</t>
  </si>
  <si>
    <t>Pupil included in the eligible pupil number for Maths and does not have a missing, unmatched past or lost results i.e. has a test result of A, B, N, T, 2-8 or Q (including overseas pupils).  It is used as the denominator for national calculations of achievement in Maths</t>
  </si>
  <si>
    <t>KS3_VALSCI</t>
  </si>
  <si>
    <t>k3_vals</t>
  </si>
  <si>
    <t>Pupil included in the eligible pupil number for Science and does not have a missing, unmatched past or lost results i.e. has a test result of A, B, N, T, 2-7 or Q (including overseas pupils).  It is used as the denominator for national calculations of achievement in Science</t>
  </si>
  <si>
    <t>KS3_CORRFLAG</t>
  </si>
  <si>
    <t>CORRFLAG</t>
  </si>
  <si>
    <t>k3_cflag</t>
  </si>
  <si>
    <t>FFT Correction Flag for 2003/2004: Total of 0 if not corrected; 1 if English; 2 if Mathematics; 4 if Science</t>
  </si>
  <si>
    <t>KS3_WELSHTALEV</t>
  </si>
  <si>
    <t>k3_welta</t>
  </si>
  <si>
    <t>1997/98 - 2000/01</t>
  </si>
  <si>
    <t>2 - 7</t>
  </si>
  <si>
    <t>KS3_WELSHLEV</t>
  </si>
  <si>
    <t>k3_levwe</t>
  </si>
  <si>
    <t>3 - 7
A = Absent
B = Below level of test</t>
  </si>
  <si>
    <t>KS3_ENGTIER</t>
  </si>
  <si>
    <t>k3_tiere</t>
  </si>
  <si>
    <t>1997/98 - 2007/2008</t>
  </si>
  <si>
    <t>_X = Invalid Code entered
0 
2 = Tier 2
3 = Tier 3
4 = Tier 4
35 = Tiers 3 to 5
47 = Tiers 4 to 7
5 = Tier 5
A = Absent
B = Working below level of test
D = Disapplied
E = Exceptional performance
F = Taking test in a future year
L = Left
M = Missing
N = No test level awarded
P = Took test in a previous year
T = Unable to access test
W = Working towards level 1
Z = Ineligible</t>
  </si>
  <si>
    <t>KS3_ENG1MRK</t>
  </si>
  <si>
    <t>ENG1MRK</t>
  </si>
  <si>
    <t>k3_pap1e</t>
  </si>
  <si>
    <t>1997/98 - 2001/02</t>
  </si>
  <si>
    <t>English Paper 1 Test Mark</t>
  </si>
  <si>
    <t>0 to 60
_NV = Null Value entered</t>
  </si>
  <si>
    <t>KS3_ENG2MRK</t>
  </si>
  <si>
    <t>ENG2MRK</t>
  </si>
  <si>
    <t>k3_pap2e</t>
  </si>
  <si>
    <t>English Paper 2 Test Mark</t>
  </si>
  <si>
    <t>KS3_ENGREADMRK</t>
  </si>
  <si>
    <t>ENGREADMRK</t>
  </si>
  <si>
    <t>k3_erm</t>
  </si>
  <si>
    <t>2002/03 - 2007/2008</t>
  </si>
  <si>
    <t>0 to 32
A = Absent
M = Missing</t>
  </si>
  <si>
    <t>KS3_ENGRDSHMRK</t>
  </si>
  <si>
    <t>ENGRDSHMRK</t>
  </si>
  <si>
    <t>k3_ersm</t>
  </si>
  <si>
    <t>Marks achieved in Shakespeare reading test.</t>
  </si>
  <si>
    <t>0 to 18
A = Absent
M = Missing</t>
  </si>
  <si>
    <t>KS3_ENGWRITMRK</t>
  </si>
  <si>
    <t>k3_ewm</t>
  </si>
  <si>
    <t>Marks awarded in English longer writing test
(English Writing Test Mark for 02/03 to 03/04)</t>
  </si>
  <si>
    <t>0 to 30
A = Absent
M = Missing</t>
  </si>
  <si>
    <t>KS3_ENGWRSHMRK</t>
  </si>
  <si>
    <t>ENGWRSHMRK</t>
  </si>
  <si>
    <t>k3_ewsm</t>
  </si>
  <si>
    <t>Marks awarded in English shorter writing test
(English Writing Shakespeare Test Mark for 02/03 to 03/04)</t>
  </si>
  <si>
    <t>0 to 20
A = Absent
M = Missing</t>
  </si>
  <si>
    <t>KS3_ENGRDTOTMRK</t>
  </si>
  <si>
    <t>ENGRDTOTMRK</t>
  </si>
  <si>
    <t>k3_ertm</t>
  </si>
  <si>
    <t>Total marks achieved in English reading test (sum of reading and Shakespeare reading tests).</t>
  </si>
  <si>
    <t>0 to 50
A = Absent
M = Missing</t>
  </si>
  <si>
    <t>KS3_ENGWRTOTMRK</t>
  </si>
  <si>
    <t>ENGWRTOTMRK</t>
  </si>
  <si>
    <t>k3_ewtm</t>
  </si>
  <si>
    <t>Total marks awarded in English writing test.</t>
  </si>
  <si>
    <t>KS3_ENGTOTMRK</t>
  </si>
  <si>
    <t>k3_tote</t>
  </si>
  <si>
    <t>Total marks awarded in English test (sum of reading and writing tests).</t>
  </si>
  <si>
    <t>0 to 100 
A = Absent
M = Missing
_NV = Null Value entered</t>
  </si>
  <si>
    <t>KS3_ENGEXTMRK</t>
  </si>
  <si>
    <t>k3_extem</t>
  </si>
  <si>
    <t>0 to 36
_NV = Null Value entered</t>
  </si>
  <si>
    <t>KS3_READLEV</t>
  </si>
  <si>
    <t>k3_erftl</t>
  </si>
  <si>
    <t>0
1 = Achieved Level 1
2 = Achieved Level 2
3 = Achieved Level 3
4 = Achieved Level 4
5 = Achieved Level 5
6 = Achieved Level 6
7 = Achieved Level 7
8 = Achieved Level 8
9 = Achieved Level 9
A = Absent
B = Working below the level assessed by the tests
D = Disapplied
F = KS3 pupil not at end of KS3 and taking this subject in future years
L = Left
M = Missing
N = No test level awarded
P = Results for this subject found in previous year's dataset 
T = Working at the level of the tests but not able to access them
Z = Ineligible
_X = Invalid Code entered</t>
  </si>
  <si>
    <t>KS3_WRITLEV</t>
  </si>
  <si>
    <t>k3_ewftl</t>
  </si>
  <si>
    <t>National Curriculum level awarded for English writing test.</t>
  </si>
  <si>
    <t>0
1 = Achieved Level 1
2 = Achieved Level 2
3 = Achieved Level 3
4 = Achieved Level 4
5 = Achieved Level 5
6 = Achieved Level 6
7 = Achieved Level 7
8 = Achieved Level 8
9 = Achieved Level 9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t>
  </si>
  <si>
    <t>KS3_ENGTALEV</t>
  </si>
  <si>
    <t>k3_engta</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</si>
  <si>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</si>
  <si>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KS3_ENGMAINLEV</t>
  </si>
  <si>
    <t>k3_maine</t>
  </si>
  <si>
    <t>_X = Invalid Code entered
3  
4  
5  
6  
7  
8  
A = Absent
B = Below level of test
D = Disapplied
L = Left
M = Missing
N = No test level awarded
Q = Malpractice
X = Lost or stolen
Y = Ineligible – not at end of KS3
Z = Pupils who registered but are ineligible</t>
  </si>
  <si>
    <t>KS3_ENGLEV</t>
  </si>
  <si>
    <t>k3_leve</t>
  </si>
  <si>
    <t>3 = Achieved Level 3
4 = Achieved Level 4
5 = Achieved Level 5
6 = Achieved Level 6
7 = Achieved Level 7
8 = Achieved Level 8
A = Absent
B = Working below the level assessed by the test
D = Disapplied
E = Level E
F = KS3 pupil not at end of KS3 and taking this subject in future years 
L = Left
M = Missing
N = No test level awarded
P = Results for this subject found in previous year's dataset 
Q = Malpractice
T = Working at the level of the tests but not able to access them
X = Lost
Y = DfE ineligible
Z = Ineligible
_X = Invalid Code entered</t>
  </si>
  <si>
    <t>KS3_ENGEXTLEV</t>
  </si>
  <si>
    <t>k3_extes</t>
  </si>
  <si>
    <t>_X = Invalid Code entered
8
E (Level E, not achievable from 2003)</t>
  </si>
  <si>
    <t>KS3_ENGPOINTS</t>
  </si>
  <si>
    <t>k3_epts</t>
  </si>
  <si>
    <t>KS3_ENGFINE</t>
  </si>
  <si>
    <t>k3_efine</t>
  </si>
  <si>
    <t>KS3_MATTIER</t>
  </si>
  <si>
    <t>k3_tierm</t>
  </si>
  <si>
    <t>2 = Tier 2
4 = Tier 4
6 = Tier 6
35 = Tiers 3 to 5
46 = Tiers 4 to 6
57 = Tiers 5 to 7
68 = Tiers 6 to 8
A = Absent
B = Working below level of test
D = Disapplied
E = Exceptional performance
F = Taking test in a future year
L = Left
M = Missing
P = Took test in a previous year
T = Unable to access test
V = Mixed-tier paper
Z = Ineligible
_X = Invalid Code entered</t>
  </si>
  <si>
    <t>KS3_MATPAP1MRK</t>
  </si>
  <si>
    <t>MATPAP1MRK</t>
  </si>
  <si>
    <t>k3_pap1m</t>
  </si>
  <si>
    <t>Marks achieved in Paper 1 of Maths test.</t>
  </si>
  <si>
    <t>0 to 60 
A = Absent
M = Missing
_NV = Null Value entered</t>
  </si>
  <si>
    <t>KS3_MATPAP2MRK</t>
  </si>
  <si>
    <t>MATPAP2MRK</t>
  </si>
  <si>
    <t>k3_pap2m</t>
  </si>
  <si>
    <t>Marks achieved in Paper 2 of Maths test.</t>
  </si>
  <si>
    <t>KS3_MATARTHMRK</t>
  </si>
  <si>
    <t>k3_marit</t>
  </si>
  <si>
    <t>0 to 30 
A = Absent
M = Missing
_NV = Null Value entered</t>
  </si>
  <si>
    <t>KS3_MATTOTMRK</t>
  </si>
  <si>
    <t>k3_totm</t>
  </si>
  <si>
    <t>Total marks achieved in Maths test (sum of Paper 1, Paper 2 and mental arithmetic tests).</t>
  </si>
  <si>
    <t>0 to 150 
A = Absent
M = Missing
_NV = Null Value entered</t>
  </si>
  <si>
    <t>KS3_MATEXTMRK</t>
  </si>
  <si>
    <t>k3_extmm</t>
  </si>
  <si>
    <t>0 to 42
_NV = Null Value entered</t>
  </si>
  <si>
    <t>KS3_MATTALEV</t>
  </si>
  <si>
    <t>k3_matta</t>
  </si>
  <si>
    <t>0
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</si>
  <si>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KS3_MATMAINLEV</t>
  </si>
  <si>
    <t>k3_mainm</t>
  </si>
  <si>
    <t>2 = Achieved Level 2
3 = Achieved Level 3
4 = Achieved Level 4
5 = Achieved Level 5
6 = Achieved Level 6
7 = Achieved Level 7
8 = Achieved Level 8
A = Absent
B = Below level of test
D = Disapplied
L = Left
M = Missing
N = No test level awarded
Q = Malpractice
V = Mixed Tier
Y = Ineligible – not at end of KS3
Z = Pupils who registered but are ineligible
_X = Invalid Code entered</t>
  </si>
  <si>
    <t>KS3_MATLEV</t>
  </si>
  <si>
    <t>k3_levm</t>
  </si>
  <si>
    <t>0
1 = Achieved Level 1
2 = Achieved Level 2
3 = Achieved Level 3
4 = Achieved Level 4
5 = Achieved Level 5
6 = Achieved Level 6
7 = Achieved Level 7
8 = Achieved Level 8
A = Absent
B = Working below the level assessed by the test
D = Disapplied
E = Level E, not achievable from 2003
F = KS3 pupil not at end of KS3 and taking this subject in future years 
L = Left
M = Missing
N = No test level awarded
P = Results for this subject found in previous year's dataset 
Q = Malpractice
T = Working at the level of the tests but not able to access them
V = No test level awarded - mixed-tier papers taken
X = Lost
Y = DfE ineligible
Z = Ineligible
_X = Invalid Code entered</t>
  </si>
  <si>
    <t>KS3_MATEXTLEV</t>
  </si>
  <si>
    <t>k3_extml</t>
  </si>
  <si>
    <t>E (Level E, not achievable from 2003)
_X = Invalid Code entered</t>
  </si>
  <si>
    <t>KS3_MATPOINTS</t>
  </si>
  <si>
    <t>k3_mpts</t>
  </si>
  <si>
    <t>KS3_MATFINE</t>
  </si>
  <si>
    <t>k3_mfine</t>
  </si>
  <si>
    <t>KS3_SCITIER</t>
  </si>
  <si>
    <t>k3_tiers</t>
  </si>
  <si>
    <t>2 = Tier 2
4 = Tier 4
5 = Tier 5
6 = Tier 6
35 = Tiers 3 to 5
36 = Tiers 3 to 6
47 = Tiers 4 to 7
56 = Tiers 5 to 6
57 = Tiers 5 to 7
67 = Tiers 6 to 7
A = Absent
B = Working below level of test
D = Disapplied
E = Exceptional performance
F = Taking test in a future year
L = Left
M = Missing
P = Took test in a previous year
T = Unable to access test
V = Mixed-tier paper
W = Working towards level 1
Z = Ineligible
_X = Invalid Code entered</t>
  </si>
  <si>
    <t>KS3_SCIPAP1MRK</t>
  </si>
  <si>
    <t>SCIPAP1MRK</t>
  </si>
  <si>
    <t>k3_papas</t>
  </si>
  <si>
    <t>Marks achieved in Paper 1 of Science test.</t>
  </si>
  <si>
    <t>0 to 90
A = Absent
M = Missing
_NV = Null Value entered</t>
  </si>
  <si>
    <t>KS3_SCIPAP2MRK</t>
  </si>
  <si>
    <t>SCIPAP2MRK</t>
  </si>
  <si>
    <t>k3_papbs</t>
  </si>
  <si>
    <t>Marks achieved in Paper 2 of Science test.</t>
  </si>
  <si>
    <t>KS3_SCITOTMRK</t>
  </si>
  <si>
    <t>k3_tots</t>
  </si>
  <si>
    <t>Science Total Mark</t>
  </si>
  <si>
    <t>0 to 180
A = Absent
M = Missing
_NV = Null Value entered</t>
  </si>
  <si>
    <t>KS3_SCIEXTMRK</t>
  </si>
  <si>
    <t>k3_extsm</t>
  </si>
  <si>
    <t>0 to 58
_NV = Null Value entered</t>
  </si>
  <si>
    <t>KS3_SCITALEV</t>
  </si>
  <si>
    <t>k3_scita</t>
  </si>
  <si>
    <t>1 = Achieved Level 1
2 = Achieved Level 2
3 = Achieved Level 3
4 = Achieved Level 4
5 = Achieved Level 5
6 = Achieved Level 6
7 = Achieved Level 7
8 = Achieved Level 8
A = Absent
B = Below level of test
D = Disapplied
E = Exceptional performance
F = KS3 pupil not at end of KS3 and taking this subject in future years
L = Left
M = Missing
N = No test level awarded
P = Results for this subject found in previous year's dataset 
W = Working towards Level 1
Z = Pupils who registered but are ineligible
_X = Invalid Code entered
IN = Invalid</t>
  </si>
  <si>
    <t>KS3_SCIMAINLEV</t>
  </si>
  <si>
    <t>k3_mains</t>
  </si>
  <si>
    <t>2 = Achieved Level 2
3 = Achieved Level 3
4 = Achieved Level 4
5 = Achieved Level 5
6 = Achieved Level 6
7 = Achieved Level 7
A = Absent
B = Below level of test
D = Disapplied
L = Left
M = Missing
N = No test level awarded
Q = Malpractice
V = Mixed Tier
X = Lost or Stolen
Y = Ineligible – not at end of KS3
Z = Pupils who registered but are ineligible
_X = Invalid Code entered</t>
  </si>
  <si>
    <t>KS3_SCILEV</t>
  </si>
  <si>
    <t>k3_levs</t>
  </si>
  <si>
    <t>0
1 = Achieved Level 1
2 = Achieved Level 2
3 = Achieved Level 3
4 = Achieved Level 4
5 = Achieved Level 5
6 = Achieved Level 6
7 = Achieved Level 7
8 = Achieved Level 8
A = Absent
B = Below level of test
D = Disapplied
E = Level E, not achievable from 2003
L = Left
M = Missing
N = No test level awarded
Q = Malpractice
V = Mixed Tier
X = Lost or Stolen
Y = Ineligible – not at end of KS3
Z = Pupils who registered but are ineligible
_X = Invalid Code entered</t>
  </si>
  <si>
    <t>KS3_SCIEXTLEV</t>
  </si>
  <si>
    <t>k3_extsl</t>
  </si>
  <si>
    <t>8
E (Level E, not achievable from 2003)
_X = Invalid Code entered</t>
  </si>
  <si>
    <t>KS3_SCIPOINTS</t>
  </si>
  <si>
    <t>k3_spts</t>
  </si>
  <si>
    <t>KS3_SCIFINE</t>
  </si>
  <si>
    <t>k3_sfine</t>
  </si>
  <si>
    <t>KS3_LEVLENG</t>
  </si>
  <si>
    <t>k3_lev3e</t>
  </si>
  <si>
    <t>2006/07 - 2007/2008</t>
  </si>
  <si>
    <t>Achieved Level 3 or below (low attainment) in KS3 English.</t>
  </si>
  <si>
    <t>KS3_LEVLMAT</t>
  </si>
  <si>
    <t>k3_lev3m</t>
  </si>
  <si>
    <t>Achieved Level 3 or below (low attainment) in KS3 Maths.</t>
  </si>
  <si>
    <t>KS3_LEVLSCI</t>
  </si>
  <si>
    <t>k3_lev3s</t>
  </si>
  <si>
    <t>Achieved Level 3 or below (low attainment) in KS3 Science.</t>
  </si>
  <si>
    <t>KS3_LEVLEMS</t>
  </si>
  <si>
    <t>k3_lev3a</t>
  </si>
  <si>
    <t>Achieved Level 3 or below (low attainment) in KS3 English, Maths and Science.</t>
  </si>
  <si>
    <t>KS3_LEVLEMSTA</t>
  </si>
  <si>
    <t>k3_lv3ta</t>
  </si>
  <si>
    <t>2006/07</t>
  </si>
  <si>
    <t>Achieved Level 3 or below (low attainment) in KS3 English, Maths and Science Teacher Assessment.</t>
  </si>
  <si>
    <t>KS3_LEVXENG</t>
  </si>
  <si>
    <t>k3_lev5e</t>
  </si>
  <si>
    <t>Achieved Level 5 or above in KS3 English.</t>
  </si>
  <si>
    <t>KS3_LEVXMAT</t>
  </si>
  <si>
    <t>k3_lev5m</t>
  </si>
  <si>
    <t>Achieved Level 5 or above in KS3 Maths.</t>
  </si>
  <si>
    <t>KS3_LEVXSCI</t>
  </si>
  <si>
    <t>k3_lev5s</t>
  </si>
  <si>
    <t>Achieved Level 5 or above in KS3 Science.</t>
  </si>
  <si>
    <t>KS3_LEVXENGMAT</t>
  </si>
  <si>
    <t>Achieved Level 5 or above (expected level) in KS3 English and Maths</t>
  </si>
  <si>
    <t>KS3_LEVXEMS</t>
  </si>
  <si>
    <t>k3_lev5a</t>
  </si>
  <si>
    <t>2006/07- 2007/08</t>
  </si>
  <si>
    <t>Achieved Level 5 or above (expected level) in KS3 English, Maths and Science.</t>
  </si>
  <si>
    <t>KS3_LEVXEMSTA</t>
  </si>
  <si>
    <t>k3_lv5ta</t>
  </si>
  <si>
    <t>Achieved Level 5 or above (expected level) in KS3 English, Maths and Science Teacher Assessment.</t>
  </si>
  <si>
    <t>KS3_LEVAXENG</t>
  </si>
  <si>
    <t>k3_lev6e</t>
  </si>
  <si>
    <t>2004/05 - 2007/08</t>
  </si>
  <si>
    <t>Achieved Level 6 or above in KS3 English.</t>
  </si>
  <si>
    <t>KS3_LEVAXMAT</t>
  </si>
  <si>
    <t>k3_lev6m</t>
  </si>
  <si>
    <t>Achieved Level 6 or above in KS3 Maths.</t>
  </si>
  <si>
    <t>KS3_LEVAXSCI</t>
  </si>
  <si>
    <t>k3_lev6s</t>
  </si>
  <si>
    <t>2004/05 - 200708</t>
  </si>
  <si>
    <t>Achieved Level 6 or above in KS3 Science.</t>
  </si>
  <si>
    <t>Achieved Level 6 or above (expected level) in KS3 English and Maths</t>
  </si>
  <si>
    <t>KS3_LEVAXEMS</t>
  </si>
  <si>
    <t>k3_lev6a</t>
  </si>
  <si>
    <t>Achieved Level 6 or above (above expected level) in KS3 English, Maths and Science.</t>
  </si>
  <si>
    <t>KS3_LEVAXEMSTA</t>
  </si>
  <si>
    <t>k3_lv6ta</t>
  </si>
  <si>
    <t>Achieved Level 6 or above (above expected level) in KS3 English, Maths and Science Teacher Assessment.</t>
  </si>
  <si>
    <t>KS3_LEV7ENG</t>
  </si>
  <si>
    <t>LEV7ENG</t>
  </si>
  <si>
    <t>Achieved Level 7or above in KS3 English</t>
  </si>
  <si>
    <t>KS3_LEV7MAT</t>
  </si>
  <si>
    <t>LEV7MAT</t>
  </si>
  <si>
    <t>Achieved Level 7or above in KS3 Maths</t>
  </si>
  <si>
    <t>KS3_LEV7SCI</t>
  </si>
  <si>
    <t>LEV7SCI</t>
  </si>
  <si>
    <t>Achieved Level 7or above in KS3 Science</t>
  </si>
  <si>
    <t>KS3_LEVATENG</t>
  </si>
  <si>
    <t>k3_levte</t>
  </si>
  <si>
    <t>KS3_LEVATMAT</t>
  </si>
  <si>
    <t>k3_levtm</t>
  </si>
  <si>
    <t>KS3_LEVATSCI</t>
  </si>
  <si>
    <t>k3_levts</t>
  </si>
  <si>
    <t>KS3_TOTPTS</t>
  </si>
  <si>
    <t>k3_totps</t>
  </si>
  <si>
    <t>2003/04 - 2007/08</t>
  </si>
  <si>
    <t>Total KS3 point score as used in the valued added calculations.</t>
  </si>
  <si>
    <t>0 - 141</t>
  </si>
  <si>
    <t>KS3_APSDENS</t>
  </si>
  <si>
    <t>k3_slden</t>
  </si>
  <si>
    <t>0 - 3</t>
  </si>
  <si>
    <t>KS3_APSDENN</t>
  </si>
  <si>
    <t>k3_nden</t>
  </si>
  <si>
    <t>KS3_VAINPUT</t>
  </si>
  <si>
    <t>k3_vain</t>
  </si>
  <si>
    <t>KS2 average point score used as the input measure in the calculation of value added.</t>
  </si>
  <si>
    <t>5 = 33
4 = 27
3 = 21
Compensatory 2 = 15
Below the level assessed by the test (B) = 15
Not awarded test level (N) = 15
Unable to access test (T), (or Disapplied (D) for KS2-KS3 VA) - Disregard
Absent (A) – Disregard
Missing (M) – Disregard 
Malpractice (Q) – Disregard
Lost/Stolen script (X) -  Disregard
Ineligible (Y or Z) - Disregard
(0.0 to 33.0)</t>
  </si>
  <si>
    <t>KS3_VAOUTPUT</t>
  </si>
  <si>
    <t>k3_vaout</t>
  </si>
  <si>
    <t>KS3 average point score used as the output measure in the calculation of value added.</t>
  </si>
  <si>
    <t>Test Level   English   Maths    Science
       8                 NA          51            NA
       7                 45          45             45
       6                 39          39             39
       5                 33          33             33
       4                 27          27             27
       3                 NA          21             21
       2                 NA          NA            NA
       B                 21          15             15
       N                 21          15             15
Unable to access test (T) Disregard
Malpractice (Q) Disregard
Missing (M) Disregard
Lost/Stolen (X) Disregard
Mixed Tier (V) Disregard
Ineligible (Y/Z) Disregard</t>
  </si>
  <si>
    <t>KS3_MEDIAN</t>
  </si>
  <si>
    <t>k3_medps</t>
  </si>
  <si>
    <t>Median KS3 average point score for the KS2 bin which the pupil's KS2 average point score falls into.</t>
  </si>
  <si>
    <t>KS3_VASCOREP</t>
  </si>
  <si>
    <t>k3_valas</t>
  </si>
  <si>
    <t>Value added score - calculated as the distance between the pupil's actual KS3 average point score (VAOUTPUT) and the median KS3 average point score (MEDIAN).</t>
  </si>
  <si>
    <t>KS3_ENGLEVKS2</t>
  </si>
  <si>
    <t>KS2 English level for progress measure (excluding TA)</t>
  </si>
  <si>
    <t>KS3_ENGLEVKS3</t>
  </si>
  <si>
    <t>ENGLEVKS3</t>
  </si>
  <si>
    <t>KS3 English level for progress measure (excluding TA)</t>
  </si>
  <si>
    <t>KS3_MATHLEVKS2</t>
  </si>
  <si>
    <t>KS2 maths level for progress measure (excluding TA)</t>
  </si>
  <si>
    <t>KS3_MATHLEVKS3</t>
  </si>
  <si>
    <t>MATHLEVKS3</t>
  </si>
  <si>
    <t>KS3 maths level for progress measure (excluding TA)</t>
  </si>
  <si>
    <t>KS3_PROGENG23</t>
  </si>
  <si>
    <t>PROGENG23</t>
  </si>
  <si>
    <t>Number of levels of progress in English between KS2 and KS3 (excluding TA)</t>
  </si>
  <si>
    <t>KS3_PROGREAD23</t>
  </si>
  <si>
    <t>PROGREAD23</t>
  </si>
  <si>
    <t>Number of levels of progress in reading between KS2 and KS3 (excluding TA)</t>
  </si>
  <si>
    <t>KS3_PROGWRIT23</t>
  </si>
  <si>
    <t>PROGWRIT23</t>
  </si>
  <si>
    <t>Number of levels of progress in writing between KS2 and KS3 (excluding TA)</t>
  </si>
  <si>
    <t>KS3_PROGMATH23</t>
  </si>
  <si>
    <t>PROGMATH23</t>
  </si>
  <si>
    <t>Number of levels of progress in maths between KS2 and KS3 (excluding TA)</t>
  </si>
  <si>
    <t>KS3_ENGLEVKS2TA</t>
  </si>
  <si>
    <t>KS3_ENGLEVKS3TA</t>
  </si>
  <si>
    <t>ENGLEVKS3TA</t>
  </si>
  <si>
    <t>KS3 English level for progress measure (including TA)</t>
  </si>
  <si>
    <t>KS3_MATHLEVKS2TA</t>
  </si>
  <si>
    <t>KS2 Maths level for progress measure (including TA)</t>
  </si>
  <si>
    <t>KS3_MATHLEVKS3TA</t>
  </si>
  <si>
    <t>MATHLEVKS3TA</t>
  </si>
  <si>
    <t>KS3 maths level for progress measure (including TA)</t>
  </si>
  <si>
    <t>KS3_SCILEVKS2TA</t>
  </si>
  <si>
    <t>SCILEVKS2TA</t>
  </si>
  <si>
    <t>KS2 Science level for progress measure (including TA)</t>
  </si>
  <si>
    <t>KS3_SCILEVKS3TA</t>
  </si>
  <si>
    <t>SCILEVKS3TA</t>
  </si>
  <si>
    <t>KS3 science level for progress measure (including TA)</t>
  </si>
  <si>
    <t>KS3_PROGENG23TA</t>
  </si>
  <si>
    <t>PROGENG23TA</t>
  </si>
  <si>
    <t>Number of levels of progress in English between KS2 and KS3 (including TA)</t>
  </si>
  <si>
    <t>KS3_PROGMATH23TA</t>
  </si>
  <si>
    <t>PROGMATH23TA</t>
  </si>
  <si>
    <t>Number of levels of progress in maths between KS2 and KS3 (including TA)</t>
  </si>
  <si>
    <t>KS3_PROGSCI23TA</t>
  </si>
  <si>
    <t>PROGSCI23TA</t>
  </si>
  <si>
    <t>Number of levels of progress in science between KS2 and KS3 (including TA)</t>
  </si>
  <si>
    <t>KS3_FLAGENG23TA</t>
  </si>
  <si>
    <t>FLAGENG23TA</t>
  </si>
  <si>
    <t>Pupil flag for making 2 levels of progress in English between KS2 and KS3 (including TA)</t>
  </si>
  <si>
    <t>KS3_FLAGMATH23TA</t>
  </si>
  <si>
    <t>FLAGMATH23TA</t>
  </si>
  <si>
    <t>Pupil flag for making 2 levels of progress in maths between KS2 and KS3 (including TA)</t>
  </si>
  <si>
    <t>KS3_FLAGSCI23TA</t>
  </si>
  <si>
    <t>FLAGSCI23TA</t>
  </si>
  <si>
    <t>Pupil flag for making 2 levels of progress in science between KS2 and KS3 (including TA)</t>
  </si>
  <si>
    <t>KS3_INMLWIN</t>
  </si>
  <si>
    <t>k3_mlwin</t>
  </si>
  <si>
    <t>Pupil included in MLWin file</t>
  </si>
  <si>
    <t>KS3_CVAPAPS</t>
  </si>
  <si>
    <t>k3_paps</t>
  </si>
  <si>
    <t>2005/06 - 2007/08</t>
  </si>
  <si>
    <t>KS2 prior attainment average point score (using fine grading), used as an input measure in the calculation of contextual value added.</t>
  </si>
  <si>
    <t>KS3_CVAAPS</t>
  </si>
  <si>
    <t>k3_aps</t>
  </si>
  <si>
    <t>KS3 current attainment average point score (using fine grading), used as the output measure in the calculation of contextual value added.</t>
  </si>
  <si>
    <t>KS3_CVAPENG</t>
  </si>
  <si>
    <t>CVAPENG</t>
  </si>
  <si>
    <t>k3_peng</t>
  </si>
  <si>
    <t>KS2 prior attainment English point score (using fine grading) for contextual value added.</t>
  </si>
  <si>
    <t>KS3_CVAPMAT</t>
  </si>
  <si>
    <t>k3_pmat</t>
  </si>
  <si>
    <t>KS2 prior attainment Maths point score (using fine grading) for contextual value added.</t>
  </si>
  <si>
    <t>KS3_CVAPSCI</t>
  </si>
  <si>
    <t>CVAPSCI</t>
  </si>
  <si>
    <t>k3_psci</t>
  </si>
  <si>
    <t>KS2 prior attainment Science point score (using fine grading) for contextual value added.</t>
  </si>
  <si>
    <t>KS3_CVAINTPRED</t>
  </si>
  <si>
    <t>CVAINTPRED</t>
  </si>
  <si>
    <t>Predicted interim KS3 APS based on CVA model</t>
  </si>
  <si>
    <t>KS3_CVAPRED</t>
  </si>
  <si>
    <t>k3_pred</t>
  </si>
  <si>
    <t>Predicted KS3 average point score based on contextual value added model.</t>
  </si>
  <si>
    <t>KS3_CVASCORE</t>
  </si>
  <si>
    <t>k3_score</t>
  </si>
  <si>
    <t>KS2-KS3 contextual value added score - calculated as the distance between the pupil's attainment (CVAAPS) and the predicted attainment (CVAPRED).</t>
  </si>
  <si>
    <t>KS3_SC_PAPS</t>
  </si>
  <si>
    <t>SC_PAPS</t>
  </si>
  <si>
    <t>School cohort KS2 average points score (finely graded)</t>
  </si>
  <si>
    <t>KS3_SC_KS2STDEV</t>
  </si>
  <si>
    <t>SC_KS2STDEV</t>
  </si>
  <si>
    <t>Standard deviation of pupils CVAPAPS score</t>
  </si>
  <si>
    <t>KS3_PAPSSQ</t>
  </si>
  <si>
    <t>k3_papsq</t>
  </si>
  <si>
    <t>Prior attainment APS – squared.</t>
  </si>
  <si>
    <t>KS3_PE_DEV</t>
  </si>
  <si>
    <t>k3_pedev</t>
  </si>
  <si>
    <t>Prior attainment KS2 English point score deviation.</t>
  </si>
  <si>
    <t>KS3_PM_DEV</t>
  </si>
  <si>
    <t>k3_pmdev</t>
  </si>
  <si>
    <t>Prior attainment KS2 Maths point score deviation.</t>
  </si>
  <si>
    <t>k3_mob1</t>
  </si>
  <si>
    <t>Pupil joined in latest academic year (year 9)?</t>
  </si>
  <si>
    <t>k3_mob2</t>
  </si>
  <si>
    <t>Pupil joined in previous two academic year outside of July-Sept (year 7 or 8)?</t>
  </si>
  <si>
    <t>1997/98-</t>
  </si>
  <si>
    <t>KS3 Result Table</t>
  </si>
  <si>
    <t>KS3_PupilMatchingRefAnonymous</t>
  </si>
  <si>
    <t>KS3_ASSESSYR</t>
  </si>
  <si>
    <t>k3_assyr</t>
  </si>
  <si>
    <t>KS3_SUBLEVNO</t>
  </si>
  <si>
    <t>k3_sublv</t>
  </si>
  <si>
    <t>KS3_DSGSUBLEV</t>
  </si>
  <si>
    <t>KS3_LEAPCODE</t>
  </si>
  <si>
    <t>k3r_qac</t>
  </si>
  <si>
    <t>9991 = English
9992 = Maths
9993 = Science</t>
  </si>
  <si>
    <t>KS3_GRADE</t>
  </si>
  <si>
    <t>k3r_eg</t>
  </si>
  <si>
    <t>Test level.</t>
  </si>
  <si>
    <t>KS3_DISC3</t>
  </si>
  <si>
    <t>k3r_dfmy</t>
  </si>
  <si>
    <t>KS3_DISCTA</t>
  </si>
  <si>
    <t>k3r_dta</t>
  </si>
  <si>
    <t>KS3_TESTSTAT</t>
  </si>
  <si>
    <t>k3rtstat</t>
  </si>
  <si>
    <t>35=Tier 3-5
36=Tier 3-6
46=Tier 4-6
47=Tier 4-7
57=Tier 5-7
68=Tier 6-8
A,B,T,L,M,V,Z,F,P</t>
  </si>
  <si>
    <t>KS3_T1MARK</t>
  </si>
  <si>
    <t>k3rt1mrk</t>
  </si>
  <si>
    <t>A=Absent
M=Missing
0-32</t>
  </si>
  <si>
    <t>KS3_T2MARK</t>
  </si>
  <si>
    <t>k3rt2mrk</t>
  </si>
  <si>
    <t>A=Absent
M=Missing
0-30</t>
  </si>
  <si>
    <t>KS3_T3MARK</t>
  </si>
  <si>
    <t>k3rt3mrk</t>
  </si>
  <si>
    <t>A=Absent
M=Missing
0-90</t>
  </si>
  <si>
    <t>KS3_T4MARK</t>
  </si>
  <si>
    <t>k3rt4mrk</t>
  </si>
  <si>
    <t>KS3_READMARK</t>
  </si>
  <si>
    <t>k3rrdmrk</t>
  </si>
  <si>
    <t>KS3_WRITMARK</t>
  </si>
  <si>
    <t>k3rwrmrk</t>
  </si>
  <si>
    <t>KS3_TESTMARK</t>
  </si>
  <si>
    <t>k3r_tmrk</t>
  </si>
  <si>
    <t>A=Absent
M=Missing
0-180</t>
  </si>
  <si>
    <t>KS3_TESTLEV</t>
  </si>
  <si>
    <t>k3r_tlev</t>
  </si>
  <si>
    <t>A, B, L, M, N, Z, F, P, Q, S, X, T, 3-7
V (maths and science only), 
2 (maths and science only),
8 (maths only)</t>
  </si>
  <si>
    <t>k3r_rlev</t>
  </si>
  <si>
    <t>A, B, T, L, N, M, Z, F, P, Q, S, X, 4, 5, 6, 7</t>
  </si>
  <si>
    <t>k3r_wlev</t>
  </si>
  <si>
    <t>KS3_TALEVEL</t>
  </si>
  <si>
    <t>k3rtalve</t>
  </si>
  <si>
    <t>A, W, D, L, M, Z, F, P, E, 1-8</t>
  </si>
  <si>
    <t>KS3_FINE</t>
  </si>
  <si>
    <t>k3r_fine</t>
  </si>
  <si>
    <t>KS3_POINTS</t>
  </si>
  <si>
    <t>k3r_pts</t>
  </si>
  <si>
    <t>0,15,21,27,33,39,45, 51</t>
  </si>
  <si>
    <t>KS3_INCLUDESLT</t>
  </si>
  <si>
    <t>KS3_AMDEXAM</t>
  </si>
  <si>
    <t>k3_amres</t>
  </si>
  <si>
    <t>KS3_PSENG</t>
  </si>
  <si>
    <t>2008/09</t>
  </si>
  <si>
    <t>P1i, P1ii, P2i, P2ii, P3i, P3ii, EAL, IN or blank</t>
  </si>
  <si>
    <t>KS3_PSREAD</t>
  </si>
  <si>
    <t>P4, P5, P6, P7, P8, EAL, IN or blank</t>
  </si>
  <si>
    <t>KS3_PSWRITE</t>
  </si>
  <si>
    <t>KS3_PSSPEAK</t>
  </si>
  <si>
    <t>KS3_PSLISTEN</t>
  </si>
  <si>
    <t xml:space="preserve">Listening P-scale </t>
  </si>
  <si>
    <t>KS3_PSMATHS</t>
  </si>
  <si>
    <t>KS3_PSNUM</t>
  </si>
  <si>
    <t>KS3_PSUSING</t>
  </si>
  <si>
    <t>KS3_PSSHAPE</t>
  </si>
  <si>
    <t>Shape, Space &amp; Measure P-scale level</t>
  </si>
  <si>
    <t>KS3_PSSCIENCE</t>
  </si>
  <si>
    <t>P1i, P1ii, P2i, P2ii, P3i, P3ii, P4, P5, P6, P7, P8, EAL, IN or blank</t>
  </si>
  <si>
    <t>KS3_DISC_P_ENG</t>
  </si>
  <si>
    <t>DISC_P_ENG</t>
  </si>
  <si>
    <t>KS3_DISC_P_REA</t>
  </si>
  <si>
    <t>DISC_P_REA</t>
  </si>
  <si>
    <t>KS3_DISC_P_WRI</t>
  </si>
  <si>
    <t>DISC_P_WRI</t>
  </si>
  <si>
    <t>KS3_DISC_P_SPE</t>
  </si>
  <si>
    <t>DISC_P_SPE</t>
  </si>
  <si>
    <t>KS3_DISC_P_LIS</t>
  </si>
  <si>
    <t>DISC_P_LIS</t>
  </si>
  <si>
    <t>KS3_DISC_P_MAT</t>
  </si>
  <si>
    <t>DISC_P_MAT</t>
  </si>
  <si>
    <t>KS3_DISC_P_NUM</t>
  </si>
  <si>
    <t>DISC_P_NUM</t>
  </si>
  <si>
    <t>KS3_DISC_P_USE</t>
  </si>
  <si>
    <t>DISC_P_USE</t>
  </si>
  <si>
    <t>KS3_DISC_P_SSM</t>
  </si>
  <si>
    <t>DISC_P_SSM</t>
  </si>
  <si>
    <t>KS3_DISC_P_SCI</t>
  </si>
  <si>
    <t>DISC_P_SCI</t>
  </si>
  <si>
    <t>k3r_ver</t>
  </si>
  <si>
    <t>1997/98-2007/08</t>
  </si>
  <si>
    <t>Former Name</t>
  </si>
  <si>
    <t>Tier of Variable</t>
  </si>
  <si>
    <t>KS4 Pupil Table</t>
  </si>
  <si>
    <t>KS4_GENDER</t>
  </si>
  <si>
    <t>k4_gend</t>
  </si>
  <si>
    <t xml:space="preserve">2001/02 - </t>
  </si>
  <si>
    <t>KS4_AGE_START</t>
  </si>
  <si>
    <t>k4_age</t>
  </si>
  <si>
    <t>KS4_MONTH_PART</t>
  </si>
  <si>
    <t>k4_mth</t>
  </si>
  <si>
    <t>KS4_YEAROFBIRTH</t>
  </si>
  <si>
    <t>k4_yob</t>
  </si>
  <si>
    <t>KS4_MONTHOFBIRTH</t>
  </si>
  <si>
    <t>k4_mob</t>
  </si>
  <si>
    <t>KS4_IDACI</t>
  </si>
  <si>
    <t>k4_idaci</t>
  </si>
  <si>
    <t>Deprivation indicator - Income Deprivation Affecting Children Index (IDACI) score - output from PT pupil file.</t>
  </si>
  <si>
    <t>KS4_REFUGEE</t>
  </si>
  <si>
    <t>k4_ref</t>
  </si>
  <si>
    <t>2001/02 - 2004/05</t>
  </si>
  <si>
    <t>KS4_ETHNIC</t>
  </si>
  <si>
    <t>ETHNIC</t>
  </si>
  <si>
    <t>Pupil ethnic code</t>
  </si>
  <si>
    <t>KS4_ENTRYDAT</t>
  </si>
  <si>
    <t>KS4_AGE</t>
  </si>
  <si>
    <t>k4i_age</t>
  </si>
  <si>
    <t xml:space="preserve">2006/07 - </t>
  </si>
  <si>
    <t>Age of Pupil (Calculated as YearGRP+4)</t>
  </si>
  <si>
    <t>KS4_MFL</t>
  </si>
  <si>
    <t>MFL</t>
  </si>
  <si>
    <t>2007/08 - 2012/13</t>
  </si>
  <si>
    <t>Temporary exam level indicator for MFL</t>
  </si>
  <si>
    <t>KS4_CLA_6_MONTHS</t>
  </si>
  <si>
    <t xml:space="preserve">2010/11 - </t>
  </si>
  <si>
    <t>KS4_CLA_12_MONTHS</t>
  </si>
  <si>
    <t>KS4_CLA_PP_1_DAY</t>
  </si>
  <si>
    <t>KS4_CLA_PP_6_MONTHS</t>
  </si>
  <si>
    <t>Pupil looked after continuously for 6 months during the year and aged 4 - 15</t>
  </si>
  <si>
    <t>KS4_FSM6CLA1A</t>
  </si>
  <si>
    <t>KS4_FSM_CLA</t>
  </si>
  <si>
    <t>The pupil is either eligible for free school meals or has been looked after continuously for 6 months during the year and aged 5 - 15.</t>
  </si>
  <si>
    <t>KS4_FSM6_CLA</t>
  </si>
  <si>
    <t xml:space="preserve">2012/13 - </t>
  </si>
  <si>
    <t>The pupil has either been eligible for free school meals at some point in the last 6 years or has been looked after continuously for 6 months during the year and aged 4 - 15.</t>
  </si>
  <si>
    <t>KS4_FSM</t>
  </si>
  <si>
    <t>fsm</t>
  </si>
  <si>
    <t>2011/12-2020/21</t>
  </si>
  <si>
    <t>KS4_FSM6</t>
  </si>
  <si>
    <t>Is pupil known to have been eligible for FSM on Census day in the last 6 years?</t>
  </si>
  <si>
    <t>KS4_FSM6_P</t>
  </si>
  <si>
    <t>2015/16-2020/21</t>
  </si>
  <si>
    <t>KS4_ADOPTEDFROMCARE_ALLYEARS</t>
  </si>
  <si>
    <t>KS4_SENF</t>
  </si>
  <si>
    <t>Pupil SEN stage.</t>
  </si>
  <si>
    <t>N = No Special Educational Need
A = School Action or Early Years Action
P = School Action Plus or Early Years Action Plus
S = Statement
K = SEN support (since 2014/15)
E = Education, health and care plan (since 2014/15)</t>
  </si>
  <si>
    <t>KS4_SENK</t>
  </si>
  <si>
    <t>SENK</t>
  </si>
  <si>
    <t>KS4_SENE</t>
  </si>
  <si>
    <t>SENE</t>
  </si>
  <si>
    <t>KS4_SENSE</t>
  </si>
  <si>
    <t>SENSE</t>
  </si>
  <si>
    <t>KS4_SENAPK</t>
  </si>
  <si>
    <t>SENAPK</t>
  </si>
  <si>
    <t>KS4_SENPS</t>
  </si>
  <si>
    <t>senps</t>
  </si>
  <si>
    <t>KS4_SENA</t>
  </si>
  <si>
    <t>sena</t>
  </si>
  <si>
    <t>KS4_SENTYPE</t>
  </si>
  <si>
    <t>Primary SEN type</t>
  </si>
  <si>
    <t>SPLD,MLD,SLD,PMLD,BESD,SLCN,
HI,VI,MSI,PD,ASD,OTH,SEMH, NSA</t>
  </si>
  <si>
    <t>SEN_ALL</t>
  </si>
  <si>
    <t>Does pupil have SEN with or without statement or EHC plan</t>
  </si>
  <si>
    <t>SERVICECHILD</t>
  </si>
  <si>
    <t>Pupil service child status</t>
  </si>
  <si>
    <t>KS4_FEMALE</t>
  </si>
  <si>
    <t>female</t>
  </si>
  <si>
    <t>KS4_AGEINYR</t>
  </si>
  <si>
    <t>AGEINYR</t>
  </si>
  <si>
    <t>k4_ageyr</t>
  </si>
  <si>
    <t>KS4_LANG1ST</t>
  </si>
  <si>
    <t>LANG1ST</t>
  </si>
  <si>
    <t>First Language - derived</t>
  </si>
  <si>
    <t>KS4_LANG</t>
  </si>
  <si>
    <t>LANG</t>
  </si>
  <si>
    <t>First Language - from school census</t>
  </si>
  <si>
    <t>See Codesets_ (Characteristics) tab for allowed values</t>
  </si>
  <si>
    <t>KS4_FLANG</t>
  </si>
  <si>
    <t>flang</t>
  </si>
  <si>
    <t>KS4_WIRI</t>
  </si>
  <si>
    <t>k4_wri</t>
  </si>
  <si>
    <t>2006/07 - 2012/13</t>
  </si>
  <si>
    <t>KS4_WIRT</t>
  </si>
  <si>
    <t>k4_wirt</t>
  </si>
  <si>
    <t>KS4_WROM</t>
  </si>
  <si>
    <t>k4_wrom</t>
  </si>
  <si>
    <t>KS4_WOTH</t>
  </si>
  <si>
    <t>k4_woth</t>
  </si>
  <si>
    <t>KS4_MWBC</t>
  </si>
  <si>
    <t>k4_mwbc</t>
  </si>
  <si>
    <t>KS4_MWBA</t>
  </si>
  <si>
    <t>k4_mwba</t>
  </si>
  <si>
    <t>KS4_MWAS</t>
  </si>
  <si>
    <t>k4_mwas</t>
  </si>
  <si>
    <t>KS4_MOTH</t>
  </si>
  <si>
    <t>k4_moth</t>
  </si>
  <si>
    <t>KS4_AIND</t>
  </si>
  <si>
    <t>k4_aind</t>
  </si>
  <si>
    <t>KS4_APKN</t>
  </si>
  <si>
    <t>k4_apkn</t>
  </si>
  <si>
    <t>KS4_ABAN</t>
  </si>
  <si>
    <t>k4_aban</t>
  </si>
  <si>
    <t>KS4_AOTH</t>
  </si>
  <si>
    <t>k4_aoth</t>
  </si>
  <si>
    <t>KS4_BCRB</t>
  </si>
  <si>
    <t>k4_bcrb</t>
  </si>
  <si>
    <t>KS4_BAFR</t>
  </si>
  <si>
    <t>k4_bafr</t>
  </si>
  <si>
    <t>KS4_BOTH</t>
  </si>
  <si>
    <t>k4_both</t>
  </si>
  <si>
    <t>KS4_CHNE</t>
  </si>
  <si>
    <t>k4_chne</t>
  </si>
  <si>
    <t>KS4_OOTH</t>
  </si>
  <si>
    <t>k4_ooth</t>
  </si>
  <si>
    <t>KS4_UNCLA</t>
  </si>
  <si>
    <t>k4_uncla</t>
  </si>
  <si>
    <t>KS4_EALGRP</t>
  </si>
  <si>
    <t>2010/11 - 2012/13</t>
  </si>
  <si>
    <t>English as additional language groups</t>
  </si>
  <si>
    <t>1 - English as 1st language
2 - English as additional language (EAL) 
3 - Unclassified language
Null - Non PLASC school</t>
  </si>
  <si>
    <t>KS4_EALGRP_PTQ</t>
  </si>
  <si>
    <t>EALGRP_PTQ</t>
  </si>
  <si>
    <t>2013/14 only</t>
  </si>
  <si>
    <t>KS4_EALGRP_PTQ_EE</t>
  </si>
  <si>
    <t>EALGRP_PTQ_EE</t>
  </si>
  <si>
    <t>KS4_LA_anon</t>
  </si>
  <si>
    <t>k4_la</t>
  </si>
  <si>
    <t>2006/07-2020/21</t>
  </si>
  <si>
    <t>KS4_LAESTAB_anon</t>
  </si>
  <si>
    <t>k4_laest</t>
  </si>
  <si>
    <t>Latest main DfE number (LA and ESTAB fields joined together). This variable has been pseudonymised in line with the impact of COVID19 on DfE data sharing (See COVID19 Impact worksheet) and/or the requirements of Digital Economy Act in relation to a body corporate.</t>
  </si>
  <si>
    <t>KS4_BEST_INST_RULE</t>
  </si>
  <si>
    <t>BEST_INST_RULE</t>
  </si>
  <si>
    <t>Best Institution Rule</t>
  </si>
  <si>
    <t>KS4_URN_anon</t>
  </si>
  <si>
    <t>k4_urn</t>
  </si>
  <si>
    <t>REEURN</t>
  </si>
  <si>
    <t>2001/02-2020/21</t>
  </si>
  <si>
    <t>KS4 Exam Table</t>
  </si>
  <si>
    <t>KS4_PupilMatchingRefNonAnonymous</t>
  </si>
  <si>
    <t>k4_pmrn</t>
  </si>
  <si>
    <t>k4r_lest</t>
  </si>
  <si>
    <t>2010/2011</t>
  </si>
  <si>
    <t>School's Unique Reference Number</t>
  </si>
  <si>
    <t>KS4_ADFECN</t>
  </si>
  <si>
    <t>ADFECN</t>
  </si>
  <si>
    <t>k4r_adn</t>
  </si>
  <si>
    <t>ADFESN</t>
  </si>
  <si>
    <t>Actual entry DfE number (LA and ESTAB fields joined together) ie DfE number where the exam was entered.</t>
  </si>
  <si>
    <t>KS4_ANCN</t>
  </si>
  <si>
    <t>ANCN</t>
  </si>
  <si>
    <t>k4r_acn</t>
  </si>
  <si>
    <t>Actual entry National Centre Number ie the NCN where the exam was entered.</t>
  </si>
  <si>
    <t>KS4_ABCENTRE</t>
  </si>
  <si>
    <t>ABCENTRE</t>
  </si>
  <si>
    <t>k4r_abc</t>
  </si>
  <si>
    <t xml:space="preserve">2002/03 - </t>
  </si>
  <si>
    <t>Awarding body's' own centre identification code where it differs from NCN and DfE number.</t>
  </si>
  <si>
    <t>FormerName</t>
  </si>
  <si>
    <t>KS4_ACADYR</t>
  </si>
  <si>
    <t>k4_ac</t>
  </si>
  <si>
    <t>KS4_PupilMatchingRefAnonymous</t>
  </si>
  <si>
    <t>k4_pmr</t>
  </si>
  <si>
    <t>KS4_YEARGRP</t>
  </si>
  <si>
    <t>k4_yrgrp</t>
  </si>
  <si>
    <t>Year Group - derived from date of birth.</t>
  </si>
  <si>
    <t>01-17 or 99</t>
  </si>
  <si>
    <t>KS4_ACTYRGRP</t>
  </si>
  <si>
    <t>k4_ncyg</t>
  </si>
  <si>
    <t>NCACTYPPT</t>
  </si>
  <si>
    <t>The actual National Curriculum year group that the pupil follows within the school, including pupils in Independent schools (AAT data).</t>
  </si>
  <si>
    <t>N1, N2, R, 1-14</t>
  </si>
  <si>
    <t>KS4_ENROLSTS</t>
  </si>
  <si>
    <t>KS4_ToE_CODE</t>
  </si>
  <si>
    <t>k4_stype</t>
  </si>
  <si>
    <t>See 'Codesets (School)' tab for the list of values</t>
  </si>
  <si>
    <t>KS4_NFTYPE</t>
  </si>
  <si>
    <t>k4_nftyp</t>
  </si>
  <si>
    <t>KS4_ADMPOL</t>
  </si>
  <si>
    <t>ADMPOL</t>
  </si>
  <si>
    <t>Admissions policy</t>
  </si>
  <si>
    <t>0, 1, 2, 3, 4, 5</t>
  </si>
  <si>
    <t>KS4_NEW_TYPE</t>
  </si>
  <si>
    <t>NEW_TYPE</t>
  </si>
  <si>
    <t>School Type</t>
  </si>
  <si>
    <t>0 = Invalid
1 = Comprehensive
2 = Selective
3 = Modern
4 = Other Maintained
5 = Independent
6 = Sixth Form College
7 = Other FE College</t>
  </si>
  <si>
    <t>KS4_NEWER_TYPE</t>
  </si>
  <si>
    <t>NEWER_TYPE</t>
  </si>
  <si>
    <t>School type (alternative breakdown)</t>
  </si>
  <si>
    <t>1 = Comprehensive                                                                 2 = Selective                                                                           3 = Modern                                                                              4 = Not ADMPOL
5 = Maintained special                                                                      6 = Hospitals and PRUs                                                            7 = Non-maintained/Independent special schools
8 = Independent schools (excluding Non-maintained / Independent special schools)</t>
  </si>
  <si>
    <t>KS4_P_INCL</t>
  </si>
  <si>
    <t>P_INCL</t>
  </si>
  <si>
    <t>Pupil Inclusion flag</t>
  </si>
  <si>
    <t>401-427</t>
  </si>
  <si>
    <t>KS4_FECOLLEGE1416</t>
  </si>
  <si>
    <t>FECOLLEGE1416</t>
  </si>
  <si>
    <t>FE college with 14-16 provision</t>
  </si>
  <si>
    <t>KS4_MMSCH</t>
  </si>
  <si>
    <t>k4_mms</t>
  </si>
  <si>
    <t>Maintained mainstream school, academy, free school or CTC (excluding maintained special schools, academy special schools and Free School special schools)
NFTYPE = ANY(20-25,51-52,57-58)</t>
  </si>
  <si>
    <t>KS4_MMSCH2</t>
  </si>
  <si>
    <t>k4_mms2</t>
  </si>
  <si>
    <t>Maintained mainstream school (excluding Academies, Free Schools and CTCs)
NFTYPE = ANY(21-24)</t>
  </si>
  <si>
    <t>KS4_MSCH</t>
  </si>
  <si>
    <t>k4_ms</t>
  </si>
  <si>
    <t>Maintained school, academy, free school or CTC (including maintained special schools, Academy special schools and Free School special schools)
NFTYPE = ANY(20-27,50-53,55,57,58,63,64)</t>
  </si>
  <si>
    <t>KS4_MSCH2</t>
  </si>
  <si>
    <t>k4_ms2</t>
  </si>
  <si>
    <t>Maintained school, including maintained special schools (excluding Academies, Free Schools and CTCs)
NFTYPE = ANY(21-24,26,27)</t>
  </si>
  <si>
    <t>KS4_ENTRIES</t>
  </si>
  <si>
    <t>ENTRIES</t>
  </si>
  <si>
    <t>k4_nume</t>
  </si>
  <si>
    <t>Number of entries.</t>
  </si>
  <si>
    <t>KS4_AMDFLAG</t>
  </si>
  <si>
    <t>AMDFLAG</t>
  </si>
  <si>
    <t>k4_ampup</t>
  </si>
  <si>
    <t xml:space="preserve">Shows when an amendment has been made to a pupil during the School &amp; College Achievement and Attainment tables checking exercise.  </t>
  </si>
  <si>
    <t>Blank = Unamended
A,CL,D,E,F,IN,J,N,NR,TI,TO,TX,W,X,Z
See sheet 'Codeset (Results)', subsection AMDPUPIL for an explanation of allowable values.</t>
  </si>
  <si>
    <t>KS4_STATUS</t>
  </si>
  <si>
    <t>STATUS</t>
  </si>
  <si>
    <t>k4_stat</t>
  </si>
  <si>
    <t>2001/02 - 2002/03</t>
  </si>
  <si>
    <t>Status</t>
  </si>
  <si>
    <t>1 = Pupils with KS4 Attainment and PLASC 2003 record
3 = KS4 Attainment pupils with no PLASC 2003 record
4 = 15 year old pupils from PLASC 2003 with no KS4 attainment record
5 = KS4 Attainment pupils where results were withdrawn or deleted</t>
  </si>
  <si>
    <t>KS4_ENDKS</t>
  </si>
  <si>
    <t>k4_endks</t>
  </si>
  <si>
    <t>Indicates whether a pupil is at the end of KS4</t>
  </si>
  <si>
    <t>KS4_TPUPNAT</t>
  </si>
  <si>
    <t>TPUPNAT</t>
  </si>
  <si>
    <t>2018/19 -</t>
  </si>
  <si>
    <t>Included in national level TPUP</t>
  </si>
  <si>
    <t>KS4_TPUPLA</t>
  </si>
  <si>
    <t>TPUPLA</t>
  </si>
  <si>
    <t>Included in local authority level TPUP</t>
  </si>
  <si>
    <t>KS4_TPUPSCH</t>
  </si>
  <si>
    <t>TPUPSCH</t>
  </si>
  <si>
    <t>Included in school level TPUP</t>
  </si>
  <si>
    <t>KS4_Y11YEAR</t>
  </si>
  <si>
    <t>Y11YEAR</t>
  </si>
  <si>
    <t>2002/03 - 2004/05</t>
  </si>
  <si>
    <t>The academic year in which the pupil was in year 11.</t>
  </si>
  <si>
    <t>KS4_HOSPITALSCHOOLIND</t>
  </si>
  <si>
    <t>HOSPITALSCHOOLIND</t>
  </si>
  <si>
    <t>hosp_ind</t>
  </si>
  <si>
    <t>2003/04 - 2004/05</t>
  </si>
  <si>
    <t>Hospital School Indicator</t>
  </si>
  <si>
    <t>KS4_SOURCECTY</t>
  </si>
  <si>
    <t>k4_land</t>
  </si>
  <si>
    <t>KS4_PLASCRECORDEXISTS</t>
  </si>
  <si>
    <t>PLASCRECORDEXISTS</t>
  </si>
  <si>
    <t>plasc</t>
  </si>
  <si>
    <t>Whether or not record exists in PLASC</t>
  </si>
  <si>
    <t>KS4_EARLYTAK</t>
  </si>
  <si>
    <t>EARLYTAK</t>
  </si>
  <si>
    <t>earlytak</t>
  </si>
  <si>
    <t>Early taker flag (GCSE/GNVQ only)</t>
  </si>
  <si>
    <t>0 = Not an early taker
1 = Early taker (with at least 5 A*-G)  not on roll
2 = Early taker  (with less than 5 A*-G) not on roll
3 = early taker on roll still at school.</t>
  </si>
  <si>
    <t>KS4_EARLYT_E</t>
  </si>
  <si>
    <t>EARLYT_E</t>
  </si>
  <si>
    <t>earlyt_e</t>
  </si>
  <si>
    <t>Indicates whether GCSE and equivalents were taken early by a current 15 year old pupil, and shows their on-roll status.</t>
  </si>
  <si>
    <t>KS4_NORFLAG</t>
  </si>
  <si>
    <t>NORFLAG</t>
  </si>
  <si>
    <t>norflag</t>
  </si>
  <si>
    <t>Number on roll flag (GCSE/GNVQ only)</t>
  </si>
  <si>
    <t>0 = Counted in Number on Roll
1 = Removed from NOR – permanent exclusion
2 = Duplicate PLASC record
3 = Age 15 with current GCSE/GNVQs but not recorded on NOR
4 = Phantom KS2 or KS3 pupil in PLASC school
5 = Early taker with ≥ 5 GCSE/GNVQs
6 = Removed after mailout – Refugee
7 = Removed after mailout – Other
8 = Added after mailout</t>
  </si>
  <si>
    <t>KS4_NORFLAGE</t>
  </si>
  <si>
    <t>NORFLAGE</t>
  </si>
  <si>
    <t>norflage</t>
  </si>
  <si>
    <t>Indicates whether the pupil should be included in number on roll and results calculations according to their School Census status, and any amendments.</t>
  </si>
  <si>
    <t>0 = Counted in number on roll
1 = Removed from number on roll – permanent exclusion
2 = Duplicate PLASC record
3 = Age 15 with current GCSEs or equivalent but not recorded on number on roll
4 = Phantom KS2 or KS3 pupil in PLASC school
5 = Early taker with 5 or more GCSEs or equivalent
6 = Removed after mailout – Refugee
7 = Removed after mailout – Other
8 = Added after mailout
9 = Contingency
10 = Off roll but included because ended compulsory education here (end KS4 only)</t>
  </si>
  <si>
    <t>KS4_SCHRES</t>
  </si>
  <si>
    <t>schres</t>
  </si>
  <si>
    <t>Indicates whether a pupil should be included in the results calculations for their school taking in to consideration any amendments, refugee status and age group where relevant (for pupils in all schools including independent schools).</t>
  </si>
  <si>
    <t>KS4_LARES</t>
  </si>
  <si>
    <t>lares</t>
  </si>
  <si>
    <t>Indicates whether a pupil should be included in the results calculations for their LA taking into consideration school type and inclusion of school in LA averages, any pupil amendments, refugee status and age group where relevant (for pupils in all schools including independent schools).</t>
  </si>
  <si>
    <t>KS4_NATRES</t>
  </si>
  <si>
    <t>natres</t>
  </si>
  <si>
    <t>Indicates whether a pupil should be included in the national results calculations taking into consideration inclusion of their school in national averages, any pupil amendments and age group where relevant (for pupils in all schools including independent schools).</t>
  </si>
  <si>
    <t>KS4_NATMTDRES</t>
  </si>
  <si>
    <t>Indicates whether a pupil should be included in national maintained results or in national aggregated school-type results that cover PLASC schools</t>
  </si>
  <si>
    <t>KS4_SCHNOR</t>
  </si>
  <si>
    <t>SCHNOR</t>
  </si>
  <si>
    <t>schnor</t>
  </si>
  <si>
    <t>Indicates whether a pupil should be included in the denominator for the number 15 year olds for their school taking into consideration any amendments, refugee status and age group where relevant (only for pupils in School Census schools).</t>
  </si>
  <si>
    <t>KS4_LANOR</t>
  </si>
  <si>
    <t>LANOR</t>
  </si>
  <si>
    <t>lanor</t>
  </si>
  <si>
    <t>Indicates whether a pupil should be included in the denominator for the number 15 year olds for their LA taking into consideration any amendments, refugee status and age group where relevant (only for pupils in School Census schools).</t>
  </si>
  <si>
    <t>KS4_NATNOR</t>
  </si>
  <si>
    <t>NATNOR</t>
  </si>
  <si>
    <t>natnor</t>
  </si>
  <si>
    <t>Indicates whether a pupil should be included in the denominator for the number of 15 year olds nationally taking into consideration any amendments, refugee status and age group where relevant (only for pupils in School Census schools).</t>
  </si>
  <si>
    <t>KS4_NPDDEN_NAT</t>
  </si>
  <si>
    <t xml:space="preserve">2009/10 - </t>
  </si>
  <si>
    <t>KS4_NPDNUM_NAT</t>
  </si>
  <si>
    <t>NPDNUM_NAT</t>
  </si>
  <si>
    <t>Pupil included in numerator for national averages in NPD-based figures such as those published in 'Attainment by Pupil Characteristics' SFRs.</t>
  </si>
  <si>
    <t>KS4_NPDDEN_LA</t>
  </si>
  <si>
    <t>KS4_NPDNUM_LA</t>
  </si>
  <si>
    <t>NPDNUM_LA</t>
  </si>
  <si>
    <t>Pupil included in numerator for LA averages in NPD-based figures such as those published in 'Attainment by Pupil Characteristics' SFRs.</t>
  </si>
  <si>
    <t>KS4_NATMTDNOR</t>
  </si>
  <si>
    <t>NATMTDNOR</t>
  </si>
  <si>
    <t>Pupil included in National number on roll - Maintained schools only</t>
  </si>
  <si>
    <t>KS4_ONROLL</t>
  </si>
  <si>
    <t>ONROLL</t>
  </si>
  <si>
    <t>Pupil is on roll in PLASC school</t>
  </si>
  <si>
    <t>KS4_PLASC</t>
  </si>
  <si>
    <t>PLASC</t>
  </si>
  <si>
    <t>School completes PLASC</t>
  </si>
  <si>
    <t>KS4_GCSEFULL</t>
  </si>
  <si>
    <t>GCSEFULL</t>
  </si>
  <si>
    <t>2001/02 - 2012/13</t>
  </si>
  <si>
    <t>Total number of Full GCSE entries.</t>
  </si>
  <si>
    <t>KS4_GCSESHORT</t>
  </si>
  <si>
    <t>GCSESHORT</t>
  </si>
  <si>
    <t>Total number of Short GCSE entries.</t>
  </si>
  <si>
    <t>KS4_GCSEVOC</t>
  </si>
  <si>
    <t>GCSEVOC</t>
  </si>
  <si>
    <t>2003/04 - 2012/13</t>
  </si>
  <si>
    <t>Total number of Double Award Vocational GCSE entries.</t>
  </si>
  <si>
    <t>KS4_GNVQFULLI</t>
  </si>
  <si>
    <t>GNVQFULLI</t>
  </si>
  <si>
    <t>ent_vfi</t>
  </si>
  <si>
    <t>Total number of Full Intermediate GNVQ entries.</t>
  </si>
  <si>
    <t>KS4_GNVQFULLF</t>
  </si>
  <si>
    <t>GNVQFULLF</t>
  </si>
  <si>
    <t>ent_vff</t>
  </si>
  <si>
    <t>Total number of Full Foundation GNVQ entries.</t>
  </si>
  <si>
    <t>KS4_GNVQP1I</t>
  </si>
  <si>
    <t>GNVQP1I</t>
  </si>
  <si>
    <t>entvpi</t>
  </si>
  <si>
    <t>2002/03 - 2012/13</t>
  </si>
  <si>
    <t>Total number of Part One Intermediate GNVQ entries.</t>
  </si>
  <si>
    <t>KS4_GNVQP1F</t>
  </si>
  <si>
    <t>GNVQP1F</t>
  </si>
  <si>
    <t>ent_vpf</t>
  </si>
  <si>
    <t>Total number of Part One Foundation GNVQ entries.</t>
  </si>
  <si>
    <t>KS4_GNVQLANGI</t>
  </si>
  <si>
    <t>GNVQLANGI</t>
  </si>
  <si>
    <t>ent_vli</t>
  </si>
  <si>
    <t>Total number of Language Intermediate GNVQ entries.</t>
  </si>
  <si>
    <t>KS4_GNVQLANGF</t>
  </si>
  <si>
    <t>GNVQLANGF</t>
  </si>
  <si>
    <t>ent_vlf</t>
  </si>
  <si>
    <t>Total number of Language Foundation GNVQ entries.</t>
  </si>
  <si>
    <t>KS4_ELQENTS</t>
  </si>
  <si>
    <t>ELQENTS</t>
  </si>
  <si>
    <t>Total number of Entry Level Qualification entries.</t>
  </si>
  <si>
    <t>KS4_KSL1ENTS</t>
  </si>
  <si>
    <t>KSL1ENTS</t>
  </si>
  <si>
    <t>Total number of Key Skills at Level 1entries.</t>
  </si>
  <si>
    <t>KS4_KSL2ENTS</t>
  </si>
  <si>
    <t>KSL2ENTS</t>
  </si>
  <si>
    <t>Total number of Key Skills at Level 2 entries.</t>
  </si>
  <si>
    <t>KS4_ALLSCI</t>
  </si>
  <si>
    <t>ALLSCI</t>
  </si>
  <si>
    <t>Entered all of Biology, Physics, Chemistry  GCSEs or ASs</t>
  </si>
  <si>
    <t>KS4_ENT1GMFL</t>
  </si>
  <si>
    <t>ENT1GMFL</t>
  </si>
  <si>
    <t>Entered for at least 1 Full GCSE Modern Foreign Language qualification.</t>
  </si>
  <si>
    <t>KS4_ENT1EMFL</t>
  </si>
  <si>
    <t>ENT1EMFL</t>
  </si>
  <si>
    <t>Entered for at least 1 Modern Foreign Language qualification.</t>
  </si>
  <si>
    <t>KS4_ENTRY_G</t>
  </si>
  <si>
    <t>ENTRY_G</t>
  </si>
  <si>
    <t>Total number of GCSE/GNVQ entries (GCSE equivalencies) from 2001/02 to 2009/10.
Total number of GCSE only entries (GCSE equivalencies) from 2010/11</t>
  </si>
  <si>
    <t>KS4_ENTRY_E</t>
  </si>
  <si>
    <t>ENTRY_E</t>
  </si>
  <si>
    <t>ENTRY_T</t>
  </si>
  <si>
    <t>Total number of GCSE and equivalents entries (GCSE equivalencies).</t>
  </si>
  <si>
    <t>KS4_PTSPE</t>
  </si>
  <si>
    <t>PTSPE</t>
  </si>
  <si>
    <t>2010/11- 2012/13</t>
  </si>
  <si>
    <t>Uncapped points per qualification entry (including equivalents)</t>
  </si>
  <si>
    <t>KS4_GPTSPE</t>
  </si>
  <si>
    <t>GPTSPE</t>
  </si>
  <si>
    <t>Uncapped points per GCSE entry (excluding equivalents)</t>
  </si>
  <si>
    <t>KS4_ENTRY_1</t>
  </si>
  <si>
    <t>ENTRY_1</t>
  </si>
  <si>
    <t>2008/09 - 2012/13</t>
  </si>
  <si>
    <t>Pupil entered for at least 1 GCSE or equivalent</t>
  </si>
  <si>
    <t>KS4_ENTRY_5</t>
  </si>
  <si>
    <t>ENTRY_5</t>
  </si>
  <si>
    <t>Pupil entered for 5 or more GCSE or equivalent</t>
  </si>
  <si>
    <t>KS4_EXAMCAT</t>
  </si>
  <si>
    <t>EXAMCAT</t>
  </si>
  <si>
    <t>2004/05 - 2012/13</t>
  </si>
  <si>
    <t>Highest examination category achieved at GCSE and equivalent.</t>
  </si>
  <si>
    <t>1. Achieved 5+A*-C inc English &amp; Maths
2. Achieved 5+A*-C
3. Achieved 5+A*-G
4. Achieved 1+A*-G
5. Achieved any pass
6. No passes
7. No result</t>
  </si>
  <si>
    <t>KS4_GCSE_ASTAR</t>
  </si>
  <si>
    <t>GCSE_ASTAR</t>
  </si>
  <si>
    <t>Number of Full GCSE qualifications at grade A* (GCSE equivalencies).</t>
  </si>
  <si>
    <t>KS4_GCSE_A</t>
  </si>
  <si>
    <t>GCSE_A</t>
  </si>
  <si>
    <t>Number of Full GCSE qualifications at grade A (GCSE equivalencies).</t>
  </si>
  <si>
    <t>KS4_GCSE_B</t>
  </si>
  <si>
    <t>GCSE_B</t>
  </si>
  <si>
    <t>Number of Full GCSE qualifications at grade B (GCSE equivalencies).</t>
  </si>
  <si>
    <t>KS4_GCSE_C</t>
  </si>
  <si>
    <t>GCSE_C</t>
  </si>
  <si>
    <t>Number of Full GCSE qualifications at grade C (GCSE equivalencies).</t>
  </si>
  <si>
    <t>KS4_GCSE_D</t>
  </si>
  <si>
    <t>GCSE_D</t>
  </si>
  <si>
    <t>Number of Full GCSE qualifications at grade D (GCSE equivalencies).</t>
  </si>
  <si>
    <t>KS4_GCSE_E</t>
  </si>
  <si>
    <t>GCSE_E</t>
  </si>
  <si>
    <t>Number of Full GCSE qualifications at grade E (GCSE equivalencies).</t>
  </si>
  <si>
    <t>KS4_GCSE_F</t>
  </si>
  <si>
    <t>GCSE_F</t>
  </si>
  <si>
    <t>Number of Full GCSE qualifications at grade F (GCSE equivalencies).</t>
  </si>
  <si>
    <t>KS4_GCSE_G</t>
  </si>
  <si>
    <t>GCSE_G</t>
  </si>
  <si>
    <t>Number of Full GCSE qualifications at grade G (GCSE equivalencies).</t>
  </si>
  <si>
    <t>KS4_GCSE_U</t>
  </si>
  <si>
    <t>GCSE_U</t>
  </si>
  <si>
    <t>Number of Full GCSE qualifications at grade U (GCSE equivalencies).</t>
  </si>
  <si>
    <t>KS4_GCSE_AA</t>
  </si>
  <si>
    <t>GCSE_AA</t>
  </si>
  <si>
    <t>Number of Full GCSE qualifications at grades A*-A (GCSE equivalencies).</t>
  </si>
  <si>
    <t>KS4_GCSE_AC</t>
  </si>
  <si>
    <t>GCSE_AC</t>
  </si>
  <si>
    <t>Number of Full GCSE qualifications at grades A*-C (GCSE equivalencies).</t>
  </si>
  <si>
    <t>KS4_GCSE_AG</t>
  </si>
  <si>
    <t>GCSE_AG</t>
  </si>
  <si>
    <t>Number of Full GCSE qualifications at grades A*-G (GCSE equivalencies).</t>
  </si>
  <si>
    <t>KS4_GCSE_DG</t>
  </si>
  <si>
    <t>GCSE_DG</t>
  </si>
  <si>
    <t>Number of Full GCSE qualifications at grades D-G (GCSE equivalencies).</t>
  </si>
  <si>
    <t>KS4_GCSE_SHORT_ASTAR</t>
  </si>
  <si>
    <t>GCSE_SHORT_ASTAR</t>
  </si>
  <si>
    <t>Number of Short GCSE qualifications at grade A* (GCSE equivalencies).</t>
  </si>
  <si>
    <t>KS4_GCSE_SHORT_A</t>
  </si>
  <si>
    <t>GCSE_SHORT_A</t>
  </si>
  <si>
    <t>Number of Short GCSE qualifications at grade A (GCSE equivalencies).</t>
  </si>
  <si>
    <t>KS4_GCSE_SHORT_B</t>
  </si>
  <si>
    <t>GCSE_SHORT_B</t>
  </si>
  <si>
    <t>Number of Short GCSE qualifications at grade B (GCSE equivalencies).</t>
  </si>
  <si>
    <t>KS4_GCSE_SHORT_C</t>
  </si>
  <si>
    <t>GCSE_SHORT_C</t>
  </si>
  <si>
    <t>Number of Short GCSE qualifications at grade C (GCSE equivalencies).</t>
  </si>
  <si>
    <t>KS4_GCSE_SHORT_D</t>
  </si>
  <si>
    <t>GCSE_SHORT_D</t>
  </si>
  <si>
    <t>Number of Short GCSE qualifications at grade D (GCSE equivalencies).</t>
  </si>
  <si>
    <t>KS4_GCSE_SHORT_E</t>
  </si>
  <si>
    <t>GCSE_SHORT_E</t>
  </si>
  <si>
    <t>Number of Short GCSE qualifications at grade E (GCSE equivalencies).</t>
  </si>
  <si>
    <t>KS4_GCSE_SHORT_F</t>
  </si>
  <si>
    <t>GCSE_SHORT_F</t>
  </si>
  <si>
    <t>Number of Short GCSE qualifications at grade F (GCSE equivalencies).</t>
  </si>
  <si>
    <t>KS4_GCSE_SHORT_G</t>
  </si>
  <si>
    <t>GCSE_SHORT_G</t>
  </si>
  <si>
    <t>Number of Short GCSE qualifications at grade G (GCSE equivalencies).</t>
  </si>
  <si>
    <t>KS4_GCSE_SHORT_AA</t>
  </si>
  <si>
    <t>GCSE_SHORT_AA</t>
  </si>
  <si>
    <t>Number of Short GCSE qualifications at grades A*-A (GCSE equivalencies).</t>
  </si>
  <si>
    <t>KS4_GCSE_SHORT_AC</t>
  </si>
  <si>
    <t>GCSE_SHORT_AC</t>
  </si>
  <si>
    <t>Number of Short GCSE qualifications at grades A*-C (GCSE equivalencies).</t>
  </si>
  <si>
    <t>KS4_GCSE_SHORT_AG</t>
  </si>
  <si>
    <t>GCSE_SHORT_AG</t>
  </si>
  <si>
    <t>Number of Short GCSE qualifications at grades A*-G (GCSE equivalencies).</t>
  </si>
  <si>
    <t>KS4_GCSE_SHORT_DG</t>
  </si>
  <si>
    <t>GCSE_SHORT_DG</t>
  </si>
  <si>
    <t>Number of Short GCSE qualifications at grades D-G (GCSE equivalencies).</t>
  </si>
  <si>
    <t>KS4_GVOC_ASTAR</t>
  </si>
  <si>
    <t>GVOC_ASTAR</t>
  </si>
  <si>
    <t>Number of Double Award Vocational GCSE qualifications at grade A*A* (GCSE equivalencies).</t>
  </si>
  <si>
    <t>KS4_GVOC_A</t>
  </si>
  <si>
    <t>GVOC_A</t>
  </si>
  <si>
    <t>Number of Double Award Vocational GCSE qualifications at grade AA (GCSE equivalencies).</t>
  </si>
  <si>
    <t>KS4_GVOC_B</t>
  </si>
  <si>
    <t>GVOC_B</t>
  </si>
  <si>
    <t>Number of Double Award Vocational GCSE qualifications at grade BB (GCSE equivalencies).</t>
  </si>
  <si>
    <t>KS4_GVOC_C</t>
  </si>
  <si>
    <t>GVOC_C</t>
  </si>
  <si>
    <t>Number of Double Award Vocational GCSE qualifications at grade CC (GCSE equivalencies).</t>
  </si>
  <si>
    <t>KS4_GVOC_D</t>
  </si>
  <si>
    <t>GVOC_D</t>
  </si>
  <si>
    <t>Number of Double Award Vocational GCSE qualifications at grade DD (GCSE equivalencies).</t>
  </si>
  <si>
    <t>KS4_GVOC_E</t>
  </si>
  <si>
    <t>GVOC_E</t>
  </si>
  <si>
    <t>Number of Double Award Vocational GCSE qualifications at grade EE (GCSE equivalencies).</t>
  </si>
  <si>
    <t>KS4_GVOC_F</t>
  </si>
  <si>
    <t>GVOC_F</t>
  </si>
  <si>
    <t>Number of Double Award Vocational GCSE qualifications at grade FF (GCSE equivalencies).</t>
  </si>
  <si>
    <t>KS4_GVOC_G</t>
  </si>
  <si>
    <t>GVOC_G</t>
  </si>
  <si>
    <t>Number of Double Award Vocational GCSE qualifications at grade GG (GCSE equivalencies).</t>
  </si>
  <si>
    <t>KS4_GVOC_AA</t>
  </si>
  <si>
    <t>GVOC_AA</t>
  </si>
  <si>
    <t>Number of Double Award Vocational GCSE qualifications at grades A*A*-AA (GCSE equivalencies).</t>
  </si>
  <si>
    <t>KS4_GVOC_AC</t>
  </si>
  <si>
    <t>GVOC_AC</t>
  </si>
  <si>
    <t>Number of Double Award Vocational GCSE qualifications at grades A*A*-CC (GCSE equivalencies).</t>
  </si>
  <si>
    <t>KS4_GVOC_AG</t>
  </si>
  <si>
    <t>GVOC_AG</t>
  </si>
  <si>
    <t>Number of Double Award Vocational GCSE qualifications at grades A*A*-GG (GCSE equivalencies).</t>
  </si>
  <si>
    <t>KS4_GVOC_DG</t>
  </si>
  <si>
    <t>GVOC_DG</t>
  </si>
  <si>
    <t>Number of Double Award Vocational GCSE qualifications at grades DD-GG (GCSE equivalencies).</t>
  </si>
  <si>
    <t>KS4_GNVQINTDIS</t>
  </si>
  <si>
    <t>GNVQINTDIS</t>
  </si>
  <si>
    <t>gnvq_aa</t>
  </si>
  <si>
    <t>Number of Distinction Intermediate GNVQs (GCSE equivalencies).</t>
  </si>
  <si>
    <t>KS4_GNVQINTMER</t>
  </si>
  <si>
    <t>GNVQINTMER</t>
  </si>
  <si>
    <t>gnvq_b</t>
  </si>
  <si>
    <t>Number of Merit Intermediate GNVQs (GCSE equivalencies).</t>
  </si>
  <si>
    <t>0 to 12</t>
  </si>
  <si>
    <t>KS4_GNVQINTPAS</t>
  </si>
  <si>
    <t>GNVQINTPAS</t>
  </si>
  <si>
    <t>gnvq_c</t>
  </si>
  <si>
    <t>Number of Pass Intermediate GNVQs (GCSE equivalencies).</t>
  </si>
  <si>
    <t>KS4_GNVQFOUDIS</t>
  </si>
  <si>
    <t>GNVQFOUDIS</t>
  </si>
  <si>
    <t>gnvq_d</t>
  </si>
  <si>
    <t>Number of Distinction Foundation GNVQs (GCSE equivalencies).</t>
  </si>
  <si>
    <t>KS4_GNVQFOUMER</t>
  </si>
  <si>
    <t>GNVQFOUMER</t>
  </si>
  <si>
    <t>gnvq_e</t>
  </si>
  <si>
    <t>Number of Merit Foundation GNVQs (GCSE equivalencies).</t>
  </si>
  <si>
    <t>KS4_GNVQFOUPAS</t>
  </si>
  <si>
    <t>GNVQFOUPAS</t>
  </si>
  <si>
    <t>gnvq_fg</t>
  </si>
  <si>
    <t>Number of Pass Foundation GNVQs (GCSE equivalencies).</t>
  </si>
  <si>
    <t>KS4_PASS_AASTAR</t>
  </si>
  <si>
    <t>PASS_AASTAR</t>
  </si>
  <si>
    <t>Total number of GCSE/GNVQ qualifications at grades A*-A (GCSE equivalencies).</t>
  </si>
  <si>
    <t>0 to 18</t>
  </si>
  <si>
    <t>KS4_PASS_AC</t>
  </si>
  <si>
    <t>PASS_AC</t>
  </si>
  <si>
    <t>Total number of GCSE/GNVQ qualifications at grades A*-C (GCSE equivalencies).</t>
  </si>
  <si>
    <t>0 to 20</t>
  </si>
  <si>
    <t>KS4_PASS_AC_AAT</t>
  </si>
  <si>
    <t>PASS_AC_AAT</t>
  </si>
  <si>
    <t>Total number of passes at grades A*-C  (equivalencies included).</t>
  </si>
  <si>
    <t>KS4_PASS_1AC</t>
  </si>
  <si>
    <t>PASS_1AC</t>
  </si>
  <si>
    <t>Pupil passed at least one level 2 qualification</t>
  </si>
  <si>
    <t>KS4_PASS_LEV2</t>
  </si>
  <si>
    <t>PASS_LEV2</t>
  </si>
  <si>
    <t>2005/06 - 2012/13</t>
  </si>
  <si>
    <t>Total number of Level 2 GCSE and equivalent qualifications (GCSE equivalencies).</t>
  </si>
  <si>
    <t>KS4_PASS_LEV2EM</t>
  </si>
  <si>
    <t>PASS_LEV2EM</t>
  </si>
  <si>
    <t>Total number of Level 2 GCSE and equivalent qualifications including Level2 in GCSE English and Maths  (GCSE equivalencies).</t>
  </si>
  <si>
    <t>KS4_PASS_AG</t>
  </si>
  <si>
    <t>PASS_AG</t>
  </si>
  <si>
    <t>Total number of GCSE qualifications at grades  A*-G (GCSE equivalencies).</t>
  </si>
  <si>
    <t>0 to 24</t>
  </si>
  <si>
    <t>KS4_PASS_LEV1</t>
  </si>
  <si>
    <t>PASS_LEV1</t>
  </si>
  <si>
    <t>Total number of Level 1 GCSE and equivalent qualifications (GCSE equivalencies).</t>
  </si>
  <si>
    <t>KS4_PASS_LEV1EM</t>
  </si>
  <si>
    <t>PASS_LEV1EM</t>
  </si>
  <si>
    <t>Total number of level 1 GCSE and equivalent qualifications including Leve1 1 in GCSE English and Maths (GCSE equivalencies).</t>
  </si>
  <si>
    <t>KS4_TOTGNVQINT</t>
  </si>
  <si>
    <t>TOTGNVQINT</t>
  </si>
  <si>
    <t>gnvq_ac</t>
  </si>
  <si>
    <t>Total number of Intermediate GNVQ qualifications (GCSE equivalencies).</t>
  </si>
  <si>
    <t>KS4_TOTGNVQFOU</t>
  </si>
  <si>
    <t>TOTGNVQFOU</t>
  </si>
  <si>
    <t>gnvq_dg</t>
  </si>
  <si>
    <t>Total number of Foundation GNVQ qualifications (GCSE equivalencies).</t>
  </si>
  <si>
    <t>KS4_ELQPASS</t>
  </si>
  <si>
    <t>ELQPASS</t>
  </si>
  <si>
    <t>Total number of Entry Level Qualification passes (GCSE equivalencies).</t>
  </si>
  <si>
    <t>KS4_KSL1PASS</t>
  </si>
  <si>
    <t>KSL1PASS</t>
  </si>
  <si>
    <t>Total number of Key Skills at Level 1 passes (GCSE equivalencies).</t>
  </si>
  <si>
    <t>KS4_KSL2PASS</t>
  </si>
  <si>
    <t>KSL2PASS</t>
  </si>
  <si>
    <t>Total number of Key Skills at Level 2 passes (GCSE equivalencies).</t>
  </si>
  <si>
    <t>KS4_BTEC</t>
  </si>
  <si>
    <t>BTEC</t>
  </si>
  <si>
    <t>Number of BTECs achieved (NOT GCSE equivalencies).</t>
  </si>
  <si>
    <t>KS4_EDEXDA</t>
  </si>
  <si>
    <t>EDEXDA</t>
  </si>
  <si>
    <t>Number of EDEXCEL Qualifications in Digital Applications for IT Users achieved (NOT GCSE equivalencies).</t>
  </si>
  <si>
    <t>KS4_PTSTNEWE</t>
  </si>
  <si>
    <t>PTSTNEWE</t>
  </si>
  <si>
    <t>Total GCSE and equivalents new style point score.</t>
  </si>
  <si>
    <t>KS4_POINTS_NEW_E</t>
  </si>
  <si>
    <t>POINTS_NEW_E</t>
  </si>
  <si>
    <t>ps_new_e</t>
  </si>
  <si>
    <t>Pupil GCSE/GNVQ S96 Point Score (new points)</t>
  </si>
  <si>
    <t>KS4_PTSCNEWE</t>
  </si>
  <si>
    <t>PTSCNEWE</t>
  </si>
  <si>
    <t>Capped GCSE and equivalents new style point score.</t>
  </si>
  <si>
    <t>KS4_PTSTNEWG</t>
  </si>
  <si>
    <t>PTSTNEWG</t>
  </si>
  <si>
    <t>Total GCSE/GNVQ new style point score.</t>
  </si>
  <si>
    <t>KS4_POINTS_NEW_G</t>
  </si>
  <si>
    <t>POINTS_NEW_G</t>
  </si>
  <si>
    <t>ps_new_g</t>
  </si>
  <si>
    <t>Pupil GCSE/GNVQ Point Score (new points)</t>
  </si>
  <si>
    <t>KS4_PTSCNEWG</t>
  </si>
  <si>
    <t>PTSCNEWG</t>
  </si>
  <si>
    <t>ptscnewg</t>
  </si>
  <si>
    <t>Capped GCSE/GNVQ new style point score.</t>
  </si>
  <si>
    <t>KS4_PTSTOLDG</t>
  </si>
  <si>
    <t>PTSTOLDG</t>
  </si>
  <si>
    <t>ptstoldg</t>
  </si>
  <si>
    <t>Total GCSE/GNVQ  old style point score</t>
  </si>
  <si>
    <t>KS4_POINTS_OLD_G</t>
  </si>
  <si>
    <t>POINTS_OLD_G</t>
  </si>
  <si>
    <t>ps_old_g</t>
  </si>
  <si>
    <t>Total GCSE/GNVQ old style point score.</t>
  </si>
  <si>
    <t>KS4_PTSCOLDG</t>
  </si>
  <si>
    <t>PTSCOLDG</t>
  </si>
  <si>
    <t>ptstoldc</t>
  </si>
  <si>
    <t>2001/02 - 2003/04</t>
  </si>
  <si>
    <t>Capped GCSE/GNVQ old style point score</t>
  </si>
  <si>
    <t>KS4_MEAN_G</t>
  </si>
  <si>
    <t>MEAN_G</t>
  </si>
  <si>
    <t>mean_g</t>
  </si>
  <si>
    <t>Mean GCSE Grade (All GCSEs)</t>
  </si>
  <si>
    <t>KS4_AVPTSENT</t>
  </si>
  <si>
    <t>AVPTSENT</t>
  </si>
  <si>
    <t>Average GCSE and equivalent point score per entry</t>
  </si>
  <si>
    <t>KS4_PASS_AASTAR5</t>
  </si>
  <si>
    <t>PASS_AASTAR5</t>
  </si>
  <si>
    <t>Achieved 5 or more GCSE/GNVQs at grades A*-A.</t>
  </si>
  <si>
    <t>KS4_FIVEAC</t>
  </si>
  <si>
    <t>FIVEAC</t>
  </si>
  <si>
    <t>Achieved 5 or more GCSE/GNVQs at grades A*-C.</t>
  </si>
  <si>
    <t>KS4_LEVEL2</t>
  </si>
  <si>
    <t>LEVEL2</t>
  </si>
  <si>
    <t xml:space="preserve">Achieved Level 2 threshold (5 or more GCSE and equivalents at grades A*-C). </t>
  </si>
  <si>
    <t>GCSE_9</t>
  </si>
  <si>
    <t xml:space="preserve">2020/21 - </t>
  </si>
  <si>
    <t xml:space="preserve">Number of Full GCSE qualifications at grade 9 (GCSE equivalencies).  </t>
  </si>
  <si>
    <t>0-99, NULL to 1dp</t>
  </si>
  <si>
    <t>GCSE_8</t>
  </si>
  <si>
    <t xml:space="preserve">Number of Full GCSE qualifications at grade 8 (GCSE equivalencies).  </t>
  </si>
  <si>
    <t>GCSE_7</t>
  </si>
  <si>
    <t xml:space="preserve">Number of Full GCSE qualifications at grade 7 (GCSE equivalencies).  </t>
  </si>
  <si>
    <t>GCSE_6</t>
  </si>
  <si>
    <t xml:space="preserve">Number of Full GCSE qualifications at grade 6 (GCSE equivalencies).  </t>
  </si>
  <si>
    <t>GCSE_5</t>
  </si>
  <si>
    <t xml:space="preserve">Number of Full GCSE qualifications at grade 5 (GCSE equivalencies).  </t>
  </si>
  <si>
    <t>GCSE_4</t>
  </si>
  <si>
    <t xml:space="preserve">Number of Full GCSE qualifications at grade 4 (GCSE equivalencies).  </t>
  </si>
  <si>
    <t>GCSE_3</t>
  </si>
  <si>
    <t xml:space="preserve">Number of Full GCSE qualifications at grade 3 (GCSE equivalencies).  </t>
  </si>
  <si>
    <t>GCSE_2</t>
  </si>
  <si>
    <t xml:space="preserve">Number of Full GCSE qualifications at grade 2 (GCSE equivalencies).  </t>
  </si>
  <si>
    <t>GCSE_1</t>
  </si>
  <si>
    <t xml:space="preserve">Number of Full GCSE qualifications at grade 1 (GCSE equivalencies).  </t>
  </si>
  <si>
    <t>GCSE_95</t>
  </si>
  <si>
    <t xml:space="preserve">Number of Full GCSE qualifications at grades 9-5 (GCSE equivalencies).  </t>
  </si>
  <si>
    <t>GCSE_94</t>
  </si>
  <si>
    <t xml:space="preserve">Number of Full GCSE qualifications at grades 9-4 (GCSE equivalencies).  </t>
  </si>
  <si>
    <t>GCSE_91</t>
  </si>
  <si>
    <t xml:space="preserve">Number of Full GCSE qualifications at grades 9-1 (GCSE equivalencies).  </t>
  </si>
  <si>
    <t>PASS_91</t>
  </si>
  <si>
    <t xml:space="preserve">Total number of GCSE qualifications at grades 9-1 (GCSE equivalencies).  </t>
  </si>
  <si>
    <t>FIVE94</t>
  </si>
  <si>
    <t>Achieved 5 or more GCSE at grades 9-4 including GCSE equivalences.</t>
  </si>
  <si>
    <t>FIVE91</t>
  </si>
  <si>
    <t xml:space="preserve">Achieved 5 or more GCSE at grades 9-1 including GCSE equivalences. </t>
  </si>
  <si>
    <t>PASS_1_91</t>
  </si>
  <si>
    <t>Achieved 1 or more GCSEs at grade 9-1 including GCSE equivalences.</t>
  </si>
  <si>
    <t>KS4_GLEVEL2</t>
  </si>
  <si>
    <t>GLEVEL2</t>
  </si>
  <si>
    <t>Achieved 5 A*-C (GCSE only, including Applied)</t>
  </si>
  <si>
    <t>KS4_GLEVEL2EM</t>
  </si>
  <si>
    <t>GLEVEL2EM</t>
  </si>
  <si>
    <t>Achieved 5 A*-C including English and maths (GCSE only, including Applied)</t>
  </si>
  <si>
    <t>KS4_FIVEAG</t>
  </si>
  <si>
    <t>FIVEAG</t>
  </si>
  <si>
    <t>Achieved 5 or more GCSE/GNVQs at grades A*-G.</t>
  </si>
  <si>
    <t>KS4_LEVEL1</t>
  </si>
  <si>
    <t>LEVEL1</t>
  </si>
  <si>
    <t>Achieved Level 1 threshold (5 or more GCSE and equivalents at grades A*-G).</t>
  </si>
  <si>
    <t>KS4_ONEAG</t>
  </si>
  <si>
    <t>ONEAG</t>
  </si>
  <si>
    <t>2003/04 - 2004/05,
2008/09 - 2012/13</t>
  </si>
  <si>
    <t>Achieved at least 1 GCSE/GNVQ at grade A*-G.</t>
  </si>
  <si>
    <t>KS4_ANYLEV1</t>
  </si>
  <si>
    <t>ANYLEV1</t>
  </si>
  <si>
    <t>Achieved at least 1 GCSE or equivalent at grade A*-G.</t>
  </si>
  <si>
    <t>KS4_ANYPASS</t>
  </si>
  <si>
    <t>ANYPASS</t>
  </si>
  <si>
    <t>Achieved any passes at all in GCSE or equivalents.</t>
  </si>
  <si>
    <t>KS4_VOCQUAL</t>
  </si>
  <si>
    <t>VOCQUAL</t>
  </si>
  <si>
    <t xml:space="preserve">Achieved at least one vocational qualification at KS4. </t>
  </si>
  <si>
    <t>KS4_2BTECEDEXDA</t>
  </si>
  <si>
    <t>2BTECEDEXDA</t>
  </si>
  <si>
    <t>Achieved at least two BTECs or a combination of EDEXCEL Qualifications in Digital Applications for IT User and BTECs.</t>
  </si>
  <si>
    <t>KS4_HGMATH</t>
  </si>
  <si>
    <t>HGMATH</t>
  </si>
  <si>
    <t>Highest grade achieved in Full GCSE Maths (as used in the Maths threshold measures).</t>
  </si>
  <si>
    <t>KS4_ELQONLY</t>
  </si>
  <si>
    <t>ELQONLY</t>
  </si>
  <si>
    <t>elqonly</t>
  </si>
  <si>
    <t>Achieved ELQs only</t>
  </si>
  <si>
    <t>KS4_NOPASSES</t>
  </si>
  <si>
    <t>NOPASSES</t>
  </si>
  <si>
    <t>nopasses</t>
  </si>
  <si>
    <t>Achieved no passes at all (inc S96)</t>
  </si>
  <si>
    <t>KS4_GCSEENG</t>
  </si>
  <si>
    <t>GCSEENG</t>
  </si>
  <si>
    <t>high_eng</t>
  </si>
  <si>
    <t>The highest point score achieved in English (old point score)</t>
  </si>
  <si>
    <t xml:space="preserve">8=A*
7=A
6=B
5=C
4=B
3=E
2=F
1=G
0=U,X
</t>
  </si>
  <si>
    <t>KS4_GCSEMATH</t>
  </si>
  <si>
    <t>GCSEMATH</t>
  </si>
  <si>
    <t>high_mat</t>
  </si>
  <si>
    <t>The highest point score achieved in Maths (old point score)</t>
  </si>
  <si>
    <t>KS4_GCSESCI</t>
  </si>
  <si>
    <t>GCSESCI</t>
  </si>
  <si>
    <t>high_sci</t>
  </si>
  <si>
    <t>The highest point score achieved in Science (old point score)</t>
  </si>
  <si>
    <t>KS4_KS4SCI</t>
  </si>
  <si>
    <t>KS4SCI</t>
  </si>
  <si>
    <t>Highest point score achieved (GCSE equivalencies) in Science (Full GCSE, Full Intermediate or Foundation GNVQ and Vocational GCSE)</t>
  </si>
  <si>
    <t>KS4_PASS_AC5EM</t>
  </si>
  <si>
    <t>PASS_AC5EM</t>
  </si>
  <si>
    <t>ac5em</t>
  </si>
  <si>
    <t>5+A*C including English and Maths GCSE/GNVQ</t>
  </si>
  <si>
    <t>KS4_LEVEL2_EM</t>
  </si>
  <si>
    <t>LEVEL2_EM</t>
  </si>
  <si>
    <t>Achieved 5 or more GCSE and equivalents at grades A*-C (Level 2) including GCSE English and Maths.</t>
  </si>
  <si>
    <t>KS4_LEVEL2EM_GCSE</t>
  </si>
  <si>
    <t>LEVEL2EM_GCSE</t>
  </si>
  <si>
    <t>Achieved 5 or more GCSEs (excluding equivalents) at grades A*-C (Level 2) including GCSE English and Maths.</t>
  </si>
  <si>
    <t>KS4_LEVEL2_FEM</t>
  </si>
  <si>
    <t>LEVEL2_FEM</t>
  </si>
  <si>
    <t>Achieved 5 or more GCSE and equivalents at grades A*-C (Level 2) including GCSE and equivalents in English and Maths (Functional English and Maths).</t>
  </si>
  <si>
    <t>KS4_PASS_AC5EMS</t>
  </si>
  <si>
    <t>PASS_AC5EMS</t>
  </si>
  <si>
    <t>ac5ems</t>
  </si>
  <si>
    <t>5+A*C including English, Maths Science GCSE/GNVQ</t>
  </si>
  <si>
    <t>KS4_LEVEL2_EMS</t>
  </si>
  <si>
    <t>LEVEL2_EMS</t>
  </si>
  <si>
    <t>lev2ems</t>
  </si>
  <si>
    <t>5+A*C including English, Maths Science GCSE/GNVQ S96</t>
  </si>
  <si>
    <t>KS4_PASS_AG5EM</t>
  </si>
  <si>
    <t>PASS_AG5EM</t>
  </si>
  <si>
    <t>ag5em</t>
  </si>
  <si>
    <t>5+A*G including English and Maths GCSE/GNVQ</t>
  </si>
  <si>
    <t>KS4_LEVEL1_EM</t>
  </si>
  <si>
    <t>LEVEL1_EM</t>
  </si>
  <si>
    <t>Achieved 5 or more GCSE and equivalents at grades A*-G (Level 1) including GCSE English and Maths.</t>
  </si>
  <si>
    <t>KS4_LEVEL1_FEM</t>
  </si>
  <si>
    <t>LEVEL1_FEM</t>
  </si>
  <si>
    <t>Achieved 5 or more GCSE and equivalents at grades A*-G (Level 1) including GCSE and equivalents in English and Maths (Functional English and Maths).</t>
  </si>
  <si>
    <t>KS4_PASS_AG5EMS</t>
  </si>
  <si>
    <t>PASS_AG5EMS</t>
  </si>
  <si>
    <t>ag5ems</t>
  </si>
  <si>
    <t>5+A*G including English, Maths and Science GCSE/GNVQ</t>
  </si>
  <si>
    <t>KS4_LEVEL1_EMS</t>
  </si>
  <si>
    <t>LEVEL1_EMS</t>
  </si>
  <si>
    <t>lev1ems</t>
  </si>
  <si>
    <t>5+A*G including English, Maths Science GCSE/GNVQ S96</t>
  </si>
  <si>
    <t>KS4_PASS_AC_EMS</t>
  </si>
  <si>
    <t>PASS_AC_EMS</t>
  </si>
  <si>
    <t>acems</t>
  </si>
  <si>
    <t>A*C in English, Maths and Science GCSE</t>
  </si>
  <si>
    <t>KS4_LEV2ENG</t>
  </si>
  <si>
    <t>LEV2ENG</t>
  </si>
  <si>
    <t>Achieved A*-C (Level 2) in GCSE English.</t>
  </si>
  <si>
    <t>KS4_LEV2FENG</t>
  </si>
  <si>
    <t>LEV2FENG</t>
  </si>
  <si>
    <t xml:space="preserve">Achieved A*-C (Level 2) in GCSE and equivalents English (Functional English). </t>
  </si>
  <si>
    <t>KS4_LEV1ENG</t>
  </si>
  <si>
    <t>LEV1ENG</t>
  </si>
  <si>
    <t>Achieved A*-G (Level 1) in GCSE English.</t>
  </si>
  <si>
    <t>KS4_LEV1FENG</t>
  </si>
  <si>
    <t>LEV1FENG</t>
  </si>
  <si>
    <t>Achieved A*-G (Level 1) in GCSE and equivalents English (Functional English).</t>
  </si>
  <si>
    <t>KS4_LEV2MAT</t>
  </si>
  <si>
    <t>LEV2MAT</t>
  </si>
  <si>
    <t>Achieved A*-C (Level 2) in GCSE Maths.</t>
  </si>
  <si>
    <t>KS4_LEV2FMAT</t>
  </si>
  <si>
    <t>LEV2FMAT</t>
  </si>
  <si>
    <t xml:space="preserve">Achieved A*-C (Level 2) in GCSE and equivalents Maths (Functional Maths). </t>
  </si>
  <si>
    <t>KS4_LEV1MAT</t>
  </si>
  <si>
    <t>LEV1MAT</t>
  </si>
  <si>
    <t>Achieved A*-G (Level 1) in GCSE Maths.</t>
  </si>
  <si>
    <t>KS4_LEV1FMAT</t>
  </si>
  <si>
    <t>LEV1FMAT</t>
  </si>
  <si>
    <t>Achieved A*-G (Level 1) in GCSE and equivalents Maths (Functional Maths).</t>
  </si>
  <si>
    <t>KS4_LEV2EM</t>
  </si>
  <si>
    <t>LEV2EM</t>
  </si>
  <si>
    <t>Achieved A*-C (Level 2) in GCSE English and Maths.</t>
  </si>
  <si>
    <t>KS4_LEV2FEM</t>
  </si>
  <si>
    <t>LEV2FEM</t>
  </si>
  <si>
    <t xml:space="preserve">Achieved A*-C (Level 2) in GCSE and equivalents English and Maths (Functional English and Maths). </t>
  </si>
  <si>
    <t>KS4_LEV1EM</t>
  </si>
  <si>
    <t>LEV1EM</t>
  </si>
  <si>
    <t>Achieved A*-G (Level 1) in GCSE English and Maths.</t>
  </si>
  <si>
    <t>KS4_LEV1FEM</t>
  </si>
  <si>
    <t>LEV1FEM</t>
  </si>
  <si>
    <t>Achieved A*-G (Level 1) in GCSE and equivalents English and Maths (Functional English and Maths).</t>
  </si>
  <si>
    <t>KS4_LEV2SCIA</t>
  </si>
  <si>
    <t>LEV2SCIA</t>
  </si>
  <si>
    <t>Achieved Level 2 in Double science or Applied Science.</t>
  </si>
  <si>
    <t>KS4_LEV2SCIB</t>
  </si>
  <si>
    <t>LEV2SCIB</t>
  </si>
  <si>
    <t>Achieved Level 2 in GCSE Science plus GCSE Additional Science or Applied Science or GCSE Land &amp; Environment.</t>
  </si>
  <si>
    <t>KS4_LEV2SCIC</t>
  </si>
  <si>
    <t>LEV2SCIC</t>
  </si>
  <si>
    <t>Entered Biology, Physics, Chemistry  GCSEs or ASs and achieved 'good' Biology plus Physics or Chemistry  GCSEs or ASs.</t>
  </si>
  <si>
    <t>KS4_LEV2SCID</t>
  </si>
  <si>
    <t>LEV2SCID</t>
  </si>
  <si>
    <t>Entered Biology, Physics, Chemistry  GCSEs or ASs and achieved 'good' Physics and Chemistry  GCSEs or ASs.</t>
  </si>
  <si>
    <t>KS4_LEV2SCIE</t>
  </si>
  <si>
    <t>LEV2SCIE</t>
  </si>
  <si>
    <t>Achieved equivalent of Level 2 in BTECs in Science.</t>
  </si>
  <si>
    <t>KS4_LEV2SCIF</t>
  </si>
  <si>
    <t>LEV2SCIF</t>
  </si>
  <si>
    <t>Achieved equivalent of Level 2 in OCR Nationals Award and Certificate in Science.</t>
  </si>
  <si>
    <t>KS4_LEV2SCIG</t>
  </si>
  <si>
    <t>LEV2SCIG</t>
  </si>
  <si>
    <t>Achieved equivalent of Level 2 in Intermediate GNVQs in Science</t>
  </si>
  <si>
    <t>KS4_LEV2SCI2</t>
  </si>
  <si>
    <t>LEV2SCI2</t>
  </si>
  <si>
    <t>Achieved 2 'good' science GCSEs or equivalent.</t>
  </si>
  <si>
    <t>KS4_LEV2SCI2B</t>
  </si>
  <si>
    <t>LEV2SCI2B</t>
  </si>
  <si>
    <t>Achieved 2 'good' science GCSEs or equivalent (counting the BTECs, OCRs and IGNVQs).</t>
  </si>
  <si>
    <t>KS4_PASS_ABSCIA</t>
  </si>
  <si>
    <t>PASS_ABSCIA</t>
  </si>
  <si>
    <t>Achieved A*-B in Double Science or Applied Science</t>
  </si>
  <si>
    <t>KS4_PASS_ABSCIB</t>
  </si>
  <si>
    <t>PASS_ABSCIB</t>
  </si>
  <si>
    <t>Achieved A*-B in GCSE Science plus GCSE Additional Science or Applied Science or GCSE Land &amp; Environment</t>
  </si>
  <si>
    <t>KS4_PASS_ABSCIC</t>
  </si>
  <si>
    <t>PASS_ABSCIC</t>
  </si>
  <si>
    <t>Entered Biology, Physics, Chemistry GCSEs or ASs and achieved equivalent of A*-B GCSE in Biology plus Physics or Chemistry GCSEs or ASs</t>
  </si>
  <si>
    <t>KS4_PASS_ABSCID</t>
  </si>
  <si>
    <t>PASS_ABSCID</t>
  </si>
  <si>
    <t>Entered Biology, Physics, Chemistry GCSEs or ASs and achieved equivalent of A*-B GCSE in Physics and Chemistry GCSEs or ASs</t>
  </si>
  <si>
    <t>KS4_PASS_ABSCIE</t>
  </si>
  <si>
    <t>PASS_ABSCIE</t>
  </si>
  <si>
    <t>Achieved equivalent of A*-B GCSE in BTECs in Science</t>
  </si>
  <si>
    <t>KS4_PASS_ABSCIF</t>
  </si>
  <si>
    <t>PASS_ABSCIF</t>
  </si>
  <si>
    <t>Achieved equivalent of A*-B GCSE in OCR Nationals Award and Certificate in Science</t>
  </si>
  <si>
    <t>KS4_PASS_ABSCIG</t>
  </si>
  <si>
    <t>PASS_ABSCIG</t>
  </si>
  <si>
    <t>Achieved equivalent of A*-B GCSE in Intermediate GNVQs in science</t>
  </si>
  <si>
    <t>KS4_PASS_ABSCI2</t>
  </si>
  <si>
    <t>PASS_ABSCI2</t>
  </si>
  <si>
    <t>Achieved equivalent of A*-B GCSE in 2 Science GCSEs or equiv</t>
  </si>
  <si>
    <t>KS4_PASS_ABSCI2B</t>
  </si>
  <si>
    <t>PASS_ABSCI2B</t>
  </si>
  <si>
    <t>Achieved equivalent of A*-B GCSE in 2 Science GCSEs or equiv (including the BTECs and OCRs)</t>
  </si>
  <si>
    <t>KS4_LEVEL2MFL</t>
  </si>
  <si>
    <t>LEVEL2MFL</t>
  </si>
  <si>
    <t>Achieved A*-C in one full Modern Foreign Language GCSE or equivalent</t>
  </si>
  <si>
    <t>KS4_LEVEL1MFL</t>
  </si>
  <si>
    <t>LEVEL1MFL</t>
  </si>
  <si>
    <t xml:space="preserve">Achieved A*-G in one short course Modern Foreign Language GCSE or equivalent </t>
  </si>
  <si>
    <t>KS4_ANYPMFL</t>
  </si>
  <si>
    <t>ANYPMFL</t>
  </si>
  <si>
    <t>Achieved any passes in Modern Foreign Language</t>
  </si>
  <si>
    <t>KS4_GCSE_ENGATT</t>
  </si>
  <si>
    <t>GCSE_ENGATT</t>
  </si>
  <si>
    <t>Pupil attempted English GCSE</t>
  </si>
  <si>
    <t>KS4_GCSE_ENGAG</t>
  </si>
  <si>
    <t>GCSE_ENGAG</t>
  </si>
  <si>
    <t>Pupil passed English GCSE at A* - G</t>
  </si>
  <si>
    <t>KS4_GCSE_ENGAC</t>
  </si>
  <si>
    <t>GCSE_ENGAC</t>
  </si>
  <si>
    <t>Pupil passed English GCSE at A* - C</t>
  </si>
  <si>
    <t>KS4_GCSE_MATHATT</t>
  </si>
  <si>
    <t>GCSE_MATHATT</t>
  </si>
  <si>
    <t>Pupil attempted Maths GCSE</t>
  </si>
  <si>
    <t>KS4_GCSE_MATHAG</t>
  </si>
  <si>
    <t>GCSE_MATHAG</t>
  </si>
  <si>
    <t>Pupil passed Maths GCSE at A* - G</t>
  </si>
  <si>
    <t>KS4_GCSE_MATHAC</t>
  </si>
  <si>
    <t>GCSE_MATHAC</t>
  </si>
  <si>
    <t>Pupil passed Maths GCSE at A* - C</t>
  </si>
  <si>
    <t>KS4_GCSE_SCIATT</t>
  </si>
  <si>
    <t>GCSE_SCIATT</t>
  </si>
  <si>
    <t>Pupil attempted Science GCSE</t>
  </si>
  <si>
    <t>KS4_GCSE_SCIAG</t>
  </si>
  <si>
    <t>GCSE_SCIAG</t>
  </si>
  <si>
    <t>Pupil passed Science GCSE at A* - G</t>
  </si>
  <si>
    <t>KS4_GCSE_SCIAC</t>
  </si>
  <si>
    <t>GCSE_SCIAC</t>
  </si>
  <si>
    <t>Pupil passed Science GCSE at A* - C</t>
  </si>
  <si>
    <t>KS4_EBACENG</t>
  </si>
  <si>
    <t>EBACENG</t>
  </si>
  <si>
    <t>2009/10 (A) - 2012/13</t>
  </si>
  <si>
    <t>Achieved EBacc English component.</t>
  </si>
  <si>
    <t>KS4_EBALLSCI</t>
  </si>
  <si>
    <t>EBALLSCI</t>
  </si>
  <si>
    <t xml:space="preserve">Entered three of Biology, Physics,  Chemistry and Computer Science GCSE </t>
  </si>
  <si>
    <t>KS4_PASS2SCIA</t>
  </si>
  <si>
    <t>PASS2SCIA</t>
  </si>
  <si>
    <t>Entered three of Biology, Physics, Chemistry or Computer Science GCSEs and achieved two 'good' of Biology, Physics , Chemistry or Computer Science</t>
  </si>
  <si>
    <t>KS4_PASS2SCIB</t>
  </si>
  <si>
    <t>PASS2SCIB</t>
  </si>
  <si>
    <t>Entered Biology, Physics, Chemistry GCSEs and achieved 'good' Physics and Chemistry.</t>
  </si>
  <si>
    <t>KS4_PASSOTHSCI</t>
  </si>
  <si>
    <t>PASSOTHSCI</t>
  </si>
  <si>
    <t>Achieved double science or Core and Additional science.</t>
  </si>
  <si>
    <t>KS4_EBAC2SCI</t>
  </si>
  <si>
    <t>EBAC2SCI</t>
  </si>
  <si>
    <t>Achieved EBacc 2 sciences component.</t>
  </si>
  <si>
    <t>KS4_MATHPAIR</t>
  </si>
  <si>
    <t>MATHPAIR</t>
  </si>
  <si>
    <t>Entered 'Applications of mathematics' and 'Methods in mathematics' GCSEs.</t>
  </si>
  <si>
    <t>KS4_PASSMATHPR</t>
  </si>
  <si>
    <t>PASSMATHPR</t>
  </si>
  <si>
    <t>Achieved at least a Grade C in one of the Maths linked pair GCSEs.</t>
  </si>
  <si>
    <t>KS4_EBACMAT</t>
  </si>
  <si>
    <t>EBACMAT</t>
  </si>
  <si>
    <t>Achieved EBacc maths component.</t>
  </si>
  <si>
    <t>KS4_EBACHUM</t>
  </si>
  <si>
    <t>EBACHUM</t>
  </si>
  <si>
    <t>Achieved EBacc Humanities component.</t>
  </si>
  <si>
    <t>KS4_EBACLAN</t>
  </si>
  <si>
    <t>EBACLAN</t>
  </si>
  <si>
    <t>Achieved EBacc language component.</t>
  </si>
  <si>
    <t>KS4_EBACC</t>
  </si>
  <si>
    <t>EBACC</t>
  </si>
  <si>
    <t>Achieved English Baccalaureate - A*-C passes in English, mathematics, 2 sciences, a humanity and a language.</t>
  </si>
  <si>
    <t>KS4_L2BASICS</t>
  </si>
  <si>
    <t>L2BASICS</t>
  </si>
  <si>
    <t>Achieved EBacc E&amp;M.</t>
  </si>
  <si>
    <t>KS4_L2BASICS_1</t>
  </si>
  <si>
    <t>L2BASICS_1</t>
  </si>
  <si>
    <t>Achieved EBacc E&amp;M and EBacc 2 sciences.</t>
  </si>
  <si>
    <t>KS4_L2BASICS_2</t>
  </si>
  <si>
    <t>L2BASICS_2</t>
  </si>
  <si>
    <t>Achieved current E&amp;M and current 2 sciences.</t>
  </si>
  <si>
    <t>KS4_L2BASICS_3</t>
  </si>
  <si>
    <t>L2BASICS_3</t>
  </si>
  <si>
    <t>Achieved current E&amp;M and current 2 GCSE only sciences.</t>
  </si>
  <si>
    <t>KS4_L2BASICS_4</t>
  </si>
  <si>
    <t>L2BASICS_4</t>
  </si>
  <si>
    <t>Achieved current E&amp;M and EBacc 2 sciences.</t>
  </si>
  <si>
    <t>KS4_EBACENG_E</t>
  </si>
  <si>
    <t>EBACENG_E</t>
  </si>
  <si>
    <t>Pupil entered for EBacc English</t>
  </si>
  <si>
    <t>KS4_EBACMAT_E</t>
  </si>
  <si>
    <t>EBACMAT_E</t>
  </si>
  <si>
    <t>Pupil entered for EBacc Maths</t>
  </si>
  <si>
    <t>KS4_EBAC2SCI_E</t>
  </si>
  <si>
    <t>EBAC2SCI_E</t>
  </si>
  <si>
    <t>Pupil entered for EBacc science (i.e 3 separate sciences, Core plus additional or double science)</t>
  </si>
  <si>
    <t>KS4_EBACHUM_E</t>
  </si>
  <si>
    <t>EBACHUM_E</t>
  </si>
  <si>
    <t>Pupil entered for EBacc Humanities (Geography or History)</t>
  </si>
  <si>
    <t>KS4_EBACLAN_E</t>
  </si>
  <si>
    <t>EBACLAN_E</t>
  </si>
  <si>
    <t>Pupil entered for EBacc Languages</t>
  </si>
  <si>
    <t>KS4_EBACC_E</t>
  </si>
  <si>
    <t>EBACC_E</t>
  </si>
  <si>
    <t>Entered all subject pillars of the EBacc</t>
  </si>
  <si>
    <t>KS4_EBACENGAG</t>
  </si>
  <si>
    <t>EBACENGAG</t>
  </si>
  <si>
    <t>Achieved EBacc English component at A*-G</t>
  </si>
  <si>
    <t>KS4_PASS2SCIAAG</t>
  </si>
  <si>
    <t>PASS2SCIAAG</t>
  </si>
  <si>
    <t xml:space="preserve">Entered Biology, Physics, Chemistry GCSEs and achieved A*-G Biology plus Physics or Chemistry </t>
  </si>
  <si>
    <t>KS4_PASS2SCIBAG</t>
  </si>
  <si>
    <t>PASS2SCIBAG</t>
  </si>
  <si>
    <t xml:space="preserve">Entered Biology, Physics, Chemistry GCSEs and achieved A*-G Physics and Chemistry </t>
  </si>
  <si>
    <t>KS4_PASSOTHSCIAG</t>
  </si>
  <si>
    <t>PASSOTHSCIAG</t>
  </si>
  <si>
    <t>Achieved double science or Core and Additional science at grades A*-G</t>
  </si>
  <si>
    <t>KS4_EBAC2SCIAG</t>
  </si>
  <si>
    <t>EBAC2SCIAG</t>
  </si>
  <si>
    <t>Achieved EBacc 2 sciences component at grade A*-G</t>
  </si>
  <si>
    <t>KS4_PASSMATHPRAG</t>
  </si>
  <si>
    <t>PASSMATHPRAG</t>
  </si>
  <si>
    <t>Achieved at least a Grade G in one of the Maths linked pair GCSEs</t>
  </si>
  <si>
    <t>KS4_EBACMATAG</t>
  </si>
  <si>
    <t>EBACMATAG</t>
  </si>
  <si>
    <t>Achieved EBacc maths component at grades A*-G</t>
  </si>
  <si>
    <t>KS4_EBACHUMAG</t>
  </si>
  <si>
    <t>EBACHUMAG</t>
  </si>
  <si>
    <t>Achieved EBacc Humanities component at grades A*-G</t>
  </si>
  <si>
    <t>KS4_EBACLANAG</t>
  </si>
  <si>
    <t>EBACLANAG</t>
  </si>
  <si>
    <t>Achieved EBacc language component at grades A*-G</t>
  </si>
  <si>
    <t>KS4_EBACCAG</t>
  </si>
  <si>
    <t>EBACCAG</t>
  </si>
  <si>
    <t>Achieved English Baccalaureate - A*-G passes in English, mathematics, 2 sciences, a humanity and a language</t>
  </si>
  <si>
    <t>KS4_INVAMOD</t>
  </si>
  <si>
    <t>INVAMOD</t>
  </si>
  <si>
    <t>Pupil included in KS2-4 Value added models (best 8, English and Maths EBacc)</t>
  </si>
  <si>
    <t>KS4_INSCIVAMOD</t>
  </si>
  <si>
    <t>INSCIVAMOD</t>
  </si>
  <si>
    <t>Pupil included in KS2-4 EBacc science Value added model</t>
  </si>
  <si>
    <t>KS4_INHUMVAMOD</t>
  </si>
  <si>
    <t>INHUMVAMOD</t>
  </si>
  <si>
    <t>Pupil included in KS2-4 EBacc humanities Value added model</t>
  </si>
  <si>
    <t>KS4_INLANVAMOD</t>
  </si>
  <si>
    <t>INLANVAMOD</t>
  </si>
  <si>
    <t>Pupil included in KS2-4 EBacc languages Value added model</t>
  </si>
  <si>
    <t>KS4_INVACALC</t>
  </si>
  <si>
    <t>INVACALC</t>
  </si>
  <si>
    <t>Pupil included in KS2-4 Value added calculations (best 8, English and Maths EBacc)</t>
  </si>
  <si>
    <t>KS4_INSCIVACALC</t>
  </si>
  <si>
    <t>INSCIVACALC</t>
  </si>
  <si>
    <t>Pupil included in KS2-4 EBacc science Value added calculation</t>
  </si>
  <si>
    <t>KS4_INHUMVACALC</t>
  </si>
  <si>
    <t>INHUMVACALC</t>
  </si>
  <si>
    <t>Pupil included in KS2-4 EBacc humanities Value added calculation</t>
  </si>
  <si>
    <t>KS4_INLANVACALC</t>
  </si>
  <si>
    <t>INLANVACALC</t>
  </si>
  <si>
    <t>Pupil included in KS2-4 EBacc languages Value added calculation</t>
  </si>
  <si>
    <t>KS4_VAP2TAENG</t>
  </si>
  <si>
    <t>VAP2TAENG</t>
  </si>
  <si>
    <t>KS2 point score in English (using fine grading and TA)</t>
  </si>
  <si>
    <t>KS4_VAP2TAMAT</t>
  </si>
  <si>
    <t>VAP2TAMAT</t>
  </si>
  <si>
    <t>KS2 point score in maths (using fine grading and TA)</t>
  </si>
  <si>
    <t>KS4_VAP2TASCI</t>
  </si>
  <si>
    <t>VAP2TASCI</t>
  </si>
  <si>
    <t>KS2 point score in science (using fine grading and TA)</t>
  </si>
  <si>
    <t>KS4_VAP2TAAPS</t>
  </si>
  <si>
    <t>VAP2TAAPS</t>
  </si>
  <si>
    <t>Average KS2 point score for Value Added prior attainment</t>
  </si>
  <si>
    <t>KS4_VAP2TAAPSSQ</t>
  </si>
  <si>
    <t>VAP2TAAPSSQ</t>
  </si>
  <si>
    <t>Average KS2 point score squared</t>
  </si>
  <si>
    <t>KS4_VAP2TAAPSCU</t>
  </si>
  <si>
    <t>VAP2TAAPSCU</t>
  </si>
  <si>
    <t>Average KS2 point score cubed</t>
  </si>
  <si>
    <t>KS4_P2TAE_DEV</t>
  </si>
  <si>
    <t>P2TAE_DEV</t>
  </si>
  <si>
    <t>Prior attainment (KS2 English) PS deviation</t>
  </si>
  <si>
    <t>KS4_P2TAM_DEV</t>
  </si>
  <si>
    <t>P2TAM_DEV</t>
  </si>
  <si>
    <t>Prior attainment (KS2 Maths) PS deviation</t>
  </si>
  <si>
    <t>KS4_VAPTSC</t>
  </si>
  <si>
    <t>VAPTSC</t>
  </si>
  <si>
    <t>Capped GCSE,GNVQ &amp; equivs point score (for use in VA)</t>
  </si>
  <si>
    <t>KS4_GPTSTNEWE</t>
  </si>
  <si>
    <t>GPTSTNEWE</t>
  </si>
  <si>
    <t>Total uncapped GCSE point score excluding equivalents</t>
  </si>
  <si>
    <t>KS4_GPTSCNEWE</t>
  </si>
  <si>
    <t>GPTSCNEWE</t>
  </si>
  <si>
    <t xml:space="preserve">Capped GCSE point score excluding equivalents
</t>
  </si>
  <si>
    <t>KS4_GVAPTSC</t>
  </si>
  <si>
    <t>GVAPTSC</t>
  </si>
  <si>
    <t>Capped GCSE point score excluding equivalents (for use in VA)</t>
  </si>
  <si>
    <t>KS4_GENGBONUS</t>
  </si>
  <si>
    <t>GENGBONUS</t>
  </si>
  <si>
    <t>English Bonus (GCSE only) for 'Best 8 excluding equivalents' VA</t>
  </si>
  <si>
    <t>KS4_GMATBONUS</t>
  </si>
  <si>
    <t>GMATBONUS</t>
  </si>
  <si>
    <t>Maths Bonus (GCSE only) for 'Best 8 excluding equivalents' VA</t>
  </si>
  <si>
    <t>KS4_B8SCRPLUSBONUS</t>
  </si>
  <si>
    <t>B8SCRPLUSBONUS</t>
  </si>
  <si>
    <t>Points score plus bonus- final score to be used in 'Best 8' VA</t>
  </si>
  <si>
    <t>KS4_G8SCRPLUSBONUS</t>
  </si>
  <si>
    <t>G8SCRPLUSBONUS</t>
  </si>
  <si>
    <t>Points score plus bonus (GCSE only) - final score to be used in 'Best 8 excluding equivalents' VA</t>
  </si>
  <si>
    <t>KS4_EBPTSENG</t>
  </si>
  <si>
    <t>EBPTSENG</t>
  </si>
  <si>
    <t>Point score in English EBacc pillar</t>
  </si>
  <si>
    <t>KS4_EBPTSMAT</t>
  </si>
  <si>
    <t>EBPTSMAT</t>
  </si>
  <si>
    <t>Point score in maths EBacc pillar</t>
  </si>
  <si>
    <t>KS4_EBPTSSCI</t>
  </si>
  <si>
    <t>EBPTSSCI</t>
  </si>
  <si>
    <t>Point score in science EBacc pillar</t>
  </si>
  <si>
    <t>KS4_EBPTSHUM</t>
  </si>
  <si>
    <t>EBPTSHUM</t>
  </si>
  <si>
    <t>Highest point score achieved in humanities EBacc pillar</t>
  </si>
  <si>
    <t>KS4_EBPTSLAN</t>
  </si>
  <si>
    <t>EBPTSLAN</t>
  </si>
  <si>
    <t>Highest point score achieved in language EBacc pillar</t>
  </si>
  <si>
    <t>KS4_B8VAPRED</t>
  </si>
  <si>
    <t>B8VAPRED</t>
  </si>
  <si>
    <t>KS2-4 predicted point score for 'Best 8' VA</t>
  </si>
  <si>
    <t>KS4_B8VASCR</t>
  </si>
  <si>
    <t>B8VASCR</t>
  </si>
  <si>
    <t>Pupil 'Best 8' VA score</t>
  </si>
  <si>
    <t>KS4_G8VAPRED</t>
  </si>
  <si>
    <t>G8VAPRED</t>
  </si>
  <si>
    <t>KS2-4 predicted point score for 'Best 8 excluding equivalents' VA</t>
  </si>
  <si>
    <t>KS4_G8VASCR</t>
  </si>
  <si>
    <t>G8VASCR</t>
  </si>
  <si>
    <t>Pupil 'Best 8 excluding equivalents' VA score</t>
  </si>
  <si>
    <t>KS4_ENGVAPRED</t>
  </si>
  <si>
    <t>ENGVAPRED</t>
  </si>
  <si>
    <t>KS2-4 predicted point score for 'EBacc English' VA</t>
  </si>
  <si>
    <t>KS4_ENGVASCR</t>
  </si>
  <si>
    <t>ENGVASCR</t>
  </si>
  <si>
    <t>Pupil 'EBacc English' VA score</t>
  </si>
  <si>
    <t>KS4_MATVAPRED</t>
  </si>
  <si>
    <t>MATVAPRED</t>
  </si>
  <si>
    <t>KS2-4 predicted point score for 'EBacc maths' VA</t>
  </si>
  <si>
    <t>KS4_MATVASCR</t>
  </si>
  <si>
    <t>MATVASCR</t>
  </si>
  <si>
    <t>Pupil 'EBacc maths' VA score</t>
  </si>
  <si>
    <t>KS4_SCIVAPRED</t>
  </si>
  <si>
    <t>SCIVAPRED</t>
  </si>
  <si>
    <t>KS2-4 predicted point score for 'EBacc science' VA</t>
  </si>
  <si>
    <t>KS4_SCIVASCR</t>
  </si>
  <si>
    <t>SCIVASCR</t>
  </si>
  <si>
    <t>Pupil 'EBacc science' VA score</t>
  </si>
  <si>
    <t>KS4_HUMVAPRED</t>
  </si>
  <si>
    <t>HUMVAPRED</t>
  </si>
  <si>
    <t>KS2-4 predicted point score for 'EBacc humanities' VA</t>
  </si>
  <si>
    <t>KS4_HUMVASCR</t>
  </si>
  <si>
    <t>HUMVASCR</t>
  </si>
  <si>
    <t>Pupil 'EBacc humanities' VA score</t>
  </si>
  <si>
    <t>KS4_LANVAPRED</t>
  </si>
  <si>
    <t>LANVAPRED</t>
  </si>
  <si>
    <t>KS2-4 predicted point score for 'EBacc language' VA</t>
  </si>
  <si>
    <t>KS4_LANVASCR</t>
  </si>
  <si>
    <t>LANVASCR</t>
  </si>
  <si>
    <t>Pupil 'EBacc language' VA score</t>
  </si>
  <si>
    <t>KS4_PRIORBAND</t>
  </si>
  <si>
    <t>PRIORBAND</t>
  </si>
  <si>
    <t>Prior attainment band for low/average/high achievement at KS2</t>
  </si>
  <si>
    <t xml:space="preserve"> 1-4, NULL</t>
  </si>
  <si>
    <t>KS4_ENGPAIR</t>
  </si>
  <si>
    <t>ENGPAIR</t>
  </si>
  <si>
    <t>Pupil entered for English Language and English Literature linked pair GCSEs</t>
  </si>
  <si>
    <t>KS4_ENGPAIRLEV1</t>
  </si>
  <si>
    <t>ENGPAIRLEV1</t>
  </si>
  <si>
    <t>Achieved level 2 GCSE in English Language in the English linked pairs</t>
  </si>
  <si>
    <t>KS4_ENGPAIRLEV2</t>
  </si>
  <si>
    <t>ENGPAIRLEV2</t>
  </si>
  <si>
    <t>Achieved level 1 GCSE in English language in English linked pairs</t>
  </si>
  <si>
    <t>KS4_APELIT</t>
  </si>
  <si>
    <t>APELIT</t>
  </si>
  <si>
    <t>Grade achieved in Full GCSE (including Double Awards where appropriate) English Literature.</t>
  </si>
  <si>
    <t>Null = No entry
* = A* at GCSE
A = A at GCSE
B = B at GCSE
C = C at GCSE
D = D at GCSE
E = E at GCSE
F = F at GCSE
G = G at GCSE
U = Ungraded at GCSE</t>
  </si>
  <si>
    <t>KS4_APELEC</t>
  </si>
  <si>
    <t>APELEC</t>
  </si>
  <si>
    <t>Grade achieved in Full GCSE (including Double Awards where appropriate) Design and Technology: Electronic Products.</t>
  </si>
  <si>
    <t>As for apelit</t>
  </si>
  <si>
    <t>KS4_APFOOD</t>
  </si>
  <si>
    <t>APFOOD</t>
  </si>
  <si>
    <t>Grade achieved in Full GCSE (including Double Awards where appropriate) Design and Technology: Food Technology.</t>
  </si>
  <si>
    <t>KS4_APGRA</t>
  </si>
  <si>
    <t>APGRA</t>
  </si>
  <si>
    <t>Grade achieved in Full GCSE (including Double Awards where appropriate) Design and Technology: Graphic Products.</t>
  </si>
  <si>
    <t>KS4_APRES</t>
  </si>
  <si>
    <t>APRES</t>
  </si>
  <si>
    <t>Grade achieved in Full GCSE (including Double Awards where appropriate) Design and Technology: Resistant Materials Technology.</t>
  </si>
  <si>
    <t>KS4_APSYS</t>
  </si>
  <si>
    <t>APSYS</t>
  </si>
  <si>
    <t>Grade achieved in Full GCSE (including Double Awards where appropriate) Design and Technology: Systems &amp; Control.</t>
  </si>
  <si>
    <t>KS4_APDTT</t>
  </si>
  <si>
    <t>APDTT</t>
  </si>
  <si>
    <t>Grade achieved in Full GCSE (including Double Awards where appropriate) Design and Technology: Textiles Technology.</t>
  </si>
  <si>
    <t>KS4_APART</t>
  </si>
  <si>
    <t>APART</t>
  </si>
  <si>
    <t>Grade achieved in Full GCSE (including Double Awards where appropriate) Art and Design.</t>
  </si>
  <si>
    <t>KS4_APHIS</t>
  </si>
  <si>
    <t>APHIS</t>
  </si>
  <si>
    <t>Grade achieved in Full GCSE (including Double Awards where appropriate) History.</t>
  </si>
  <si>
    <t>KS4_APGEO</t>
  </si>
  <si>
    <t>APGEO</t>
  </si>
  <si>
    <t>Grade achieved in Full GCSE (including Double Awards where appropriate) Geography.</t>
  </si>
  <si>
    <t>KS4_APFRE</t>
  </si>
  <si>
    <t>APFRE</t>
  </si>
  <si>
    <t>Grade achieved in Full GCSE (including Double Awards where appropriate) French.</t>
  </si>
  <si>
    <t>KS4_APGER</t>
  </si>
  <si>
    <t>APGER</t>
  </si>
  <si>
    <t>Grade achieved in Full GCSE (including Double Awards where appropriate) German.</t>
  </si>
  <si>
    <t>KS4_APBUS</t>
  </si>
  <si>
    <t>APBUS</t>
  </si>
  <si>
    <t>Grade achieved in Full GCSE (including Double Awards where appropriate) Business Studies.</t>
  </si>
  <si>
    <t>KS4_APRS</t>
  </si>
  <si>
    <t>APRS</t>
  </si>
  <si>
    <t>Grade achieved in Full GCSE (including Double Awards where appropriate) Religious Studies.</t>
  </si>
  <si>
    <t>KS4_APRE</t>
  </si>
  <si>
    <t>APRE</t>
  </si>
  <si>
    <t>Grade achieved in Short GCSE Religious Studies.</t>
  </si>
  <si>
    <t>KS4_APPE</t>
  </si>
  <si>
    <t>APPE</t>
  </si>
  <si>
    <t>Grade achieved in Full GCSE (including Double Awards where appropriate) Physical Education.</t>
  </si>
  <si>
    <t>KS4_APPHY</t>
  </si>
  <si>
    <t>APPHY</t>
  </si>
  <si>
    <t>Grade achieved in Full GCSE (including Double Awards where appropriate) Physics.</t>
  </si>
  <si>
    <t>KS4_APCHE</t>
  </si>
  <si>
    <t>APCHE</t>
  </si>
  <si>
    <t>Grade achieved in Full GCSE (including Double Awards where appropriate) Chemistry.</t>
  </si>
  <si>
    <t>KS4_APBIO</t>
  </si>
  <si>
    <t>APBIO</t>
  </si>
  <si>
    <t>Grade achieved in Full GCSE (including Double Awards where appropriate) Biological Science.</t>
  </si>
  <si>
    <t>KS4_APBIOE</t>
  </si>
  <si>
    <t>APBIOE</t>
  </si>
  <si>
    <t>Grade achieved in Full GCSE (including Double Awards where appropriate) Biology (except Human Biology)</t>
  </si>
  <si>
    <t>KS4_APDRA</t>
  </si>
  <si>
    <t>APDRA</t>
  </si>
  <si>
    <t>Grade achieved in Full GCSE (including Double Awards where appropriate) Drama.</t>
  </si>
  <si>
    <t>KS4_APIT</t>
  </si>
  <si>
    <t>APIT</t>
  </si>
  <si>
    <t>Grade achieved in Full GCSE (including Double Awards where appropriate) Information Technology.</t>
  </si>
  <si>
    <t>KS4_APITSC</t>
  </si>
  <si>
    <t>APITSC</t>
  </si>
  <si>
    <t>Grade achieved in Short GCSE Information Technology.</t>
  </si>
  <si>
    <t>KS4_APSPAN</t>
  </si>
  <si>
    <t>APSPAN</t>
  </si>
  <si>
    <t>Grade achieved in Full GCSE (including Double Awards where appropriate) Spanish.</t>
  </si>
  <si>
    <t>KS4_APMUS</t>
  </si>
  <si>
    <t>APMUS</t>
  </si>
  <si>
    <t>Grade achieved in Full GCSE (including Double Awards where appropriate) Music.</t>
  </si>
  <si>
    <t>KS4_APMAT</t>
  </si>
  <si>
    <t>APMAT</t>
  </si>
  <si>
    <t>Grade achieved in Full GCSE (including Double Awards where appropriate) Maths.</t>
  </si>
  <si>
    <t>KS4_APENG</t>
  </si>
  <si>
    <t>APENG</t>
  </si>
  <si>
    <t>Highest grade achieved in Full GCSE (including Double Awards where appropriate) English (as used in the English threshold measures).</t>
  </si>
  <si>
    <t>KS4_APELANG</t>
  </si>
  <si>
    <t>APELANG</t>
  </si>
  <si>
    <t>apelang</t>
  </si>
  <si>
    <t>2005/06 only</t>
  </si>
  <si>
    <t>Grade achieved in Full GCSE English Language.</t>
  </si>
  <si>
    <t>KS4_APSSCI</t>
  </si>
  <si>
    <t>APSSCI</t>
  </si>
  <si>
    <t>apssci</t>
  </si>
  <si>
    <t>Grade achieved in Full GCSE Single Award Science.</t>
  </si>
  <si>
    <t>KS4_APSTAT</t>
  </si>
  <si>
    <t>APSTAT</t>
  </si>
  <si>
    <t>Grade achieved in Full GCSE (including Double Awards where appropriate) Statistics.</t>
  </si>
  <si>
    <t>KS4_APMFT</t>
  </si>
  <si>
    <t>APMFT</t>
  </si>
  <si>
    <t>Grade achieved in Full GCSE (including Double Awards where appropriate) Media, Film and Television Studies.</t>
  </si>
  <si>
    <t>KS4_APFINE</t>
  </si>
  <si>
    <t>APFINE</t>
  </si>
  <si>
    <t>Grade achieved in Full GCSE (including Double Awards where appropriate) Fine Art.</t>
  </si>
  <si>
    <t>KS4_APOFT</t>
  </si>
  <si>
    <t>APOFT</t>
  </si>
  <si>
    <t>Grade achieved in Full GCSE (including Double Awards where appropriate) Office Technology.</t>
  </si>
  <si>
    <t>KS4_APHECD</t>
  </si>
  <si>
    <t>APHECD</t>
  </si>
  <si>
    <t>Grade achieved in Full GCSE (including Double Awards where appropriate) Home Economics: Child Development.</t>
  </si>
  <si>
    <t>KS4_APDAN</t>
  </si>
  <si>
    <t>APDAN</t>
  </si>
  <si>
    <t>apdan</t>
  </si>
  <si>
    <t>Grade achieved in Full GCSE (including Double Awards where appropriate) Danish.</t>
  </si>
  <si>
    <t>KS4_APDUT</t>
  </si>
  <si>
    <t>APDUT</t>
  </si>
  <si>
    <t>Grade achieved in Full GCSE (including Double Awards where appropriate) Dutch.</t>
  </si>
  <si>
    <t>KS4_APITA</t>
  </si>
  <si>
    <t>APITA</t>
  </si>
  <si>
    <t>Grade achieved in Full GCSE (including Double Awards where appropriate) Italian.</t>
  </si>
  <si>
    <t>KS4_APMGRK</t>
  </si>
  <si>
    <t>APMGRK</t>
  </si>
  <si>
    <t>Grade achieved in Full GCSE (including Double Awards where appropriate) Modern Greek.</t>
  </si>
  <si>
    <t>KS4_APPOR</t>
  </si>
  <si>
    <t>APPOR</t>
  </si>
  <si>
    <t>Grade achieved in Full GCSE (including Double Awards where appropriate) Portuguese.</t>
  </si>
  <si>
    <t>KS4_APARA</t>
  </si>
  <si>
    <t>APARA</t>
  </si>
  <si>
    <t>Grade achieved in Full GCSE (including Double Awards where appropriate) Arabic.</t>
  </si>
  <si>
    <t>KS4_APBEN</t>
  </si>
  <si>
    <t>APBEN</t>
  </si>
  <si>
    <t>Grade achieved in Full GCSE (including Double Awards where appropriate) Bengali.</t>
  </si>
  <si>
    <t>KS4_APCHI</t>
  </si>
  <si>
    <t>APCHI</t>
  </si>
  <si>
    <t>Grade achieved in Full GCSE (including Double Awards where appropriate) Chinese.</t>
  </si>
  <si>
    <t>KS4_APGUJ</t>
  </si>
  <si>
    <t>APGUJ</t>
  </si>
  <si>
    <t>Grade achieved in Full GCSE (including Double Awards where appropriate) Gujarati.</t>
  </si>
  <si>
    <t>KS4_APHIN</t>
  </si>
  <si>
    <t>APHIN</t>
  </si>
  <si>
    <t>aphin</t>
  </si>
  <si>
    <t>Grade achieved in Full GCSE (including Double Awards where appropriate) Hindi.</t>
  </si>
  <si>
    <t>KS4_APJAP</t>
  </si>
  <si>
    <t>APJAP</t>
  </si>
  <si>
    <t>Grade achieved in Full GCSE (including Double Awards where appropriate) Japanese.</t>
  </si>
  <si>
    <t>KS4_APMHEB</t>
  </si>
  <si>
    <t>APMHEB</t>
  </si>
  <si>
    <t>Grade achieved in Full GCSE (including Double Awards where appropriate) Modern Hebrew.</t>
  </si>
  <si>
    <t>KS4_APPAN</t>
  </si>
  <si>
    <t>APPAN</t>
  </si>
  <si>
    <t>Grade achieved in Full GCSE (including Double Awards where appropriate) Panjabi.</t>
  </si>
  <si>
    <t>KS4_APPOL</t>
  </si>
  <si>
    <t>APPOL</t>
  </si>
  <si>
    <t>Grade achieved in Full GCSE (including Double Awards where appropriate) Polish.</t>
  </si>
  <si>
    <t>KS4_APRUS</t>
  </si>
  <si>
    <t>APRUS</t>
  </si>
  <si>
    <t>Grade achieved in Full GCSE (including Double Awards where appropriate) Russian.</t>
  </si>
  <si>
    <t>KS4_APTUR</t>
  </si>
  <si>
    <t>APTUR</t>
  </si>
  <si>
    <t>Grade achieved in Full GCSE (including Double Awards where appropriate) Turkish.</t>
  </si>
  <si>
    <t>KS4_APURD</t>
  </si>
  <si>
    <t>APURD</t>
  </si>
  <si>
    <t>Grade achieved in Full GCSE (including Double Awards where appropriate) Urdu.</t>
  </si>
  <si>
    <t>KS4_APPER</t>
  </si>
  <si>
    <t>APPER</t>
  </si>
  <si>
    <t>Grade achieved in Full GCSE (including Double Awards where appropriate) Persian.</t>
  </si>
  <si>
    <t>KS4_APCGRK</t>
  </si>
  <si>
    <t>APCGRK</t>
  </si>
  <si>
    <t>Grade achieved in Full GCSE (including Double Awards where appropriate) Classical Greek.</t>
  </si>
  <si>
    <t>KS4_APLAT</t>
  </si>
  <si>
    <t>APLAT</t>
  </si>
  <si>
    <t>Grade achieved in Full GCSE (including Double Awards where appropriate) Latin.</t>
  </si>
  <si>
    <t>KS4_APBHEB</t>
  </si>
  <si>
    <t>APBHEB</t>
  </si>
  <si>
    <t>Grade achieved in Full GCSE (including Double Awards where appropriate) Biblical Hebrew.</t>
  </si>
  <si>
    <t>KS4_APSSC</t>
  </si>
  <si>
    <t>APSSC</t>
  </si>
  <si>
    <t>Grade achieved in Short GCSE Social Science Citizenship.</t>
  </si>
  <si>
    <t>KS4_APDSCI</t>
  </si>
  <si>
    <t>APDSCI</t>
  </si>
  <si>
    <t>Grade achieved in Full GCSE Double Award Science.</t>
  </si>
  <si>
    <t>KS4_APVBUS</t>
  </si>
  <si>
    <t>APVBUS</t>
  </si>
  <si>
    <t>Grade achieved in Vocational GCSE Double Award Applied Business.</t>
  </si>
  <si>
    <t>Null = No entry
** = A* at GCSE
AA = A at GCSE
BB = B at GCSE
CC = C at GCSE
DD = D at GCSE
EE = E at GCSE
FF = F at GCSE
GG = G at GCSE
U = Ungraded at GCSE</t>
  </si>
  <si>
    <t>KS4_APHSC</t>
  </si>
  <si>
    <t>APHSC</t>
  </si>
  <si>
    <t>Grade achieved in Vocational GCSE Double Award Health and Social Care.</t>
  </si>
  <si>
    <t>As for apvbus</t>
  </si>
  <si>
    <t>KS4_APLT</t>
  </si>
  <si>
    <t>APLT</t>
  </si>
  <si>
    <t>Grade achieved in Vocational GCSE Double Award Leisure and Tourism.</t>
  </si>
  <si>
    <t>KS4_APVSCI</t>
  </si>
  <si>
    <t>APVSCI</t>
  </si>
  <si>
    <t>Grade achieved in Vocational GCSE Double Award Applied Science.</t>
  </si>
  <si>
    <t>KS4_APSVSCI</t>
  </si>
  <si>
    <t>APSVSCI</t>
  </si>
  <si>
    <t>Grade achieved in Vocational GCSE Single Award Additional Applied Science.</t>
  </si>
  <si>
    <t>KS4_APVIT</t>
  </si>
  <si>
    <t>APVIT</t>
  </si>
  <si>
    <t>Grade achieved in Vocational GCSE Double Award Applied ICT.</t>
  </si>
  <si>
    <t>KS4_APVSL</t>
  </si>
  <si>
    <t>APVSL</t>
  </si>
  <si>
    <t>Grade achieved in VRQ Sports Leadership</t>
  </si>
  <si>
    <t>P = Pass</t>
  </si>
  <si>
    <t>KS4_BTECAPPSCI_CERS</t>
  </si>
  <si>
    <t>BTECAPPSCI_CERS</t>
  </si>
  <si>
    <t>Grade achieved in BTEC Applied Sciences - first certificate starred distinction grading</t>
  </si>
  <si>
    <t>*,D,F,M,P,Q,U</t>
  </si>
  <si>
    <t>KS4_BTECAPPSCI_DIPS</t>
  </si>
  <si>
    <t>BTECAPPSCI_DIPS</t>
  </si>
  <si>
    <t>Grade achieved in BTEC Applied Sciences - first diploma starred distinction grading</t>
  </si>
  <si>
    <t>KS4_BTECENG_CERS</t>
  </si>
  <si>
    <t>BTECENG_CERS</t>
  </si>
  <si>
    <t>Grade achieved in BTEC Engineering studies - first certificate starred distinction grading</t>
  </si>
  <si>
    <t>KS4_BTECENG_DIPS</t>
  </si>
  <si>
    <t>BTECENG_DIPS</t>
  </si>
  <si>
    <t>Grade achieved in BTEC Engineering studies - first diploma starred distinction grading</t>
  </si>
  <si>
    <t>KS4_APCORESCI</t>
  </si>
  <si>
    <t>APCORESCI</t>
  </si>
  <si>
    <t>Grade achieved in GCSE Core Science</t>
  </si>
  <si>
    <t>*,A,B,C,D,E,F,G,Q,U</t>
  </si>
  <si>
    <t>KS4_APADTSCI</t>
  </si>
  <si>
    <t>APADTSCI</t>
  </si>
  <si>
    <t>Grade achieved in GCSE Additional Science</t>
  </si>
  <si>
    <t>KS4_APAPDSCI</t>
  </si>
  <si>
    <t>APAPDSCI</t>
  </si>
  <si>
    <t>Grade achieved in GCSE Applied Science</t>
  </si>
  <si>
    <t>**,*A,AA,AB,BB,BC,CC,CD,DD,DE,EE,EF,FF,FG,GG,*,A,B,C,D,E,F,G,Q,U</t>
  </si>
  <si>
    <t>KS4_APAASCI</t>
  </si>
  <si>
    <t>APAASCI</t>
  </si>
  <si>
    <t>Grade achieved in Vocational GCSE Additional Applied Science</t>
  </si>
  <si>
    <t>KS4_KS2GVAIN</t>
  </si>
  <si>
    <t>KS2GVAIN</t>
  </si>
  <si>
    <t>ks2gvain</t>
  </si>
  <si>
    <t>KS2 Average Point score for value added to GCSE/GNVQ</t>
  </si>
  <si>
    <t>KS4_KS3GVAIN</t>
  </si>
  <si>
    <t>KS3GVAIN</t>
  </si>
  <si>
    <t>ks3gvain</t>
  </si>
  <si>
    <t>2002/03 - 2003/04</t>
  </si>
  <si>
    <t>KS3 Average Point score for value added to GCSE/GNVQ</t>
  </si>
  <si>
    <t>KS4_KS2EVAIN</t>
  </si>
  <si>
    <t>KS2EVAIN</t>
  </si>
  <si>
    <t>ks2evain</t>
  </si>
  <si>
    <t>KS2 Average Point score for value added to Equivalencies</t>
  </si>
  <si>
    <t>KS4_KS3EVAIN</t>
  </si>
  <si>
    <t>KS3EVAIN</t>
  </si>
  <si>
    <t>ks3evain</t>
  </si>
  <si>
    <t>KS3 Average Point score for value added to Equivalencies</t>
  </si>
  <si>
    <t>KS4_MED2NEWE</t>
  </si>
  <si>
    <t>MED2NEWE</t>
  </si>
  <si>
    <t>med2newe</t>
  </si>
  <si>
    <t>Median capped  GCSE/GNVQ &amp; equivs point score</t>
  </si>
  <si>
    <t>KS4_MED2NEWG</t>
  </si>
  <si>
    <t>MED2NEWG</t>
  </si>
  <si>
    <t>med2newg</t>
  </si>
  <si>
    <t>Median capped  GCSE/GNVQ new style point score</t>
  </si>
  <si>
    <t>KS4_MED2OLDG</t>
  </si>
  <si>
    <t>MED2OLDG</t>
  </si>
  <si>
    <t>med2oldg</t>
  </si>
  <si>
    <t>Median capped  GCSE/GNVQ old style point score</t>
  </si>
  <si>
    <t>KS4_MED3NEWE</t>
  </si>
  <si>
    <t>MED3NEWE</t>
  </si>
  <si>
    <t>med3newe</t>
  </si>
  <si>
    <t>KS4_MED3NEWG</t>
  </si>
  <si>
    <t>MED3NEWG</t>
  </si>
  <si>
    <t>med3newg</t>
  </si>
  <si>
    <t>KS4_MED3OLDG</t>
  </si>
  <si>
    <t>MED3OLDG</t>
  </si>
  <si>
    <t>med3oldg</t>
  </si>
  <si>
    <t>KS4_VA2NEWE</t>
  </si>
  <si>
    <t>VA2NEWE</t>
  </si>
  <si>
    <t>va2newe</t>
  </si>
  <si>
    <t>KS2-Equiv VA score (+/-)</t>
  </si>
  <si>
    <t>KS4_VA2NEWG</t>
  </si>
  <si>
    <t>VA2NEWG</t>
  </si>
  <si>
    <t>va2newg</t>
  </si>
  <si>
    <t>KS2-GCSE/GNVQ VA score (new points)  (+/-)</t>
  </si>
  <si>
    <t>KS4_VA2OLDG</t>
  </si>
  <si>
    <t>VA2OLDG</t>
  </si>
  <si>
    <t>va2oldg</t>
  </si>
  <si>
    <t>KS2-GCSE/GNVQ VA score (old points)  (+/-)</t>
  </si>
  <si>
    <t>KS4_VA3NEWE</t>
  </si>
  <si>
    <t>VA3NEWE</t>
  </si>
  <si>
    <t>va3newe</t>
  </si>
  <si>
    <t>KS3-Equiv VA score  (+/-)</t>
  </si>
  <si>
    <t>KS4_VA3NEWG</t>
  </si>
  <si>
    <t>VA3NEWG</t>
  </si>
  <si>
    <t>va3newg</t>
  </si>
  <si>
    <t>KS3-GCSE/GNVQ VA score (new points)  (+/-)</t>
  </si>
  <si>
    <t>KS4_VA3OLDG</t>
  </si>
  <si>
    <t>VA3OLDG</t>
  </si>
  <si>
    <t>va3oldg</t>
  </si>
  <si>
    <t>KS3-GCSE/GNVQ VA score (old points)  (+/-)</t>
  </si>
  <si>
    <t>KS4_KS2VAIN4</t>
  </si>
  <si>
    <t>KS2VAIN4</t>
  </si>
  <si>
    <t>ks2vain4</t>
  </si>
  <si>
    <t>2004/05 only</t>
  </si>
  <si>
    <t>KS2 Average Point score for value added to KS4</t>
  </si>
  <si>
    <t>KS4_KS3VAIN4</t>
  </si>
  <si>
    <t>KS3VAIN4</t>
  </si>
  <si>
    <t>ks3vain4</t>
  </si>
  <si>
    <t>KS3 Average Point score for value added to  KS4</t>
  </si>
  <si>
    <t>KS4_MED2NEW4</t>
  </si>
  <si>
    <t>MED2NEW4</t>
  </si>
  <si>
    <t>med2new4</t>
  </si>
  <si>
    <t>Median capped equivalencies point score for VA to KS4</t>
  </si>
  <si>
    <t>KS4_MED3NEW4</t>
  </si>
  <si>
    <t>MED3NEW4</t>
  </si>
  <si>
    <t>med3new4</t>
  </si>
  <si>
    <t>KS4_VA2NEW4</t>
  </si>
  <si>
    <t>VA2NEW4</t>
  </si>
  <si>
    <t>va2new4</t>
  </si>
  <si>
    <t>KS2-KS4 VA score (+/-)</t>
  </si>
  <si>
    <t>KS4_VA3NEW4</t>
  </si>
  <si>
    <t>VA3NEW4</t>
  </si>
  <si>
    <t>va3new4</t>
  </si>
  <si>
    <t>KS3-KS4 VA score  (+/-)</t>
  </si>
  <si>
    <t>KS4_CVAP2APS</t>
  </si>
  <si>
    <t>CVAP2APS</t>
  </si>
  <si>
    <t>cvap2aps</t>
  </si>
  <si>
    <t>2004/05 - 2009/10</t>
  </si>
  <si>
    <t>KS2 average point score (using fine grading) for contextual value added.</t>
  </si>
  <si>
    <t>KS4_CVAP2ENG</t>
  </si>
  <si>
    <t>CVAP2ENG</t>
  </si>
  <si>
    <t>cvap2eng</t>
  </si>
  <si>
    <t>KS2 English point score (using fine grading) for contextual value added.</t>
  </si>
  <si>
    <t>KS4_CVAP2MAT</t>
  </si>
  <si>
    <t>CVAP2MAT</t>
  </si>
  <si>
    <t>cvap2mat</t>
  </si>
  <si>
    <t>KS2 Maths point score (using fine grading) for contextual value added.</t>
  </si>
  <si>
    <t>KS4_CVAP2SCI</t>
  </si>
  <si>
    <t>CVAP2SCI</t>
  </si>
  <si>
    <t>cvap2sci</t>
  </si>
  <si>
    <t>KS2 Science point score (using fine grading) for contextual value added.</t>
  </si>
  <si>
    <t>KS4_CVA2INTP</t>
  </si>
  <si>
    <t>CVA2INTP</t>
  </si>
  <si>
    <t>cva2inp</t>
  </si>
  <si>
    <t>Interim KS2 to KS4 CVA predicted score</t>
  </si>
  <si>
    <t>KS4_CVA2PRED</t>
  </si>
  <si>
    <t>CVA2PRED</t>
  </si>
  <si>
    <t>cva2pred</t>
  </si>
  <si>
    <t>Adjusted KS2 to KS4 CVA predicted score (after ceilings and floors have been corrected using the arctan spline function).</t>
  </si>
  <si>
    <t>KS4_CVA_KS2</t>
  </si>
  <si>
    <t>CVA_KS2</t>
  </si>
  <si>
    <t>cva_ks2</t>
  </si>
  <si>
    <t>KS2 to KS4 contextual value added score.</t>
  </si>
  <si>
    <t>KS4_SC_P2APS</t>
  </si>
  <si>
    <t>SC_P2APS</t>
  </si>
  <si>
    <t>scks3aps</t>
  </si>
  <si>
    <t>School KS2 APS (using fine grading) for CVA.</t>
  </si>
  <si>
    <t>KS4_SC_KS2STDEV</t>
  </si>
  <si>
    <t>scks3dev</t>
  </si>
  <si>
    <t>School standard deviation of pupils KS2 APS (using fine grading) for CVA</t>
  </si>
  <si>
    <t>KS4_CVAP3APS</t>
  </si>
  <si>
    <t>CVAP3APS</t>
  </si>
  <si>
    <t>cvap3aps</t>
  </si>
  <si>
    <t>KS3 average point score (using fine grading) for contextual value added.</t>
  </si>
  <si>
    <t>KS4_CVAP3ENG</t>
  </si>
  <si>
    <t>CVAP3ENG</t>
  </si>
  <si>
    <t>cvap3eng</t>
  </si>
  <si>
    <t>KS3 English point score (using fine grading) for contextual value added.</t>
  </si>
  <si>
    <t>KS4_CVAP3MAT</t>
  </si>
  <si>
    <t>CVAP3MAT</t>
  </si>
  <si>
    <t>cvap3mat</t>
  </si>
  <si>
    <t>KS3 Maths point score (using fine grading) for contextual value added.</t>
  </si>
  <si>
    <t>KS4_CVAP3SCI</t>
  </si>
  <si>
    <t>CVAP3SCI</t>
  </si>
  <si>
    <t>cvap3sci</t>
  </si>
  <si>
    <t>KS3 Science point score (using fine grading) for contextual value added.</t>
  </si>
  <si>
    <t>KS4_CVA3INTP</t>
  </si>
  <si>
    <t>CVA3INTP</t>
  </si>
  <si>
    <t>cva3intp</t>
  </si>
  <si>
    <t>Interim KS3 to KS4 CVA Predicted score</t>
  </si>
  <si>
    <t>KS4_CVA3PRED</t>
  </si>
  <si>
    <t>CVA3PRED</t>
  </si>
  <si>
    <t>cva3pred</t>
  </si>
  <si>
    <t>Adjusted KS3 to KS4 CVA predicted score (after ceilings and floors have been corrected using the arctan spline function).</t>
  </si>
  <si>
    <t>KS4_CVA_KS3</t>
  </si>
  <si>
    <t>CVA_KS3</t>
  </si>
  <si>
    <t>cva_ks3</t>
  </si>
  <si>
    <t>Raw KS3 to KS4 CVA score.</t>
  </si>
  <si>
    <t>KS4_SC_P3APS</t>
  </si>
  <si>
    <t>SC_P3APS</t>
  </si>
  <si>
    <t>scp3aps</t>
  </si>
  <si>
    <t>School KS3 APS (using fine grading) for CVA.</t>
  </si>
  <si>
    <t>KS4_SC_KS3STDEV</t>
  </si>
  <si>
    <t>SC_KS3STDEV</t>
  </si>
  <si>
    <t>sc3stdev</t>
  </si>
  <si>
    <t>School standard deviation of pupils KS3 APS (using fine grading) for CVA</t>
  </si>
  <si>
    <t>KS4_LEVELGENG</t>
  </si>
  <si>
    <t>LEVELGENG</t>
  </si>
  <si>
    <t>NC Level of GCSE English</t>
  </si>
  <si>
    <t>0, 2-20</t>
  </si>
  <si>
    <t>KS4_LEVELGMATH</t>
  </si>
  <si>
    <t>LEVELGMATH</t>
  </si>
  <si>
    <t>NC Level of GCSE maths</t>
  </si>
  <si>
    <t>KS4_ENGLISHTYPE</t>
  </si>
  <si>
    <t>ENGLISHTYPE</t>
  </si>
  <si>
    <t>entype</t>
  </si>
  <si>
    <t>Type of English result used to calculate bonus for CVA inc E+M</t>
  </si>
  <si>
    <t>0 = No score
1 = GCSE Level 2
2 = Functional Level 2
3 = Other Level 2
4 = GCSE Level 1
5 = Functional Level 1
6 = Other Level 1
7 = ELQ</t>
  </si>
  <si>
    <t>KS4_MATHSTYPE</t>
  </si>
  <si>
    <t>MATHSTYPE</t>
  </si>
  <si>
    <t>mathtype</t>
  </si>
  <si>
    <t>Type of Maths result used to calculate bonus for CVA inc E+M</t>
  </si>
  <si>
    <t>KS4_ENGLISHBONUS</t>
  </si>
  <si>
    <t>ENGLISHBONUS</t>
  </si>
  <si>
    <t>engbonus</t>
  </si>
  <si>
    <t>Bonus for English</t>
  </si>
  <si>
    <t>KS4_MATHSBONUS</t>
  </si>
  <si>
    <t>MATHSBONUS</t>
  </si>
  <si>
    <t>matbonus</t>
  </si>
  <si>
    <t>Bonus for Maths</t>
  </si>
  <si>
    <t>KS4_SCOREPLUSBONUS</t>
  </si>
  <si>
    <t>SCOREPLUSBONUS</t>
  </si>
  <si>
    <t>spbonus</t>
  </si>
  <si>
    <t>Existing capped score plus English and Maths bonuses</t>
  </si>
  <si>
    <t>KS4_HPGENG</t>
  </si>
  <si>
    <t>HPGENG</t>
  </si>
  <si>
    <t>Highest standardised points in English GCSE</t>
  </si>
  <si>
    <t>KS4_HPFENG</t>
  </si>
  <si>
    <t>HPFENG</t>
  </si>
  <si>
    <t>hpfeng</t>
  </si>
  <si>
    <t>Highest standardised points in functional English</t>
  </si>
  <si>
    <t>KS4_HPGMATH</t>
  </si>
  <si>
    <t>HPGMATH</t>
  </si>
  <si>
    <t>Highest standardised points in Maths GCSE</t>
  </si>
  <si>
    <t>KS4_HPFMATH</t>
  </si>
  <si>
    <t>HPFMATH</t>
  </si>
  <si>
    <t>hpfmath</t>
  </si>
  <si>
    <t>Highest standardised points in functional maths</t>
  </si>
  <si>
    <t>KS4_FLAG2GENG34</t>
  </si>
  <si>
    <t>FLAG2GENG34</t>
  </si>
  <si>
    <t>fl2en34</t>
  </si>
  <si>
    <t>Achieved 2 levels of progress from KS3 (excluding TA) to GCSE English at KS4</t>
  </si>
  <si>
    <t>2 = No
1 = Yes
NULL</t>
  </si>
  <si>
    <t>KS4_FLAG3GENG24</t>
  </si>
  <si>
    <t>FLAG3GENG24</t>
  </si>
  <si>
    <t>fl3en24</t>
  </si>
  <si>
    <t>Achieved 3 levels of progress from KS2 (excluding TA) to GCSE English at KS4</t>
  </si>
  <si>
    <t>KS4_FLAG4GENG24</t>
  </si>
  <si>
    <t>FLAG4GENG24</t>
  </si>
  <si>
    <t>fl4en24</t>
  </si>
  <si>
    <t>Achieved 4 levels of progress from KS2 (excluding TA) to GCSE English at KS4</t>
  </si>
  <si>
    <t>KS4_FLAG2GMATH34</t>
  </si>
  <si>
    <t>FLAG2GMATH34</t>
  </si>
  <si>
    <t>fl2mt34</t>
  </si>
  <si>
    <t>Achieved 2 levels of progress from KS3 (excluding TA) to GCSE Maths at KS4</t>
  </si>
  <si>
    <t>KS4_FLAG3GMATH24</t>
  </si>
  <si>
    <t>FLAG3GMATH24</t>
  </si>
  <si>
    <t>fl3mt24</t>
  </si>
  <si>
    <t>Achieved 3 levels of progress from KS2 (excluding TA) to GCSE Maths at KS4</t>
  </si>
  <si>
    <t>KS4_FLAG4GMATH24</t>
  </si>
  <si>
    <t>FLAG4GMATH24</t>
  </si>
  <si>
    <t>fl4mt24</t>
  </si>
  <si>
    <t>Achieved 4 levels of progress from KS2 (excluding TA) to GCSE Maths at KS4</t>
  </si>
  <si>
    <t>KS4_KS2ENG24P</t>
  </si>
  <si>
    <t>KS2ENG24P</t>
  </si>
  <si>
    <t>KS2 English Prior Attainment level for KS2-KS4 progression measure (2011 methodology)</t>
  </si>
  <si>
    <t xml:space="preserve"> 0-6, NULL</t>
  </si>
  <si>
    <t>KS4_KS2MAT24P</t>
  </si>
  <si>
    <t>KS2MAT24P</t>
  </si>
  <si>
    <t>KS2 maths Prior Attainment level for KS2-KS4 progression measure (2011 methodology)</t>
  </si>
  <si>
    <t>KS4_Flag24ENGPrg</t>
  </si>
  <si>
    <t>Flag24ENGPrg</t>
  </si>
  <si>
    <t>Flag to indicate that the pupil has achieved expected progress in English  between KS2 and KS4 (2011 methodology)</t>
  </si>
  <si>
    <t>KS4_Flag24MATPrg</t>
  </si>
  <si>
    <t>Flag24MATPrg</t>
  </si>
  <si>
    <t>Flag to indicate that the pupil has achieved expected progress in mathematics between KS2 and KS4 (2011 methodology)</t>
  </si>
  <si>
    <t>KS4_P2APSSQ</t>
  </si>
  <si>
    <t>P2APSSQ</t>
  </si>
  <si>
    <t>p2apssq</t>
  </si>
  <si>
    <t>KS2-4: Prior attainment APS – squared.</t>
  </si>
  <si>
    <t>KS4_P2E_DEV</t>
  </si>
  <si>
    <t>P2E_DEV</t>
  </si>
  <si>
    <t>p2e_dev</t>
  </si>
  <si>
    <t>KS2-4: Prior attainment English point score (PS) deviation.</t>
  </si>
  <si>
    <t>KS4_P2M_DEV</t>
  </si>
  <si>
    <t>P2M_DEV</t>
  </si>
  <si>
    <t>p2m_dev</t>
  </si>
  <si>
    <t>KS2-4: Prior attainment Maths PS deviation.</t>
  </si>
  <si>
    <t>KS4_EAL_P2APS</t>
  </si>
  <si>
    <t>EAL_P2APS</t>
  </si>
  <si>
    <t>ealp2aps</t>
  </si>
  <si>
    <t>KS2-4: Is English not first language?*Prior APS.</t>
  </si>
  <si>
    <t>KS4_EAL_P2APSSQ</t>
  </si>
  <si>
    <t>EAL_P2APSSQ</t>
  </si>
  <si>
    <t>ealp2asq</t>
  </si>
  <si>
    <t>KS2-4: Is English not first language?* Prior APS squared.</t>
  </si>
  <si>
    <t>KS4_P3APSSQ</t>
  </si>
  <si>
    <t>P3APSSQ</t>
  </si>
  <si>
    <t>p3apssq</t>
  </si>
  <si>
    <t>2006/07 - 2007/08</t>
  </si>
  <si>
    <t>KS3-4: Prior attainment APS – squared.</t>
  </si>
  <si>
    <t>KS4_P3E_DEV</t>
  </si>
  <si>
    <t>P3E_DEV</t>
  </si>
  <si>
    <t>p3e_dev</t>
  </si>
  <si>
    <t>KS3-4: Prior attainment (KS1 Reading/ KS2 English) PS deviation.</t>
  </si>
  <si>
    <t>KS4_P3M_DEV</t>
  </si>
  <si>
    <t>P3M_DEV</t>
  </si>
  <si>
    <t>p3m_dev</t>
  </si>
  <si>
    <t>KS3-4: Prior attainment Maths PS deviation.</t>
  </si>
  <si>
    <t>KS4_EAL_P3APS</t>
  </si>
  <si>
    <t>EAL_P3APS</t>
  </si>
  <si>
    <t>ealp3aps</t>
  </si>
  <si>
    <t>KS3-4: Is English not first language?*Prior APS.</t>
  </si>
  <si>
    <t>KS4_EAL_P3APSSQ</t>
  </si>
  <si>
    <t>EAL_P3APSSQ</t>
  </si>
  <si>
    <t>ealp3asq</t>
  </si>
  <si>
    <t>KS3-4: Is English not first language?* Prior APS squared.</t>
  </si>
  <si>
    <t>KS4_TRIPLESCI_E</t>
  </si>
  <si>
    <t>TRIPLESCI_E</t>
  </si>
  <si>
    <t>Entered biology, physics and chemistry (EBacc qualifications only)</t>
  </si>
  <si>
    <t>KS4_MULTILAN_E</t>
  </si>
  <si>
    <t>MULTILAN_E</t>
  </si>
  <si>
    <t>Entered more than one EBacc language</t>
  </si>
  <si>
    <t>KS4_EXCLDATE</t>
  </si>
  <si>
    <t>EXCLDATE</t>
  </si>
  <si>
    <t>Pupil exclusion start date</t>
  </si>
  <si>
    <t>KS4_MOB1</t>
  </si>
  <si>
    <t>mob1</t>
  </si>
  <si>
    <t>Student joined in latest two academic years (years 10 and 11)?</t>
  </si>
  <si>
    <t>KS4_MOB2</t>
  </si>
  <si>
    <t>mob2</t>
  </si>
  <si>
    <t>Student joined in any other month than July/Aug/Sep?</t>
  </si>
  <si>
    <t>KS4_NEWMOBILE</t>
  </si>
  <si>
    <t>Has pupil joined the school in the last two academic years (12 September cut-off date)?</t>
  </si>
  <si>
    <t>KS4_GCSEFULL_PTQ</t>
  </si>
  <si>
    <t>GCSEFULL_PTQ</t>
  </si>
  <si>
    <t>KS4_GCSEVOC_PTQ</t>
  </si>
  <si>
    <t>GCSEVOC_PTQ</t>
  </si>
  <si>
    <t>KS4_ALLSCI_PTQ</t>
  </si>
  <si>
    <t>ALLSCI_PTQ</t>
  </si>
  <si>
    <t xml:space="preserve">Entered 3 of Biology, Physics, Chemistry or Computer Science  GCSEs or ASs (except for computer science which does not include its related AS) </t>
  </si>
  <si>
    <t>KS4_ENT1GMFL_PTQ</t>
  </si>
  <si>
    <t>ENT1GMFL_PTQ</t>
  </si>
  <si>
    <t>KS4_ENT1EMFL_PTQ</t>
  </si>
  <si>
    <t>ENT1EMFL_PTQ</t>
  </si>
  <si>
    <t>KS4_ENTRY_G_PTQ</t>
  </si>
  <si>
    <t>ENTRY_G_PTQ</t>
  </si>
  <si>
    <t>Total number of GCSE only entries (GCSE equivalencies).</t>
  </si>
  <si>
    <t>KS4_ENTRY_E_PTQ</t>
  </si>
  <si>
    <t>ENTRY_E_PTQ</t>
  </si>
  <si>
    <t>Total number of GCSE and equivalents entries (GCSE equivalencies) using the 2014 discounting rule set.</t>
  </si>
  <si>
    <t>KS4_PTSPE_PTQ</t>
  </si>
  <si>
    <t>PTSPE_PTQ</t>
  </si>
  <si>
    <t>KS4_GPTSPE_PTQ</t>
  </si>
  <si>
    <t>GPTSPE_PTQ</t>
  </si>
  <si>
    <t>2012/13 only</t>
  </si>
  <si>
    <t>KS4_ENTRY_1_PTQ</t>
  </si>
  <si>
    <t>ENTRY_1_PTQ</t>
  </si>
  <si>
    <t>KS4_ENTRY_5_PTQ</t>
  </si>
  <si>
    <t>ENTRY_5_PTQ</t>
  </si>
  <si>
    <t>Pupil entered for at 5 or more GCSEs and equivalents</t>
  </si>
  <si>
    <t>KS4_EXAMCAT_PTQ</t>
  </si>
  <si>
    <t>EXAMCAT_PTQ</t>
  </si>
  <si>
    <r>
      <rPr>
        <sz val="8"/>
        <color rgb="FF000000"/>
        <rFont val="Arial"/>
        <family val="2"/>
      </rPr>
      <t>1 = 5+ A*-C GCSEs or equivalents including English and Maths GCSEs</t>
    </r>
    <r>
      <rPr>
        <sz val="8"/>
        <color rgb="FF000000"/>
        <rFont val="Arial"/>
        <family val="2"/>
      </rPr>
      <t xml:space="preserve">
2 = 5+ A*-C GCSEs or equivalents</t>
    </r>
    <r>
      <rPr>
        <sz val="8"/>
        <color rgb="FF000000"/>
        <rFont val="Arial"/>
        <family val="2"/>
      </rPr>
      <t xml:space="preserve">
3 = 5+ A*-G GCSEs or equivalents</t>
    </r>
    <r>
      <rPr>
        <sz val="8"/>
        <color rgb="FF000000"/>
        <rFont val="Arial"/>
        <family val="2"/>
      </rPr>
      <t xml:space="preserve">
4 = Achieved </t>
    </r>
    <r>
      <rPr>
        <strike/>
        <sz val="8"/>
        <color rgb="FF000000"/>
        <rFont val="Arial"/>
        <family val="2"/>
      </rPr>
      <t>any</t>
    </r>
    <r>
      <rPr>
        <sz val="8"/>
        <color rgb="FF000000"/>
        <rFont val="Arial"/>
        <family val="2"/>
      </rPr>
      <t xml:space="preserve"> 1+ pass in KS4 performance tables qualifications</t>
    </r>
    <r>
      <rPr>
        <sz val="8"/>
        <color rgb="FF000000"/>
        <rFont val="Arial"/>
        <family val="2"/>
      </rPr>
      <t xml:space="preserve">
5 = No passes in KS4 performance tables qualifications </t>
    </r>
    <r>
      <rPr>
        <sz val="8"/>
        <color rgb="FF000000"/>
        <rFont val="Arial"/>
        <family val="2"/>
      </rPr>
      <t xml:space="preserve">
6 = Entries in KS4 non-performance tables qualifications only</t>
    </r>
    <r>
      <rPr>
        <sz val="8"/>
        <color rgb="FF000000"/>
        <rFont val="Arial"/>
        <family val="2"/>
      </rPr>
      <t xml:space="preserve">
7 = No results</t>
    </r>
  </si>
  <si>
    <t>KS4_GCSE_ASTAR_PTQ</t>
  </si>
  <si>
    <t>GCSE_ASTAR_PTQ</t>
  </si>
  <si>
    <t>KS4_GCSE_A_PTQ</t>
  </si>
  <si>
    <t>GCSE_A_PTQ</t>
  </si>
  <si>
    <t>KS4_GCSE_B_PTQ</t>
  </si>
  <si>
    <t>GCSE_B_PTQ</t>
  </si>
  <si>
    <t>KS4_GCSE_C_PTQ</t>
  </si>
  <si>
    <t>GCSE_C_PTQ</t>
  </si>
  <si>
    <t>KS4_GCSE_D_PTQ</t>
  </si>
  <si>
    <t>GCSE_D_PTQ</t>
  </si>
  <si>
    <t>KS4_GCSE_E_PTQ</t>
  </si>
  <si>
    <t>GCSE_E_PTQ</t>
  </si>
  <si>
    <t>KS4_GCSE_F_PTQ</t>
  </si>
  <si>
    <t>GCSE_F_PTQ</t>
  </si>
  <si>
    <t>KS4_GCSE_G_PTQ</t>
  </si>
  <si>
    <t>GCSE_G_PTQ</t>
  </si>
  <si>
    <t>KS4_GCSE_AA_PTQ</t>
  </si>
  <si>
    <t>GCSE_AA_PTQ</t>
  </si>
  <si>
    <t>KS4_GCSE_AC_PTQ</t>
  </si>
  <si>
    <t>GCSE_AC_PTQ</t>
  </si>
  <si>
    <t>KS4_GCSE_AG_PTQ</t>
  </si>
  <si>
    <t>GCSE_AG_PTQ</t>
  </si>
  <si>
    <t>KS4_GCSE_DG_PTQ</t>
  </si>
  <si>
    <t>GCSE_DG_PTQ</t>
  </si>
  <si>
    <t>KS4_GVOC_ASTAR_PTQ</t>
  </si>
  <si>
    <t>GVOC_ASTAR_PTQ</t>
  </si>
  <si>
    <t>Number of Double Award Vocational GCSE qualifications at grade A* (GCSE equivalencies).</t>
  </si>
  <si>
    <t>KS4_GVOC_A_PTQ</t>
  </si>
  <si>
    <t>GVOC_A_PTQ</t>
  </si>
  <si>
    <t>Number of Double Award Vocational GCSE qualifications at grade A (GCSE equivalencies).</t>
  </si>
  <si>
    <t>KS4_GVOC_B_PTQ</t>
  </si>
  <si>
    <t>GVOC_B_PTQ</t>
  </si>
  <si>
    <t>Number of Double Award Vocational GCSE qualifications at grade B (GCSE equivalencies).</t>
  </si>
  <si>
    <t>KS4_GVOC_C_PTQ</t>
  </si>
  <si>
    <t>GVOC_C_PTQ</t>
  </si>
  <si>
    <t>Number of Double Award Vocational GCSE qualifications at grade C (GCSE equivalencies).</t>
  </si>
  <si>
    <t>KS4_GVOC_D_PTQ</t>
  </si>
  <si>
    <t>GVOC_D_PTQ</t>
  </si>
  <si>
    <t>Number of Double Award Vocational GCSE qualifications at grade D (GCSE equivalencies).</t>
  </si>
  <si>
    <t>KS4_GVOC_E_PTQ</t>
  </si>
  <si>
    <t>GVOC_E_PTQ</t>
  </si>
  <si>
    <t>Number of Double Award Vocational GCSE qualifications at grade E (GCSE equivalencies).</t>
  </si>
  <si>
    <t>KS4_GVOC_F_PTQ</t>
  </si>
  <si>
    <t>GVOC_F_PTQ</t>
  </si>
  <si>
    <t>Number of Double Award Vocational GCSE qualifications at grade F (GCSE equivalencies).</t>
  </si>
  <si>
    <t>KS4_GVOC_G_PTQ</t>
  </si>
  <si>
    <t>GVOC_G_PTQ</t>
  </si>
  <si>
    <t>Number of Double Award Vocational GCSE qualifications at grade G (GCSE equivalencies).</t>
  </si>
  <si>
    <t>KS4_GVOC_AA_PTQ</t>
  </si>
  <si>
    <t>GVOC_AA_PTQ</t>
  </si>
  <si>
    <t>Number of Double Award Vocational GCSE qualifications at grades A*-A (GCSE equivalencies).</t>
  </si>
  <si>
    <t>KS4_GVOC_AC_PTQ</t>
  </si>
  <si>
    <t>GVOC_AC_PTQ</t>
  </si>
  <si>
    <t>Number of Double Award Vocational GCSE qualifications at grades A*-C (GCSE equivalencies).</t>
  </si>
  <si>
    <t>KS4_GVOC_AG_PTQ</t>
  </si>
  <si>
    <t>GVOC_AG_PTQ</t>
  </si>
  <si>
    <t>Number of Double Award Vocational GCSE qualifications at grades A*-G (GCSE equivalencies).</t>
  </si>
  <si>
    <t>KS4_GVOC_DG_PTQ</t>
  </si>
  <si>
    <t>GVOC_DG_PTQ</t>
  </si>
  <si>
    <t>Number of Double Award Vocational GCSE qualifications at grades D-G (GCSE equivalencies).</t>
  </si>
  <si>
    <t>KS4_PASS_AASTAR_PTQ</t>
  </si>
  <si>
    <t>PASS_AASTAR_PTQ</t>
  </si>
  <si>
    <t>KS4_PASS_AC_PTQ</t>
  </si>
  <si>
    <t>PASS_AC_PTQ</t>
  </si>
  <si>
    <t>KS4_PASS_AC_AAT_PTQ</t>
  </si>
  <si>
    <t>PASS_AC_AAT_PTQ</t>
  </si>
  <si>
    <t>Number of passes at grades A*-C (equivalents included)</t>
  </si>
  <si>
    <t>KS4_PASS_1AC_PTQ</t>
  </si>
  <si>
    <t>PASS_1AC_PTQ</t>
  </si>
  <si>
    <t>KS4_PASS_LEV2_PTQ</t>
  </si>
  <si>
    <t>PASS_LEV2_PTQ</t>
  </si>
  <si>
    <t>KS4_PASS_LEV2EM_PTQ</t>
  </si>
  <si>
    <t>PASS_LEV2EM_PTQ</t>
  </si>
  <si>
    <t>Total number of Level 2 GCSE and equivalent qualifications including Level 2 in GCSE English and Maths (counted as being a GCSE) (GCSE equivalencies).</t>
  </si>
  <si>
    <t>KS4_PASS_AG_PTQ</t>
  </si>
  <si>
    <t>PASS_AG_PTQ</t>
  </si>
  <si>
    <t>KS4_PASS_LEV1_PTQ</t>
  </si>
  <si>
    <t>PASS_LEV1_PTQ</t>
  </si>
  <si>
    <t>KS4_PASS_LEV1EM_PTQ</t>
  </si>
  <si>
    <t>PASS_LEV1EM_PTQ</t>
  </si>
  <si>
    <t>Total number of Level 1 GCSE and equivalent qualifications including Level 1 in GCSE English and Maths (counted as being a GCSE) (GCSE equivalencies).</t>
  </si>
  <si>
    <t>KS4_BTEC_PTQ</t>
  </si>
  <si>
    <t>BTEC_PTQ</t>
  </si>
  <si>
    <t>KS4_EDEXDA_PTQ</t>
  </si>
  <si>
    <t>EDEXDA_PTQ</t>
  </si>
  <si>
    <t>KS4_PTSTNEWE_PTQ</t>
  </si>
  <si>
    <t>PTSTNEWE_PTQ</t>
  </si>
  <si>
    <t>KS4_PTSCNEWE_PTQ</t>
  </si>
  <si>
    <t>PTSCNEWE_PTQ</t>
  </si>
  <si>
    <t>KS4_PTSTNEWG_PTQ</t>
  </si>
  <si>
    <t>PTSTNEWG_PTQ</t>
  </si>
  <si>
    <t>Total GCSE new style point score.</t>
  </si>
  <si>
    <t>KS4_AVPTSENT_PTQ</t>
  </si>
  <si>
    <t>AVPTSENT_PTQ</t>
  </si>
  <si>
    <t>Average GCSE and equivalent point score per entry.</t>
  </si>
  <si>
    <t>KS4_PASS_AASTAR5_PTQ</t>
  </si>
  <si>
    <t>PASS_AASTAR5_PTQ</t>
  </si>
  <si>
    <t>Achieved 5 or more GCSEs at grades A*-A.</t>
  </si>
  <si>
    <t>KS4_FIVEAC_PTQ</t>
  </si>
  <si>
    <t>FIVEAC_PTQ</t>
  </si>
  <si>
    <t>Achieved 5 or more GCSEs at grades A*-C.</t>
  </si>
  <si>
    <t>KS4_LEVEL2_PTQ</t>
  </si>
  <si>
    <t>LEVEL2_PTQ</t>
  </si>
  <si>
    <t>Achieved Level 2 threshold (5 or more GCSE and equivalents at grades A*-C)(inc S96, WOLF, first Entry and vocational qualification capping)</t>
  </si>
  <si>
    <t>KS4_GLEVEL2_PTQ</t>
  </si>
  <si>
    <t>GLEVEL2_PTQ</t>
  </si>
  <si>
    <t>Achieved 5 A*-C (GCSE only)</t>
  </si>
  <si>
    <t>KS4_GLEVEL2EM_PTQ</t>
  </si>
  <si>
    <t>GLEVEL2EM_PTQ</t>
  </si>
  <si>
    <t>Achieved 5 A*-C (GCSE only) including English and maths</t>
  </si>
  <si>
    <t>KS4_FIVEAG_PTQ</t>
  </si>
  <si>
    <t>FIVEAG_PTQ</t>
  </si>
  <si>
    <t>KS4_LEVEL1_PTQ</t>
  </si>
  <si>
    <t>LEVEL1_PTQ</t>
  </si>
  <si>
    <t>Achieved Level 1 threshold (5 or more GCSE and equivalents at grades A*-G)(inc S96, WOLF, first Entry and vocational qualification capping)</t>
  </si>
  <si>
    <t>KS4_ONEAG_PTQ</t>
  </si>
  <si>
    <t>ONEAG_PTQ</t>
  </si>
  <si>
    <t>Achieved at least 1 GCSE at grade A*-G.</t>
  </si>
  <si>
    <t>KS4_ANYLEV1_PTQ</t>
  </si>
  <si>
    <t>ANYLEV1_PTQ</t>
  </si>
  <si>
    <t>KS4_ANYPASS_PTQ</t>
  </si>
  <si>
    <t>ANYPASS_PTQ</t>
  </si>
  <si>
    <t>Achieved any passes at all in GCSE or equivalents(inc S96, WOLF, first Entry and vocational qualification capping)</t>
  </si>
  <si>
    <t>KS4_VOCQUAL_PTQ</t>
  </si>
  <si>
    <t>VOCQUAL_PTQ</t>
  </si>
  <si>
    <t xml:space="preserve">Flag to indicate if a learner has achieved at least one vocational qualification at KS4. </t>
  </si>
  <si>
    <t>KS4_2BTECEDEXDA_PTQ</t>
  </si>
  <si>
    <t>2BTECEDEXDA_PTQ</t>
  </si>
  <si>
    <t>KS4_HGMATH_PTQ</t>
  </si>
  <si>
    <t>HGMATH_PTQ</t>
  </si>
  <si>
    <t>KS4_KS4SCI_PTQ</t>
  </si>
  <si>
    <t>KS4SCI_PTQ</t>
  </si>
  <si>
    <t>KS4_LEVEL2_EM_PTQ</t>
  </si>
  <si>
    <t>LEVEL2_EM_PTQ</t>
  </si>
  <si>
    <t>Achieved 5 or more GCSE and equivalents at grades A*-C (Level 2) including GCSE English and Maths (counted as being a GCSE).</t>
  </si>
  <si>
    <t>KS4_LEVEL2EM_GCSE_PTQ</t>
  </si>
  <si>
    <t>LEVEL2EM_GCSE_PTQ</t>
  </si>
  <si>
    <t>KS4_LEVEL1_EM_PTQ</t>
  </si>
  <si>
    <t>LEVEL1_EM_PTQ</t>
  </si>
  <si>
    <t>Achieved 5 or more GCSE and equivalents at grades A*-G (Level 1) including GCSE English and Maths (counted as being a GCSE).</t>
  </si>
  <si>
    <t>KS4_LEV2ENG_PTQ</t>
  </si>
  <si>
    <t>LEV2ENG_PTQ</t>
  </si>
  <si>
    <t>Achieved A*-C (Level 2) in GCSE English (counted as being a GCSE).</t>
  </si>
  <si>
    <t>KS4_LEV1ENG_PTQ</t>
  </si>
  <si>
    <t>LEV1ENG_PTQ</t>
  </si>
  <si>
    <t>Achieved A*-G (Level 1) in GCSE English (counted as being a GCSE).</t>
  </si>
  <si>
    <t>KS4_LEV2MAT_PTQ</t>
  </si>
  <si>
    <t>LEV2MAT_PTQ</t>
  </si>
  <si>
    <t>Achieved A*-C (Level 2) in GCSE Maths (counted as being a GCSE).</t>
  </si>
  <si>
    <t>KS4_LEV1MAT_PTQ</t>
  </si>
  <si>
    <t>LEV1MAT_PTQ</t>
  </si>
  <si>
    <t>Achieved A*-G (Level 1) in GCSE Maths (counted as being a GCSE).</t>
  </si>
  <si>
    <t>KS4_LEV2EM_PTQ</t>
  </si>
  <si>
    <t>LEV2EM_PTQ</t>
  </si>
  <si>
    <t>Achieved A*-C (Level 2) in GCSE English and Maths (counted as being a GCSE).</t>
  </si>
  <si>
    <t>KS4_LEV1EM_PTQ</t>
  </si>
  <si>
    <t>LEV1EM_PTQ</t>
  </si>
  <si>
    <t>KS4_LEV2SCIA_PTQ</t>
  </si>
  <si>
    <t>LEV2SCIA_PTQ</t>
  </si>
  <si>
    <t>KS4_LEV2SCIB_PTQ</t>
  </si>
  <si>
    <t>LEV2SCIB_PTQ</t>
  </si>
  <si>
    <t>KS4_LEV2SCIC_PTQ</t>
  </si>
  <si>
    <t>LEV2SCIC_PTQ</t>
  </si>
  <si>
    <t>Entered 3 of Biology, Physics, Chemistry, Computer Science  GCSEs or ASs and achieved A*-C in two of Biology, Physics, Chemistry  or Computer Science GCSEs or ASs</t>
  </si>
  <si>
    <t>KS4_LEV2SCID_PTQ</t>
  </si>
  <si>
    <t>LEV2SCID_PTQ</t>
  </si>
  <si>
    <t>KS4_LEV2SCIE_PTQ</t>
  </si>
  <si>
    <t>LEV2SCIE_PTQ</t>
  </si>
  <si>
    <t>BTECs in Science.</t>
  </si>
  <si>
    <t>KS4_LEV2SCIF_PTQ</t>
  </si>
  <si>
    <t>LEV2SCIF_PTQ</t>
  </si>
  <si>
    <t>OCR Nationals Award and Certificate in Science.</t>
  </si>
  <si>
    <t>KS4_LEV2SCIG_PTQ</t>
  </si>
  <si>
    <t>LEV2SCIG_PTQ</t>
  </si>
  <si>
    <t>KS4_LEV2SCI2_PTQ</t>
  </si>
  <si>
    <t>LEV2SCI2_PTQ</t>
  </si>
  <si>
    <t>KS4_LEV2SCI2B_PTQ</t>
  </si>
  <si>
    <t>LEV2SCI2B_PTQ</t>
  </si>
  <si>
    <t>KS4_PASS_ABSCIA_PTQ</t>
  </si>
  <si>
    <t>PASS_ABSCIA_PTQ</t>
  </si>
  <si>
    <t>KS4_PASS_ABSCIB_PTQ</t>
  </si>
  <si>
    <t>PASS_ABSCIB_PTQ</t>
  </si>
  <si>
    <t>KS4_PASS_ABSCIC_PTQ</t>
  </si>
  <si>
    <t>PASS_ABSCIC_PTQ</t>
  </si>
  <si>
    <t>KS4_PASS_ABSCID_PTQ</t>
  </si>
  <si>
    <t>PASS_ABSCID_PTQ</t>
  </si>
  <si>
    <t>KS4_PASS_ABSCIE_PTQ</t>
  </si>
  <si>
    <t>PASS_ABSCIE_PTQ</t>
  </si>
  <si>
    <t>KS4_PASS_ABSCIF_PTQ</t>
  </si>
  <si>
    <t>PASS_ABSCIF_PTQ</t>
  </si>
  <si>
    <t>Achieved equivlanet of A*-B GCSE in OCR Nationals Award and Certificate in Science</t>
  </si>
  <si>
    <t>KS4_PASS_ABSCI2_PTQ</t>
  </si>
  <si>
    <t>PASS_ABSCI2_PTQ</t>
  </si>
  <si>
    <t>KS4_PASS_ABSCI2B_PTQ</t>
  </si>
  <si>
    <t>PASS_ABSCI2B_PTQ</t>
  </si>
  <si>
    <t>KS4_LEVEL2MFL_PTQ</t>
  </si>
  <si>
    <t>LEVEL2MFL_PTQ</t>
  </si>
  <si>
    <t>KS4_LEVEL1MFL_PTQ</t>
  </si>
  <si>
    <t>LEVEL1MFL_PTQ</t>
  </si>
  <si>
    <t>KS4_ANYPMFL_PTQ</t>
  </si>
  <si>
    <t>ANYPMFL_PTQ</t>
  </si>
  <si>
    <t>Achieved any passes in Modern Foreign Lanuage</t>
  </si>
  <si>
    <t>KS4_GCSE_ENGATT_PTQ</t>
  </si>
  <si>
    <t>GCSE_ENGATT_PTQ</t>
  </si>
  <si>
    <t>KS4_GCSE_ENGAG_PTQ</t>
  </si>
  <si>
    <t>GCSE_ENGAG_PTQ</t>
  </si>
  <si>
    <t>Pupil passed English GCSE at A*-G</t>
  </si>
  <si>
    <t>KS4_GCSE_ENGAC_PTQ</t>
  </si>
  <si>
    <t>GCSE_ENGAC_PTQ</t>
  </si>
  <si>
    <t>Pupil passed English GCSE at A*-C</t>
  </si>
  <si>
    <t>KS4_GCSE_MATHATT_PTQ</t>
  </si>
  <si>
    <t>GCSE_MATHATT_PTQ</t>
  </si>
  <si>
    <t>Pupil attempted maths GCSE</t>
  </si>
  <si>
    <t>KS4_GCSE_MATHAG_PTQ</t>
  </si>
  <si>
    <t>GCSE_MATHAG_PTQ</t>
  </si>
  <si>
    <t>Pupil passed maths GCSE at A*-G</t>
  </si>
  <si>
    <t>KS4_GCSE_MATHAC_PTQ</t>
  </si>
  <si>
    <t>GCSE_MATHAC_PTQ</t>
  </si>
  <si>
    <t>Pupil passed maths GCSE at A*-C</t>
  </si>
  <si>
    <t>KS4_GCSE_SCIATT_PTQ</t>
  </si>
  <si>
    <t>GCSE_SCIATT_PTQ</t>
  </si>
  <si>
    <t>Pupil attempted science GCSE</t>
  </si>
  <si>
    <t>KS4_GCSE_SCIAG_PTQ</t>
  </si>
  <si>
    <t>GCSE_SCIAG_PTQ</t>
  </si>
  <si>
    <t>Pupil passed science GCSE at A*-G</t>
  </si>
  <si>
    <t>KS4_GCSE_SCIAC_PTQ</t>
  </si>
  <si>
    <t>GCSE_SCIAC_PTQ</t>
  </si>
  <si>
    <t>Pupil passed science GCSE at A*-C</t>
  </si>
  <si>
    <t>KS4_EBACENG_PTQ</t>
  </si>
  <si>
    <t>EBACENG_PTQ</t>
  </si>
  <si>
    <t>Achieved EBacc English component</t>
  </si>
  <si>
    <t>KS4_EBALLSCI_PTQ</t>
  </si>
  <si>
    <t>EBALLSCI_PTQ</t>
  </si>
  <si>
    <t>KS4_PASS2SCIA_PTQ</t>
  </si>
  <si>
    <t>PASS2SCIA_PTQ</t>
  </si>
  <si>
    <t>KS4_PASS2SCIB_PTQ</t>
  </si>
  <si>
    <t>PASS2SCIB_PTQ</t>
  </si>
  <si>
    <t xml:space="preserve">Entered Biology, Physics, Chemistry GCSEs and achieved 'good' Physics and Chemistry </t>
  </si>
  <si>
    <t>KS4_PASSOTHSCI_PTQ</t>
  </si>
  <si>
    <t>PASSOTHSCI_PTQ</t>
  </si>
  <si>
    <t xml:space="preserve">Achieved double science or Core and Additional science </t>
  </si>
  <si>
    <t>KS4_EBAC2SCI_PTQ</t>
  </si>
  <si>
    <t>EBAC2SCI_PTQ</t>
  </si>
  <si>
    <t>Achieved EBacc 2 sciences component</t>
  </si>
  <si>
    <t>KS4_MATHPAIR_PTQ</t>
  </si>
  <si>
    <t>MATHPAIR_PTQ</t>
  </si>
  <si>
    <t>Entered 'Applications of mathematics' and 'Methods in mathematics' GCSEs</t>
  </si>
  <si>
    <t>KS4_PASSMATHPR_PTQ</t>
  </si>
  <si>
    <t>PASSMATHPR_PTQ</t>
  </si>
  <si>
    <t>Achieved at least a Grade C in one of the Maths linked pair GCSEs</t>
  </si>
  <si>
    <t>KS4_EBACMAT_PTQ</t>
  </si>
  <si>
    <t>EBACMAT_PTQ</t>
  </si>
  <si>
    <t>Achieved EBacc maths component</t>
  </si>
  <si>
    <t>KS4_EBACHUM_PTQ</t>
  </si>
  <si>
    <t>EBACHUM_PTQ</t>
  </si>
  <si>
    <t>Achieved EBacc Humanities component</t>
  </si>
  <si>
    <t>KS4_EBACLAN_PTQ</t>
  </si>
  <si>
    <t>EBACLAN_PTQ</t>
  </si>
  <si>
    <t>Achieved EBacc language component</t>
  </si>
  <si>
    <t>KS4_EBACC_PTQ</t>
  </si>
  <si>
    <t>EBACC_PTQ</t>
  </si>
  <si>
    <t>Achieved English Baccalaureate - A*-C passes in English, mathematics, 2 sciences, a humanity and a language</t>
  </si>
  <si>
    <t>KS4_L2BASICS_PTQ</t>
  </si>
  <si>
    <t>L2BASICS_PTQ</t>
  </si>
  <si>
    <t>Achieved English and Maths GCSEs or iGCSEs at Level 2</t>
  </si>
  <si>
    <t>KS4_L2BASICS_1_PTQ</t>
  </si>
  <si>
    <t>L2BASICS_1_PTQ</t>
  </si>
  <si>
    <t>Achieved Ebacc E&amp;M and EBacc 2 sciences</t>
  </si>
  <si>
    <t>KS4_L2BASICS_2_PTQ</t>
  </si>
  <si>
    <t>L2BASICS_2_PTQ</t>
  </si>
  <si>
    <t>Achieved current E&amp;M and current 2 sciences</t>
  </si>
  <si>
    <t>KS4_L2BASICS_3_PTQ</t>
  </si>
  <si>
    <t>L2BASICS_3_PTQ</t>
  </si>
  <si>
    <t>Achieved current E&amp;M and current 2 GCSE only sciences</t>
  </si>
  <si>
    <t>KS4_L2BASICS_4_PTQ</t>
  </si>
  <si>
    <t>L2BASICS_4_PTQ</t>
  </si>
  <si>
    <t>Achieved current E&amp;M and EBacc 2 sciences</t>
  </si>
  <si>
    <t>KS4_EBACENG_E_PTQ</t>
  </si>
  <si>
    <t>EBACENG_E_PTQ</t>
  </si>
  <si>
    <t>Pupil entered for Ebacc English</t>
  </si>
  <si>
    <t>KS4_EBACMAT_E_PTQ</t>
  </si>
  <si>
    <t>EBACMAT_E_PTQ</t>
  </si>
  <si>
    <t>Pupil entered for Ebacc Maths</t>
  </si>
  <si>
    <t>KS4_EBAC2SCI_E_PTQ</t>
  </si>
  <si>
    <t>EBAC2SCI_E_PTQ</t>
  </si>
  <si>
    <t>Pupil entered for Ebacc science (i.e 3 separate sciences, Core plus additional or double science)</t>
  </si>
  <si>
    <t>KS4_EBACHUM_E_PTQ</t>
  </si>
  <si>
    <t>EBACHUM_E_PTQ</t>
  </si>
  <si>
    <t>Pupil entered for Ebacc Humanities (Geography or History)</t>
  </si>
  <si>
    <t>KS4_EBACLAN_E_PTQ</t>
  </si>
  <si>
    <t>EBACLAN_E_PTQ</t>
  </si>
  <si>
    <t>Pupil entered for Ebacc Languages</t>
  </si>
  <si>
    <t>KS4_EBACC_E_PTQ</t>
  </si>
  <si>
    <t>EBACC_E_PTQ</t>
  </si>
  <si>
    <t>Entered all subject pillars of the Ebacc</t>
  </si>
  <si>
    <t>KS4_EBACENGAG_PTQ</t>
  </si>
  <si>
    <t>EBACENGAG_PTQ</t>
  </si>
  <si>
    <t>KS4_PASS2SCIAAG_PTQ</t>
  </si>
  <si>
    <t>PASS2SCIAAG_PTQ</t>
  </si>
  <si>
    <t>Entered three of Biology, Physics, Chemistry or Computer Science GCSEs and achieved  A*-G in  two of Biology, Physics , Chemistry or Computer Science</t>
  </si>
  <si>
    <t>KS4_PASS2SCIBAG_PTQ</t>
  </si>
  <si>
    <t>PASS2SCIBAG_PTQ</t>
  </si>
  <si>
    <t>KS4_PASSOTHSCIAG_PTQ</t>
  </si>
  <si>
    <t>PASSOTHSCIAG_PTQ</t>
  </si>
  <si>
    <t>KS4_EBAC2SCIAG_PTQ</t>
  </si>
  <si>
    <t>EBAC2SCIAG_PTQ</t>
  </si>
  <si>
    <t>KS4_PASSMATHPRAG_PTQ</t>
  </si>
  <si>
    <t>PASSMATHPRAG_PTQ</t>
  </si>
  <si>
    <t>KS4_EBACMATAG_PTQ</t>
  </si>
  <si>
    <t>EBACMATAG_PTQ</t>
  </si>
  <si>
    <t>KS4_EBACHUMAG_PTQ</t>
  </si>
  <si>
    <t>EBACHUMAG_PTQ</t>
  </si>
  <si>
    <t>Achieved EBacc Humanities comonent at grades A*-G</t>
  </si>
  <si>
    <t>KS4_EBACLANAG_PTQ</t>
  </si>
  <si>
    <t>EBACLANAG_PTQ</t>
  </si>
  <si>
    <t>KS4_EBACCAG_PTQ</t>
  </si>
  <si>
    <t>EBACCAG_PTQ</t>
  </si>
  <si>
    <t>KS4_INVAMOD_PTQ</t>
  </si>
  <si>
    <t>INVAMOD_PTQ</t>
  </si>
  <si>
    <t>KS4_INSCIVAMOD_PTQ</t>
  </si>
  <si>
    <t>INSCIVAMOD_PTQ</t>
  </si>
  <si>
    <t>KS4_INHUMVAMOD_PTQ</t>
  </si>
  <si>
    <t>INHUMVAMOD_PTQ</t>
  </si>
  <si>
    <t>KS4_INLANVAMOD_PTQ</t>
  </si>
  <si>
    <t>INLANVAMOD_PTQ</t>
  </si>
  <si>
    <t>KS4_INVACALC_PTQ</t>
  </si>
  <si>
    <t>INVACALC_PTQ</t>
  </si>
  <si>
    <t>KS4_INSCIVACALC_PTQ</t>
  </si>
  <si>
    <t>INSCIVACALC_PTQ</t>
  </si>
  <si>
    <t>KS4_INHUMVACALC_PTQ</t>
  </si>
  <si>
    <t>INHUMVACALC_PTQ</t>
  </si>
  <si>
    <t>KS4_INLANVACALC_PTQ</t>
  </si>
  <si>
    <t>INLANVACALC_PTQ</t>
  </si>
  <si>
    <t>KS4_VAP2TAENG_PTQ</t>
  </si>
  <si>
    <t>VAP2TAENG_PTQ</t>
  </si>
  <si>
    <t>KS4_VAP2TAMAT_PTQ</t>
  </si>
  <si>
    <t>VAP2TAMAT_PTQ</t>
  </si>
  <si>
    <t>KS4_VAP2TASCI_PTQ</t>
  </si>
  <si>
    <t>VAP2TASCI_PTQ</t>
  </si>
  <si>
    <t>KS4_VAP2TAAPS_PTQ</t>
  </si>
  <si>
    <t>VAP2TAAPS_PTQ</t>
  </si>
  <si>
    <t>KS4_VAP2TAAPSSQ_PTQ</t>
  </si>
  <si>
    <t>VAP2TAAPSSQ_PTQ</t>
  </si>
  <si>
    <t>KS4_VAP2TAAPSCU_PTQ</t>
  </si>
  <si>
    <t>VAP2TAAPSCU_PTQ</t>
  </si>
  <si>
    <t>KS4_P2TAE_DEV_PTQ</t>
  </si>
  <si>
    <t>P2TAE_DEV_PTQ</t>
  </si>
  <si>
    <t>KS4_P2TAM_DEV_PTQ</t>
  </si>
  <si>
    <t>P2TAM_DEV_PTQ</t>
  </si>
  <si>
    <t>KS4_VAPTSC_PTQ</t>
  </si>
  <si>
    <t>VAPTSC_PTQ</t>
  </si>
  <si>
    <t>KS4_GPTSTNEWE_PTQ</t>
  </si>
  <si>
    <t>GPTSTNEWE_PTQ</t>
  </si>
  <si>
    <t>KS4_GPTSCNEWE_PTQ</t>
  </si>
  <si>
    <t>GPTSCNEWE_PTQ</t>
  </si>
  <si>
    <t>KS4_GVAPTSC_PTQ</t>
  </si>
  <si>
    <t>GVAPTSC_PTQ</t>
  </si>
  <si>
    <t>KS4_GENGBONUS_PTQ</t>
  </si>
  <si>
    <t>GENGBONUS_PTQ</t>
  </si>
  <si>
    <t>KS4_GMATBONUS_PTQ</t>
  </si>
  <si>
    <t>GMATBONUS_PTQ</t>
  </si>
  <si>
    <t>KS4_B8SCRPLUSBONUS_PTQ</t>
  </si>
  <si>
    <t>B8SCRPLUSBONUS_PTQ</t>
  </si>
  <si>
    <t>KS4_EBPTSENG_PTQ</t>
  </si>
  <si>
    <t>EBPTSENG_PTQ</t>
  </si>
  <si>
    <t>KS4_EBPTSMAT_PTQ</t>
  </si>
  <si>
    <t>EBPTSMAT_PTQ</t>
  </si>
  <si>
    <t>KS4_EBPTSSCI_PTQ</t>
  </si>
  <si>
    <t>EBPTSSCI_PTQ</t>
  </si>
  <si>
    <t>Point score in science Ebac pillar</t>
  </si>
  <si>
    <t>KS4_EBPTSHUM_PTQ</t>
  </si>
  <si>
    <t>EBPTSHUM_PTQ</t>
  </si>
  <si>
    <t>Highest point score achieved in humanities Ebac pillar</t>
  </si>
  <si>
    <t>KS4_EBPTSLAN_PTQ</t>
  </si>
  <si>
    <t>EBPTSLAN_PTQ</t>
  </si>
  <si>
    <t>Highest point score achieved in language Ebac pillar</t>
  </si>
  <si>
    <t>KS4_B8VAPRED_PTQ</t>
  </si>
  <si>
    <t>B8VAPRED_PTQ</t>
  </si>
  <si>
    <t>KS4_B8VASCR_PTQ</t>
  </si>
  <si>
    <t>B8VASCR_PTQ</t>
  </si>
  <si>
    <t>KS4_ENGVAPRED_PTQ</t>
  </si>
  <si>
    <t>ENGVAPRED_PTQ</t>
  </si>
  <si>
    <t>KS4_ENGVASCR_PTQ</t>
  </si>
  <si>
    <t>ENGVASCR_PTQ</t>
  </si>
  <si>
    <t>KS4_MATVAPRED_PTQ</t>
  </si>
  <si>
    <t>MATVAPRED_PTQ</t>
  </si>
  <si>
    <t>KS4_MATVASCR_PTQ</t>
  </si>
  <si>
    <t>MATVASCR_PTQ</t>
  </si>
  <si>
    <t>KS4_SCIVAPRED_PTQ</t>
  </si>
  <si>
    <t>SCIVAPRED_PTQ</t>
  </si>
  <si>
    <t>KS4_SCIVASCR_PTQ</t>
  </si>
  <si>
    <t>SCIVASCR_PTQ</t>
  </si>
  <si>
    <t>KS4_HUMVAPRED_PTQ</t>
  </si>
  <si>
    <t>HUMVAPRED_PTQ</t>
  </si>
  <si>
    <t>KS4_HUMVASCR_PTQ</t>
  </si>
  <si>
    <t>HUMVASCR_PTQ</t>
  </si>
  <si>
    <t>KS4_LANVAPRED_PTQ</t>
  </si>
  <si>
    <t>LANVAPRED_PTQ</t>
  </si>
  <si>
    <t>KS4_LANVASCR_PTQ</t>
  </si>
  <si>
    <t>LANVASCR_PTQ</t>
  </si>
  <si>
    <t>KS4_PRIORBAND_PTQ</t>
  </si>
  <si>
    <t>PRIORBAND_PTQ</t>
  </si>
  <si>
    <t>KS4_ENGPAIR_PTQ</t>
  </si>
  <si>
    <t>ENGPAIR_PTQ</t>
  </si>
  <si>
    <t>KS4_ENGPAIRLEV1_PTQ</t>
  </si>
  <si>
    <t>ENGPAIRLEV1_PTQ</t>
  </si>
  <si>
    <t>KS4_ENGPAIRLEV2_PTQ</t>
  </si>
  <si>
    <t>ENGPAIRLEV2_PTQ</t>
  </si>
  <si>
    <t>KS4_FINELEVEL_PTQ</t>
  </si>
  <si>
    <t>FINELEVEL_PTQ</t>
  </si>
  <si>
    <t>Pupil Fine Level score</t>
  </si>
  <si>
    <t>KS4_VAPRIORBAND_PTQ</t>
  </si>
  <si>
    <t>VAPRIORBAND_PTQ</t>
  </si>
  <si>
    <t>Pupil VA Prior Banding</t>
  </si>
  <si>
    <t>KS4_APELIT_PTQ</t>
  </si>
  <si>
    <t>APELIT_PTQ</t>
  </si>
  <si>
    <t>Null = No entry
** = A*A* in Double Award GCSE
*A, AA, AB, BB, BC, CC, CD, DD, DE, EE, EF, FF, FG, GG
* = A* in GCSE
A, B, C, D, E, F, G
U = Ungraded at GCSE</t>
  </si>
  <si>
    <t>KS4_APELEC_PTQ</t>
  </si>
  <si>
    <t>APELEC_PTQ</t>
  </si>
  <si>
    <t>Same as APELIT above</t>
  </si>
  <si>
    <t>KS4_APFOOD_PTQ</t>
  </si>
  <si>
    <t>APFOOD_PTQ</t>
  </si>
  <si>
    <t>KS4_APGRA_PTQ</t>
  </si>
  <si>
    <t>APGRA_PTQ</t>
  </si>
  <si>
    <t>KS4_APRES_PTQ</t>
  </si>
  <si>
    <t>APRES_PTQ</t>
  </si>
  <si>
    <t>KS4_APSYS_PTQ</t>
  </si>
  <si>
    <t>APSYS_PTQ</t>
  </si>
  <si>
    <t>KS4_APDTT_PTQ</t>
  </si>
  <si>
    <t>APDTT_PTQ</t>
  </si>
  <si>
    <t>KS4_APART_PTQ</t>
  </si>
  <si>
    <t>APART_PTQ</t>
  </si>
  <si>
    <t>KS4_APHIS_PTQ</t>
  </si>
  <si>
    <t>APHIS_PTQ</t>
  </si>
  <si>
    <t>KS4_APGEO_PTQ</t>
  </si>
  <si>
    <t>APGEO_PTQ</t>
  </si>
  <si>
    <t>KS4_APFRE_PTQ</t>
  </si>
  <si>
    <t>APFRE_PTQ</t>
  </si>
  <si>
    <t>KS4_APGER_PTQ</t>
  </si>
  <si>
    <t>APGER_PTQ</t>
  </si>
  <si>
    <t>KS4_APBUS_PTQ</t>
  </si>
  <si>
    <t>APBUS_PTQ</t>
  </si>
  <si>
    <t>KS4_APRS_PTQ</t>
  </si>
  <si>
    <t>APRS_PTQ</t>
  </si>
  <si>
    <t>KS4_APRE_PTQ</t>
  </si>
  <si>
    <t>APRE_PTQ</t>
  </si>
  <si>
    <t>Null = No entry
* = A* in GCSE
A, B, C, D, E, F, G
U = Ungraded at GCSE</t>
  </si>
  <si>
    <t>KS4_APPE_PTQ</t>
  </si>
  <si>
    <t>APPE_PTQ</t>
  </si>
  <si>
    <t>KS4_APPHY_PTQ</t>
  </si>
  <si>
    <t>APPHY_PTQ</t>
  </si>
  <si>
    <t>KS4_APCHE_PTQ</t>
  </si>
  <si>
    <t>APCHE_PTQ</t>
  </si>
  <si>
    <t>KS4_APBIO_PTQ</t>
  </si>
  <si>
    <t>APBIO_PTQ</t>
  </si>
  <si>
    <t>KS4_APBIOE_PTQ</t>
  </si>
  <si>
    <t>APBIOE_PTQ</t>
  </si>
  <si>
    <t>KS4_APDRA_PTQ</t>
  </si>
  <si>
    <t>APDRA_PTQ</t>
  </si>
  <si>
    <t>KS4_APIT_PTQ</t>
  </si>
  <si>
    <t>APIT_PTQ</t>
  </si>
  <si>
    <t>KS4_APSPAN_PTQ</t>
  </si>
  <si>
    <t>APSPAN_PTQ</t>
  </si>
  <si>
    <t>KS4_APMUS_PTQ</t>
  </si>
  <si>
    <t>APMUS_PTQ</t>
  </si>
  <si>
    <t>KS4_APMAT_PTQ</t>
  </si>
  <si>
    <t>APMAT_PTQ</t>
  </si>
  <si>
    <t>KS4_APENG_PTQ</t>
  </si>
  <si>
    <t>APENG_PTQ</t>
  </si>
  <si>
    <t>KS4_APSTAT_PTQ</t>
  </si>
  <si>
    <t>APSTAT_PTQ</t>
  </si>
  <si>
    <t>KS4_APMFT_PTQ</t>
  </si>
  <si>
    <t>APMFT_PTQ</t>
  </si>
  <si>
    <t>KS4_APOFT_PTQ</t>
  </si>
  <si>
    <t>APOFT_PTQ</t>
  </si>
  <si>
    <t>KS4_APHECD_PTQ</t>
  </si>
  <si>
    <t>APHECD_PTQ</t>
  </si>
  <si>
    <t>KS4_APDUT_PTQ</t>
  </si>
  <si>
    <t>APDUT_PTQ</t>
  </si>
  <si>
    <t>KS4_APITA_PTQ</t>
  </si>
  <si>
    <t>APITA_PTQ</t>
  </si>
  <si>
    <t>KS4_APMGRK_PTQ</t>
  </si>
  <si>
    <t>APMGRK_PTQ</t>
  </si>
  <si>
    <t>KS4_APPOR_PTQ</t>
  </si>
  <si>
    <t>APPOR_PTQ</t>
  </si>
  <si>
    <t>KS4_APARA_PTQ</t>
  </si>
  <si>
    <t>APARA_PTQ</t>
  </si>
  <si>
    <t>KS4_APBEN_PTQ</t>
  </si>
  <si>
    <t>APBEN_PTQ</t>
  </si>
  <si>
    <t>KS4_APCHI_PTQ</t>
  </si>
  <si>
    <t>APCHI_PTQ</t>
  </si>
  <si>
    <t>KS4_APGUJ_PTQ</t>
  </si>
  <si>
    <t>APGUJ_PTQ</t>
  </si>
  <si>
    <t>KS4_APJAP_PTQ</t>
  </si>
  <si>
    <t>APJAP_PTQ</t>
  </si>
  <si>
    <t>KS4_APMHEB_PTQ</t>
  </si>
  <si>
    <t>APMHEB_PTQ</t>
  </si>
  <si>
    <t>KS4_APPAN_PTQ</t>
  </si>
  <si>
    <t>APPAN_PTQ</t>
  </si>
  <si>
    <t>KS4_APPOL_PTQ</t>
  </si>
  <si>
    <t>APPOL_PTQ</t>
  </si>
  <si>
    <t>KS4_APRUS_PTQ</t>
  </si>
  <si>
    <t>APRUS_PTQ</t>
  </si>
  <si>
    <t>KS4_APTUR_PTQ</t>
  </si>
  <si>
    <t>APTUR_PTQ</t>
  </si>
  <si>
    <t>KS4_APURD_PTQ</t>
  </si>
  <si>
    <t>APURD_PTQ</t>
  </si>
  <si>
    <t>KS4_APPER_PTQ</t>
  </si>
  <si>
    <t>APPER_PTQ</t>
  </si>
  <si>
    <t>KS4_APCGRK_PTQ</t>
  </si>
  <si>
    <t>APCGRK_PTQ</t>
  </si>
  <si>
    <t>KS4_APLAT_PTQ</t>
  </si>
  <si>
    <t>APLAT_PTQ</t>
  </si>
  <si>
    <t>KS4_APBHEB_PTQ</t>
  </si>
  <si>
    <t>APBHEB_PTQ</t>
  </si>
  <si>
    <t>KS4_APDSCI_PTQ</t>
  </si>
  <si>
    <t>APDSCI_PTQ</t>
  </si>
  <si>
    <t>Null = No entry
** = A*A* in Double Award GCSE
*A, AA, AB, BB, BC, CC, CD, DD, DE, EE, EF, FF, FG, GG
U = Ungraded in Double Award GCSE</t>
  </si>
  <si>
    <t>KS4_APVBUS_PTQ</t>
  </si>
  <si>
    <t>APVBUS_PTQ</t>
  </si>
  <si>
    <t>Null = No entry
** = A*A* in Vocational Double Award GCSE
*A, AA, AB, BB, BC, CC, CD, DD, DE, EE, EF, FF, FG, GG
U = Ungraded in Vocational Double Award GCSE</t>
  </si>
  <si>
    <t>KS4_APHSC_PTQ</t>
  </si>
  <si>
    <t>APHSC_PTQ</t>
  </si>
  <si>
    <t>Same as APVBUS above</t>
  </si>
  <si>
    <t>KS4_APLT_PTQ</t>
  </si>
  <si>
    <t>APLT_PTQ</t>
  </si>
  <si>
    <t>KS4_APVSCI_PTQ</t>
  </si>
  <si>
    <t>APVSCI_PTQ</t>
  </si>
  <si>
    <t>KS4_APSVSCI_PTQ</t>
  </si>
  <si>
    <t>APSVSCI_PTQ</t>
  </si>
  <si>
    <t>Null = No entry
* = A* in Vocational Single Award GCSE
A, B, C, D, E, F, G
U = Ungraded in Vocational Single Award GCSE</t>
  </si>
  <si>
    <t>KS4_APVIT_PTQ</t>
  </si>
  <si>
    <t>APVIT_PTQ</t>
  </si>
  <si>
    <t>KS4_APCORESCI_PTQ</t>
  </si>
  <si>
    <t>APCORESCI_PTQ</t>
  </si>
  <si>
    <t>KS4_APADTSCI_PTQ</t>
  </si>
  <si>
    <t>APADTSCI_PTQ</t>
  </si>
  <si>
    <t>KS4_APAPDSCI_PTQ</t>
  </si>
  <si>
    <t>APAPDSCI_PTQ</t>
  </si>
  <si>
    <t>KS4_LEVELGENG_PTQ</t>
  </si>
  <si>
    <t>LEVELGENG_PTQ</t>
  </si>
  <si>
    <t>KS4_LEVELGMATH_PTQ</t>
  </si>
  <si>
    <t>LEVELGMATH_PTQ</t>
  </si>
  <si>
    <t>KS4_ENGLISHBONUS_PTQ</t>
  </si>
  <si>
    <t>ENGLISHBONUS_PTQ</t>
  </si>
  <si>
    <t>KS4_MATHSBONUS_PTQ</t>
  </si>
  <si>
    <t>MATHSBONUS_PTQ</t>
  </si>
  <si>
    <t>KS4_SCOREPLUSBONUS_PTQ</t>
  </si>
  <si>
    <t>SCOREPLUSBONUS_PTQ</t>
  </si>
  <si>
    <t>KS4_HPGENG_PTQ</t>
  </si>
  <si>
    <t>HPGENG_PTQ</t>
  </si>
  <si>
    <t>KS4_HPGMATH_PTQ</t>
  </si>
  <si>
    <t>HPGMATH_PTQ</t>
  </si>
  <si>
    <t>KS4_KS2ENG24P_PTQ</t>
  </si>
  <si>
    <t>KS2ENG24P_PTQ</t>
  </si>
  <si>
    <t>KS4_KS2MAT24P_PTQ</t>
  </si>
  <si>
    <t>KS2MAT24P_PTQ</t>
  </si>
  <si>
    <t>KS4_FLAG24ENGPRG_PTQ</t>
  </si>
  <si>
    <t>FLAG24ENGPRG_PTQ</t>
  </si>
  <si>
    <t>KS4_FLAG24MATPRG_PTQ</t>
  </si>
  <si>
    <t>FLAG24MATPRG_PTQ</t>
  </si>
  <si>
    <t>KS4_GCSEVOC_PTQ_EE</t>
  </si>
  <si>
    <t>GCSEVOC_PTQ_EE</t>
  </si>
  <si>
    <t>KS4_ALLSCI_PTQ_EE</t>
  </si>
  <si>
    <t>ALLSCI_PTQ_EE</t>
  </si>
  <si>
    <t>KS4_ENT1GMFL_PTQ_EE</t>
  </si>
  <si>
    <t>ENT1GMFL_PTQ_EE</t>
  </si>
  <si>
    <t>2014/15 - 2016/17</t>
  </si>
  <si>
    <t>KS4_ENT1GMFL_91</t>
  </si>
  <si>
    <t>ENT1GMFL_91</t>
  </si>
  <si>
    <t>2017/18 -</t>
  </si>
  <si>
    <t xml:space="preserve">Entered for at least 1 Full GCSE Modern Foreign Language  (reformed 9-1 GCSEs)   </t>
  </si>
  <si>
    <t>KS4_ENT1EMFL_PTQ_EE</t>
  </si>
  <si>
    <t>ENT1EMFL_PTQ_EE</t>
  </si>
  <si>
    <t>KS4_ENTRY_G_PTQ_EE</t>
  </si>
  <si>
    <t>ENTRY_G_PTQ_EE</t>
  </si>
  <si>
    <t>KS4_ENTRY_E_PTQ_EE</t>
  </si>
  <si>
    <t>ENTRY_E_PTQ_EE</t>
  </si>
  <si>
    <t>KS4_ENTRY_E_3NG_PTQ_EE</t>
  </si>
  <si>
    <t>ENTRY_E_3NG_PTQ_EE</t>
  </si>
  <si>
    <t>Total number of GCSE and equivalents entries (GCSE equivalencies)</t>
  </si>
  <si>
    <t>KS4_ENTRY_E_ALL_PTQ_EE</t>
  </si>
  <si>
    <t>ENTRY_E_ALL_PTQ_EE</t>
  </si>
  <si>
    <t>Total number of GCSE and equivalents entries (all S96 quals) under current methodology but all qualifications (ignore PTQ_INCLUDE flag)</t>
  </si>
  <si>
    <t>KS4_PTSPE_PTQ_EE</t>
  </si>
  <si>
    <t>PTSPE_PTQ_EE</t>
  </si>
  <si>
    <t>KS4_GPTSPE_PTQ_EE</t>
  </si>
  <si>
    <t>GPTSPE_PTQ_EE</t>
  </si>
  <si>
    <t>KS4_ENTRY_1_PTQ_EE</t>
  </si>
  <si>
    <t>ENTRY_1_PTQ_EE</t>
  </si>
  <si>
    <t>KS4_ENTRY_1_3NG_PTQ_EE</t>
  </si>
  <si>
    <t>ENTRY_1_3NG_PTQ_EE</t>
  </si>
  <si>
    <t>KS4_ENTRY_5_PTQ_EE</t>
  </si>
  <si>
    <t>ENTRY_5_PTQ_EE</t>
  </si>
  <si>
    <t>KS4_ENTRY_5_3NG_PTQ_EE</t>
  </si>
  <si>
    <t>ENTRY_5_3NG_PTQ_EE</t>
  </si>
  <si>
    <t>KS4_EXAMCAT_PTQ_EE</t>
  </si>
  <si>
    <t>EXAMCAT_PTQ_EE</t>
  </si>
  <si>
    <t>1 = Achieved Level 2 threshold (5 or more A*-C GCSEs or equivalent)
2 = Achieved Level 1 threshold (5 or more A*-G GCSEs or equivalent)
3 = Achieve 1 or more Level 1 qualifications (1 or more A*-G GCSEs or equivalent)
4 = Achieved only Entry Level qualifications (GCSEs with grades below G)
5 = Achieved no Passes
6 = No result
7 = Not applicable
1 = 5+ A*-C GCSEs or equivalents including English and Maths GCSEs
2 = 5+ A*-C GCSEs or equivalents
3 = 5+ A*-G GCSEs or equivalents
4 = 1+ A*-G GCSEs or equivalents 
5 4 = Achieved any 1+ pass in KS4 performance tables qualifications
5 = No passes in KS4 performance tables qualifications 
6 = No passes in KS4 performance tables qualifications
7 = No entries in KS4 performance tables qualifications
8 5 6 = Achieved any pass in Entries in KS4 non-performance tables qualifications only
9 6 7 = No results</t>
  </si>
  <si>
    <t>KS4_GCSE_ASTAR_PTQ_EE</t>
  </si>
  <si>
    <t>GCSE_ASTAR_PTQ_EE</t>
  </si>
  <si>
    <t>KS4_GCSE_A_PTQ_EE</t>
  </si>
  <si>
    <t>GCSE_A_PTQ_EE</t>
  </si>
  <si>
    <t>KS4_GCSE_B_PTQ_EE</t>
  </si>
  <si>
    <t>GCSE_B_PTQ_EE</t>
  </si>
  <si>
    <t>KS4_GCSE_C_PTQ_EE</t>
  </si>
  <si>
    <t>GCSE_C_PTQ_EE</t>
  </si>
  <si>
    <t>KS4_GCSE_D_PTQ_EE</t>
  </si>
  <si>
    <t>GCSE_D_PTQ_EE</t>
  </si>
  <si>
    <t>KS4_GCSE_E_PTQ_EE</t>
  </si>
  <si>
    <t>GCSE_E_PTQ_EE</t>
  </si>
  <si>
    <t>KS4_GCSE_F_PTQ_EE</t>
  </si>
  <si>
    <t>GCSE_F_PTQ_EE</t>
  </si>
  <si>
    <t>KS4_GCSE_G_PTQ_EE</t>
  </si>
  <si>
    <t>GCSE_G_PTQ_EE</t>
  </si>
  <si>
    <t>KS4_GCSE_AA_PTQ_EE</t>
  </si>
  <si>
    <t>GCSE_AA_PTQ_EE</t>
  </si>
  <si>
    <t>KS4_GCSE_AC_PTQ_EE</t>
  </si>
  <si>
    <t>GCSE_AC_PTQ_EE</t>
  </si>
  <si>
    <t>KS4_GCSE_AG_PTQ_EE</t>
  </si>
  <si>
    <t>GCSE_AG_PTQ_EE</t>
  </si>
  <si>
    <t>KS4_GCSE_DG_PTQ_EE</t>
  </si>
  <si>
    <t>GCSE_DG_PTQ_EE</t>
  </si>
  <si>
    <t>KS4_GVOC_ASTAR_PTQ_EE</t>
  </si>
  <si>
    <t>GVOC_ASTAR_PTQ_EE</t>
  </si>
  <si>
    <t>KS4_GVOC_A_PTQ_EE</t>
  </si>
  <si>
    <t>GVOC_A_PTQ_EE</t>
  </si>
  <si>
    <t>KS4_GVOC_B_PTQ_EE</t>
  </si>
  <si>
    <t>GVOC_B_PTQ_EE</t>
  </si>
  <si>
    <t>KS4_GVOC_C_PTQ_EE</t>
  </si>
  <si>
    <t>GVOC_C_PTQ_EE</t>
  </si>
  <si>
    <t>KS4_GVOC_D_PTQ_EE</t>
  </si>
  <si>
    <t>GVOC_D_PTQ_EE</t>
  </si>
  <si>
    <t>KS4_GVOC_E_PTQ_EE</t>
  </si>
  <si>
    <t>GVOC_E_PTQ_EE</t>
  </si>
  <si>
    <t>KS4_GVOC_F_PTQ_EE</t>
  </si>
  <si>
    <t>GVOC_F_PTQ_EE</t>
  </si>
  <si>
    <t>KS4_GVOC_G_PTQ_EE</t>
  </si>
  <si>
    <t>GVOC_G_PTQ_EE</t>
  </si>
  <si>
    <t>KS4_GVOC_AA_PTQ_EE</t>
  </si>
  <si>
    <t>GVOC_AA_PTQ_EE</t>
  </si>
  <si>
    <t>KS4_GVOC_AC_PTQ_EE</t>
  </si>
  <si>
    <t>GVOC_AC_PTQ_EE</t>
  </si>
  <si>
    <t>KS4_GVOC_AG_PTQ_EE</t>
  </si>
  <si>
    <t>GVOC_AG_PTQ_EE</t>
  </si>
  <si>
    <t>KS4_GVOC_DG_PTQ_EE</t>
  </si>
  <si>
    <t>GVOC_DG_PTQ_EE</t>
  </si>
  <si>
    <t>KS4_PASS_AASTAR_PTQ_EE</t>
  </si>
  <si>
    <t>PASS_AASTAR_PTQ_EE</t>
  </si>
  <si>
    <t>KS4_PASS_AC_PTQ_EE</t>
  </si>
  <si>
    <t>PASS_AC_PTQ_EE</t>
  </si>
  <si>
    <t>KS4_PASS_AC_3NG_PTQ_EE</t>
  </si>
  <si>
    <t>PASS_AC_3NG_PTQ_EE</t>
  </si>
  <si>
    <t>KS4_PASS_94</t>
  </si>
  <si>
    <t>PASS_94</t>
  </si>
  <si>
    <t>Number of passes at grades 9-4 (equivalents included)</t>
  </si>
  <si>
    <t>KS4_PASS_1AC_PTQ_EE</t>
  </si>
  <si>
    <t>PASS_1AC_PTQ_EE</t>
  </si>
  <si>
    <t>KS4_PASS_1_94</t>
  </si>
  <si>
    <t>PASS_1_94</t>
  </si>
  <si>
    <t>KS4_PASS_LEV2_PTQ_EE</t>
  </si>
  <si>
    <t>PASS_LEV2_PTQ_EE</t>
  </si>
  <si>
    <t>KS4_PASS_LEV2EM_PTQ_EE</t>
  </si>
  <si>
    <t>PASS_LEV2EM_PTQ_EE</t>
  </si>
  <si>
    <t>KS4_PASS_AG_PTQ_EE</t>
  </si>
  <si>
    <t>PASS_AG_PTQ_EE</t>
  </si>
  <si>
    <t>KS4_PASS_LEV1_PTQ_EE</t>
  </si>
  <si>
    <t>PASS_LEV1_PTQ_EE</t>
  </si>
  <si>
    <t>KS4_PASS_LEV1EM_PTQ_EE</t>
  </si>
  <si>
    <t>PASS_LEV1EM_PTQ_EE</t>
  </si>
  <si>
    <t>KS4_BTEC_PTQ_EE</t>
  </si>
  <si>
    <t>BTEC_PTQ_EE</t>
  </si>
  <si>
    <t>KS4_EDEXDA_PTQ_EE</t>
  </si>
  <si>
    <t>EDEXDA_PTQ_EE</t>
  </si>
  <si>
    <t>KS4_PTSTNEWE_PTQ_EE</t>
  </si>
  <si>
    <t>PTSTNEWE_PTQ_EE</t>
  </si>
  <si>
    <t>KS4_PTSCNEWE_PTQ_EE</t>
  </si>
  <si>
    <t>PTSCNEWE_PTQ_EE</t>
  </si>
  <si>
    <t>KS4_AVPTSENT_PTQ_EE</t>
  </si>
  <si>
    <t>AVPTSENT_PTQ_EE</t>
  </si>
  <si>
    <t>KS4_PASS_AASTAR5_PTQ_EE</t>
  </si>
  <si>
    <t>PASS_AASTAR5_PTQ_EE</t>
  </si>
  <si>
    <t>KS4_FIVEAC_PTQ_EE</t>
  </si>
  <si>
    <t>FIVEAC_PTQ_EE</t>
  </si>
  <si>
    <t>KS4_LEVEL2_PTQ_EE</t>
  </si>
  <si>
    <t>LEVEL2_PTQ_EE</t>
  </si>
  <si>
    <t>Achieved Level 2 threshold (5 or more GCSE and equivalents at grades A*-C/9-4)(inc S96, WOLF, first Entry and vocational qualification capping)</t>
  </si>
  <si>
    <t>KS4_GLEVEL2_PTQ_EE</t>
  </si>
  <si>
    <t>GLEVEL2_PTQ_EE</t>
  </si>
  <si>
    <t>Achieved 5 A*-C/9-4 grades (GCSE only)</t>
  </si>
  <si>
    <t>KS4_GLEVEL2EM_PTQ_EE</t>
  </si>
  <si>
    <t>GLEVEL2EM_PTQ_EE</t>
  </si>
  <si>
    <t>Achieved 5 A*-C/9-4 grades (GCSE only) including English and maths</t>
  </si>
  <si>
    <t>KS4_FIVEAG_PTQ_EE</t>
  </si>
  <si>
    <t>FIVEAG_PTQ_EE</t>
  </si>
  <si>
    <t>KS4_LEVEL1_PTQ_EE</t>
  </si>
  <si>
    <t>LEVEL1_PTQ_EE</t>
  </si>
  <si>
    <t>Achieved equiv of 5 A*-G/9-1 grades (inc S96, WOLF, first entry and vocational qualification capping)</t>
  </si>
  <si>
    <t>KS4_ONEAG_PTQ_EE</t>
  </si>
  <si>
    <t>ONEAG_PTQ_EE</t>
  </si>
  <si>
    <t>KS4_ANYLEV1_PTQ_EE</t>
  </si>
  <si>
    <t>ANYLEV1_PTQ_EE</t>
  </si>
  <si>
    <t>Achieved equiv of 1 A*-G/9-1 grades  (inc S96, WOLF, first entry and  vocational qualification capping)</t>
  </si>
  <si>
    <t>KS4_ANYPASS_PTQ_EE</t>
  </si>
  <si>
    <t>ANYPASS_PTQ_EE</t>
  </si>
  <si>
    <t>KS4_VOCQUAL_PTQ_EE</t>
  </si>
  <si>
    <t>VOCQUAL_PTQ_EE</t>
  </si>
  <si>
    <t>KS4_2BTECEDEXDA_PTQ_EE</t>
  </si>
  <si>
    <t>2BTECEDEXDA_PTQ_EE</t>
  </si>
  <si>
    <t>KS4_HGMATH_PTQ_EE</t>
  </si>
  <si>
    <t>HGMATH_PTQ_EE</t>
  </si>
  <si>
    <t>KS4_HGMATH_91</t>
  </si>
  <si>
    <t>HGMATH_91</t>
  </si>
  <si>
    <t>Highest grade achieved in Full GCSE Maths (as used in the Maths threshold measures). (reformed 9-1 GCSEs)</t>
  </si>
  <si>
    <t xml:space="preserve">Null = No entry
1-9
Q
</t>
  </si>
  <si>
    <t>KS4_KS4SCI_PTQ_EE</t>
  </si>
  <si>
    <t>KS4SCI_PTQ_EE</t>
  </si>
  <si>
    <t>KS4_KS4SCI_91</t>
  </si>
  <si>
    <t>KS4SCI_91</t>
  </si>
  <si>
    <t xml:space="preserve">Highest point score achieved (GCSE equivalencies) in Science (reformed 9-1 GCSEs) </t>
  </si>
  <si>
    <t>KS4_LEVEL2_EM_94</t>
  </si>
  <si>
    <t>LEVEL2_EM_94</t>
  </si>
  <si>
    <t>Achieved 5 or more GCSE and equivalents at grades A*-C/9-4 (Level 2) including GCSE English and Maths (counted as being a GCSE).</t>
  </si>
  <si>
    <t>KS4_LEVEL1_EM_PTQ_EE</t>
  </si>
  <si>
    <t>LEVEL1_EM_PTQ_EE</t>
  </si>
  <si>
    <t>Achieved 5 or more GCSE and equivalents at grades A*-G/9-1 (Level 1) including GCSE English and Maths (counted as being a GCSE).</t>
  </si>
  <si>
    <t>KS4_LEV2EM_PTQ_EE</t>
  </si>
  <si>
    <t>LEV2EM_PTQ_EE</t>
  </si>
  <si>
    <t>KS4_LEV2EM_94</t>
  </si>
  <si>
    <t>LEV2EM_94</t>
  </si>
  <si>
    <t>2016/17 -</t>
  </si>
  <si>
    <t>Achieved English and Maths at level 2 (GCSE only) - with a 9-4 pass</t>
  </si>
  <si>
    <t>KS4_LEV2EM_95</t>
  </si>
  <si>
    <t>LEV2EM_95</t>
  </si>
  <si>
    <t>Achieved English and Maths at level 2 (GCSE only) - with a strong 9-5 pass</t>
  </si>
  <si>
    <t>KS4_LEV2FEM_PTQ_EE</t>
  </si>
  <si>
    <t>LEV2FEM_PTQ_EE</t>
  </si>
  <si>
    <t>Achieved functional English and Maths at level 2</t>
  </si>
  <si>
    <t>KS4_LEV1EM_PTQ_EE</t>
  </si>
  <si>
    <t>LEV1EM_PTQ_EE</t>
  </si>
  <si>
    <t>KS4_LEV1FEM_PTQ_EE</t>
  </si>
  <si>
    <t>LEV1FEM_PTQ_EE</t>
  </si>
  <si>
    <t>Achieved functional English and Maths at level 1</t>
  </si>
  <si>
    <t>KS4_LEV2SCIA_PTQ_EE</t>
  </si>
  <si>
    <t>LEV2SCIA_PTQ_EE</t>
  </si>
  <si>
    <t>KS4_LEV2SCIA_94</t>
  </si>
  <si>
    <t>LEV2SCIA_94</t>
  </si>
  <si>
    <t xml:space="preserve">Achieved combined science with a 9-4 pass
</t>
  </si>
  <si>
    <t>KS4_LEV2SCIA_95</t>
  </si>
  <si>
    <t>LEV2SCIA_95</t>
  </si>
  <si>
    <t>Achieved combined science or Applied Science - with strong 9-5 passes</t>
  </si>
  <si>
    <t>KS4_LEV2SCIB_PTQ_EE</t>
  </si>
  <si>
    <t>LEV2SCIB_PTQ_EE</t>
  </si>
  <si>
    <t>KS4_LEV2SCIC_PTQ_EE</t>
  </si>
  <si>
    <t>LEV2SCIC_PTQ_EE</t>
  </si>
  <si>
    <t>KS4_LEV2SCIC_94</t>
  </si>
  <si>
    <t>LEV2SCIC_94</t>
  </si>
  <si>
    <t>Entered 3 of Biology, Physics, Chemistry, Computer Science  GCSEs or ASs and achieved a 9-4 pass in two of Biology, Physics, Chemistry  or Computer Science GCSEs or ASs</t>
  </si>
  <si>
    <t>KS4_LEV2SCIC_95</t>
  </si>
  <si>
    <t>LEV2SCIC_95</t>
  </si>
  <si>
    <t>Entered 3 of Biology, Physics, Chemistry, Computer Science GCSEs or ASs and achieved a 9-5 pass in two of Biology, Physics, Chemistry or Computer Science GCSEs or ASs</t>
  </si>
  <si>
    <t>KS4_LEV2SCID_PTQ_EE</t>
  </si>
  <si>
    <t>LEV2SCID_PTQ_EE</t>
  </si>
  <si>
    <t>KS4_LEV2SCID_94</t>
  </si>
  <si>
    <t>LEV2SCID_94</t>
  </si>
  <si>
    <t>Entered Biology, Physics, Chemistry  GCSEs or ASs and achieved  9-4 pass in Physics and Chemistry GCSEs or ASs</t>
  </si>
  <si>
    <t>KS4_LEV2SCID_95</t>
  </si>
  <si>
    <t>LEV2SCID_95</t>
  </si>
  <si>
    <t>Entered Biology, Physics, Chemistry GCSEs or ASs and achieved a 9-5 pass Physics and Chemistry GCSEs or ASs</t>
  </si>
  <si>
    <t>KS4_LEV2SCIE_PTQ_EE</t>
  </si>
  <si>
    <t>LEV2SCIE_PTQ_EE</t>
  </si>
  <si>
    <t>KS4_LEV2SCIF_PTQ_EE</t>
  </si>
  <si>
    <t>LEV2SCIF_PTQ_EE</t>
  </si>
  <si>
    <t>KS4_LEV2SCIG_PTQ_EE</t>
  </si>
  <si>
    <t>LEV2SCIG_PTQ_EE</t>
  </si>
  <si>
    <t>KS4_LEV2SCI2_PTQ_EE</t>
  </si>
  <si>
    <t>LEV2SCI2_PTQ_EE</t>
  </si>
  <si>
    <t>KS4_LEV2SCI2_94</t>
  </si>
  <si>
    <t>LEV2SCI2_94</t>
  </si>
  <si>
    <t>Achieved 2 9-4 passes in science GCSEs or equiv</t>
  </si>
  <si>
    <t>KS4_LEV2SCI2_95</t>
  </si>
  <si>
    <t>LEV2SCI2_95</t>
  </si>
  <si>
    <t>Achieved 2 9-5 passes in science GCSEs or equiv</t>
  </si>
  <si>
    <t>KS4_LEV2SCI2B_PTQ_EE</t>
  </si>
  <si>
    <t>LEV2SCI2B_PTQ_EE</t>
  </si>
  <si>
    <t>KS4_PASS_ABSCIA_PTQ_EE</t>
  </si>
  <si>
    <t>PASS_ABSCIA_PTQ_EE</t>
  </si>
  <si>
    <t>KS4_PASS_ABSCIB_PTQ_EE</t>
  </si>
  <si>
    <t>PASS_ABSCIB_PTQ_EE</t>
  </si>
  <si>
    <t>KS4_PASS_ABSCIC_PTQ_EE</t>
  </si>
  <si>
    <t>PASS_ABSCIC_PTQ_EE</t>
  </si>
  <si>
    <t>KS4_PASS_ABSCID_PTQ_EE</t>
  </si>
  <si>
    <t>PASS_ABSCID_PTQ_EE</t>
  </si>
  <si>
    <t>KS4_PASS_ABSCIE_PTQ_EE</t>
  </si>
  <si>
    <t>PASS_ABSCIE_PTQ_EE</t>
  </si>
  <si>
    <t>KS4_PASS_ABSCIF_PTQ_EE</t>
  </si>
  <si>
    <t>PASS_ABSCIF_PTQ_EE</t>
  </si>
  <si>
    <t>KS4_PASS_ABSCI2_PTQ_EE</t>
  </si>
  <si>
    <t>PASS_ABSCI2_PTQ_EE</t>
  </si>
  <si>
    <t>KS4_PASS_ABSCI2B_PTQ_EE</t>
  </si>
  <si>
    <t>PASS_ABSCI2B_PTQ_EE</t>
  </si>
  <si>
    <t>KS4_LEVEL2MFL_PTQ_EE</t>
  </si>
  <si>
    <t>LEVEL2MFL_PTQ_EE</t>
  </si>
  <si>
    <t>KS4_LEVEL2MFL_94</t>
  </si>
  <si>
    <t>LEVEL2MFL_94</t>
  </si>
  <si>
    <t>Achieved 9-4 grades  in one full MFL GCSE or equivalent</t>
  </si>
  <si>
    <t>KS4_LEVEL2MFL_95</t>
  </si>
  <si>
    <t>LEVEL2MFL_95</t>
  </si>
  <si>
    <t>Achieved 9-5 grades in one full MFL GCSE or equivalent</t>
  </si>
  <si>
    <t>KS4_LEVEL1MFL_PTQ_EE</t>
  </si>
  <si>
    <t>LEVEL1MFL_PTQ_EE</t>
  </si>
  <si>
    <t xml:space="preserve">Achieved A*-G/9-1 grades in one short course Modern Foreign Language GCSE or equivalent </t>
  </si>
  <si>
    <t>KS4_ANYPMFL_PTQ_EE</t>
  </si>
  <si>
    <t>ANYPMFL_PTQ_EE</t>
  </si>
  <si>
    <t>KS4_GCSE_ENGATT_PTQ_EE</t>
  </si>
  <si>
    <t>GCSE_ENGATT_PTQ_EE</t>
  </si>
  <si>
    <t>KS4_GCSE_ENGAG_PTQ_EE</t>
  </si>
  <si>
    <t>GCSE_ENGAG_PTQ_EE</t>
  </si>
  <si>
    <t>KS4_GCSE_ENG_91</t>
  </si>
  <si>
    <t>GCSE_ENG_91</t>
  </si>
  <si>
    <t>Pupil passed English GCSE at A*-G/ 9-1</t>
  </si>
  <si>
    <t>KS4_GCSE_ENGAC_PTQ_EE</t>
  </si>
  <si>
    <t>GCSE_ENGAC_PTQ_EE</t>
  </si>
  <si>
    <t>KS4_GCSE_ENG_94</t>
  </si>
  <si>
    <t>GCSE_ENG_94</t>
  </si>
  <si>
    <t>Pupil passed English GCSE at A*-C with a standard 9-4 pass</t>
  </si>
  <si>
    <t>KS4_GCSE_ENG_95</t>
  </si>
  <si>
    <t>GCSE_ENG_95</t>
  </si>
  <si>
    <t>Pupil passed English GCSE at A*-C with a strong 9-5 pass</t>
  </si>
  <si>
    <t>KS4_GCSE_MATHATT_PTQ_EE</t>
  </si>
  <si>
    <t>GCSE_MATHATT_PTQ_EE</t>
  </si>
  <si>
    <t>KS4_GCSE_MATHAG_PTQ_EE</t>
  </si>
  <si>
    <t>GCSE_MATHAG_PTQ_EE</t>
  </si>
  <si>
    <t>KS4_GCSE_MATH_91</t>
  </si>
  <si>
    <t>GCSE_MATH_91</t>
  </si>
  <si>
    <t>Pupil passed Maths GCSE at A*-G 9-1</t>
  </si>
  <si>
    <t>KS4_GCSE_MATHAC_PTQ_EE</t>
  </si>
  <si>
    <t>GCSE_MATHAC_PTQ_EE</t>
  </si>
  <si>
    <t>KS4_GCSE_MATH_94</t>
  </si>
  <si>
    <t>GCSE_MATH_94</t>
  </si>
  <si>
    <t>Pupil passed Maths GCSE at A*-C with a standard 9-4 pass</t>
  </si>
  <si>
    <t>KS4_GCSE_MATH_95</t>
  </si>
  <si>
    <t>GCSE_MATH_95</t>
  </si>
  <si>
    <t>Pupil passed Maths GCSE at A*-C with a strong 9-5 pass</t>
  </si>
  <si>
    <t>KS4_GCSE_SCIATT_PTQ_EE</t>
  </si>
  <si>
    <t>GCSE_SCIATT_PTQ_EE</t>
  </si>
  <si>
    <t>KS4_GCSE_SCIAG_PTQ_EE</t>
  </si>
  <si>
    <t>GCSE_SCIAG_PTQ_EE</t>
  </si>
  <si>
    <t>KS4_GCSE_SCI_91</t>
  </si>
  <si>
    <t>GCSE_SCI_91</t>
  </si>
  <si>
    <t>Pupil passed science GCSE with a 9-1 pass</t>
  </si>
  <si>
    <t>KS4_GCSE_SCIAC_PTQ_EE</t>
  </si>
  <si>
    <t>GCSE_SCIAC_PTQ_EE</t>
  </si>
  <si>
    <t>KS4_GCSE_SCI_94</t>
  </si>
  <si>
    <t>GCSE_SCI_94</t>
  </si>
  <si>
    <t>Pupil passed science GCSE with a 9-4 pass</t>
  </si>
  <si>
    <t>KS4_EBACENG_PTQ_EE</t>
  </si>
  <si>
    <t>EBACENG_PTQ_EE</t>
  </si>
  <si>
    <t>KS4_EBACENG_LL_PTQ_EE</t>
  </si>
  <si>
    <t>EBACENG_LL_PTQ_EE</t>
  </si>
  <si>
    <t>2015/16 only</t>
  </si>
  <si>
    <t>KS4_EBACENG_94</t>
  </si>
  <si>
    <t>EBACENG_94</t>
  </si>
  <si>
    <t>Achieved a standard 9-4 pass in the EBacc English component</t>
  </si>
  <si>
    <t>KS4_EBACENG_95</t>
  </si>
  <si>
    <t>EBACENG_95</t>
  </si>
  <si>
    <t>Achieved a strong 9-5 pass in the EBacc English component</t>
  </si>
  <si>
    <t>KS4_EBALLSCI_PTQ_EE</t>
  </si>
  <si>
    <t>EBALLSCI_PTQ_EE</t>
  </si>
  <si>
    <t>KS4_PASS2SCIA_PTQ_EE</t>
  </si>
  <si>
    <t>PASS2SCIA_PTQ_EE</t>
  </si>
  <si>
    <t>KS4_PASS2SCIA_94</t>
  </si>
  <si>
    <t>PASS2SCIA_94</t>
  </si>
  <si>
    <t>Entered three of Biology, Physics, Chemistry or Computer Science GCSEs and achieved grades 9-4 in Biology, Physics , Chemistry or Computer Science</t>
  </si>
  <si>
    <t>KS4_PASS2SCIA_95</t>
  </si>
  <si>
    <t>PASS2SCIA_95</t>
  </si>
  <si>
    <t>Entered three of Biology, Physics, Chemistry or Computer Science GCSEs and achieved two grades 9-5 in Biology, Physics , Chemistry or Computer Science</t>
  </si>
  <si>
    <t>KS4_PASS2SCIB_PTQ_EE</t>
  </si>
  <si>
    <t>PASS2SCIB_PTQ_EE</t>
  </si>
  <si>
    <t>KS4_PASS2SCIB_94</t>
  </si>
  <si>
    <t>PASS2SCIB_94</t>
  </si>
  <si>
    <t xml:space="preserve">Entered Biology, Physics, Chemistry GCSEs and achieved 9-4 passes in  Physics and Chemistry </t>
  </si>
  <si>
    <t>KS4_PASS2SCIB_95</t>
  </si>
  <si>
    <t>PASS2SCIB_95</t>
  </si>
  <si>
    <t xml:space="preserve">Entered Biology, Physics, Chemistry GCSEs and achieved 9-5 passes in  Physics and Chemistry </t>
  </si>
  <si>
    <t>KS4_PASSOTHSCI_PTQ_EE</t>
  </si>
  <si>
    <t>PASSOTHSCI_PTQ_EE</t>
  </si>
  <si>
    <t>KS4_PASSCOMBSCI_94</t>
  </si>
  <si>
    <t>PASSCOMBSCI_94</t>
  </si>
  <si>
    <t>Achieved combined science at grade 9-4</t>
  </si>
  <si>
    <t>KS4_PASSCOMBSCI_95</t>
  </si>
  <si>
    <t>PASSCOMBSCI_95</t>
  </si>
  <si>
    <t>Achieved combined science at grade 9-5</t>
  </si>
  <si>
    <t>KS4_PASSCOMBSCI_91</t>
  </si>
  <si>
    <t>PASSCOMBSCI_91</t>
  </si>
  <si>
    <t xml:space="preserve">Achieved combined science at grades 9-1 </t>
  </si>
  <si>
    <t>KS4_EBAC2SCI_PTQ_EE</t>
  </si>
  <si>
    <t>EBAC2SCI_PTQ_EE</t>
  </si>
  <si>
    <t>KS4_EBAC2SCI_94</t>
  </si>
  <si>
    <t>EBAC2SCI_94</t>
  </si>
  <si>
    <t>Achieved EBacc 2 sciences component at grades 9-4</t>
  </si>
  <si>
    <t>KS4_EBAC2SCI_95</t>
  </si>
  <si>
    <t>EBAC2SCI_95</t>
  </si>
  <si>
    <t>Achieved EBacc 2 sciences component at grades 9-5</t>
  </si>
  <si>
    <t>KS4_MATHPAIR_PTQ_EE</t>
  </si>
  <si>
    <t>MATHPAIR_PTQ_EE</t>
  </si>
  <si>
    <t>KS4_PASSMATHPR_PTQ_EE</t>
  </si>
  <si>
    <t>PASSMATHPR_PTQ_EE</t>
  </si>
  <si>
    <t>KS4_EBACMAT_PTQ_EE</t>
  </si>
  <si>
    <t>EBACMAT_PTQ_EE</t>
  </si>
  <si>
    <t>KS4_EBACMAT_94</t>
  </si>
  <si>
    <t>EBACMAT_94</t>
  </si>
  <si>
    <t>Achieved a standard 9-4 pass in the EBacc Maths component</t>
  </si>
  <si>
    <t>KS4_EBACMAT_95</t>
  </si>
  <si>
    <t>EBACMAT_95</t>
  </si>
  <si>
    <t>Achieved a strong 9-5 pass in the EBacc Maths component</t>
  </si>
  <si>
    <t>KS4_EBACHUM_PTQ_EE</t>
  </si>
  <si>
    <t>EBACHUM_PTQ_EE</t>
  </si>
  <si>
    <t>KS4_EBACHUM_94</t>
  </si>
  <si>
    <t>EBACHUM_94</t>
  </si>
  <si>
    <t>Achieved pass in EBacc Humanities component at grade 9-4</t>
  </si>
  <si>
    <t>KS4_EBACHUM_95</t>
  </si>
  <si>
    <t>EBACHUM_95</t>
  </si>
  <si>
    <t xml:space="preserve">Achieved pass in EBacc Humanities component at grade 9-5 </t>
  </si>
  <si>
    <t>KS4_EBACLAN_PTQ_EE</t>
  </si>
  <si>
    <t>EBACLAN_PTQ_EE</t>
  </si>
  <si>
    <t>KS4_EBACLAN_94</t>
  </si>
  <si>
    <t>EBACLAN_94</t>
  </si>
  <si>
    <t>Achieved pass in EBacc language component at grade 9-4</t>
  </si>
  <si>
    <t>KS4_EBACC_PTQ_EE</t>
  </si>
  <si>
    <t>EBACC_PTQ_EE</t>
  </si>
  <si>
    <t>KS4_EBACC_94</t>
  </si>
  <si>
    <t>EBACC_94</t>
  </si>
  <si>
    <t>Achieved English Baccalaureate - standard 9-4 passes in English, mathematics, 2 sciences, a humanity and a language</t>
  </si>
  <si>
    <t>KS4_EBACC_95</t>
  </si>
  <si>
    <t>EBACC_95</t>
  </si>
  <si>
    <t>Achieved English Baccalaureate - strong 9-5 passes in English and mathematics, and 9-4 passes in 2 sciences, a humanity and a language</t>
  </si>
  <si>
    <t>KS4_EBACCAPS_PUPIL</t>
  </si>
  <si>
    <t>EBACCAPS_PUPIL</t>
  </si>
  <si>
    <t>Pupil level EBacc average point score</t>
  </si>
  <si>
    <t>ENTERED_HISTORY</t>
  </si>
  <si>
    <t>Pupil entered history subject</t>
  </si>
  <si>
    <t>ENTERED_GEOGRAPHY</t>
  </si>
  <si>
    <t>Pupil entered Geography subject</t>
  </si>
  <si>
    <t>ENTERED_ART</t>
  </si>
  <si>
    <t>Pupil entered Art</t>
  </si>
  <si>
    <t>EBACCSUBJENT_0</t>
  </si>
  <si>
    <t>Pupil entered no ebacc subject</t>
  </si>
  <si>
    <t>EBACCSUBJENT_1</t>
  </si>
  <si>
    <t>Pupil entered 1 ebacc subject</t>
  </si>
  <si>
    <t>EBACCSUBJENT_2</t>
  </si>
  <si>
    <t>Pupil entered 2 ebacc subject</t>
  </si>
  <si>
    <t>EBACCSUBJENT_3</t>
  </si>
  <si>
    <t>Pupil entered 3 ebacc subject</t>
  </si>
  <si>
    <t>EBACCSUBJENT_4</t>
  </si>
  <si>
    <t>Pupil entered 4 ebacc subject</t>
  </si>
  <si>
    <t>ENTBASICS</t>
  </si>
  <si>
    <t xml:space="preserve">Pupil entered Maths and English </t>
  </si>
  <si>
    <t>ENTERED_HIST_GEOG</t>
  </si>
  <si>
    <t xml:space="preserve">Pupil entered history and geography </t>
  </si>
  <si>
    <t>KS4_L2BASICS_PTQ_EE</t>
  </si>
  <si>
    <t>L2BASICS_PTQ_EE</t>
  </si>
  <si>
    <t>KS4_L2BASICS_LL_PTQ_EE</t>
  </si>
  <si>
    <t>L2BASICS_LL_PTQ_EE</t>
  </si>
  <si>
    <t>KS4_L2BASICS_94</t>
  </si>
  <si>
    <t>L2BASICS_94</t>
  </si>
  <si>
    <t>Achieved standard 9-4 passes in English and Maths GCSEs at Level 2</t>
  </si>
  <si>
    <t>KS4_L2BASICS_95</t>
  </si>
  <si>
    <t>L2BASICS_95</t>
  </si>
  <si>
    <t>Achieved strong 9-5 passes in English and Maths GCSEs</t>
  </si>
  <si>
    <t>KS4_L2BASICS_1_PTQ_EE</t>
  </si>
  <si>
    <t>L2BASICS_1_PTQ_EE</t>
  </si>
  <si>
    <t>KS4_L2BASICS_2_PTQ_EE</t>
  </si>
  <si>
    <t>L2BASICS_2_PTQ_EE</t>
  </si>
  <si>
    <t>KS4_L2BASICS_3_PTQ_EE</t>
  </si>
  <si>
    <t>L2BASICS_3_PTQ_EE</t>
  </si>
  <si>
    <t>KS4_L2BASICS_4_PTQ_EE</t>
  </si>
  <si>
    <t>L2BASICS_4_PTQ_EE</t>
  </si>
  <si>
    <t>KS4_EBACENG_E_PTQ_EE</t>
  </si>
  <si>
    <t>EBACENG_E_PTQ_EE</t>
  </si>
  <si>
    <t>KS4_EBACMAT_E_PTQ_EE</t>
  </si>
  <si>
    <t>EBACMAT_E_PTQ_EE</t>
  </si>
  <si>
    <t>KS4_EBAC2SCI_E_PTQ_EE</t>
  </si>
  <si>
    <t>EBAC2SCI_E_PTQ_EE</t>
  </si>
  <si>
    <t>Pupil entered for Ebacc science (i.e 3 separate sciences combined)</t>
  </si>
  <si>
    <t>KS4_EBACHUM_E_PTQ_EE</t>
  </si>
  <si>
    <t>EBACHUM_E_PTQ_EE</t>
  </si>
  <si>
    <t>KS4_EBACLAN_E_PTQ_EE</t>
  </si>
  <si>
    <t>EBACLAN_E_PTQ_EE</t>
  </si>
  <si>
    <t>KS4_EBACC_E_PTQ_EE</t>
  </si>
  <si>
    <t>EBACC_E_PTQ_EE</t>
  </si>
  <si>
    <t>KS4_EBACENGAG_PTQ_EE</t>
  </si>
  <si>
    <t>EBACENGAG_PTQ_EE</t>
  </si>
  <si>
    <t>KS4_EBACENGAG_LL_PTQ_EE</t>
  </si>
  <si>
    <t>EBACENGAG_LL_PTQ_EE</t>
  </si>
  <si>
    <t>KS4_EBACENG91</t>
  </si>
  <si>
    <t>EBACENG_91</t>
  </si>
  <si>
    <t>Achieved EBacc English component at 9-1/ A*-G</t>
  </si>
  <si>
    <t>KS4_PASS2SCIAAG_PTQ_EE</t>
  </si>
  <si>
    <t>PASS2SCIAAG_PTQ_EE</t>
  </si>
  <si>
    <t>KS4_PASS2SCIA_91</t>
  </si>
  <si>
    <t>PASS2SCIA_91</t>
  </si>
  <si>
    <t>Entered three of Biology, Physics, Chemistry or Computer Science GCSEs and achieved grades 9-1 in  two of Biology, Physics , Chemistry or Computer Science</t>
  </si>
  <si>
    <t>KS4_PASS2SCIBAG_PTQ_EE</t>
  </si>
  <si>
    <t>PASS2SCIBAG_PTQ_EE</t>
  </si>
  <si>
    <t>KS4_PASS2SCIB_91</t>
  </si>
  <si>
    <t>PASS2SCIB_91</t>
  </si>
  <si>
    <t xml:space="preserve">Entered Biology, Physics, Chemistry GCSEs and achieved grades 9-1 Physics and Chemistry </t>
  </si>
  <si>
    <t>KS4_PASSOTHSCIAG_PTQ_EE</t>
  </si>
  <si>
    <t>PASSOTHSCIAG_PTQ_EE</t>
  </si>
  <si>
    <t>KS4_EBAC2SCIAG_PTQ_EE</t>
  </si>
  <si>
    <t>EBAC2SCIAG_PTQ_EE</t>
  </si>
  <si>
    <t>KS4_EBAC2SCI_91</t>
  </si>
  <si>
    <t>EBAC2SCI_91</t>
  </si>
  <si>
    <t>Achieved EBacc 2 sciences component at grades 9-1</t>
  </si>
  <si>
    <t>KS4_PASSMATHPRAG_PTQ_EE</t>
  </si>
  <si>
    <t>PASSMATHPRAG_PTQ_EE</t>
  </si>
  <si>
    <t>KS4_EBACMATAG_PTQ_EE</t>
  </si>
  <si>
    <t>EBACMATAG_PTQ_EE</t>
  </si>
  <si>
    <t>KS4_EBACMAT91</t>
  </si>
  <si>
    <t>EBACMAT_91</t>
  </si>
  <si>
    <t>Achieved EBacc English component at 9-1</t>
  </si>
  <si>
    <t>KS4_EBACHUMAG_PTQ_EE</t>
  </si>
  <si>
    <t>EBACHUMAG_PTQ_EE</t>
  </si>
  <si>
    <t>KS4_EBACHUM_91</t>
  </si>
  <si>
    <t>Achieved EBacc Humanities comonent at grades 9-1</t>
  </si>
  <si>
    <t>KS4_EBACLANAG_PTQ_EE</t>
  </si>
  <si>
    <t>EBACLANAG_PTQ_EE</t>
  </si>
  <si>
    <t>KS4_EBACLAN_91</t>
  </si>
  <si>
    <t>EBACLAN_91</t>
  </si>
  <si>
    <t>Achieved EBacc language component at grades 9-1</t>
  </si>
  <si>
    <t>KS4_EBACCAG_PTQ_EE</t>
  </si>
  <si>
    <t>EBACCAG_PTQ_EE</t>
  </si>
  <si>
    <t>KS4_EBACC91</t>
  </si>
  <si>
    <t>KS4_EBACCAG91</t>
  </si>
  <si>
    <t>Achieved English Baccalaureate - 9-1 passes in English, mathematics, 2 sciences, a humanity and a language</t>
  </si>
  <si>
    <t>KS2READSCORETA</t>
  </si>
  <si>
    <t>Teacher Assessment Scaled Score Points - KS2 Reading prior attainment for progress measure</t>
  </si>
  <si>
    <t>KS2MATSCORETA</t>
  </si>
  <si>
    <t>Teacher Assessment Scaled Score Points - KS2 Maths prior attainment for rogress measure</t>
  </si>
  <si>
    <t>KS2 scaled score in Reading 
(using KS2 Test Outcome scaled score, 
or if KS2 Test Outcome scaled score = 'B' , using KS2 TA Outcome scaled score points)</t>
  </si>
  <si>
    <t>KS2 scaled score in Maths 
(using KS2 Test Outcome scaled score, 
or if KS2 Test Outcome scaled score = 'B' , using KS2 TA Outcome scaled score points)</t>
  </si>
  <si>
    <t>KS4_INVAMOD_PTQ_EE</t>
  </si>
  <si>
    <t>INVAMOD_PTQ_EE</t>
  </si>
  <si>
    <t>KS4_INSCIVAMOD_PTQ_EE</t>
  </si>
  <si>
    <t>INSCIVAMOD_PTQ_EE</t>
  </si>
  <si>
    <t>KS4_INHUMVAMOD_PTQ_EE</t>
  </si>
  <si>
    <t>INHUMVAMOD_PTQ_EE</t>
  </si>
  <si>
    <t>KS4_INLANVAMOD_PTQ_EE</t>
  </si>
  <si>
    <t>INLANVAMOD_PTQ_EE</t>
  </si>
  <si>
    <t>KS4_INVACALC_PTQ_EE</t>
  </si>
  <si>
    <t>INVACALC_PTQ_EE</t>
  </si>
  <si>
    <t>KS4_INSCIVACALC_PTQ_EE</t>
  </si>
  <si>
    <t>INSCIVACALC_PTQ_EE</t>
  </si>
  <si>
    <t>KS4_INHUMVACALC_PTQ_EE</t>
  </si>
  <si>
    <t>INHUMVACALC_PTQ_EE</t>
  </si>
  <si>
    <t>KS4_INLANVACALC_PTQ_EE</t>
  </si>
  <si>
    <t>INLANVACALC_PTQ_EE</t>
  </si>
  <si>
    <t>KS4_VAP2TAENG_PTQ_EE</t>
  </si>
  <si>
    <t>VAP2TAENG_PTQ_EE</t>
  </si>
  <si>
    <t>KS4_VAP2TAMAT_PTQ_EE</t>
  </si>
  <si>
    <t>VAP2TAMAT_PTQ_EE</t>
  </si>
  <si>
    <t>KS4_VAP2TASCI_PTQ_EE</t>
  </si>
  <si>
    <t>VAP2TASCI_PTQ_EE</t>
  </si>
  <si>
    <t>KS4_VAP2TAAPS_PTQ_EE</t>
  </si>
  <si>
    <t>VAP2TAAPS_PTQ_EE</t>
  </si>
  <si>
    <t>KS4_VAP2TAAPSSQ_PTQ_EE</t>
  </si>
  <si>
    <t>VAP2TAAPSSQ_PTQ_EE</t>
  </si>
  <si>
    <t>KS4_VAP2TAAPSCU_PTQ_EE</t>
  </si>
  <si>
    <t>VAP2TAAPSCU_PTQ_EE</t>
  </si>
  <si>
    <t>KS4_P2TAE_DEV_PTQ_EE</t>
  </si>
  <si>
    <t>P2TAE_DEV_PTQ_EE</t>
  </si>
  <si>
    <t>KS4_P2TAM_DEV_PTQ_EE</t>
  </si>
  <si>
    <t>P2TAM_DEV_PTQ_EE</t>
  </si>
  <si>
    <t>KS4_VAPTSC_PTQ_EE</t>
  </si>
  <si>
    <t>VAPTSC_PTQ_EE</t>
  </si>
  <si>
    <t>KS4_GPTSTNEWE_PTQ_EE</t>
  </si>
  <si>
    <t>GPTSTNEWE_PTQ_EE</t>
  </si>
  <si>
    <t>KS4_GPTSCNEWE_PTQ_EE</t>
  </si>
  <si>
    <t>GPTSCNEWE_PTQ_EE</t>
  </si>
  <si>
    <t>KS4_GVAPTSC_PTQ_EE</t>
  </si>
  <si>
    <t>GVAPTSC_PTQ_EE</t>
  </si>
  <si>
    <t>KS4_GENGBONUS_PTQ_EE</t>
  </si>
  <si>
    <t>GENGBONUS_PTQ_EE</t>
  </si>
  <si>
    <t>KS4_GMATBONUS_PTQ_EE</t>
  </si>
  <si>
    <t>GMATBONUS_PTQ_EE</t>
  </si>
  <si>
    <t>KS4_B8SCRPLUSBONUS_PTQ_EE</t>
  </si>
  <si>
    <t>B8SCRPLUSBONUS_PTQ_EE</t>
  </si>
  <si>
    <t>KS4_EBPTSENG_PTQ_EE</t>
  </si>
  <si>
    <t>EBPTSENG_PTQ_EE</t>
  </si>
  <si>
    <t>KS4_EBPTSMAT_PTQ_EE</t>
  </si>
  <si>
    <t>EBPTSMAT_PTQ_EE</t>
  </si>
  <si>
    <t>KS4_EBPTSSCI_PTQ_EE</t>
  </si>
  <si>
    <t>EBPTSSCI_PTQ_EE</t>
  </si>
  <si>
    <t>KS4_EBPTSHUM_PTQ_EE</t>
  </si>
  <si>
    <t>EBPTSHUM_PTQ_EE</t>
  </si>
  <si>
    <t>KS4_EBPTSLAN_PTQ_EE</t>
  </si>
  <si>
    <t>EBPTSLAN_PTQ_EE</t>
  </si>
  <si>
    <t>KS4_B8VAPRED_PTQ_EE</t>
  </si>
  <si>
    <t>B8VAPRED_PTQ_EE</t>
  </si>
  <si>
    <t>KS4_B8VASCR_PTQ_EE</t>
  </si>
  <si>
    <t>B8VASCR_PTQ_EE</t>
  </si>
  <si>
    <t>KS4_ENGVAPRED_PTQ_EE</t>
  </si>
  <si>
    <t>ENGVAPRED_PTQ_EE</t>
  </si>
  <si>
    <t>KS4_ENGVASCR_PTQ_EE</t>
  </si>
  <si>
    <t>ENGVASCR_PTQ_EE</t>
  </si>
  <si>
    <t>KS4_MATVAPRED_PTQ_EE</t>
  </si>
  <si>
    <t>MATVAPRED_PTQ_EE</t>
  </si>
  <si>
    <t>KS4_MATVASCR_PTQ_EE</t>
  </si>
  <si>
    <t>MATVASCR_PTQ_EE</t>
  </si>
  <si>
    <t>KS4_SCIVAPRED_PTQ_EE</t>
  </si>
  <si>
    <t>SCIVAPRED_PTQ_EE</t>
  </si>
  <si>
    <t>KS4_SCIVASCR_PTQ_EE</t>
  </si>
  <si>
    <t>SCIVASCR_PTQ_EE</t>
  </si>
  <si>
    <t>KS4_HUMVAPRED_PTQ_EE</t>
  </si>
  <si>
    <t>HUMVAPRED_PTQ_EE</t>
  </si>
  <si>
    <t>KS4_HUMVASCR_PTQ_EE</t>
  </si>
  <si>
    <t>HUMVASCR_PTQ_EE</t>
  </si>
  <si>
    <t>KS4_LANVAPRED_PTQ_EE</t>
  </si>
  <si>
    <t>LANVAPRED_PTQ_EE</t>
  </si>
  <si>
    <t>KS4_LANVASCR_PTQ_EE</t>
  </si>
  <si>
    <t>LANVASCR_PTQ_EE</t>
  </si>
  <si>
    <t>KS4_PRIORBAND_PTQ_EE</t>
  </si>
  <si>
    <t>PRIORBAND_PTQ_EE</t>
  </si>
  <si>
    <t>KS4_ENGPAIR_PTQ_EE</t>
  </si>
  <si>
    <t>ENGPAIR_PTQ_EE</t>
  </si>
  <si>
    <t>KS4_ENGPAIRLEV1_PTQ_EE</t>
  </si>
  <si>
    <t>ENGPAIRLEV1_PTQ_EE</t>
  </si>
  <si>
    <t>KS4_ENGPAIRLEV2_PTQ_EE</t>
  </si>
  <si>
    <t>ENGPAIRLEV2_PTQ_EE</t>
  </si>
  <si>
    <t>KS4_ENGPAIRLEV2_94</t>
  </si>
  <si>
    <t>ENGPAIRLEV2_94</t>
  </si>
  <si>
    <t>KS4_ENGPAIRLEV2_95</t>
  </si>
  <si>
    <t>ENGPAIRLEV2_95</t>
  </si>
  <si>
    <t>Achieved strong 9-5 in GCSE in English Language in the English linked pairs</t>
  </si>
  <si>
    <t>KS4_FINELEVEL_PTQ_EE</t>
  </si>
  <si>
    <t>FINELEVEL_PTQ_EE</t>
  </si>
  <si>
    <t>KS4_VAPRIORBAND_PTQ_EE</t>
  </si>
  <si>
    <t>VAPRIORBAND_PTQ_EE</t>
  </si>
  <si>
    <t>KS4_KS2EMSS</t>
  </si>
  <si>
    <t>KS2EMSS</t>
  </si>
  <si>
    <t>KS2 prior attainment in reading and maths (scaled scores)</t>
  </si>
  <si>
    <t>KS4_KS2EMSS_GRP</t>
  </si>
  <si>
    <t>KS2EMSS_GRP</t>
  </si>
  <si>
    <t>KS2 Prior attainment group calculated from average English reading and maths Scaled score</t>
  </si>
  <si>
    <t>KS4_APELIT_PTQ_EE</t>
  </si>
  <si>
    <t>APELIT_PTQ_EE</t>
  </si>
  <si>
    <t>KS4_APELIT_91</t>
  </si>
  <si>
    <t>APELIT_91</t>
  </si>
  <si>
    <t>Grade achieved in Full GCSE (including Double Awards where appropriate) English Literature.(reformed 9-1 GCSEs) .</t>
  </si>
  <si>
    <t>U = Ungraded at GCSE
1-9</t>
  </si>
  <si>
    <t>KS4_APELEC_PTQ_EE</t>
  </si>
  <si>
    <t>APELEC_PTQ_EE</t>
  </si>
  <si>
    <t>KS4_APFOOD_PTQ_EE</t>
  </si>
  <si>
    <t>APFOOD_PTQ_EE</t>
  </si>
  <si>
    <t>KS4_APFOOD_91</t>
  </si>
  <si>
    <t>APFOOD_91</t>
  </si>
  <si>
    <t>Grade achieved in Full GCSE Design and Technology: Food Technology  (reformed 9-1 GCSEs) .</t>
  </si>
  <si>
    <t>Null = No entry
1-9</t>
  </si>
  <si>
    <t>KS4_APGRA_PTQ_EE</t>
  </si>
  <si>
    <t>APGRA_PTQ_EE</t>
  </si>
  <si>
    <t>KS4_APRES_PTQ_EE</t>
  </si>
  <si>
    <t>APRES_PTQ_EE</t>
  </si>
  <si>
    <t>KS4_APSYS_PTQ_EE</t>
  </si>
  <si>
    <t>APSYS_PTQ_EE</t>
  </si>
  <si>
    <t>KS4_APDTT_PTQ_EE</t>
  </si>
  <si>
    <t>APDTT_PTQ_EE</t>
  </si>
  <si>
    <t>KS4_APART_PTQ_EE</t>
  </si>
  <si>
    <t>APART_PTQ_EE</t>
  </si>
  <si>
    <t>KS4_APART_91</t>
  </si>
  <si>
    <t>APART_91</t>
  </si>
  <si>
    <t>Grade achieved in Full GCSE Art and Design (reformed 9-1 GCSEs).</t>
  </si>
  <si>
    <t>KS4_APHIS_PTQ_EE</t>
  </si>
  <si>
    <t>APHIS_PTQ_EE</t>
  </si>
  <si>
    <t>KS4_APHIS_91</t>
  </si>
  <si>
    <t>APHIS_91</t>
  </si>
  <si>
    <t xml:space="preserve">Grade achieved in Full GCSE History (reformed 9-1 GCSEs) .  </t>
  </si>
  <si>
    <t>KS4_APGEO_PTQ_EE</t>
  </si>
  <si>
    <t>APGEO_PTQ_EE</t>
  </si>
  <si>
    <t>KS4_APGEO_91</t>
  </si>
  <si>
    <t>APGEO_91</t>
  </si>
  <si>
    <t xml:space="preserve">Grade achieved in Full GCSE Geography  (reformed 9-1 GCSEs) .  </t>
  </si>
  <si>
    <t>KS4_APFRE_PTQ_EE</t>
  </si>
  <si>
    <t>APFRE_PTQ_EE</t>
  </si>
  <si>
    <t>KS4_APFRE_91</t>
  </si>
  <si>
    <t>APFRE_91</t>
  </si>
  <si>
    <t xml:space="preserve">Grade achieved in Full GCSE French  (reformed 9-1 GCSEs) .  </t>
  </si>
  <si>
    <t>KS4_APGER_PTQ_EE</t>
  </si>
  <si>
    <t>APGER_PTQ_EE</t>
  </si>
  <si>
    <t>KS4_APGER_91</t>
  </si>
  <si>
    <t>APGER_91</t>
  </si>
  <si>
    <t xml:space="preserve">Grade achieved in Full GCSE German  (reformed 9-1 GCSEs) .  </t>
  </si>
  <si>
    <t>KS4_APBUS_PTQ_EE</t>
  </si>
  <si>
    <t>APBUS_PTQ_EE</t>
  </si>
  <si>
    <t>KS4_APBUS_91</t>
  </si>
  <si>
    <t>APBUS_91</t>
  </si>
  <si>
    <t>Grade achieved in Full GCSE (including Double Awards where appropriate) Business Studies (reformed 9-1 GCSEs).</t>
  </si>
  <si>
    <t>Null = No entry
1-9
U</t>
  </si>
  <si>
    <t>KS4_APRS_PTQ_EE</t>
  </si>
  <si>
    <t>APRS_PTQ_EE</t>
  </si>
  <si>
    <t>KS4_APRS_91</t>
  </si>
  <si>
    <t>APRS_91</t>
  </si>
  <si>
    <t xml:space="preserve">Grade achieved in Full GCSE Religious Studies  (reformed 9-1 GCSEs) .  </t>
  </si>
  <si>
    <t>KS4_APRE_PTQ_EE</t>
  </si>
  <si>
    <t>APRE_PTQ_EE</t>
  </si>
  <si>
    <t>KS4_APPE_PTQ_EE</t>
  </si>
  <si>
    <t>APPE_PTQ_EE</t>
  </si>
  <si>
    <t>KS4_APPE_91</t>
  </si>
  <si>
    <t>APPE_91</t>
  </si>
  <si>
    <t xml:space="preserve">Grade achieved in Full GCSE Physical Education (reformed 9-1 GCSEs). .  </t>
  </si>
  <si>
    <t>KS4_APPHY_PTQ_EE</t>
  </si>
  <si>
    <t>APPHY_PTQ_EE</t>
  </si>
  <si>
    <t>KS4_APPHY_91</t>
  </si>
  <si>
    <t>APPHY_91</t>
  </si>
  <si>
    <t xml:space="preserve">Grade achieved in Full GCSE Physics  (reformed 9-1 GCSEs) .  </t>
  </si>
  <si>
    <t>KS4_APCHE_PTQ_EE</t>
  </si>
  <si>
    <t>APCHE_PTQ_EE</t>
  </si>
  <si>
    <t>KS4_APCHE_91</t>
  </si>
  <si>
    <t>APCHE_91</t>
  </si>
  <si>
    <t xml:space="preserve">Grade achieved in Full GCSE Chemistry  (reformed 9-1 GCSEs) .  </t>
  </si>
  <si>
    <t>KS4_APBIO_PTQ_EE</t>
  </si>
  <si>
    <t>APBIO_PTQ_EE</t>
  </si>
  <si>
    <t>KS4_APBIO_91</t>
  </si>
  <si>
    <t>APBIO_91</t>
  </si>
  <si>
    <t xml:space="preserve">Grade achieved in Full GCSE Biological Science  (reformed 9-1 GCSEs).  </t>
  </si>
  <si>
    <t>KS4_APBIOE_PTQ_EE</t>
  </si>
  <si>
    <t>APBIOE_PTQ_EE</t>
  </si>
  <si>
    <t>KS4_APDRA_PTQ_EE</t>
  </si>
  <si>
    <t>APDRA_PTQ_EE</t>
  </si>
  <si>
    <t>KS4_APDRA_91</t>
  </si>
  <si>
    <t>APDRA_91</t>
  </si>
  <si>
    <t xml:space="preserve">Grade achieved in Full GCSE Drama (reformed 9-1 GCSEs).  </t>
  </si>
  <si>
    <t>KS4_APIT_PTQ_EE</t>
  </si>
  <si>
    <t>APIT_PTQ_EE</t>
  </si>
  <si>
    <t>KS4_APSPAN_PTQ_EE</t>
  </si>
  <si>
    <t>APSPAN_PTQ_EE</t>
  </si>
  <si>
    <t>KS4_APSPAN_91</t>
  </si>
  <si>
    <t>APSPAN_91</t>
  </si>
  <si>
    <t>Grade achieved in Full GCSE Spanish.  (reformed 9-1 GCSEs)</t>
  </si>
  <si>
    <t>KS4_APMUS_PTQ_EE</t>
  </si>
  <si>
    <t>APMUS_PTQ_EE</t>
  </si>
  <si>
    <t>KS4_APMUS_91</t>
  </si>
  <si>
    <t>APMUS_91</t>
  </si>
  <si>
    <t xml:space="preserve">Grade achieved in Full GCSE Music (reformed 9-1 GCSEs).  </t>
  </si>
  <si>
    <t>KS4_APMAT_PTQ_EE</t>
  </si>
  <si>
    <t>APMAT_PTQ_EE</t>
  </si>
  <si>
    <t>KS4_APMAT_91</t>
  </si>
  <si>
    <t>APMAT_91</t>
  </si>
  <si>
    <t>KS4_APENG_PTQ_EE</t>
  </si>
  <si>
    <t>APENG_PTQ_EE</t>
  </si>
  <si>
    <t>KS4_APENG_91</t>
  </si>
  <si>
    <t>APENG_91</t>
  </si>
  <si>
    <t>KS4_APSTAT_PTQ_EE</t>
  </si>
  <si>
    <t>APSTAT_PTQ_EE</t>
  </si>
  <si>
    <t>KS4_APSTAT_91</t>
  </si>
  <si>
    <t>APSTAT_91</t>
  </si>
  <si>
    <t>Grade achieved in Full GCSE (including Double Awards where appropriate) Statistics (reformed 9-1 GCSEs).</t>
  </si>
  <si>
    <t>KS4_APMFT_PTQ_EE</t>
  </si>
  <si>
    <t>APMFT_PTQ_EE</t>
  </si>
  <si>
    <t>KS4_APMFT_91</t>
  </si>
  <si>
    <t>APMFT_91</t>
  </si>
  <si>
    <t>Grade achieved in Full GCSE (including Double Awards where appropriate) Media, Film and Television Studies.(reformed 9-1 GCSEs).</t>
  </si>
  <si>
    <t>KS4_APOFT_PTQ_EE</t>
  </si>
  <si>
    <t>APOFT_PTQ_EE</t>
  </si>
  <si>
    <t>KS4_APHECD_PTQ_EE</t>
  </si>
  <si>
    <t>APHECD_PTQ_EE</t>
  </si>
  <si>
    <t>KS4_APDUT_PTQ_EE</t>
  </si>
  <si>
    <t>APDUT_PTQ_EE</t>
  </si>
  <si>
    <t>KS4_APITA_PTQ_EE</t>
  </si>
  <si>
    <t>APITA_PTQ_EE</t>
  </si>
  <si>
    <t>KS4_APITA_91</t>
  </si>
  <si>
    <t>APITA_91</t>
  </si>
  <si>
    <t>Grade achieved in Full GCSE (including Double Awards where appropriate) Italian (reformed 9-1 GCSEs).</t>
  </si>
  <si>
    <t>KS4_APMGRK_PTQ_EE</t>
  </si>
  <si>
    <t>APMGRK_PTQ_EE</t>
  </si>
  <si>
    <t>KS4_APMGRK_91</t>
  </si>
  <si>
    <t>APMGRK_91</t>
  </si>
  <si>
    <t>Grade achieved in Full GCSE (including Double Awards where appropriate) Modern Greek (reformed 9-1 GCSEs).</t>
  </si>
  <si>
    <t>KS4_APPOR_PTQ_EE</t>
  </si>
  <si>
    <t>APPOR_PTQ_EE</t>
  </si>
  <si>
    <t>APPOR_91</t>
  </si>
  <si>
    <t>Grade achieved in Full GCSE (including Double Awards where appropriate) Portuguese. (Reformed 9-1 GCSES)</t>
  </si>
  <si>
    <t>KS4_APARA_PTQ_EE</t>
  </si>
  <si>
    <t>APARA_PTQ_EE</t>
  </si>
  <si>
    <t>KS4_APARA_91</t>
  </si>
  <si>
    <t>APARA_91</t>
  </si>
  <si>
    <t>Grade achieved in Full GCSE (including Double Awards where appropriate) Arabic (reformed 9-1 GCSEs).</t>
  </si>
  <si>
    <t>KS4_APBEN_PTQ_EE</t>
  </si>
  <si>
    <t>APBEN_PTQ_EE</t>
  </si>
  <si>
    <t>KS4_APBEN_91</t>
  </si>
  <si>
    <t>APBEN_91</t>
  </si>
  <si>
    <t>Grade achieved in Full GCSE (including Double Awards where appropriate) Bengali (reformed 9-1 GCSEs).</t>
  </si>
  <si>
    <t>KS4_APCHI_PTQ_EE</t>
  </si>
  <si>
    <t>APCHI_PTQ_EE</t>
  </si>
  <si>
    <t>KS4_APCHI_91</t>
  </si>
  <si>
    <t>APCHI_91</t>
  </si>
  <si>
    <t>Grade achieved in Full GCSE (including Double Awards where appropriate) Chinese (reformed 9-1 GCSEs).</t>
  </si>
  <si>
    <t>KS4_APGUJ_PTQ_EE</t>
  </si>
  <si>
    <t>APGUJ_PTQ_EE</t>
  </si>
  <si>
    <t>APGUJ_91</t>
  </si>
  <si>
    <t>Grade achieved in Full GCSE (including Double Awards where appropriate) Gujarati.  (Reformed 9-1 GCSES)</t>
  </si>
  <si>
    <t>KS4_APJAP_PTQ_EE</t>
  </si>
  <si>
    <t>APJAP_PTQ_EE</t>
  </si>
  <si>
    <t>2014/15 - 2017/18</t>
  </si>
  <si>
    <t>KS4_APJAP_91</t>
  </si>
  <si>
    <t>APJAP_91</t>
  </si>
  <si>
    <t>Grade achieved in Full GCSE (including Double Awards where appropriate) Japanese (reformed 9-1 GCSEs).</t>
  </si>
  <si>
    <t>KS4_APMHEB_PTQ_EE</t>
  </si>
  <si>
    <t>APMHEB_PTQ_EE</t>
  </si>
  <si>
    <t>KS4_APMHEB_91</t>
  </si>
  <si>
    <t>APMHEB_91</t>
  </si>
  <si>
    <t>Grade achieved in Full GCSE (including Double Awards where appropriate) Modern Hebrew (reformed 9-1 GCSEs).</t>
  </si>
  <si>
    <t>KS4_APPAN_PTQ_EE</t>
  </si>
  <si>
    <t>APPAN_PTQ_EE</t>
  </si>
  <si>
    <t>KS4_APPAN_91</t>
  </si>
  <si>
    <t>APPAN_91</t>
  </si>
  <si>
    <t>Grade achieved in Full GCSE (including Double Awards where appropriate) Panjabi (reformed 9-1 GCSEs).</t>
  </si>
  <si>
    <t>KS4_APPOL_PTQ_EE</t>
  </si>
  <si>
    <t>APPOL_PTQ_EE</t>
  </si>
  <si>
    <t>KS4_APPOL_91</t>
  </si>
  <si>
    <t>APPOL_91</t>
  </si>
  <si>
    <t>Grade achieved in Full GCSE (including Double Awards where appropriate) Polish (reformed 9-1 GCSEs).</t>
  </si>
  <si>
    <t>KS4_APRUS_PTQ_EE</t>
  </si>
  <si>
    <t>APRUS_PTQ_EE</t>
  </si>
  <si>
    <t>KS4_APRUS_91</t>
  </si>
  <si>
    <t>APRUS_91</t>
  </si>
  <si>
    <t>Grade achieved in Full GCSE (including Double Awards where appropriate) Russian (reformed 9-1 GCSEs).</t>
  </si>
  <si>
    <t>KS4_APTUR_PTQ_EE</t>
  </si>
  <si>
    <t>APTUR_PTQ_EE</t>
  </si>
  <si>
    <t>2014/15 - 2018/19</t>
  </si>
  <si>
    <t>APTUR_91</t>
  </si>
  <si>
    <t>Grade achieved in Full GCSE (including Double Awards where appropriate) Turkish.  (Reformed 9-1 GCSES)</t>
  </si>
  <si>
    <t>KS4_APURD_PTQ_EE</t>
  </si>
  <si>
    <t>APURD_PTQ_EE</t>
  </si>
  <si>
    <t>KS4_APURD_91</t>
  </si>
  <si>
    <t>APURD_91</t>
  </si>
  <si>
    <t>Grade achieved in Full GCSE (including Double Awards where appropriate) Urdu (reformed 9-1 GCSEs).</t>
  </si>
  <si>
    <t>KS4_APPER_PTQ_EE</t>
  </si>
  <si>
    <t>APPER_PTQ_EE</t>
  </si>
  <si>
    <t>APPER_91</t>
  </si>
  <si>
    <t>Grade achieved in Full GCSE (including Double Awards where appropriate) Persian.  (Reformed 9-1 GCSES)</t>
  </si>
  <si>
    <t>KS4_APCGRK_PTQ_EE</t>
  </si>
  <si>
    <t>APCGRK_PTQ_EE</t>
  </si>
  <si>
    <t>KS4_APCGRK_91</t>
  </si>
  <si>
    <t>APCGRK_91</t>
  </si>
  <si>
    <t>Grade achieved in Full GCSE (including Double Awards where appropriate) Classical Greek. (reformed 9-1 GCSEs).</t>
  </si>
  <si>
    <t>KS4_APLAT_PTQ_EE</t>
  </si>
  <si>
    <t>APLAT_PTQ_EE</t>
  </si>
  <si>
    <t>KS4_APLAT_91</t>
  </si>
  <si>
    <t>APLAT_91</t>
  </si>
  <si>
    <t>Grade achieved in Full GCSE (including Double Awards where appropriate) Latin. (reformed 9-1 GCSEs).</t>
  </si>
  <si>
    <t>KS4_APBHEB_PTQ_EE</t>
  </si>
  <si>
    <t>APBHEB_PTQ_EE</t>
  </si>
  <si>
    <t>APBHEB_91</t>
  </si>
  <si>
    <t>Grade achieved in Full GCSE (including Double Awards where appropriate) Biblical Hebrew.  (Reformed 9-1 GCSES)</t>
  </si>
  <si>
    <t>KS4_APVBUS_PTQ_EE</t>
  </si>
  <si>
    <t>APVBUS_PTQ_EE</t>
  </si>
  <si>
    <t>KS4_APHSC_PTQ_EE</t>
  </si>
  <si>
    <t>APHSC_PTQ_EE</t>
  </si>
  <si>
    <t>KS4_APLT_PTQ_EE</t>
  </si>
  <si>
    <t>APLT_PTQ_EE</t>
  </si>
  <si>
    <t>KS4_APVSCI_PTQ_EE</t>
  </si>
  <si>
    <t>APVSCI_PTQ_EE</t>
  </si>
  <si>
    <t>KS4_APSVSCI_PTQ_EE</t>
  </si>
  <si>
    <t>APSVSCI_PTQ_EE</t>
  </si>
  <si>
    <t>KS4_APVIT_PTQ_EE</t>
  </si>
  <si>
    <t>APVIT_PTQ_EE</t>
  </si>
  <si>
    <t>KS4_APCORESCI_PTQ_EE</t>
  </si>
  <si>
    <t>APCORESCI_PTQ_EE</t>
  </si>
  <si>
    <t>KS4_APADTSCI_PTQ_EE</t>
  </si>
  <si>
    <t>APADTSCI_PTQ_EE</t>
  </si>
  <si>
    <t>KS4_APAPDSCI_PTQ_EE</t>
  </si>
  <si>
    <t>APAPDSCI_PTQ_EE</t>
  </si>
  <si>
    <t>KS4_LEVELGENG_PTQ_EE</t>
  </si>
  <si>
    <t>LEVELGENG_PTQ_EE</t>
  </si>
  <si>
    <t>KS4_LEVELGMATH_PTQ_EE</t>
  </si>
  <si>
    <t>LEVELGMATH_PTQ_EE</t>
  </si>
  <si>
    <t>KS4_ENGLISHBONUS_PTQ_EE</t>
  </si>
  <si>
    <t>ENGLISHBONUS_PTQ_EE</t>
  </si>
  <si>
    <t>KS4_MATHSBONUS_PTQ_EE</t>
  </si>
  <si>
    <t>MATHSBONUS_PTQ_EE</t>
  </si>
  <si>
    <t>KS4_HPGENG_PTQ_EE</t>
  </si>
  <si>
    <t>HPGENG_PTQ_EE</t>
  </si>
  <si>
    <t>KS4_HPGMATH_PTQ_EE</t>
  </si>
  <si>
    <t>HPGMATH_PTQ_EE</t>
  </si>
  <si>
    <t>KS4_KS2ENG24P_PTQ_EE</t>
  </si>
  <si>
    <t>KS2ENG24P_PTQ_EE</t>
  </si>
  <si>
    <t>KS4_KS2MAT24P_PTQ_EE</t>
  </si>
  <si>
    <t>KS2MAT24P_PTQ_EE</t>
  </si>
  <si>
    <t>KS4_FLAG24ENGPRG_PTQ_EE</t>
  </si>
  <si>
    <t>FLAG24ENGPRG_PTQ_EE</t>
  </si>
  <si>
    <t>KS4_FLAG24MATPRG_PTQ_EE</t>
  </si>
  <si>
    <t>FLAG24MATPRG_PTQ_EE</t>
  </si>
  <si>
    <t>KS4_KS2EMFG</t>
  </si>
  <si>
    <t>KS2EMFG</t>
  </si>
  <si>
    <t>KS2 prior attainment in English and mathematics</t>
  </si>
  <si>
    <t>to 1dp</t>
  </si>
  <si>
    <t>KS4_KS2EMFG_GRP</t>
  </si>
  <si>
    <t>KS2EMFG_GRP</t>
  </si>
  <si>
    <t>Recoded prior attainment in English and mathematics for use in calculations</t>
  </si>
  <si>
    <t>KS4_INP8MOD</t>
  </si>
  <si>
    <t>INP8MOD</t>
  </si>
  <si>
    <t>Pupils included in Progress 8 model</t>
  </si>
  <si>
    <t>0,1</t>
  </si>
  <si>
    <t>KS4_INP8CALC</t>
  </si>
  <si>
    <t>INP8CALC</t>
  </si>
  <si>
    <t>Pupils included in Progress 8 calculations</t>
  </si>
  <si>
    <t>KS4_ENGRESID</t>
  </si>
  <si>
    <t>ENGRESID</t>
  </si>
  <si>
    <t>Lowest score between English language and English literature</t>
  </si>
  <si>
    <t>to 2dp</t>
  </si>
  <si>
    <t>KS4_ENGRESID_G</t>
  </si>
  <si>
    <t>ENGRESID_G</t>
  </si>
  <si>
    <t>Whether ENGRESID is GCSE</t>
  </si>
  <si>
    <t xml:space="preserve"> 0,1</t>
  </si>
  <si>
    <t>KS4_EBAC4</t>
  </si>
  <si>
    <t>EBAC4</t>
  </si>
  <si>
    <t>Score for 4th ranked Ebacc qualification</t>
  </si>
  <si>
    <t>KS4_EBAC5</t>
  </si>
  <si>
    <t>EBAC5</t>
  </si>
  <si>
    <t>Score for 5th ranked Ebacc qualification</t>
  </si>
  <si>
    <t>KS4_EBAC6</t>
  </si>
  <si>
    <t>EBAC6</t>
  </si>
  <si>
    <t>Score for 6th ranked Ebacc qualification</t>
  </si>
  <si>
    <t>KS4_EBAC4_G</t>
  </si>
  <si>
    <t>EBAC4_G</t>
  </si>
  <si>
    <t xml:space="preserve"> Whether EBAC4 qualification is GCSE</t>
  </si>
  <si>
    <t>KS4_EBAC5_G</t>
  </si>
  <si>
    <t>EBAC5_G</t>
  </si>
  <si>
    <t xml:space="preserve"> Whether EBAC5 qualification is GCSE</t>
  </si>
  <si>
    <t>KS4_EBAC6_G</t>
  </si>
  <si>
    <t>EBAC6_G</t>
  </si>
  <si>
    <t xml:space="preserve"> Whether EBAC6 qualification is GCSE</t>
  </si>
  <si>
    <t>KS4_OTH1</t>
  </si>
  <si>
    <t>OTH 1</t>
  </si>
  <si>
    <t>Score for best ranked non_Ebacc qualification</t>
  </si>
  <si>
    <t>KS4_OTH2</t>
  </si>
  <si>
    <t>OTH 2</t>
  </si>
  <si>
    <t>Score for 2nd ranked non_Ebacc qualification</t>
  </si>
  <si>
    <t>KS4_OTH3</t>
  </si>
  <si>
    <t>OTH 3</t>
  </si>
  <si>
    <t>Score for 3rd ranked non_Ebacc qualification</t>
  </si>
  <si>
    <t>KS4_OTH1_G</t>
  </si>
  <si>
    <t>OTH 1_G</t>
  </si>
  <si>
    <t xml:space="preserve"> Whether OTH1 qualification is GCSE</t>
  </si>
  <si>
    <t>KS4_OTH2_G</t>
  </si>
  <si>
    <t>OTH 2_G</t>
  </si>
  <si>
    <t xml:space="preserve"> Whether OTH2 qualification is GCSE</t>
  </si>
  <si>
    <t>KS4_OTH3_G</t>
  </si>
  <si>
    <t>OTH 3_G</t>
  </si>
  <si>
    <t>Whether OTH3 qualification is GCSE</t>
  </si>
  <si>
    <t>KS4_SLOT1ENG</t>
  </si>
  <si>
    <t>SLOT1ENG</t>
  </si>
  <si>
    <t>A8 Score achieved in English</t>
  </si>
  <si>
    <t>KS4_SLOT2MAT</t>
  </si>
  <si>
    <t>SLOT2MAT</t>
  </si>
  <si>
    <t>A8 Score achieved in maths</t>
  </si>
  <si>
    <t>KS4_SLOT3EBAC</t>
  </si>
  <si>
    <t>SLOT3EBAC</t>
  </si>
  <si>
    <t>A8 Score achieved in 1st Ebacc slot</t>
  </si>
  <si>
    <t>KS4_SLOT4EBAC</t>
  </si>
  <si>
    <t>SLOT4EBAC</t>
  </si>
  <si>
    <t>A8 Score achieved in 2nd Ebacc slot</t>
  </si>
  <si>
    <t>KS4_SLOT5EBAC</t>
  </si>
  <si>
    <t>SLOT5EBAC</t>
  </si>
  <si>
    <t>A8 Score achieved in 3rd Ebacc slot</t>
  </si>
  <si>
    <t>KS4_SLOT6OPEN</t>
  </si>
  <si>
    <t>SLOT6OPEN</t>
  </si>
  <si>
    <t>A8 Score achieved in 1st open slot</t>
  </si>
  <si>
    <t>KS4_SLOT7OPEN</t>
  </si>
  <si>
    <t>SLOT7OPEN</t>
  </si>
  <si>
    <t>A8 Score achieved in 2nd open slot</t>
  </si>
  <si>
    <t>KS4_SLOT8OPEN</t>
  </si>
  <si>
    <t>SLOT8OPEN</t>
  </si>
  <si>
    <t>A8 Score achieved in 3rd open slot</t>
  </si>
  <si>
    <t>KS4_SLOT6OPEN_G</t>
  </si>
  <si>
    <t>SLOT6OPEN_G</t>
  </si>
  <si>
    <t xml:space="preserve"> Whether SLOT6 Is GCSE</t>
  </si>
  <si>
    <t>KS4_SLOT7OPEN_G</t>
  </si>
  <si>
    <t>SLOT7OPEN_G</t>
  </si>
  <si>
    <t xml:space="preserve"> Whether SLOT7 Is GCSE</t>
  </si>
  <si>
    <t>KS4_SLOT8OPEN_G</t>
  </si>
  <si>
    <t>SLOT8OPEN_G</t>
  </si>
  <si>
    <t xml:space="preserve"> Whether SLOT8 Is GCSE</t>
  </si>
  <si>
    <t>KS4_ATT8</t>
  </si>
  <si>
    <t>ATT8</t>
  </si>
  <si>
    <t>Attainment 8 score</t>
  </si>
  <si>
    <t>KS4_EBACFILL</t>
  </si>
  <si>
    <t>EBACFILL</t>
  </si>
  <si>
    <t>Number of Ebacc slots filled</t>
  </si>
  <si>
    <t>Numeric</t>
  </si>
  <si>
    <t>KS4_OPENFILL</t>
  </si>
  <si>
    <t>OPENFILL</t>
  </si>
  <si>
    <t>Number of open slots filled</t>
  </si>
  <si>
    <t>KS4_EBACSCR</t>
  </si>
  <si>
    <t>EBACSCR</t>
  </si>
  <si>
    <t>Score achieved in Ebacc slots</t>
  </si>
  <si>
    <t>KS4_OPENSCR</t>
  </si>
  <si>
    <t>OPENSCR</t>
  </si>
  <si>
    <t>Score achieved in open slots</t>
  </si>
  <si>
    <t>KS4_ATT8_PRED</t>
  </si>
  <si>
    <t>ATT8_PRED</t>
  </si>
  <si>
    <t>Average attainment 8 score for pupils with same prior attainment</t>
  </si>
  <si>
    <t>KS4_P8SCORE</t>
  </si>
  <si>
    <t>P8SCORE</t>
  </si>
  <si>
    <t>Pupil's adjusted progress 8 score</t>
  </si>
  <si>
    <t>KS4_P8SCORE_ORIG</t>
  </si>
  <si>
    <t>P8SCORE_ORIG</t>
  </si>
  <si>
    <t xml:space="preserve">Pupil's unadjusted Progress 8 score </t>
  </si>
  <si>
    <t>to 3dp</t>
  </si>
  <si>
    <t>KS4_P8ADJ</t>
  </si>
  <si>
    <t>P8ADJ</t>
  </si>
  <si>
    <t>Pupil's Progress 8 score has been adjusted due to extreme negative score</t>
  </si>
  <si>
    <t>KS4_AVGP8_GRP</t>
  </si>
  <si>
    <t>AVGP8_GRP</t>
  </si>
  <si>
    <t>Mean of unadjusted Progress 8 scores in pupil's prior attainment group</t>
  </si>
  <si>
    <t>to 6dp</t>
  </si>
  <si>
    <t>KS4_SIGMAP8_GRP</t>
  </si>
  <si>
    <t>SIGMAP8_GRP</t>
  </si>
  <si>
    <t>Standard deviation of unadjusted Progress 8 scores in pupil's prior attainment group</t>
  </si>
  <si>
    <t>KS4_P8THRESH</t>
  </si>
  <si>
    <t>P8THRESH</t>
  </si>
  <si>
    <t xml:space="preserve">Progress 8 threshold for extreme scores that has been applied to pupil's prior attainment group </t>
  </si>
  <si>
    <t>KS4_ENG_PRED</t>
  </si>
  <si>
    <t>ENG_PRED</t>
  </si>
  <si>
    <t>Average attainment 8 score in English for pupils with same prior attainment</t>
  </si>
  <si>
    <t>KS4_P8ENG</t>
  </si>
  <si>
    <t>P8ENG</t>
  </si>
  <si>
    <t>Pupil's progress 8 score for English</t>
  </si>
  <si>
    <t>KS4_MAT_PRED</t>
  </si>
  <si>
    <t>MAT_PRED</t>
  </si>
  <si>
    <t>Average attainment 8 score in mathematics for pupils with same prior attainment</t>
  </si>
  <si>
    <t>KS4_P8MAT</t>
  </si>
  <si>
    <t>P8MAT</t>
  </si>
  <si>
    <t>Pupil's progress 8 score for mathematics</t>
  </si>
  <si>
    <t>KS4_EBAC_PRED</t>
  </si>
  <si>
    <t>EBAC_PRED</t>
  </si>
  <si>
    <t>Average attainment 8 score in Ebacc slots for pupils with same prior attainment</t>
  </si>
  <si>
    <t>KS4_P8EBAC</t>
  </si>
  <si>
    <t>P8EBAC</t>
  </si>
  <si>
    <t>Pupil's progress 8 score for Ebacc slots</t>
  </si>
  <si>
    <t>KS4_OPEN_PRED</t>
  </si>
  <si>
    <t>OPEN_PRED</t>
  </si>
  <si>
    <t>Average attainment 8 score in open slots for pupils with same prior attainment</t>
  </si>
  <si>
    <t>KS4_P8OPEN</t>
  </si>
  <si>
    <t>P8OPEN</t>
  </si>
  <si>
    <t>Pupil's progress 8 score for open slots</t>
  </si>
  <si>
    <t>KS4_OPENGSCR</t>
  </si>
  <si>
    <t>OPENGSCR</t>
  </si>
  <si>
    <t>Total score achieved in open slots – GCSEs only</t>
  </si>
  <si>
    <t>KS4_OPENNGSCR</t>
  </si>
  <si>
    <t>OPENNGSCR</t>
  </si>
  <si>
    <t>Total score achieved in open slots – non-GCSEs only</t>
  </si>
  <si>
    <t>KS4_ADMPOL_2017</t>
  </si>
  <si>
    <t>ADMPOL_2017</t>
  </si>
  <si>
    <t>School admissions policy - new definition from 2017 onwards</t>
  </si>
  <si>
    <t>0, 1, 2, 3</t>
  </si>
  <si>
    <t>KS4_ADMPOL_PT</t>
  </si>
  <si>
    <t>ADMPOL_PT</t>
  </si>
  <si>
    <t>School admissions policy - new definition from 2019 onwards</t>
  </si>
  <si>
    <t>KS4_CORESCIENGSCORE</t>
  </si>
  <si>
    <t>CORESCIENGSCORE</t>
  </si>
  <si>
    <t>POINT SCORE IN ENGLISH, EBACC AND OPEN SLOTS IF USING CORESCIENGRNK</t>
  </si>
  <si>
    <t>KS4_CORESCILANGLITSCORE</t>
  </si>
  <si>
    <t>CORESCILANGLITSCORE</t>
  </si>
  <si>
    <t>POINT SCORE IN ENGLISH, EBACC AND OPEN SLOTS IF USING CORESCILANGLITRNK</t>
  </si>
  <si>
    <t>KS4_DOUBSCIENGSCORE</t>
  </si>
  <si>
    <t>DOUBSCIENGSCORE</t>
  </si>
  <si>
    <t>POINT SCORE IN ENGLISH, EBACC AND OPEN SLOTS IF USING DOUBSCIENGRNK</t>
  </si>
  <si>
    <t>KS4_DOUBSCILANGLITSCORE</t>
  </si>
  <si>
    <t>DOUBSCILANGLITSCORE</t>
  </si>
  <si>
    <t>POINT SCORE IN ENGLISH, EBACC AND OPEN SLOTS IF USING DOUBSCILANGLITRNK</t>
  </si>
  <si>
    <t>KS4_EBPTSENG_LL_PTQ_EE</t>
  </si>
  <si>
    <t>EBPTSENG_LL_PTQ_EE</t>
  </si>
  <si>
    <t>Point score in English EBacc pillar, taking the best of language and literature for pupils on this pathway</t>
  </si>
  <si>
    <t>to 2dp, NULL allowed</t>
  </si>
  <si>
    <t>KS4_TRIPSCIENGSCORE</t>
  </si>
  <si>
    <t>TRIPSCIENGSCORE</t>
  </si>
  <si>
    <t>POINT SCORE IN ENGLISH, EBACC AND OPEN SLOTS IF USING TRIPSCIENGRNK</t>
  </si>
  <si>
    <t>KS4_TRIPSCILANGLITSCORE</t>
  </si>
  <si>
    <t>TRIPSCILANGLITSCORE</t>
  </si>
  <si>
    <t>POINT SCORE IN ENGLISH, EBACC AND OPEN SLOTS IF USING TRIPSCILANGLITRNK</t>
  </si>
  <si>
    <t>AMDFLAG2</t>
  </si>
  <si>
    <t>Pupil amendment flag - 2nd value in AMDFLAG hierarchy in the Production rules</t>
  </si>
  <si>
    <t>AMDFLAG3</t>
  </si>
  <si>
    <t>ACTYRGRP_Flag_Calculated</t>
  </si>
  <si>
    <t>Rule by which year group proxy was set.</t>
  </si>
  <si>
    <t>a,b,c,d,e,f,g,h,I,j,k,l</t>
  </si>
  <si>
    <t>ACTYRGRP_Flag_CalcCorrection</t>
  </si>
  <si>
    <t>Rule by which year group proxy was overridden.</t>
  </si>
  <si>
    <t>m,n</t>
  </si>
  <si>
    <t xml:space="preserve">ACTYRGRP_AllFlags_Calculated </t>
  </si>
  <si>
    <t>All rules of the year group algorithm applicable to the pupil</t>
  </si>
  <si>
    <t>ACTYRGRP_Census</t>
  </si>
  <si>
    <t>Year group from January Census</t>
  </si>
  <si>
    <t xml:space="preserve"> 1-14,?,X</t>
  </si>
  <si>
    <t>ACTYRGRP_DuallyReg</t>
  </si>
  <si>
    <t>Year group derived by processing of dually registered pupils</t>
  </si>
  <si>
    <t xml:space="preserve"> 1-14</t>
  </si>
  <si>
    <t>ACTYRGRP_PenaltyAddback</t>
  </si>
  <si>
    <t>Year group derived by processing of addback pupils</t>
  </si>
  <si>
    <t>ACTYRGRP_Calculated</t>
  </si>
  <si>
    <t>Year group calculated by production rules algorithm</t>
  </si>
  <si>
    <t xml:space="preserve"> 1-17</t>
  </si>
  <si>
    <t>ACTYRGRP_WebChanges</t>
  </si>
  <si>
    <t>Year group sourced from checking exercise accepted request</t>
  </si>
  <si>
    <t>ACTYRGRP_WebResults</t>
  </si>
  <si>
    <t>Year group value prior to processing of result amendments / late results</t>
  </si>
  <si>
    <t>ACTYRGRP_Manual_Override</t>
  </si>
  <si>
    <t>Year group manually changed</t>
  </si>
  <si>
    <t>ACTYRGRP_KS2YEAR</t>
  </si>
  <si>
    <t>KS2 academic year referenced in the ACTYRGRP_Calculated algorithm</t>
  </si>
  <si>
    <t>NULL, PTYear-7 to PTYear-3</t>
  </si>
  <si>
    <t>ACTYRGRP_NCYEAR</t>
  </si>
  <si>
    <t>Pupil's national curriculum year on current year January Census (PTYear)</t>
  </si>
  <si>
    <t>ACTYRGRP_NCYEAR_1</t>
  </si>
  <si>
    <t>Pupil's national curriculum year on last year's January Census (PTYear-1)</t>
  </si>
  <si>
    <t>ACTYRGRP_NCYEAR_2</t>
  </si>
  <si>
    <t>Pupil's national curriculum year on January Census two years ago (PTYear-2)</t>
  </si>
  <si>
    <t>ACTYRGRP_GSIZE</t>
  </si>
  <si>
    <t>Cumulative GSIZE for use in ACTYRGRP calculation</t>
  </si>
  <si>
    <t>ACTYRGRP_GSIZE_1</t>
  </si>
  <si>
    <t>Cumulative GSIZE up to one year ago for use in ACTYRGRP calculation</t>
  </si>
  <si>
    <t>ACTYRGRP_GSIZE_2</t>
  </si>
  <si>
    <t>Cumulative GSIZE up to two years ago for use in ACTYRGRP calculation</t>
  </si>
  <si>
    <t>ACTYRGRP_ASIZE</t>
  </si>
  <si>
    <t>Cumulative ASIZE for use in ACTYRGRP calculation</t>
  </si>
  <si>
    <t>NOR_GSIZE</t>
  </si>
  <si>
    <t>Cumulative GSIZE for use in NORFLAGE calculation</t>
  </si>
  <si>
    <t>PrevY11</t>
  </si>
  <si>
    <t>Year in which pupil has been previously counted in the performance tables</t>
  </si>
  <si>
    <t>PrevY11_LAESTAB_anon</t>
  </si>
  <si>
    <t>School at which pupil was previously published</t>
  </si>
  <si>
    <t>PrevY11_LAESTAB_NFTYPE</t>
  </si>
  <si>
    <t>NFTYPE for the school at which pupil was previously reported</t>
  </si>
  <si>
    <t>PrevY10</t>
  </si>
  <si>
    <t>Pupil was in Year 10 or below last year</t>
  </si>
  <si>
    <t>PrevY10_LAESTAB_anon</t>
  </si>
  <si>
    <t>School at which pupil was  in Year 10 or below last year</t>
  </si>
  <si>
    <t>PrevY10_LAESTAB_NFTYPE</t>
  </si>
  <si>
    <t>NFTYPE for the school at which pupil was in Year 10 or below last year</t>
  </si>
  <si>
    <t>KS4_VERSION</t>
  </si>
  <si>
    <t>k4_ver</t>
  </si>
  <si>
    <t>k4r_ay</t>
  </si>
  <si>
    <t>KS4_PREREG</t>
  </si>
  <si>
    <t>PREREG</t>
  </si>
  <si>
    <t>k4r_prpw</t>
  </si>
  <si>
    <t>Pre-registered pupil without result</t>
  </si>
  <si>
    <t>KS4_REGDATE</t>
  </si>
  <si>
    <t>REGDATE</t>
  </si>
  <si>
    <t>k4r_frd</t>
  </si>
  <si>
    <t>2001/02 only</t>
  </si>
  <si>
    <t>1st Registration Date (for GNVQs only)</t>
  </si>
  <si>
    <t>KS4_EXAMYEAR</t>
  </si>
  <si>
    <t>EXAMYEAR</t>
  </si>
  <si>
    <t>k4r_ey</t>
  </si>
  <si>
    <t>Calendar year in which the qualification was attempted (academic qualifications) or issued (vocational qualifications).</t>
  </si>
  <si>
    <t>KS4_SEASON</t>
  </si>
  <si>
    <t>k4r_es</t>
  </si>
  <si>
    <t xml:space="preserve">Exam season. </t>
  </si>
  <si>
    <t>S = Summer
W = Winter</t>
  </si>
  <si>
    <t>KS4_BOARDNO</t>
  </si>
  <si>
    <t>k4r_abn</t>
  </si>
  <si>
    <t xml:space="preserve">Awarding body number.  </t>
  </si>
  <si>
    <t>KS4_SUBLEVNO</t>
  </si>
  <si>
    <t>k4r_qac</t>
  </si>
  <si>
    <t>QUAL</t>
  </si>
  <si>
    <t>Qualification and assessment code</t>
  </si>
  <si>
    <t>KS4_QAN</t>
  </si>
  <si>
    <t>QAN</t>
  </si>
  <si>
    <t>k4r_qan</t>
  </si>
  <si>
    <t>Qualification accreditation number.</t>
  </si>
  <si>
    <t>KS4_BRDSUBNO</t>
  </si>
  <si>
    <t>k4r_absn</t>
  </si>
  <si>
    <t xml:space="preserve">Awarding body subject number. </t>
  </si>
  <si>
    <t>KS4_MAPPING</t>
  </si>
  <si>
    <t>MAPPING</t>
  </si>
  <si>
    <t>k4r_lsm</t>
  </si>
  <si>
    <t xml:space="preserve">LEAP/LDCS subject mapping code – code that identifies the exam subject.  </t>
  </si>
  <si>
    <t>KS4_INCLUDE</t>
  </si>
  <si>
    <t>INCLUDE</t>
  </si>
  <si>
    <t>k4r_inc</t>
  </si>
  <si>
    <t>KS4 Result is included in calculations.</t>
  </si>
  <si>
    <t>KS4_PTQ_INCLUDE</t>
  </si>
  <si>
    <t>PTQ_INCLUDE</t>
  </si>
  <si>
    <t>2013/14 -</t>
  </si>
  <si>
    <t>KS4 Result is included in PTQ calculations.</t>
  </si>
  <si>
    <t>KS4_WOLF_INCLUDED</t>
  </si>
  <si>
    <t>WOLF_INCLUDED</t>
  </si>
  <si>
    <t>Qualification is included in Wolf indicators</t>
  </si>
  <si>
    <t>0,1,2,3,4</t>
  </si>
  <si>
    <t>KS4_MODE</t>
  </si>
  <si>
    <t>MODE</t>
  </si>
  <si>
    <t>k4r_mode</t>
  </si>
  <si>
    <t>Mode</t>
  </si>
  <si>
    <t>KS4_MODFLAG</t>
  </si>
  <si>
    <t>MODFLAG</t>
  </si>
  <si>
    <t>k4r_mf</t>
  </si>
  <si>
    <t>Modflag</t>
  </si>
  <si>
    <t>KS4_MODAFLAG</t>
  </si>
  <si>
    <t>MODAFLAG</t>
  </si>
  <si>
    <t>k4r_malf</t>
  </si>
  <si>
    <t>Modular A level flag</t>
  </si>
  <si>
    <t>KS4_LEV1</t>
  </si>
  <si>
    <t>LEV1</t>
  </si>
  <si>
    <t>k4r_lv1c</t>
  </si>
  <si>
    <t>Proportion of the Level 1 threshold that this qualification makes up.</t>
  </si>
  <si>
    <t>KS4_LEV2</t>
  </si>
  <si>
    <t>LEV2</t>
  </si>
  <si>
    <t>k4r_lv2c</t>
  </si>
  <si>
    <t>Proportion of the Level 2 threshold that this qualification makes up.</t>
  </si>
  <si>
    <t>KS4_LEV3</t>
  </si>
  <si>
    <t>LEV3</t>
  </si>
  <si>
    <t>k4r_lv3c</t>
  </si>
  <si>
    <t>Proportion of the Level 3 threshold that this qualification makes up.</t>
  </si>
  <si>
    <t>KS4_GSIZE</t>
  </si>
  <si>
    <t>GSIZE</t>
  </si>
  <si>
    <t>k4r_sz</t>
  </si>
  <si>
    <t>SIZE</t>
  </si>
  <si>
    <t>Size of the qualification equivalent to GCSEs.</t>
  </si>
  <si>
    <t>KS4_GSIZE_ALL</t>
  </si>
  <si>
    <t>GSIZE_ALL</t>
  </si>
  <si>
    <t>KS4_GSIZE_ALL_MAX</t>
  </si>
  <si>
    <t>GSIZE_ALL_MAX</t>
  </si>
  <si>
    <t>Max GCSE Equivalent</t>
  </si>
  <si>
    <t>KS4_GSIZE_ALL_CAP</t>
  </si>
  <si>
    <t>GSIZE_ALL_CAP</t>
  </si>
  <si>
    <t>Capped field from QRD Table 2/3 with reference to QUAL_TYPE from QRD Table 4</t>
  </si>
  <si>
    <t>KS4_ASIZE</t>
  </si>
  <si>
    <t>ASIZE</t>
  </si>
  <si>
    <t>k4r_sza</t>
  </si>
  <si>
    <t>2004/05 - 2006/07</t>
  </si>
  <si>
    <t>Size Indicator</t>
  </si>
  <si>
    <t>KS4_ASIZE_MAX</t>
  </si>
  <si>
    <t>ASIZE_MAX</t>
  </si>
  <si>
    <t>Max ASIZE Equivalent</t>
  </si>
  <si>
    <t>KS4_ASIZE_CAP</t>
  </si>
  <si>
    <t>ASIZE_CAP</t>
  </si>
  <si>
    <t>Capped field from QRD Table 2/3</t>
  </si>
  <si>
    <t>KS4_GRADE</t>
  </si>
  <si>
    <t>k4r_eg</t>
  </si>
  <si>
    <t xml:space="preserve">The grade of the exam. </t>
  </si>
  <si>
    <t>* (A* at GCSE)
** (A*A* GCSEs in vocational subjects VGCE)
A (GCSE)
AA (VGCE)
B (GCSE)
BB (VGCE)
C (GCSE)
CC (VCE double award)
D (Grade D at GCSE or Distinction at GNVQ)
DD (VGCE)
DI (Distinction at GNVQ)
E (GCSE)
EE (VGCE)
F (GCSE)
FF (VGCE)
G (GCSE)
GG (VGCE)
M ( Merit at GNVQ)
ME (Merit at GNVQ)
P (Pass at GNVQ)
PA (Pass at GNVQ)
Q (Pending at GCSE and GNVQ)
U (Ungraded at GCSE &amp; VGCE)
X (No Award at GCSE, GNVQ &amp; VGCE)</t>
  </si>
  <si>
    <t>KS4_GORIGIN</t>
  </si>
  <si>
    <t>GORIGIN</t>
  </si>
  <si>
    <t>k4r_og</t>
  </si>
  <si>
    <t>Original grade</t>
  </si>
  <si>
    <t>KS4_GFINAL</t>
  </si>
  <si>
    <t>GFINAL</t>
  </si>
  <si>
    <t>k4r_fg</t>
  </si>
  <si>
    <t>Final grade</t>
  </si>
  <si>
    <t>KS4_POINTS</t>
  </si>
  <si>
    <t>k4r_pts</t>
  </si>
  <si>
    <t>Total GCSE and equivalents point score using new style point score.</t>
  </si>
  <si>
    <t>KS4_DISCYEAR</t>
  </si>
  <si>
    <t>DISCYEAR</t>
  </si>
  <si>
    <t>k4r_dy</t>
  </si>
  <si>
    <t>Discount year.  The earliest year the candidate achieved the same or better grade for the same LEAP mapping.</t>
  </si>
  <si>
    <t>KS4_GRADED_QUAL</t>
  </si>
  <si>
    <t>GRADED_QUAL</t>
  </si>
  <si>
    <t>Exam falls within the graded exam range</t>
  </si>
  <si>
    <t>KS4_GRADED</t>
  </si>
  <si>
    <t>GRADED</t>
  </si>
  <si>
    <t>Exam is graded exam taken less than three years ago</t>
  </si>
  <si>
    <t>KS4_DISC1</t>
  </si>
  <si>
    <t>DISC1</t>
  </si>
  <si>
    <t>k4r_df1y</t>
  </si>
  <si>
    <t>One year discount flag (based on GCSE and equivalent qualifications).</t>
  </si>
  <si>
    <t>0–Indicates the qualification has been included
1–indicates the qualification has been discounted</t>
  </si>
  <si>
    <t>KS4_DISC2</t>
  </si>
  <si>
    <t>DISC2</t>
  </si>
  <si>
    <t>k4r_df2y</t>
  </si>
  <si>
    <t>Two year discount flag (based on GCSE and equivalent qualifications).</t>
  </si>
  <si>
    <t>KS4_DISC3</t>
  </si>
  <si>
    <t>k4r_dfmy</t>
  </si>
  <si>
    <t>Multi-year discount flag (prior to 2013/14).
From 2013/14, Multi-year discount flag (based on all performance tables qualifications) plus early entry rules (2014 methodology)</t>
  </si>
  <si>
    <t>KS4_DISC3_EBACC</t>
  </si>
  <si>
    <t>DISC3_EBACC</t>
  </si>
  <si>
    <t>Multi-year discount flag (based on all performance tables qualifications) plus early entry rules excluding level 3 qualifications which aren't on the Ebacc list</t>
  </si>
  <si>
    <t>KS4_DISC3_CAP</t>
  </si>
  <si>
    <t>DISC3_CAP</t>
  </si>
  <si>
    <t>Capped version of DISC3 plus early entry rules (2014 methodology)</t>
  </si>
  <si>
    <t>KS4_DISC3_ALL_B</t>
  </si>
  <si>
    <t>DISC3_ALL_B</t>
  </si>
  <si>
    <t>Multi-year discount flag (based on GCSEs, iGCSEs, GNVQs, CIC/EIC/EID/GIC/GID and other qualifications approved for use pre-16 only) plus best entry rules</t>
  </si>
  <si>
    <t>KS4_DISC1B</t>
  </si>
  <si>
    <t>DISC1B</t>
  </si>
  <si>
    <t>k4r_df1b</t>
  </si>
  <si>
    <t xml:space="preserve">GCSE/GNVQ only Discounting flag </t>
  </si>
  <si>
    <t>KS4_DISC2B</t>
  </si>
  <si>
    <t>DISC2B</t>
  </si>
  <si>
    <t>k4r_df2b</t>
  </si>
  <si>
    <t>KS4_DISC3B</t>
  </si>
  <si>
    <t>DISC3B</t>
  </si>
  <si>
    <t>k4r_dfg</t>
  </si>
  <si>
    <t>DISCG</t>
  </si>
  <si>
    <r>
      <t>Multiyear discount flag (subset of quals) prior to 2013/14.</t>
    </r>
    <r>
      <rPr>
        <strike/>
        <sz val="8"/>
        <rFont val="Arial"/>
        <family val="2"/>
      </rPr>
      <t xml:space="preserve">
</t>
    </r>
    <r>
      <rPr>
        <sz val="8"/>
        <rFont val="Arial"/>
        <family val="2"/>
      </rPr>
      <t>From 2013/14, Multi-year discount flag (based on academic performance tables qualifications at level 2 only) plus early entry rules (2014 methodology)</t>
    </r>
  </si>
  <si>
    <t>KS4_DISC3B_ALL_B</t>
  </si>
  <si>
    <t>DISC3B_ALL_B</t>
  </si>
  <si>
    <t>Multi-year discount flag (based on GCSEs, iGCSEs, GNVQs, CIC/EIC/EID/GIC/GID only) plus best entry rules</t>
  </si>
  <si>
    <t>KS4_DISCALL</t>
  </si>
  <si>
    <t>DISCALL</t>
  </si>
  <si>
    <t>k4r_dfo</t>
  </si>
  <si>
    <t>Overall Discount Flag</t>
  </si>
  <si>
    <t>KS4_AMDEXAM</t>
  </si>
  <si>
    <t>k4_amres</t>
  </si>
  <si>
    <t xml:space="preserve">Shows when an amendment has been made to a result during the School &amp; College Achievement and Attainment tables checking exercise.  </t>
  </si>
  <si>
    <t>KS4_QEBACC</t>
  </si>
  <si>
    <t>QEBACC</t>
  </si>
  <si>
    <t>2009/10 (F) - 2012/13</t>
  </si>
  <si>
    <t>Qualification included in English Baccalaureate.</t>
  </si>
  <si>
    <t>KS4_QEBACC_PTQ</t>
  </si>
  <si>
    <t>QEBACC_PTQ</t>
  </si>
  <si>
    <t>Qualification type included in English Baccalaureate (2014 methodology)</t>
  </si>
  <si>
    <t>KS4_QEBACC_ALL_B</t>
  </si>
  <si>
    <t>QEBACC_ALL_B</t>
  </si>
  <si>
    <t>Qualification type included in English Baccalaureate (2013 metholodogy)</t>
  </si>
  <si>
    <t>KS4_DISC3_PTQ</t>
  </si>
  <si>
    <t>DISC3_PTQ</t>
  </si>
  <si>
    <t>Multi-year discount flag (based on all performance tables qualifications) plus early entry rules (current methodology)</t>
  </si>
  <si>
    <t>KS4_DISC3B_PTQ</t>
  </si>
  <si>
    <t>DISC3B_PTQ</t>
  </si>
  <si>
    <t>Multi-year discount flag (based on academic performance tables qualifications at level 2 only) plus early entry rules (current methodology)</t>
  </si>
  <si>
    <t>KS4_DISC3_PTQ_EE</t>
  </si>
  <si>
    <t>DISC3_PTQ_EE</t>
  </si>
  <si>
    <t>- Multi-year discount flag
- Based on 2015 performance tables qualifications
- Early entry rules applied across all subjects</t>
  </si>
  <si>
    <t>KS4_DISC3B_PTQ_EE</t>
  </si>
  <si>
    <t>DISC3B_PTQ_EE</t>
  </si>
  <si>
    <t>- Multi-year discount flag
- Based on 2015 performance tables acamedic qualifications at level 2
- Early entry rules applied across all subjects</t>
  </si>
  <si>
    <t>KS4_DISC3_EBACC_PTQ_EE</t>
  </si>
  <si>
    <t>DISC3_EBACC_PTQ_EE</t>
  </si>
  <si>
    <t>- Multi-year discount flag
- Based on 2015 performance tables qualifications
- Excluding level 3 qualifications which are not on the EBacc list but discount level 2 qualifications on the EBacc list
- Early entry rules applied across all subjects
- For scenarios where 'best' rules are applied, flag is excluded from the exception discounting process</t>
  </si>
  <si>
    <t>KS4_DISC3C_PTQ_EE</t>
  </si>
  <si>
    <t>DISC3C_PTQ_EE</t>
  </si>
  <si>
    <t>- Multi-year discount flag
- Based on 2015 performance tables acamedic qualifications at level 2 and 3
- Early entry rules applied across all subjects</t>
  </si>
  <si>
    <t>KS4_DISC3_CAP_PTQ_EE</t>
  </si>
  <si>
    <t>DISC3_CAP_PTQ_EE</t>
  </si>
  <si>
    <t>- Based on DISC3_PTQ_EE
- Updated to 1 for capped vocational qualifications
- Updated to 0 for restored academic qualifications that had been discounted (under 'best' discounting rules) by capped vocational qualifications</t>
  </si>
  <si>
    <t>KS4_DISC3_CAP3_PTQ_EE</t>
  </si>
  <si>
    <t>DISC3_CAP3_PTQ_EE</t>
  </si>
  <si>
    <t>Capped version of DISC3 plus early entry rules (2016 methodology)</t>
  </si>
  <si>
    <t>KS4_91EBACENG</t>
  </si>
  <si>
    <t>Size of EBacc 9-1 pass in English</t>
  </si>
  <si>
    <t>KS4_91ENGLGPR</t>
  </si>
  <si>
    <t>Size of EBacc 9-1 pass in English Language in English linked pairs</t>
  </si>
  <si>
    <t>KS4_91ENGLTPR</t>
  </si>
  <si>
    <t>Size of EBacc 9-1 pass in English Literature in English linked pairs</t>
  </si>
  <si>
    <t>KS4_A8DISC</t>
  </si>
  <si>
    <t>Discounted qualifications under attainment 8</t>
  </si>
  <si>
    <t>KS4_A8DISC2</t>
  </si>
  <si>
    <t>DISCOUNTING TO FLAG THE SAME AS A8DISC EXCEPT IN BEST ENTRY CASES</t>
  </si>
  <si>
    <t>KS4_A8EBAC</t>
  </si>
  <si>
    <t>Point score in Ebacc subject</t>
  </si>
  <si>
    <t>KS4_A8EBAC_RNK</t>
  </si>
  <si>
    <t>Rank of Ebacc point score against other Ebacc subjects</t>
  </si>
  <si>
    <t>KS4_A8ELIT</t>
  </si>
  <si>
    <t>Point score in English literature</t>
  </si>
  <si>
    <t>KS4_A8ENG</t>
  </si>
  <si>
    <t>Point score in English</t>
  </si>
  <si>
    <t>KS4_A8ENGLANG</t>
  </si>
  <si>
    <t>Point score in English language</t>
  </si>
  <si>
    <t>KS4_A8ENTENG</t>
  </si>
  <si>
    <t>Entered for English</t>
  </si>
  <si>
    <t>0 or 1</t>
  </si>
  <si>
    <t>KS4_A8ENTENGLANG</t>
  </si>
  <si>
    <t>Entered for English language</t>
  </si>
  <si>
    <t>KS4_A8FSMQ</t>
  </si>
  <si>
    <t>Point score in free standing maths qualification</t>
  </si>
  <si>
    <t>KS4_A8INCLUDED</t>
  </si>
  <si>
    <t>Qualification included in Attainment 8 / Progress 8</t>
  </si>
  <si>
    <t>KS4_A8MAT</t>
  </si>
  <si>
    <t>Point score in mathematics</t>
  </si>
  <si>
    <t>KS4_A8MAT1</t>
  </si>
  <si>
    <t>Point score in applications of mathematics (Linked pair)</t>
  </si>
  <si>
    <t>KS4_A8MAT2</t>
  </si>
  <si>
    <t>Point score in method in mathematics (linked pair)</t>
  </si>
  <si>
    <t>KS4_A8OTH</t>
  </si>
  <si>
    <t>Point score in non-Ebacc subject</t>
  </si>
  <si>
    <t>KS4_A8OTH_RNK</t>
  </si>
  <si>
    <t>rank of non-Ebacc point score against other non-Ebacc subjects</t>
  </si>
  <si>
    <t>KS4_A8POINTS</t>
  </si>
  <si>
    <t>Point score for qualifacation in Attainment 8 / Progress 8</t>
  </si>
  <si>
    <t>KS4_AC_CAP3_RESTORED_PTQ_EE</t>
  </si>
  <si>
    <t>Academic result 'restored' (i.e. no longer discounted by voc result) as discounting vocational result has been 'capped' to limit to max of 3 vocational awards (i.e. vocational result is now flagged as discounted)</t>
  </si>
  <si>
    <t>KS4_ACADEMIC</t>
  </si>
  <si>
    <t>Qualification is counted as academic qualification</t>
  </si>
  <si>
    <t>KS4_CORESCIENGRNK</t>
  </si>
  <si>
    <t>RANK OF QUALIFICATIONS ELIGIBLE FOR EBACC AND OPEN SLOTS IF CORE SCIENCE AND OVERALL ENGLISH PATHWAY IS TAKEN IN BEST ENTRY CASES</t>
  </si>
  <si>
    <t>KS4_CORESCILANGLITRNK</t>
  </si>
  <si>
    <t>RANK OF QUALIFICATIONS ELIGIBLE FOR EBACC AND OPEN SLOTS IF CORE SCIENCE AND SEPARATE LANGUAGE AND LITERATURE PATHWAY IS TAKEN IN BEST ENTRY CASES</t>
  </si>
  <si>
    <t>KS4_DOUBSCIENGRNK</t>
  </si>
  <si>
    <t>RANK OF QUALIFICATIONS ELIGIBLE FOR EBACC AND OPEN SLOTS IF DOUBLE SCIENCE AND OVERALL ENGLISH PATHWAY IS TAKEN IN BEST ENTRY CASES</t>
  </si>
  <si>
    <t>KS4_DOUBSCILANGLITRNK</t>
  </si>
  <si>
    <t>RANK OF QUALIFICATIONS ELIGIBLE FOR EBACC AND OPEN SLOTS IF DOUBLE SCIENCE AND SEPARATE LANGUAGE AND LITERATURE PATHWAY IS TAKEN IN BEST ENTRY CASES</t>
  </si>
  <si>
    <t>KS4_DSCIROW</t>
  </si>
  <si>
    <t>Rank of undiscounted combined science qualification</t>
  </si>
  <si>
    <t>KS4_EBACCNOTSCI</t>
  </si>
  <si>
    <t>FLAG OF QUALIFICATION ELIGIBLE TO COUNT IN AN EBACC SLOT THAT IS NOT PART OF A SCIENCE PATHWAY</t>
  </si>
  <si>
    <t xml:space="preserve">0 = No, 
1 = Yes
</t>
  </si>
  <si>
    <t>KS4_ENGLGPR_94</t>
  </si>
  <si>
    <t>Size of EBacc standard 9-4 pass in English Language in English linked pairs</t>
  </si>
  <si>
    <t>KS4_ENGLGPR_95</t>
  </si>
  <si>
    <t>Size of EBacc strong 9-5 pass in English Language in English linked pairs</t>
  </si>
  <si>
    <t>KS4_ENGLTPR_94</t>
  </si>
  <si>
    <t>Size of EBacc standard 9-4 pass in English Literature in English linked pairs</t>
  </si>
  <si>
    <t>KS4_ENGLTPR_95</t>
  </si>
  <si>
    <t>Size of EBacc strong 9-5 pass in English Literature in English linked pairs</t>
  </si>
  <si>
    <t>KS4_ENGRESIDLANG</t>
  </si>
  <si>
    <t>POINT SCORE OF RESIDUAL ENGLISH LANGUAGE QUALIFICATION</t>
  </si>
  <si>
    <t>KS4_ENGRESIDLIT</t>
  </si>
  <si>
    <t>POINT SCORE OF RESIDUAL ENGLISH LITERATURE QUALIFICATION</t>
  </si>
  <si>
    <t>KS4_GSIZE_PTQ_EE</t>
  </si>
  <si>
    <t>KS4_INCLUDE_ALL</t>
  </si>
  <si>
    <t>KS4 Result is included in ALL_B calculations.</t>
  </si>
  <si>
    <t>KS4_LEV1_PTQ_EE</t>
  </si>
  <si>
    <t>KS4_LEV2_PTQ_EE</t>
  </si>
  <si>
    <t>KS4_MATH_91</t>
  </si>
  <si>
    <t>Size of EBacc 9-1 pass in mathematics</t>
  </si>
  <si>
    <t>KS4_MATH_94</t>
  </si>
  <si>
    <t>Size of EBacc standard 9-4 pass in mathematics</t>
  </si>
  <si>
    <t>KS4_MATH_95</t>
  </si>
  <si>
    <t>Size of EBacc strong 9-5 pass in mathematics</t>
  </si>
  <si>
    <t>KS4_POINTS_PTQ_EE</t>
  </si>
  <si>
    <t>KS4_PTYEAR</t>
  </si>
  <si>
    <t>Current performance tables year</t>
  </si>
  <si>
    <t>KS4_QEBACC_PTQ_EE</t>
  </si>
  <si>
    <t xml:space="preserve">Qualification type included in English Baccalaureate </t>
  </si>
  <si>
    <t>KS4_RESULTID</t>
  </si>
  <si>
    <t>Result ID number</t>
  </si>
  <si>
    <t>KS4_TA1</t>
  </si>
  <si>
    <t>Teacher Assessment 1</t>
  </si>
  <si>
    <t>KS4_TA2</t>
  </si>
  <si>
    <t>Teacher Assessment 2</t>
  </si>
  <si>
    <t>KS4_TA3</t>
  </si>
  <si>
    <t>Teacher Assessment 3</t>
  </si>
  <si>
    <t>KS4_TA4</t>
  </si>
  <si>
    <t>Teacher Assessment 4</t>
  </si>
  <si>
    <t>KS4_TRIPSCIENGRNK</t>
  </si>
  <si>
    <t>RANK OF QUALIFICATIONS ELIGIBLE FOR EBACC AND OPEN SLOTS IF SEPERATE SCIENCE AND OVERALL ENGLISH PATHWAY IS TAKEN IN BEST ENTRY CASES</t>
  </si>
  <si>
    <t>KS4_TRIPSCILANGLITRNK</t>
  </si>
  <si>
    <t>RANK OF QUALIFICATIONS ELIGIBLE FOR EBACC AND OPEN SLOTS IF SEPERATE SCIENCE AND SEPARATE LANGUAGE AND LITERATURE PATHWAY IS TAKEN IN BEST ENTRY CASES</t>
  </si>
  <si>
    <t>KS4_UPDATE</t>
  </si>
  <si>
    <t>Date result last updated added at KS4</t>
  </si>
  <si>
    <t>YYYYMMDD</t>
  </si>
  <si>
    <t>KS4_VOC_CAPPED3_PTQ_EE</t>
  </si>
  <si>
    <t>Vocational result is 'capped' i.e. flagged as discounted, so that only 3 vocational results count towards indicators</t>
  </si>
  <si>
    <t>KS4_WOLF_DISC_CODE</t>
  </si>
  <si>
    <t>Wolf discount code</t>
  </si>
  <si>
    <t>KS4_WOLF_GOOD_PASS_THRESHOLD</t>
  </si>
  <si>
    <t>Wolf Strong Pass Threshold</t>
  </si>
  <si>
    <t>KS4_MGCSEENG</t>
  </si>
  <si>
    <t>MGCSEENG</t>
  </si>
  <si>
    <t>Subject mappings counted as GCSE English</t>
  </si>
  <si>
    <t>KS4_MSKILLENG</t>
  </si>
  <si>
    <t>MSKILLENG</t>
  </si>
  <si>
    <t>Subject mappings counted as English skill</t>
  </si>
  <si>
    <t>KS4_MGCSEMAT</t>
  </si>
  <si>
    <t>MGCSEMAT</t>
  </si>
  <si>
    <t>Subject mappings counted as GCSE Maths</t>
  </si>
  <si>
    <t>KS4_MSKILLMAT</t>
  </si>
  <si>
    <t>MSKILLMAT</t>
  </si>
  <si>
    <t>Subject mappings counted as Maths skill</t>
  </si>
  <si>
    <t>KS4_QGCSEEM</t>
  </si>
  <si>
    <t>QGCSEEM</t>
  </si>
  <si>
    <t>Qualifications counted as GCSE for E&amp;M</t>
  </si>
  <si>
    <t>KS4_DISC3_CAP_PTQ_B</t>
  </si>
  <si>
    <t>DISC3_CAP_PTQ_B</t>
  </si>
  <si>
    <t>- Based on DISC3_PTQ_B
- Updated to 1 for capped vocational qualifications
- Updated to 0 for restored academic qualifications that had been discounted by capped vocational qualifications</t>
  </si>
  <si>
    <t>KS4_Teacher_Assessed_Flag</t>
  </si>
  <si>
    <t>Teacher_Assessed_Flag</t>
  </si>
  <si>
    <t xml:space="preserve">Flag whether result is assumed to be teacher assessed for 2020 (Set if the result has an award date between 05/05/2020 – 01/09/2020) for vocational qualifications or if Exam Session = '2020S' and Autumn_Series_flag &lt;&gt; 1)  or teacher assesed for 2021 according to Ofqual defined list for 2021. </t>
  </si>
  <si>
    <t>0 (Not teacher assessed), 1(teacher assessed)</t>
  </si>
  <si>
    <t>KS4_Covid_Impacted_Flag</t>
  </si>
  <si>
    <t>Covid_Impacted_Flag</t>
  </si>
  <si>
    <r>
      <rPr>
        <b/>
        <sz val="8"/>
        <rFont val="Arial"/>
        <family val="2"/>
      </rPr>
      <t>2019/20</t>
    </r>
    <r>
      <rPr>
        <sz val="8"/>
        <rFont val="Arial"/>
        <family val="2"/>
      </rPr>
      <t xml:space="preserve">: Flag whether result is Covid impacted (Set if a result has an award date in 2020)  for vocational qualfications or if exam session = '2020S' for JCQ qualifications
</t>
    </r>
    <r>
      <rPr>
        <b/>
        <sz val="8"/>
        <rFont val="Arial"/>
        <family val="2"/>
      </rPr>
      <t>2020/21</t>
    </r>
    <r>
      <rPr>
        <sz val="8"/>
        <rFont val="Arial"/>
        <family val="2"/>
      </rPr>
      <t>: Flag whether result is Covid impacted (Set if a result has an award date in 2020 or 2021 for vocational qualifications or if exam session in (2020S, 2020A, 2020W, 2021S, 2021A)  for JCQ qualifications)</t>
    </r>
  </si>
  <si>
    <t>0 (Not covid impacted), 1(covid impacted)</t>
  </si>
  <si>
    <t>KS4_Autumn_Series</t>
  </si>
  <si>
    <t>Autumn_Series</t>
  </si>
  <si>
    <t>Flag whether result was taken as part of the 2020 Autumn Series. Taken from the DCAM extract.  Set if a result originally came in through the 2020A exam series (these results will then be outputted with exam series set to 2020S. GCSE Maths and English results will have Autumn_Series_Flag=0)</t>
  </si>
  <si>
    <t>0 (Not an Autumn series result), 
1 (Autumn series result)</t>
  </si>
  <si>
    <t>KS4_SCORE</t>
  </si>
  <si>
    <t>0-999, N</t>
  </si>
  <si>
    <t>k4r_ver</t>
  </si>
  <si>
    <t>KS5 Student Table</t>
  </si>
  <si>
    <t>KS5_GENDER</t>
  </si>
  <si>
    <t>k5_gend</t>
  </si>
  <si>
    <t>Blank
M = Male
F = Female</t>
  </si>
  <si>
    <t>KS5_AGE_START</t>
  </si>
  <si>
    <t>k5_age</t>
  </si>
  <si>
    <t>KS5_MONTH_PART</t>
  </si>
  <si>
    <t>k5_mth</t>
  </si>
  <si>
    <t>KS5_YEAROFBIRTH</t>
  </si>
  <si>
    <t>k5_yob</t>
  </si>
  <si>
    <t>KS5_MONTHOFBIRTH</t>
  </si>
  <si>
    <t>k5_mob</t>
  </si>
  <si>
    <t>KS5_AGE</t>
  </si>
  <si>
    <t>Age of pupil</t>
  </si>
  <si>
    <t>KS5_ETHNIC</t>
  </si>
  <si>
    <t>KS5_FSM</t>
  </si>
  <si>
    <t>Pupil eligible for free school meal</t>
  </si>
  <si>
    <t>KS5_FSM_CLA</t>
  </si>
  <si>
    <t>Pupil identified as disadvantaged at end of KS4 studies, ie pupil was eligible for FSM at any time during the previous 6 years or was a child looked after continuously for 6 months during their final year of KS4 study.</t>
  </si>
  <si>
    <t>KS5_LANG1ST</t>
  </si>
  <si>
    <t>KS5_SENF</t>
  </si>
  <si>
    <t>Pupil SEN stage</t>
  </si>
  <si>
    <t>KS5_EXCLDATE</t>
  </si>
  <si>
    <t>2016/2017</t>
  </si>
  <si>
    <t>KS5_ENTRYDAT</t>
  </si>
  <si>
    <t>KS5_KS4_DISADVANTAGE</t>
  </si>
  <si>
    <t>KS4_DISADVANTAGE</t>
  </si>
  <si>
    <t>Flags whether student counts as 'disadvantaged' when creating disadvantaged breakdown of headline measures</t>
  </si>
  <si>
    <t>0 (Not disadvantaged) ; 1 (Disadvantaged) ;  null (not calculated)</t>
  </si>
  <si>
    <t>KS5_KS4_ETHNIC</t>
  </si>
  <si>
    <t>Pupil ethnic code (ETHNIC) from KS4 file</t>
  </si>
  <si>
    <t>AAAA</t>
  </si>
  <si>
    <t>KS5_KS4_FSM</t>
  </si>
  <si>
    <t>Pupil eligible for free school meal (FSM) from KS4 file</t>
  </si>
  <si>
    <t>KS5_KS4_LANG1ST</t>
  </si>
  <si>
    <t>2001/02 - 2014/15</t>
  </si>
  <si>
    <t>First Language (LANG1ST) from KS4 file</t>
  </si>
  <si>
    <t>AAA</t>
  </si>
  <si>
    <t>KS5_KS4_SENF</t>
  </si>
  <si>
    <t>2010/11 - 2014/15</t>
  </si>
  <si>
    <t>Pupil SEN stage (SENF) from KS4 file</t>
  </si>
  <si>
    <t>A</t>
  </si>
  <si>
    <t>KS5_KS4_SENTYPE</t>
  </si>
  <si>
    <t>Pupil primary SEN need from KS4 file</t>
  </si>
  <si>
    <t xml:space="preserve">AAAA;
Possible values: "SPLD,MLD,SLD,PMLD,BESD,SLCN,
HI,VI,MSI,PD,ASD,SEMH,NSA,OTH"
</t>
  </si>
  <si>
    <t>KS5_LA_anon</t>
  </si>
  <si>
    <t>k5_la</t>
  </si>
  <si>
    <t>2001/02 - 2014/15, 2016/17 -</t>
  </si>
  <si>
    <t>KS5_LA_9Code_anon</t>
  </si>
  <si>
    <t>2010/2011 - 2018/2019</t>
  </si>
  <si>
    <t>KS5_ESTAB</t>
  </si>
  <si>
    <t>ESTAB</t>
  </si>
  <si>
    <t>k5_estab</t>
  </si>
  <si>
    <t>Establishment number of the school attended as assigned by the DfE.</t>
  </si>
  <si>
    <t>KS5_LAESTAB_anon</t>
  </si>
  <si>
    <t>k5_laest</t>
  </si>
  <si>
    <t>2001/2002 - 2018/2019</t>
  </si>
  <si>
    <t>KS5_PDFECN</t>
  </si>
  <si>
    <t>PDFECN</t>
  </si>
  <si>
    <t>k5_pdfes</t>
  </si>
  <si>
    <t>PDFESN</t>
  </si>
  <si>
    <t>Previous main DfE number (LA and ESTAB fields joined together).</t>
  </si>
  <si>
    <t>KS5_URN_anon</t>
  </si>
  <si>
    <t>k5_urn</t>
  </si>
  <si>
    <t>KS5_URN_AC</t>
  </si>
  <si>
    <t>URN_AC</t>
  </si>
  <si>
    <t>Converter Academy: URN</t>
  </si>
  <si>
    <t>KS5_OPEN_AC</t>
  </si>
  <si>
    <t>OPEN_AC</t>
  </si>
  <si>
    <t>Converter Academy: open date</t>
  </si>
  <si>
    <t>KS5_P_LAESTAB</t>
  </si>
  <si>
    <t>P_LAESTAB</t>
  </si>
  <si>
    <t>DfE Num where published previously. This variable has been pseudonymised in line with the impact of COVID19 on DfE data sharing (See COVID19 Impact worksheet) and/or the requirements of Digital Economy Act in relation to a body corporate.</t>
  </si>
  <si>
    <t>KS5 Exam Table</t>
  </si>
  <si>
    <t>k5r_lest</t>
  </si>
  <si>
    <t>URN Number. This variable has been pseudonymised in line with the impact of COVID19 on DfE data sharing (See COVID19 Impact worksheet) and/or the requirements of Digital Economy Act in relation to a body corporate.</t>
  </si>
  <si>
    <t>KS5_ACADYR</t>
  </si>
  <si>
    <t>k5_ac</t>
  </si>
  <si>
    <t>KS5_PupilMatchingRefAnonymous</t>
  </si>
  <si>
    <t>k5_pmr</t>
  </si>
  <si>
    <t>KS5_YEARGRP</t>
  </si>
  <si>
    <t>k5_yrgrp</t>
  </si>
  <si>
    <t>KS5_RECTYPE</t>
  </si>
  <si>
    <t>RECTYPE</t>
  </si>
  <si>
    <t>Record type - identifier for level of aggregation</t>
  </si>
  <si>
    <t xml:space="preserve">1 = Institution-level
3 = Consortia or sixth form centre
4 = LA-level
5 = National – all schools
7 = National – maintained schools only
</t>
  </si>
  <si>
    <t>KS5_ACTYRGRP</t>
  </si>
  <si>
    <t>k5_ncyg</t>
  </si>
  <si>
    <t>2005/06 - 2014/15</t>
  </si>
  <si>
    <t>KS5_ToE_CODE</t>
  </si>
  <si>
    <t>k5_stype</t>
  </si>
  <si>
    <t>KS5_AMDFLAG</t>
  </si>
  <si>
    <t xml:space="preserve">Shows when an amendment has been made to a pupil during the School &amp; College Performance tables checking exercise.  </t>
  </si>
  <si>
    <t>KS5_ENROLSTS</t>
  </si>
  <si>
    <t>KS5_ADMPOL</t>
  </si>
  <si>
    <t>0,1,2,3,4,5,NULL</t>
  </si>
  <si>
    <t>KS5_ADMPOL_PT</t>
  </si>
  <si>
    <t>Admissions policy - new definition from 2019 onwards</t>
  </si>
  <si>
    <t>KS5_ADMPOL_2017</t>
  </si>
  <si>
    <t>Admissions policy - new definition from 2017 onwards</t>
  </si>
  <si>
    <t>0,1,2,3,NULL</t>
  </si>
  <si>
    <t>KS5_NAT1618</t>
  </si>
  <si>
    <t>NAT1618</t>
  </si>
  <si>
    <t>Students's main provider (LAESTAB) is in scope for being included in performance tables at national level</t>
  </si>
  <si>
    <t>0 = No
1 = Yes
NULL</t>
  </si>
  <si>
    <t>KS5_LA1618</t>
  </si>
  <si>
    <t>LA1618</t>
  </si>
  <si>
    <t>Students's main provider (LAESTAB) is in scope for being included in performance tables at local authority level</t>
  </si>
  <si>
    <t>KS5_MTD</t>
  </si>
  <si>
    <t>MTD</t>
  </si>
  <si>
    <t>Institution is state-funded</t>
  </si>
  <si>
    <t>KS5_AO_EXCEPT</t>
  </si>
  <si>
    <t>AO_EXCEPT</t>
  </si>
  <si>
    <t>LAESTAB source is AO but provider is school/college would expect source SC/ILR derived by AO_EXCEPT = MAX(AO_EXCEPT_0, AO_EXCEPT_1, AO_EXCEPT_2)</t>
  </si>
  <si>
    <t>KS5_LAESTAB_EXCEPT</t>
  </si>
  <si>
    <t>LAESTAB_EXCEPT</t>
  </si>
  <si>
    <t>LAESTAB source is ILR and provider is out of scope but AO LAESTAB is in scope derived by
LAESTAB_EXCEPT = MAX(LAESTAB_EXCEPT_0, LAESTAB_EXCEPT_1, LAESTAB_EXCEPT_2)</t>
  </si>
  <si>
    <t>KS5_SAME_INST_ALL</t>
  </si>
  <si>
    <t>SAME_INST_ALL</t>
  </si>
  <si>
    <t>student doesn't change institution</t>
  </si>
  <si>
    <t>0 (changes institution) ; 
1 (doesn't change)</t>
  </si>
  <si>
    <t>KS5_YEARS_ALLOCATED</t>
  </si>
  <si>
    <t>YEARS_ALLOCATED</t>
  </si>
  <si>
    <t>Number of years student allocated to institution(s) [or LA, etc depending on rectype in indicator file]</t>
  </si>
  <si>
    <t>3,2,1</t>
  </si>
  <si>
    <t>KS5_SAME_INST_0_1</t>
  </si>
  <si>
    <t>SAME_INST_0_1</t>
  </si>
  <si>
    <t>same institution in RY and RY-1</t>
  </si>
  <si>
    <t>KS5_SAME_INST_1_2</t>
  </si>
  <si>
    <t>SAME_INST_1_2</t>
  </si>
  <si>
    <t>same institution in RY-1 and RY-2</t>
  </si>
  <si>
    <t>KS5_SAME_INST_0_2</t>
  </si>
  <si>
    <t>SAME_INST_0_2</t>
  </si>
  <si>
    <t>same institution in RY and RY-2</t>
  </si>
  <si>
    <t>KS5_SAME_INST_0</t>
  </si>
  <si>
    <t>SAME_INST_0</t>
  </si>
  <si>
    <t>single institution in RY</t>
  </si>
  <si>
    <t>KS5_SAME_INST_1</t>
  </si>
  <si>
    <t>SAME_INST_1</t>
  </si>
  <si>
    <t>single institution in RY-1</t>
  </si>
  <si>
    <t>KS5_SAME_INST_2</t>
  </si>
  <si>
    <t>SAME_INST_2</t>
  </si>
  <si>
    <t>single institution in RY-2</t>
  </si>
  <si>
    <t>KS5_SAME_LA_ALL</t>
  </si>
  <si>
    <t>SAME_LA_ALL</t>
  </si>
  <si>
    <t>student doesn't change LA (and all are reported at LA level)</t>
  </si>
  <si>
    <t>KS5_SAME_LA_0_1</t>
  </si>
  <si>
    <t>SAME_LA_0_1</t>
  </si>
  <si>
    <t>same LA in RY and RY-1 and both state-funded providers</t>
  </si>
  <si>
    <t>KS5_SAME_LA_1_2</t>
  </si>
  <si>
    <t>SAME_LA_1_2</t>
  </si>
  <si>
    <t>same institution LA in RY-1 and RY-2 and both state-funded providers</t>
  </si>
  <si>
    <t>KS5_SAME_LA_0_2</t>
  </si>
  <si>
    <t>SAME_LA_0_2</t>
  </si>
  <si>
    <t>same institution LA in RY and RY-2 and both state-funded providers</t>
  </si>
  <si>
    <t>KS5_SAME_LA_0</t>
  </si>
  <si>
    <t>SAME_LA_0</t>
  </si>
  <si>
    <t>single LA in RY</t>
  </si>
  <si>
    <t>KS5_SAME_LA_1</t>
  </si>
  <si>
    <t>SAME_LA_1</t>
  </si>
  <si>
    <t>single LA in RY-1</t>
  </si>
  <si>
    <t>KS5_SAME_LA_2</t>
  </si>
  <si>
    <t>SAME_LA_2</t>
  </si>
  <si>
    <t>single LA in RY-2</t>
  </si>
  <si>
    <t>KS5_SAME_MTD_ALL</t>
  </si>
  <si>
    <t>SAME_MTD_ALL</t>
  </si>
  <si>
    <t>student in state-funded institution for all years</t>
  </si>
  <si>
    <t>KS5_SAME_MTD_0_1</t>
  </si>
  <si>
    <t>SAME_MTD_0_1</t>
  </si>
  <si>
    <t xml:space="preserve">in state-funded provider in RY and RY-1 </t>
  </si>
  <si>
    <t>KS5_SAME_MTD_1_2</t>
  </si>
  <si>
    <t>SAME_MTD_1_2</t>
  </si>
  <si>
    <t>in state-funded provider in RY-1 and RY-2</t>
  </si>
  <si>
    <t>KS5_SAME_MTD_0_2</t>
  </si>
  <si>
    <t>SAME_MTD_0_2</t>
  </si>
  <si>
    <t>in state-funded provider in RY and RY-2</t>
  </si>
  <si>
    <t>KS5_SAME_MTD_0</t>
  </si>
  <si>
    <t>SAME_MTD_0</t>
  </si>
  <si>
    <t>single state-funded institution in RY</t>
  </si>
  <si>
    <t>KS5_SAME_MTD_1</t>
  </si>
  <si>
    <t>SAME_MTD_1</t>
  </si>
  <si>
    <t>single state-funded institution in RY-1</t>
  </si>
  <si>
    <t>KS5_SAME_MTD_2</t>
  </si>
  <si>
    <t>SAME_MTD_2</t>
  </si>
  <si>
    <t>single state-funded institution in RY-2</t>
  </si>
  <si>
    <t>KS5_SAME_NAT_ALL</t>
  </si>
  <si>
    <t>SAME_NAT_ALL</t>
  </si>
  <si>
    <t>student in national for all years</t>
  </si>
  <si>
    <t>KS5_SAME_NAT_0_1</t>
  </si>
  <si>
    <t>SAME_NAT_0_1</t>
  </si>
  <si>
    <t xml:space="preserve">in national in RY and RY-1 </t>
  </si>
  <si>
    <t>KS5_SAME_NAT_1_2</t>
  </si>
  <si>
    <t>SAME_NAT_1_2</t>
  </si>
  <si>
    <t>in national in RY-1 and RY-2</t>
  </si>
  <si>
    <t>KS5_SAME_NAT_0_2</t>
  </si>
  <si>
    <t>SAME_NAT_0_2</t>
  </si>
  <si>
    <t>in national in RY and RY-2</t>
  </si>
  <si>
    <t>KS5_SAME_NAT_0</t>
  </si>
  <si>
    <t>SAME_NAT_0</t>
  </si>
  <si>
    <t>national in RY only</t>
  </si>
  <si>
    <t>KS5_SAME_NAT_1</t>
  </si>
  <si>
    <t>SAME_NAT_1</t>
  </si>
  <si>
    <t>national in RY-1 only</t>
  </si>
  <si>
    <t>KS5_SAME_NAT_2</t>
  </si>
  <si>
    <t>SAME_NAT_2</t>
  </si>
  <si>
    <t>national in RY-2 only</t>
  </si>
  <si>
    <t>KS5_SAME_CONS_ALL</t>
  </si>
  <si>
    <t>SAME_CONS_ALL</t>
  </si>
  <si>
    <t>student in consortium for all years</t>
  </si>
  <si>
    <t>KS5_SAME_CONS_0_1</t>
  </si>
  <si>
    <t>SAME_CONS_0_1</t>
  </si>
  <si>
    <t xml:space="preserve">in consortium in RY and RY-1 </t>
  </si>
  <si>
    <t>KS5_SAME_CONS_1_2</t>
  </si>
  <si>
    <t>SAME_CONS_1_2</t>
  </si>
  <si>
    <t>in consortium in RY-1 and RY-2</t>
  </si>
  <si>
    <t>KS5_SAME_CONS_0_2</t>
  </si>
  <si>
    <t>SAME_CONS_0_2</t>
  </si>
  <si>
    <t>in consortium in RY and RY-2</t>
  </si>
  <si>
    <t>KS5_SAME_CONS_0</t>
  </si>
  <si>
    <t>SAME_CONS_0</t>
  </si>
  <si>
    <t>consortium in RY only</t>
  </si>
  <si>
    <t>KS5_SAME_CONS_1</t>
  </si>
  <si>
    <t>SAME_CONS_1</t>
  </si>
  <si>
    <t>consortium in RY-1 only</t>
  </si>
  <si>
    <t>KS5_SAME_CONS_2</t>
  </si>
  <si>
    <t>SAME_CONS_2</t>
  </si>
  <si>
    <t>consortium in RY-2 only</t>
  </si>
  <si>
    <t>KS5_FESITYPE</t>
  </si>
  <si>
    <t>FESITYPE</t>
  </si>
  <si>
    <t>Further Education institution type</t>
  </si>
  <si>
    <t>1,2,3,4,5,6,7,8,9, NULL</t>
  </si>
  <si>
    <t>KS5_NFTYPE</t>
  </si>
  <si>
    <t>K5_nftyp</t>
  </si>
  <si>
    <t>KS5_NEW_TYPE</t>
  </si>
  <si>
    <t>2008/09 - 2014/15</t>
  </si>
  <si>
    <t>0 = Invalid                                                                          1 = Comprehensive                                                           2 = Selective                                                                     3 = Modern                                                                        4 = Other maintained                                                         5 = Independent                                                                 6 = Sixth Form college                                                        7 = Other FE College</t>
  </si>
  <si>
    <t>KS5_MMSCH</t>
  </si>
  <si>
    <t>k5_mms</t>
  </si>
  <si>
    <t>KS5_MMSCH2</t>
  </si>
  <si>
    <t>k5_mms2</t>
  </si>
  <si>
    <t>KS5_MSCH</t>
  </si>
  <si>
    <t>k5_ms</t>
  </si>
  <si>
    <t>KS5_MSCH2</t>
  </si>
  <si>
    <t>k5_ms2</t>
  </si>
  <si>
    <t>KS5_FETYPE</t>
  </si>
  <si>
    <t>FETYPE</t>
  </si>
  <si>
    <t>Indicates the FE type of the school.</t>
  </si>
  <si>
    <t xml:space="preserve">0 = Not Applicable
1 = Agricultural and Horticultural College
2 = Art, Design and Performing Arts College
3 = General Further Education College
4 = General Further Education College (Special)
5 = Sixth Form College
8 = Specialist Designated College
9 = Tertiary College
</t>
  </si>
  <si>
    <t>KS5_ENTRIES</t>
  </si>
  <si>
    <t>k5_nume</t>
  </si>
  <si>
    <t>KS5_TRIGGER</t>
  </si>
  <si>
    <t>TRIGGER</t>
  </si>
  <si>
    <t>k5_trig</t>
  </si>
  <si>
    <t>2001/02 - 2014/15; 2016/17 -</t>
  </si>
  <si>
    <t>Flag to identify of student meets trigger using 2015 methodology</t>
  </si>
  <si>
    <t>KS5_TRIGGER_2016</t>
  </si>
  <si>
    <t>TRIGGER_2016</t>
  </si>
  <si>
    <t>Indicates whether the pupil meets the trigger criteria usign 2016 methodology.</t>
  </si>
  <si>
    <t>KS5_TRIGGER_2021</t>
  </si>
  <si>
    <t>TRIGGER_2021</t>
  </si>
  <si>
    <t>Indicates whether the pupil meets the trigger criteria using 2021 methodology.</t>
  </si>
  <si>
    <t>KS5_ADDBACK</t>
  </si>
  <si>
    <t>ADDBACK</t>
  </si>
  <si>
    <t>2013/14 - 2014/15</t>
  </si>
  <si>
    <t>Penalty add-back student</t>
  </si>
  <si>
    <t>1 = achieved results in the reporting academic year and pass the traditional ‘trigger’
2 = no current results, or insufficient results in the current year to pass the traditional trigger</t>
  </si>
  <si>
    <t>k5_ampup</t>
  </si>
  <si>
    <t>2001/02 - 2013/14</t>
  </si>
  <si>
    <t>KS5_VERSION</t>
  </si>
  <si>
    <t>k5_ver</t>
  </si>
  <si>
    <t>A = Amended
F = Final
U = Unamended</t>
  </si>
  <si>
    <t>KS5_KS4_GCSE3_E</t>
  </si>
  <si>
    <t>KS4_GCSE3_E</t>
  </si>
  <si>
    <t xml:space="preserve">Checks to see if an in scope student has a GCSE 3 at KS4, this is important for when a student has both a FS L2 and GCSE 3 </t>
  </si>
  <si>
    <t xml:space="preserve"> 0-1</t>
  </si>
  <si>
    <t>KS5_KS4_GCSE3_M</t>
  </si>
  <si>
    <t>KS4_GCSE3_M</t>
  </si>
  <si>
    <t>KS5_GCSE3_1_E</t>
  </si>
  <si>
    <t>GCSE3_1_E</t>
  </si>
  <si>
    <t xml:space="preserve">Checks to see if a student achieved a GCSE 3 in _1, this is needed to specify if the student needs a GCSE 4 to be taken out of scope as opposed to a FS L2 </t>
  </si>
  <si>
    <t>KS5_GCSE3_1_M</t>
  </si>
  <si>
    <t>GCSE3_1_M</t>
  </si>
  <si>
    <t>KS5_GCSE3_2_E</t>
  </si>
  <si>
    <t>GCSE3_2_E</t>
  </si>
  <si>
    <t xml:space="preserve">Checks to see if a student achieved a GCSE 3 in _2, this is needed to specify if the student needs a GCSE 4 to be taken out of scope as opposed to a FS L2 </t>
  </si>
  <si>
    <t>KS5_GCSE3_2_M</t>
  </si>
  <si>
    <t>GCSE3_2_M</t>
  </si>
  <si>
    <t>KS5_SOURCECTY</t>
  </si>
  <si>
    <t>k5_land</t>
  </si>
  <si>
    <t>Source Country</t>
  </si>
  <si>
    <t>KS5_SCHRES</t>
  </si>
  <si>
    <t>k5_schrs</t>
  </si>
  <si>
    <t>2003/04 - 2014/15</t>
  </si>
  <si>
    <t>Indicates whether the pupil should be included in the results calculations for their school taking in to consideration any amendments and age group where relevant.</t>
  </si>
  <si>
    <t>KS5_LARES</t>
  </si>
  <si>
    <t>k5_lars</t>
  </si>
  <si>
    <t>Indicates whether the pupil should be included in the results calculations for their LA taking in to consideration any amendments and age group where relevant.</t>
  </si>
  <si>
    <t>KS5_NATRES</t>
  </si>
  <si>
    <t>k5_natrs</t>
  </si>
  <si>
    <t>Indicates whether the pupil should be included in the national results calculations taking in to consideration inclusion of their school in national averages and any amendments and age group where relevant.</t>
  </si>
  <si>
    <t>KS5_LSCRES</t>
  </si>
  <si>
    <t>LSCRES</t>
  </si>
  <si>
    <t>k5_lscrs</t>
  </si>
  <si>
    <t>Included in LSC results flag</t>
  </si>
  <si>
    <t>KS5_PSCHRES</t>
  </si>
  <si>
    <t>PSCHRES</t>
  </si>
  <si>
    <t>pschres</t>
  </si>
  <si>
    <t>Included in pilot school results flag</t>
  </si>
  <si>
    <t>KS5_PLARES</t>
  </si>
  <si>
    <t>PLARES</t>
  </si>
  <si>
    <t>plares</t>
  </si>
  <si>
    <t>Included in pilot LA results flag</t>
  </si>
  <si>
    <t>KS5_PNATRES</t>
  </si>
  <si>
    <t>PNATRES</t>
  </si>
  <si>
    <t>pnatres</t>
  </si>
  <si>
    <t>Included in pilot National results flag</t>
  </si>
  <si>
    <t>KS5_PLSCRES</t>
  </si>
  <si>
    <t>PLSCRES</t>
  </si>
  <si>
    <t>plscres</t>
  </si>
  <si>
    <t>Included in pilot LSC results flag</t>
  </si>
  <si>
    <t>KS5_PTRIG</t>
  </si>
  <si>
    <t>PTRIG</t>
  </si>
  <si>
    <t>ptrig</t>
  </si>
  <si>
    <t>Student meets pilot trigger criteria</t>
  </si>
  <si>
    <t>KS5_ENTRY_TOT</t>
  </si>
  <si>
    <t>ENTRY_TOT</t>
  </si>
  <si>
    <t>ent_tot</t>
  </si>
  <si>
    <t>Number of Entries (FFT)</t>
  </si>
  <si>
    <t>KS5_TOTPTS</t>
  </si>
  <si>
    <t>k5_tps</t>
  </si>
  <si>
    <t>Total Point Score</t>
  </si>
  <si>
    <t>KS5_POINTS_TOT</t>
  </si>
  <si>
    <t>POINTS_TOT</t>
  </si>
  <si>
    <t>pts_tot</t>
  </si>
  <si>
    <t>Total Point Score (FFT)</t>
  </si>
  <si>
    <t>KS5_NTSIZEG</t>
  </si>
  <si>
    <t>NTSIZEG</t>
  </si>
  <si>
    <t>ntsizeg</t>
  </si>
  <si>
    <t>Total QCA size (GCE/VCE A/AS/Key Skills 3 only)</t>
  </si>
  <si>
    <t>KS5_NTSIZEE</t>
  </si>
  <si>
    <t>NTSIZEE</t>
  </si>
  <si>
    <t>ntsizee</t>
  </si>
  <si>
    <t>Total QCA size (all L3 qualifications)</t>
  </si>
  <si>
    <t>KS5_NTPTSG</t>
  </si>
  <si>
    <t>NTPTSG</t>
  </si>
  <si>
    <t>ntptsg</t>
  </si>
  <si>
    <t>Total QCA points (GCE/VCE A/AS/Key Skills 3 only)</t>
  </si>
  <si>
    <t>KS5_INVAST</t>
  </si>
  <si>
    <t>INVAST</t>
  </si>
  <si>
    <t>invast</t>
  </si>
  <si>
    <t>Included in VA scores flag</t>
  </si>
  <si>
    <t>KS5_NTVASZE</t>
  </si>
  <si>
    <t>NTVASZE</t>
  </si>
  <si>
    <t>ntvasze</t>
  </si>
  <si>
    <t xml:space="preserve">Total QCA size of quals included in VA </t>
  </si>
  <si>
    <t>KS5_TOTKS4</t>
  </si>
  <si>
    <t>TOTKS4</t>
  </si>
  <si>
    <t>ptsks4</t>
  </si>
  <si>
    <t>PTSKS4</t>
  </si>
  <si>
    <t>Total prior attainment point scores.</t>
  </si>
  <si>
    <t>KS5_VOLKS4</t>
  </si>
  <si>
    <t>VOLKS4</t>
  </si>
  <si>
    <t>szeks4</t>
  </si>
  <si>
    <t>SZEKS4</t>
  </si>
  <si>
    <t>Total size of prior attainment.</t>
  </si>
  <si>
    <t>KS5_EXAMCAT</t>
  </si>
  <si>
    <t>examcat</t>
  </si>
  <si>
    <t>Highest examination category achieved</t>
  </si>
  <si>
    <t>KS5_ENTRY_GA</t>
  </si>
  <si>
    <t>ENTRY_GA</t>
  </si>
  <si>
    <t>ent_ga</t>
  </si>
  <si>
    <t>Number of GCE A Level entries.</t>
  </si>
  <si>
    <t>KS5_ENTRY_GAS</t>
  </si>
  <si>
    <t>ENTRY_GAS</t>
  </si>
  <si>
    <t>ent_gas</t>
  </si>
  <si>
    <t>Number of GCE AS Level entries.</t>
  </si>
  <si>
    <t>KS5_ENTRY_GDAS</t>
  </si>
  <si>
    <t>ENTRY_GDAS</t>
  </si>
  <si>
    <t>ent_gdas</t>
  </si>
  <si>
    <t>Number of GCE AS Double Award Level entries.</t>
  </si>
  <si>
    <t>KS5_ENTRY_VA</t>
  </si>
  <si>
    <t>ENTRY_VA</t>
  </si>
  <si>
    <t>ent_va</t>
  </si>
  <si>
    <t>2001/02 - 2007/08</t>
  </si>
  <si>
    <t>Number of VCE A Level entries.</t>
  </si>
  <si>
    <t>KS5_ENTRY_VGAA</t>
  </si>
  <si>
    <t>ENTRY_VGAA</t>
  </si>
  <si>
    <t>2008/09-</t>
  </si>
  <si>
    <t>Number of VCE/GCE Applied A Level entries.</t>
  </si>
  <si>
    <t>KS5_ENTRY_VDA</t>
  </si>
  <si>
    <t>ENTRY_VDA</t>
  </si>
  <si>
    <t>ent_vda</t>
  </si>
  <si>
    <t>Number of  VCE Double Award Level entries.</t>
  </si>
  <si>
    <t>KS5_ENTRY_VGADA</t>
  </si>
  <si>
    <t>ENTRY_VGADA</t>
  </si>
  <si>
    <t>Number of  VCE/GCE Applied Double Award Level entries.</t>
  </si>
  <si>
    <t>KS5_ENTRY_VAS</t>
  </si>
  <si>
    <t>ENTRY_VAS</t>
  </si>
  <si>
    <t>ent_vas</t>
  </si>
  <si>
    <t>Number of VCE AS Level entries.</t>
  </si>
  <si>
    <t>KS5_ENTRY_VGAAS</t>
  </si>
  <si>
    <t>ENTRY_VGAAS</t>
  </si>
  <si>
    <t>Number of VCE/GCE Applied AS Level entries.</t>
  </si>
  <si>
    <t>KS5_ENTRY_K3</t>
  </si>
  <si>
    <t>ENTRY_K3</t>
  </si>
  <si>
    <t>ent_ksl3</t>
  </si>
  <si>
    <t>Number of Key Skills at Level 3 entries.</t>
  </si>
  <si>
    <t>KS5_TOTENTS</t>
  </si>
  <si>
    <t>TOTENTS</t>
  </si>
  <si>
    <t>k5_ent</t>
  </si>
  <si>
    <t>Total number of GCE A Level and equivalent entries (A Level equivalencies).</t>
  </si>
  <si>
    <t>KS5_TOTENTSGS</t>
  </si>
  <si>
    <t>TOTENTSGS</t>
  </si>
  <si>
    <t>Total QCA size of candidate's entries with General Studies A/AS Levels excluded</t>
  </si>
  <si>
    <t>KS5_ALEV</t>
  </si>
  <si>
    <t>ALEV</t>
  </si>
  <si>
    <t>Candidate entered for GCE/Applied A level or Double Award in the reporting year</t>
  </si>
  <si>
    <t>KS5_AGRADE</t>
  </si>
  <si>
    <t>AGRADE</t>
  </si>
  <si>
    <t xml:space="preserve">Number of A/A* grades achieved at GCE/Applied A level or Double Award </t>
  </si>
  <si>
    <t>KS5_AEGRADE</t>
  </si>
  <si>
    <t>AEGRADE</t>
  </si>
  <si>
    <t>Number of A*-E grades achieved at GCE/Applied A level or Double Award</t>
  </si>
  <si>
    <t>KS5_GRADEA3</t>
  </si>
  <si>
    <t>GRADEA3</t>
  </si>
  <si>
    <t xml:space="preserve">Student achieved 3 or more A grades at GCE/Applied A level or Double Award </t>
  </si>
  <si>
    <t>KS5_GRADEAE3</t>
  </si>
  <si>
    <t>GRADEAE3</t>
  </si>
  <si>
    <t xml:space="preserve">Student achieved 3 or more A*-E grades at GCE/Applied A level or Double Award </t>
  </si>
  <si>
    <t>KS5_LEV3THRESH</t>
  </si>
  <si>
    <t>LEV3THRESH</t>
  </si>
  <si>
    <t>Student achievement against level 3 threshold</t>
  </si>
  <si>
    <t>KS5_PASS2LV3</t>
  </si>
  <si>
    <t>PASS2LV3</t>
  </si>
  <si>
    <t>Student achieved equivalent of 2 A levels</t>
  </si>
  <si>
    <t>KS5_PASS2LV3IB</t>
  </si>
  <si>
    <t>PASS2LV3IB</t>
  </si>
  <si>
    <t>2010/11-  2014/15</t>
  </si>
  <si>
    <t>Student achieved ≥ 2 A levels at A*-E or equivalent by IB as main qual route</t>
  </si>
  <si>
    <t>KS5_PASS2LV3AVCE</t>
  </si>
  <si>
    <t>PASS2LV3AVCE</t>
  </si>
  <si>
    <t>Student achieved ≥ 2 A levels at A*-E or equivalent by AVCE as main qual route</t>
  </si>
  <si>
    <t>KS5_PASS2LV3BTOC</t>
  </si>
  <si>
    <t>PASS2LV3BTOC</t>
  </si>
  <si>
    <t>Student achieved ≥ 2 A levels at A*-E or equivalent by BTEC/OCR as main qual route</t>
  </si>
  <si>
    <t>KS5_PASS2LV3NVR</t>
  </si>
  <si>
    <t>PASS2LV3NVR</t>
  </si>
  <si>
    <t>Student achieved ≥ 2 A levels at A*-E or equivalent by NVQ/VRQ as main qual route</t>
  </si>
  <si>
    <t>KS5_PASS2LV3ALEV</t>
  </si>
  <si>
    <t>PASS2LV3ALEV</t>
  </si>
  <si>
    <t>Student achieved ≥ 2 A levels at A*-E or equivalent by A-level/AS-level as main qual route</t>
  </si>
  <si>
    <t>KS5_PASS2LV3OTH</t>
  </si>
  <si>
    <t>PASS2LV3OTH</t>
  </si>
  <si>
    <t>Student achieved ≥ 2 A levels at A*-E or equivalent by 'Other' as main qual route</t>
  </si>
  <si>
    <t>KS5_PASS3LV3</t>
  </si>
  <si>
    <t>PASS3LV3</t>
  </si>
  <si>
    <t>Student achieved equivalent of ≥ 3 A levels at A*-E</t>
  </si>
  <si>
    <t>KS5_GRADEA3L3</t>
  </si>
  <si>
    <t>GRADEA3L3</t>
  </si>
  <si>
    <t>Student achieved ≥ 3 A levels at grade A*-A incl. equivalent</t>
  </si>
  <si>
    <t>KS5_PASS2ALEV</t>
  </si>
  <si>
    <t>PASS2ALEV</t>
  </si>
  <si>
    <t>Student achieved ≥ 2 A levels at A*-E excluding equivalent</t>
  </si>
  <si>
    <t>KS5_PASS1L3</t>
  </si>
  <si>
    <t>PASS1L3</t>
  </si>
  <si>
    <t>Student achieved at least 1 Level 3 qualification</t>
  </si>
  <si>
    <t>KS5_TOTENTS_ALEV</t>
  </si>
  <si>
    <t>TOTENTS_ALEV</t>
  </si>
  <si>
    <t xml:space="preserve">2011/12 - </t>
  </si>
  <si>
    <t>Total size of candidate's entries for 'A levels'</t>
  </si>
  <si>
    <t>KS5_TOTENTS_ACAD</t>
  </si>
  <si>
    <t>TOTENTS_ACAD</t>
  </si>
  <si>
    <t>Total size of candidate's entries for 'academic quals'</t>
  </si>
  <si>
    <t>KS5_TOTENTS_VQ</t>
  </si>
  <si>
    <t>TOTENTS_VQ</t>
  </si>
  <si>
    <t>Total size of student's awards for vocational qualifications</t>
  </si>
  <si>
    <t>KS5_TOTPTSE_ALEV</t>
  </si>
  <si>
    <t>TOTPTSE_ALEV</t>
  </si>
  <si>
    <t>Total point score of candidate's entries for 'A levels'</t>
  </si>
  <si>
    <t>KS5_TOTPTSE_ACAD</t>
  </si>
  <si>
    <t>TOTPTSE_ACAD</t>
  </si>
  <si>
    <t>Total point score of candidate's entries for 'academic quals'</t>
  </si>
  <si>
    <t>KS5_AGEN</t>
  </si>
  <si>
    <t>AGEN</t>
  </si>
  <si>
    <t>Applied general cohort flag</t>
  </si>
  <si>
    <t>0 (Not Included) ; 1 (Included)</t>
  </si>
  <si>
    <t>KS5_TOTPTSE_AGEN</t>
  </si>
  <si>
    <t>TOTPTSE_AGEN</t>
  </si>
  <si>
    <t>total points for applied general qualifications</t>
  </si>
  <si>
    <t>KS5_TOTENTS_AGEN</t>
  </si>
  <si>
    <t>TOTENTS_AGEN</t>
  </si>
  <si>
    <t>total entries for applied general qualifications</t>
  </si>
  <si>
    <t>KS5_TLEV</t>
  </si>
  <si>
    <t>TLEV</t>
  </si>
  <si>
    <t>tech level cohort flag</t>
  </si>
  <si>
    <t>KS5_TOTPTSE_TLEV</t>
  </si>
  <si>
    <t>TOTPTSE_TLEV</t>
  </si>
  <si>
    <t>total points for tech level qualifications</t>
  </si>
  <si>
    <t>KS5_TOTENTS_TLEV</t>
  </si>
  <si>
    <t>TOTENTS_TLEV</t>
  </si>
  <si>
    <t>total entries for tech level qualifications</t>
  </si>
  <si>
    <t>KS5_ENTRIES_ALEV_B3</t>
  </si>
  <si>
    <t>ENTRIES_ALEV_B3</t>
  </si>
  <si>
    <t>Number of A level (including Applied, not including AS level) entries for best 3 measure</t>
  </si>
  <si>
    <t>KS5_INCLUDE_B3</t>
  </si>
  <si>
    <t>INCLUDE_B3</t>
  </si>
  <si>
    <t>Best 3 measure: flag to include in measure</t>
  </si>
  <si>
    <t>0 (Not Included) ; 1 (Included))</t>
  </si>
  <si>
    <t>KS5_B3PTS_B3</t>
  </si>
  <si>
    <t>B3PTS_B3</t>
  </si>
  <si>
    <t>Points in best (up to) 3 A levels (not AS levels)</t>
  </si>
  <si>
    <t>KS5_B3PTSE_B3</t>
  </si>
  <si>
    <t>B3PTSE_B3</t>
  </si>
  <si>
    <t>Points in best (up to) 3 A levels (not AS levels) divided by 3</t>
  </si>
  <si>
    <t>KS5_INCLUDE_AAB</t>
  </si>
  <si>
    <t>INCLUDE_AAB</t>
  </si>
  <si>
    <t>AAB measure: flag to include in measure</t>
  </si>
  <si>
    <t>KS5_ENTRIES_ALEV_AAB</t>
  </si>
  <si>
    <t>ENTRIES_ALEV_AAB</t>
  </si>
  <si>
    <t>Number of A level (not AS level or applied) entries for AAB measure</t>
  </si>
  <si>
    <t>0,1,2,3,4,5,6,7,8,9</t>
  </si>
  <si>
    <t>KS5_A_FAC_AAB</t>
  </si>
  <si>
    <t>A_FAC_AAB</t>
  </si>
  <si>
    <t>Number of A*/A grades achieved at A level in facilitating subjects</t>
  </si>
  <si>
    <t>KS5_B_FAC_AAB</t>
  </si>
  <si>
    <t>B_FAC_AAB</t>
  </si>
  <si>
    <t>Number of B grades achieved at A level in facilitating subjects</t>
  </si>
  <si>
    <t>KS5_A_ALL_AAB</t>
  </si>
  <si>
    <t>A_ALL_AAB</t>
  </si>
  <si>
    <t>Number of A*/A grades achieved at A level</t>
  </si>
  <si>
    <t>KS5_B_ALL_AAB</t>
  </si>
  <si>
    <t>B_ALL_AAB</t>
  </si>
  <si>
    <t>Number of B grades achieved at A level</t>
  </si>
  <si>
    <t>KS5_AAB_FAC</t>
  </si>
  <si>
    <t>AAB_FAC</t>
  </si>
  <si>
    <t>Flag to say student has achieved AAB including 2 facilitating subjects in A levels only</t>
  </si>
  <si>
    <t>0 (not achieved); 1 (achieved)</t>
  </si>
  <si>
    <t>KS5_EXTPROJ_ACHIEVED</t>
  </si>
  <si>
    <t>EXTPROJ_ACHIEVED</t>
  </si>
  <si>
    <t>Flag to say student has achieved the Extended project component of the Tech Bacc</t>
  </si>
  <si>
    <t>KS5_COREMATHS_ACHIEVED</t>
  </si>
  <si>
    <t>COREMATHS_ACHIEVED</t>
  </si>
  <si>
    <t>Flag to say student has achieved the Core maths component of the Tech Bacc</t>
  </si>
  <si>
    <t>KS5_TLEV_ACHIEVED</t>
  </si>
  <si>
    <t>TLEV_ACHIEVED</t>
  </si>
  <si>
    <t>Flag to say student has achieved the Tech level component of the Tech Bacc</t>
  </si>
  <si>
    <t>KS5_TECH_BACC</t>
  </si>
  <si>
    <t>TECH_BACC</t>
  </si>
  <si>
    <t>Flag to say student has achieved the TechBacc</t>
  </si>
  <si>
    <t>KS5_TLEV_NODISC</t>
  </si>
  <si>
    <t>TLEV_NODISC</t>
  </si>
  <si>
    <t>Student belongs to non-discounted TLEV cohort</t>
  </si>
  <si>
    <t>KS5_TLEV_DENOM</t>
  </si>
  <si>
    <t>TLEV_DENOM</t>
  </si>
  <si>
    <t>Student belongs to non-discounted TLEV cohort not including AGEN</t>
  </si>
  <si>
    <t>KS5_AGEN_NODISC</t>
  </si>
  <si>
    <t>AGEN_NODISC</t>
  </si>
  <si>
    <t>Student belongs to non-discounted AGEN cohort</t>
  </si>
  <si>
    <t>KS5_AGEN_DENOM</t>
  </si>
  <si>
    <t>AGEN_DENOM</t>
  </si>
  <si>
    <t>Student belongs to non-discounted AGEN cohort not including TLEV</t>
  </si>
  <si>
    <t>KS5_PRIOR_PTS_E</t>
  </si>
  <si>
    <t>PRIOR_pts_E</t>
  </si>
  <si>
    <t>Highest pts by KS4 in English quals under PRIOR_E flag</t>
  </si>
  <si>
    <t>0.000,1.000,2.000,3.000,4.000,5.000,6.000,7.000,8.000 , NULL</t>
  </si>
  <si>
    <t>KS5_NAT_BASE_PTS_E</t>
  </si>
  <si>
    <t>NAT_BASE_pts_E</t>
  </si>
  <si>
    <t>Highest pts by KS4 in English quals under BASE_E flag (but excluding quals where GRADE = D and LITERATURE = 1)</t>
  </si>
  <si>
    <t>0.000 to 8.000 and NULL</t>
  </si>
  <si>
    <t>KS5_NAT_PRIOR_BUCKET_E</t>
  </si>
  <si>
    <t>NAT_PRIOR_BUCKET_E</t>
  </si>
  <si>
    <t>NAT_BASE_pts_E grouped into attainment buckets</t>
  </si>
  <si>
    <t>null, no passes, below G, G, between F and G, F, between E and F, E, between D and E, D, between C and D, C, between B and C, B, between A and B, A, between A* and A, A*, 99</t>
  </si>
  <si>
    <t>KS5_NAT_SCOPE_E</t>
  </si>
  <si>
    <t>NAT_SCOPE_E</t>
  </si>
  <si>
    <t>Student in scope for English headline measure</t>
  </si>
  <si>
    <t>0 (not in scope); 1 (in scope)</t>
  </si>
  <si>
    <t>KS5_NAT_EXCLUDE_E</t>
  </si>
  <si>
    <t>NAT_EXCLUDE_E</t>
  </si>
  <si>
    <t>Students excluded from measure because NAT_BASE_pts_E is null (not 0, that is allowed)</t>
  </si>
  <si>
    <t>0 (not excluded); 1 (exclude)</t>
  </si>
  <si>
    <t>KS5_KS4_YEAR_CALC</t>
  </si>
  <si>
    <t>KS4_YEAR_CALC</t>
  </si>
  <si>
    <t>KS4_YEAR amended to be consistent with ReportYearFlag_0,_1,_2</t>
  </si>
  <si>
    <t>2011,2012,2013,2014,2015 etc</t>
  </si>
  <si>
    <t>KS5_KS4_YEAR_EM</t>
  </si>
  <si>
    <t>KS4_YEAR_EM</t>
  </si>
  <si>
    <t>2015/16  only</t>
  </si>
  <si>
    <t>KS5_NAT_BEST_E_2</t>
  </si>
  <si>
    <t>NAT_BEST_E_2</t>
  </si>
  <si>
    <t>Highest pts in _2 under the PROGRESS_E_2 derived flag (if _2 after KS_YEAR_EM)</t>
  </si>
  <si>
    <t>KS5_NAT_BEST_E_1</t>
  </si>
  <si>
    <t>NAT_BEST_E_1</t>
  </si>
  <si>
    <t>Highest pts in _1 under the PROGRESS_E_1 derived flag (if _1 is after KS_YEAR_EM)</t>
  </si>
  <si>
    <t>KS5_NAT_BEST_E_0</t>
  </si>
  <si>
    <t>NAT_BEST_E_0</t>
  </si>
  <si>
    <t>Highest pts in _0 under the PROGRESS_E_0 derived flag (if _0 is after KS_YEAR_EM)</t>
  </si>
  <si>
    <t>KS5_SCOPE_E</t>
  </si>
  <si>
    <t>SCOPE_E</t>
  </si>
  <si>
    <t>Whether student remains in scope for English headline measure when accounting for new attainment post-KS4 in a different institution</t>
  </si>
  <si>
    <t>KS5_BASE_PTS_E</t>
  </si>
  <si>
    <t>BASE_pts_E</t>
  </si>
  <si>
    <t>Revised baseline for English progress calculation, accounting for new attainment post-KS4 in a different institution</t>
  </si>
  <si>
    <t>0.000 to 4.000, NULL</t>
  </si>
  <si>
    <t>KS5_BEST_E</t>
  </si>
  <si>
    <t>BEST_E</t>
  </si>
  <si>
    <t>Subset of  NAT_BEST_E_0,_1,_2, only including results where particular year including in line with COND value</t>
  </si>
  <si>
    <t>KS5_PROGRESS_E</t>
  </si>
  <si>
    <t>PROGRESS_E</t>
  </si>
  <si>
    <t>As per NAT_PROG_E except based on BEST_E and BASE_pts_E (and re-checking student still in scope using SCOPE_E)</t>
  </si>
  <si>
    <t xml:space="preserve"> -1.000 to 8.000, NULL</t>
  </si>
  <si>
    <t>KS5_ONAPPREN</t>
  </si>
  <si>
    <t>ONAPPREN</t>
  </si>
  <si>
    <t>Student is on apprenticeship</t>
  </si>
  <si>
    <t>0,1,2</t>
  </si>
  <si>
    <t>KS5_EXEMPT_E_0</t>
  </si>
  <si>
    <t>EXEMPT_E_0</t>
  </si>
  <si>
    <t>Exempt for English progress measure due to LDD or international priror attainment according to EFA  (=1) or condition of funding does not apply (=2) ; else when not exempt or no data (=0)</t>
  </si>
  <si>
    <t>KS5_EXEMPT_E_1</t>
  </si>
  <si>
    <t>EXEMPT_E_1</t>
  </si>
  <si>
    <t>KS5_EXEMPT_E_2</t>
  </si>
  <si>
    <t>EXEMPT_E_2</t>
  </si>
  <si>
    <t>Exempt for English progress measure in RY -2 due to LDD or international prior attainment according to EFA  (=1) or condition of funding does not apply (=2) ; else when not exempt or no data (=0)</t>
  </si>
  <si>
    <t>KS5_EXEMPT_E</t>
  </si>
  <si>
    <t>EXEMPT_E</t>
  </si>
  <si>
    <t>Checks EXEMPT_E_0,1,2 to determine whether student is Exempt for English progress measure due to LDD or international prior attainment according to EFA  (=1) or condition of funding does not apply (=2) ; else when not exempt or no data (=0)</t>
  </si>
  <si>
    <t>KS5_PROG_EXEMPT_E</t>
  </si>
  <si>
    <t>PROG_EXEMPT_E</t>
  </si>
  <si>
    <t>Checks for each different COND whether the student should be exempt for the progress / value-added calculation. Default position is to use the value in PROGRESS_E but this value can be overridden to NULL if the student should be exempted.</t>
  </si>
  <si>
    <t>KS5_ADDITIONAL_E</t>
  </si>
  <si>
    <t>ADDITIONAL_E</t>
  </si>
  <si>
    <t>Selects highest entry at institution, LA and national level based on 7 conditions for students in scope and  excluded.</t>
  </si>
  <si>
    <t>KS5_NO_ENTRIES_E</t>
  </si>
  <si>
    <t>NO_ENTRIES_E</t>
  </si>
  <si>
    <t>Student in scope for English measure but did not enter any approved exams</t>
  </si>
  <si>
    <t>KS5_PRIOR_PTS_M</t>
  </si>
  <si>
    <t>PRIOR_pts_M</t>
  </si>
  <si>
    <t>Highest pts by KS4 in maths quals under PRIOR_M flag</t>
  </si>
  <si>
    <t>KS5_NAT_BASE_PTS_M</t>
  </si>
  <si>
    <t>NAT_BASE_pts_M</t>
  </si>
  <si>
    <t xml:space="preserve">Highest pts by KS4 in maths quals under BASE_M flag </t>
  </si>
  <si>
    <t>KS5_NAT_PRIOR_BUCKET_M</t>
  </si>
  <si>
    <t>NAT_PRIOR_BUCKET_M</t>
  </si>
  <si>
    <t>NAT_BASE_pts_M grouped into attainment buckets</t>
  </si>
  <si>
    <t xml:space="preserve">null, no passes, below G, G, F and below F, between E and F, E, between D and E, D, between C and D, C, between B and C, B, between A and B, A, between A* and A, A*, 99
</t>
  </si>
  <si>
    <t>KS5_NAT_SCOPE_M</t>
  </si>
  <si>
    <t>NAT_SCOPE_M</t>
  </si>
  <si>
    <t>Student in scope for maths headline measure</t>
  </si>
  <si>
    <t>KS5_NAT_EXCLUDE_M</t>
  </si>
  <si>
    <t>NAT_EXCLUDE_M</t>
  </si>
  <si>
    <t>Students excluded from measure because NAT_BASE_pts_M is null (not 0, that is allowed)</t>
  </si>
  <si>
    <t>KS5_NAT_BEST_M_2</t>
  </si>
  <si>
    <t>NAT_BEST_M_2</t>
  </si>
  <si>
    <t>Highest pts in _2 under the PROGRESS_M_2 derived flag (if _2 after KS_YEAR_EM)</t>
  </si>
  <si>
    <t>KS5_NAT_BEST_M_1</t>
  </si>
  <si>
    <t>NAT_BEST_M_1</t>
  </si>
  <si>
    <t>Highest pts in _1 under the PROGRESS_M_1 derived flag (if _1 is after KS_YEAR_EM)</t>
  </si>
  <si>
    <t>KS5_NAT_BEST_M_0</t>
  </si>
  <si>
    <t>NAT_BEST_M_0</t>
  </si>
  <si>
    <t>Highest pts in _0 under the PROGRESS_M_0 derived flag (if _0 is after KS_YEAR_EM)</t>
  </si>
  <si>
    <t>KS5_SCOPE_M</t>
  </si>
  <si>
    <t>SCOPE_M</t>
  </si>
  <si>
    <t>Whether student remains in scope for maths headline measure when accounting for new attainment post-KS4 in a different institution</t>
  </si>
  <si>
    <t>KS5_BASE_PTS_M</t>
  </si>
  <si>
    <t>BASE_pts_M</t>
  </si>
  <si>
    <t>Revised baseline for maths progress calculation, accounting for new attainment post-KS4 in a different institution</t>
  </si>
  <si>
    <t>KS5_BEST_M</t>
  </si>
  <si>
    <t>BEST_M</t>
  </si>
  <si>
    <t>Subset of  NAT_BEST_M_0,_1,_2, only including results where particular year including in line with COND value</t>
  </si>
  <si>
    <t>KS5_PROGRESS_M</t>
  </si>
  <si>
    <t>PROGRESS_M</t>
  </si>
  <si>
    <t>As per NAT_PROG_M except based on BEST_M and BASE_pts_M (and re-checking student still in scope using SCOPE_M)</t>
  </si>
  <si>
    <t>KS5_EXEMPT_M_0</t>
  </si>
  <si>
    <t>EXEMPT_M_0</t>
  </si>
  <si>
    <t>Exempt for maths progress measure in RY due to: LDD or international prior attainment according to EFA  (=1) or condition of funding does not apply (=2) ; else when not exempt or no data (=0)</t>
  </si>
  <si>
    <t>KS5_EXEMPT_M_1</t>
  </si>
  <si>
    <t>EXEMPT_M_1</t>
  </si>
  <si>
    <t>Exempt for maths progress measure in RY-1 due to: LDD or international prior attainment according to EFA  (=1) or condition of funding does not apply (=2) ; else when not exempt or no data (=0)</t>
  </si>
  <si>
    <t>KS5_EXEMPT_M_2</t>
  </si>
  <si>
    <t>EXEMPT_M_2</t>
  </si>
  <si>
    <t>Exempt for maths progress measure in RY-2 due to: LDD or international prior attainment according to EFA  (=1) or condition of funding does not apply (=2) ; else when not exempt or no data (=0)</t>
  </si>
  <si>
    <t>KS5_EXEMPT_M</t>
  </si>
  <si>
    <t>EXEMPT_M</t>
  </si>
  <si>
    <t>Checks EXEMPT_M_0,1,2 to determine whether student is exempt for maths progress measure due to LDD or international priror attainment according to EFA  (=1) or condition of funding does not apply (=2) ; else when not exempt or no data (=0)</t>
  </si>
  <si>
    <t>KS5_PROG_EXEMPT_M</t>
  </si>
  <si>
    <t>PROG_EXEMPT_M</t>
  </si>
  <si>
    <t>Checks for each different COND whether the student should be exempt for the progress / value-added calculation. Default position is to use the value in PROGRESS_M but this value can be overridden to NULL if the student should be exempted.</t>
  </si>
  <si>
    <t>KS5_ADDITIONAL_M</t>
  </si>
  <si>
    <t>ADDITIONAL_M</t>
  </si>
  <si>
    <t>KS5_NO_ENTRIES_M</t>
  </si>
  <si>
    <t>NO_ENTRIES_M</t>
  </si>
  <si>
    <t>Student in scope for Mathematics measure but did not enter any approved exams</t>
  </si>
  <si>
    <t xml:space="preserve">KS5_T_RES_CA </t>
  </si>
  <si>
    <t xml:space="preserve">T_RES_CA </t>
  </si>
  <si>
    <t>Number of results in Completion and Attainment</t>
  </si>
  <si>
    <t xml:space="preserve">KS5_T_PEN_CA </t>
  </si>
  <si>
    <t xml:space="preserve">T_PEN_CA </t>
  </si>
  <si>
    <t>Number of penalties in Completion and Attainment</t>
  </si>
  <si>
    <t xml:space="preserve">KS5_T_AIMS_CA </t>
  </si>
  <si>
    <t xml:space="preserve">T_AIMS_CA </t>
  </si>
  <si>
    <t>Number of aims in Completion and Attainment</t>
  </si>
  <si>
    <t xml:space="preserve">KS5_T_GRADE_DIFF_CA </t>
  </si>
  <si>
    <t xml:space="preserve">T_GRADE_DIFF_CA </t>
  </si>
  <si>
    <t>Number of grade points difference from national average over all subjects</t>
  </si>
  <si>
    <t>e.g. -2.00000000</t>
  </si>
  <si>
    <t>KS5_T_RES_TLEV</t>
  </si>
  <si>
    <t>T_RES_TLEV</t>
  </si>
  <si>
    <t>Number of tech level results in Completion and Attainment</t>
  </si>
  <si>
    <t>KS5_T_PEN_TLEV</t>
  </si>
  <si>
    <t>T_PEN_TLEV</t>
  </si>
  <si>
    <t>Number of tech level penalties in Completion and Attainment</t>
  </si>
  <si>
    <t>KS5_T_AIMS_TLEV</t>
  </si>
  <si>
    <t>T_AIMS_TLEV</t>
  </si>
  <si>
    <t>Number of tech level aims in Completion and Attainment</t>
  </si>
  <si>
    <t>KS5_T_SIZE_TLEV</t>
  </si>
  <si>
    <t>T_SIZE_TLEV</t>
  </si>
  <si>
    <t>Total size of tech level aims in Completion and Attainment</t>
  </si>
  <si>
    <t>KS5_T_POINTS_DIFF_TLEV</t>
  </si>
  <si>
    <t>T_POINTS_DIFF_TLEV</t>
  </si>
  <si>
    <t>Number of points difference from national average over all tech level subjects</t>
  </si>
  <si>
    <t>KS5_INSCOPE_ACAD_RET</t>
  </si>
  <si>
    <t>InScope_ACAD_Ret</t>
  </si>
  <si>
    <t>In scope for retention measure where core aim is an academic qualification</t>
  </si>
  <si>
    <t>0 (not in scope); 1,2,3 (in scope)</t>
  </si>
  <si>
    <t>KS5_INSCOPE_TLEV_RET</t>
  </si>
  <si>
    <t>InScope_TLEV_Ret</t>
  </si>
  <si>
    <t>In scope for retention measure where core aim is a tech level qualification</t>
  </si>
  <si>
    <t>KS5_INSCOPE_AGEN_RET</t>
  </si>
  <si>
    <t>InScope_AGEN_Ret</t>
  </si>
  <si>
    <t>In scope for retention measure where core aim is an applied general qualification</t>
  </si>
  <si>
    <t>KS5_INSCOPE_ALEV_RET</t>
  </si>
  <si>
    <t>InScope_ALEV_Ret</t>
  </si>
  <si>
    <t>In scope for retention measure where core aim is an A-level programme</t>
  </si>
  <si>
    <t>KS5_RETAINED_ACAD_RET</t>
  </si>
  <si>
    <t>Retained_ACAD_Ret</t>
  </si>
  <si>
    <t>Completed academic core aim</t>
  </si>
  <si>
    <t>KS5_RETAINED_TLEV_RET</t>
  </si>
  <si>
    <t>Retained_TLEV_Ret</t>
  </si>
  <si>
    <t>Completed tech level core aim</t>
  </si>
  <si>
    <t>0 (not completed); 1,2,3 (completed)</t>
  </si>
  <si>
    <t>KS5_RETAINED_AGEN_RET</t>
  </si>
  <si>
    <t>Retained_AGEN_Ret</t>
  </si>
  <si>
    <t>Completed applied general core aim</t>
  </si>
  <si>
    <t>KS5_RETAINED_ALEV_RET</t>
  </si>
  <si>
    <t>Retained_ALEV_Ret</t>
  </si>
  <si>
    <t>Completed A-level core aim</t>
  </si>
  <si>
    <t>KS5_GRADE_A3_ALL</t>
  </si>
  <si>
    <t>GRADE_A3_ALL</t>
  </si>
  <si>
    <t>Student achieved 3 or more A*/A grades at A level, applied A level single award, applied A level double award or applied A level/AS level combined award</t>
  </si>
  <si>
    <t>KS5_GRADE_AAB_ALL</t>
  </si>
  <si>
    <t>GRADE_AAB_ALL</t>
  </si>
  <si>
    <t>Student achieved at least 3 A levels at grades AAB or better: includes A level, applied A level single award, applied A level double award and applied A level/AS level combined award</t>
  </si>
  <si>
    <t>Unique reference number of provider. This variable has been pseudonymised in line with the impact of COVID19 on DfE data sharing (See COVID19 Impact worksheet) and/or the requirements of Digital Economy Act in relation to a body corporate.</t>
  </si>
  <si>
    <t>000001-999999</t>
  </si>
  <si>
    <t>KS5_TechCert</t>
  </si>
  <si>
    <t>TechCert</t>
  </si>
  <si>
    <t>Technical Certificate cohort flag</t>
  </si>
  <si>
    <t>KS5_TOTPTSE_TechCert</t>
  </si>
  <si>
    <t>TOTPTSE_TechCert</t>
  </si>
  <si>
    <t>Sum of points in Technical Certificate qualifications</t>
  </si>
  <si>
    <t>KS5_TOTENTS_TechCert</t>
  </si>
  <si>
    <t>TOTENTS_TechCert</t>
  </si>
  <si>
    <t>Total entries in Technical Certificate qualifications</t>
  </si>
  <si>
    <t>KS5_L2VOC</t>
  </si>
  <si>
    <t>L2VOC</t>
  </si>
  <si>
    <t>2016/17 - 2018/19</t>
  </si>
  <si>
    <t>Vocational qualifications at level 2 cohort flag</t>
  </si>
  <si>
    <t>KS5_TOTPTSE_L2VOC</t>
  </si>
  <si>
    <t>TOTPTSE_L2VOC</t>
  </si>
  <si>
    <t>Sum of points in vocational qualifications at level 2</t>
  </si>
  <si>
    <t>KS5_TOTENTS_L2VOC</t>
  </si>
  <si>
    <t>TOTENTS_L2VOC</t>
  </si>
  <si>
    <t>Total entries in vocational qualification at level 2</t>
  </si>
  <si>
    <t>KS5_L3_flag</t>
  </si>
  <si>
    <t>L3_flag</t>
  </si>
  <si>
    <t>Member of L3 attainment cohort</t>
  </si>
  <si>
    <t>KS5_TechCert_nodisc</t>
  </si>
  <si>
    <t>TechCert_nodisc</t>
  </si>
  <si>
    <t>Tech Cert measure numerator</t>
  </si>
  <si>
    <t>KS5_L2VOC_nodisc</t>
  </si>
  <si>
    <t>L2VOC_nodisc</t>
  </si>
  <si>
    <t>Tech Cert measure denominator</t>
  </si>
  <si>
    <t>KS5_L2_Flag</t>
  </si>
  <si>
    <t>L2_Flag</t>
  </si>
  <si>
    <t>Member of L2 attainment cohort</t>
  </si>
  <si>
    <t>KS5_NAT_SCOPE_L3M</t>
  </si>
  <si>
    <t>NAT_SCOPE_L3M</t>
  </si>
  <si>
    <t>Student in scope for L3 maths measure</t>
  </si>
  <si>
    <t>KS5_NAT_SCOPE_TechBacc</t>
  </si>
  <si>
    <t>NAT_SCOPE_TechBacc</t>
  </si>
  <si>
    <t>Student has a TechBath_maths qual from KS4 (potentially moves student out of scope)</t>
  </si>
  <si>
    <t>KS5_NAT_BEST_L3M_2</t>
  </si>
  <si>
    <t>NAT_BEST_L3M_2</t>
  </si>
  <si>
    <t>Student achieved TechBacc maths qual in _2  (if _2 after KS4_YEAR_CALC)</t>
  </si>
  <si>
    <t>KS5_NAT_BEST_L3M_1</t>
  </si>
  <si>
    <t>NAT_BEST_L3M_1</t>
  </si>
  <si>
    <t>Student achieved TechBacc maths qual in _1  (if _1 after KS4_YEAR_CALC)</t>
  </si>
  <si>
    <t>KS5_NAT_BEST_L3M_0</t>
  </si>
  <si>
    <t>NAT_BEST_L3M_0</t>
  </si>
  <si>
    <t>Student achieved TechBacc maths qual in _0  (if _0 after KS4_YEAR_CALC)</t>
  </si>
  <si>
    <t>KS5_BEST_L3M</t>
  </si>
  <si>
    <t>BEST_L3M</t>
  </si>
  <si>
    <t>Subset of  NAT_BEST_L3M_2,_1,_0; only including results where particular year included in line with COND value</t>
  </si>
  <si>
    <t>KS5_SCOPE_L3M</t>
  </si>
  <si>
    <t>SCOPE_L3M</t>
  </si>
  <si>
    <t>Whether student remains in scope for L3 maths measure when accounting for (i) prior attainment of TechBacc maths in KS4 but not repeated post-16, (ii) attainment post-KS4 in an earlier [different] institution</t>
  </si>
  <si>
    <t>KS5_ACH_L3M</t>
  </si>
  <si>
    <t>ACH_L3M</t>
  </si>
  <si>
    <t>Flag students in scope for measure who achieved approved L3 maths</t>
  </si>
  <si>
    <t>KS5_T_RES_L2VOC</t>
  </si>
  <si>
    <t>T_RES_L2VOC</t>
  </si>
  <si>
    <t>Number of level 2 vocational or tech cert results in Completion and Attainment</t>
  </si>
  <si>
    <t>KS5_T_PEN_L2VOC</t>
  </si>
  <si>
    <t>T_PEN_L2VOC</t>
  </si>
  <si>
    <t>Number of level 2 vocational or tech cert penalties in Completion and Attainment</t>
  </si>
  <si>
    <t>KS5_T_AIMS_L2VOC</t>
  </si>
  <si>
    <t>T_AIMS_L2VOC</t>
  </si>
  <si>
    <t>Number of level 2 vocational or tech cert aims in Completion and Attainment</t>
  </si>
  <si>
    <t>KS5_T_SIZE_L2VOC</t>
  </si>
  <si>
    <t>T_SIZE_L2VOC</t>
  </si>
  <si>
    <t>Total size of level 2 vocational or tech cert aims in Completion and Attainment</t>
  </si>
  <si>
    <t>KS5_T_POINTS_DIFF_L2VOC</t>
  </si>
  <si>
    <t>T_POINTS_DIFF_L2VOC</t>
  </si>
  <si>
    <t>Number of points difference from national average over all level 2 vocational or tech cert subjects</t>
  </si>
  <si>
    <t>e.g. -2.00000000 9999.99</t>
  </si>
  <si>
    <t>KS5_T_RES_TechCert</t>
  </si>
  <si>
    <t>T_RES_TechCert</t>
  </si>
  <si>
    <t>Number of tech cert results in Completion and Attainment</t>
  </si>
  <si>
    <t>KS5_T_PEN_TechCert</t>
  </si>
  <si>
    <t>T_PEN_TechCert</t>
  </si>
  <si>
    <t>Number of tech cert penalties in Completion and Attainment</t>
  </si>
  <si>
    <t>KS5_T_AIMS_TechCert</t>
  </si>
  <si>
    <t>T_AIMS_TechCert</t>
  </si>
  <si>
    <t>Number of tech cert aims in Completion and Attainment</t>
  </si>
  <si>
    <t>KS5_T_SIZE_TechCert</t>
  </si>
  <si>
    <t>T_SIZE_TechCert</t>
  </si>
  <si>
    <t>Total size of tech cert aims in Completion and Attainment</t>
  </si>
  <si>
    <t>KS5_T_POINTS_DIFF_TechCert</t>
  </si>
  <si>
    <t>T_POINTS_DIFF_TechCert</t>
  </si>
  <si>
    <t>Number of points difference from national average over all tech cert subjects</t>
  </si>
  <si>
    <t>KS5_InScope_L2VOC_Ret</t>
  </si>
  <si>
    <t>InScope_L2VOC_Ret</t>
  </si>
  <si>
    <t>In scope for retention measure where core aim is a level 2 programme</t>
  </si>
  <si>
    <t>0 (Not Included) ; 1,2,3 (Included)</t>
  </si>
  <si>
    <t>KS5_InScope_TechCert_Ret</t>
  </si>
  <si>
    <t>InScope_TechCert_Ret</t>
  </si>
  <si>
    <t>In scope for retention measure where core aim is a tech cert programme</t>
  </si>
  <si>
    <t>KS5_Retained_L2VOC_Ret</t>
  </si>
  <si>
    <t>Retained_L2VOC_Ret</t>
  </si>
  <si>
    <t>Completed a level 2 aim</t>
  </si>
  <si>
    <t>0 (Not Included) ; 1,2,3 (Retained)</t>
  </si>
  <si>
    <t>KS5_Retained_TechCert_Ret</t>
  </si>
  <si>
    <t>Retained_TechCert_Ret</t>
  </si>
  <si>
    <t>Completed a tech cert aim</t>
  </si>
  <si>
    <t>KS5_Ret_Assessed_ACAD</t>
  </si>
  <si>
    <t>Ret_Assessed_ACAD</t>
  </si>
  <si>
    <t>Retained and assessed with an academic core aim</t>
  </si>
  <si>
    <t>KS5_Ret_Assessed_TLEV</t>
  </si>
  <si>
    <t>Ret_Assessed_TLEV</t>
  </si>
  <si>
    <t>Retained and assessed with a tech level core aim</t>
  </si>
  <si>
    <t>KS5_Ret_Assessed_AGEN</t>
  </si>
  <si>
    <t>Ret_Assessed_AGEN</t>
  </si>
  <si>
    <t>Retained and assessed with an applied general core aim</t>
  </si>
  <si>
    <t>KS5_Ret_Assessed_ALEV</t>
  </si>
  <si>
    <t>Ret_Assessed_ALEV</t>
  </si>
  <si>
    <t>Retained and assessed with an A-level core aim</t>
  </si>
  <si>
    <t>KS5_Ret_Assessed_TechCert</t>
  </si>
  <si>
    <t>Ret_Assessed_TechCert</t>
  </si>
  <si>
    <t>Retained and assessed with a tech cert aim</t>
  </si>
  <si>
    <t>KS5_Ret_Assessed_L2VOC</t>
  </si>
  <si>
    <t>Ret_Assessed_L2VOC</t>
  </si>
  <si>
    <t>Retained and assessed with a level 2 vocational aim</t>
  </si>
  <si>
    <t>KS5_InScope_ACAD_2ndYr</t>
  </si>
  <si>
    <t>InScope_ACAD_2ndYr</t>
  </si>
  <si>
    <t>In scope for returned and retained for a second year where core aim is an academic qualification</t>
  </si>
  <si>
    <t>KS5_InScope_TLEV_2ndYr</t>
  </si>
  <si>
    <t>InScope_TLEV_2ndYr</t>
  </si>
  <si>
    <t>In scope for returned and retained for a second year where core aim is a tech level qualification</t>
  </si>
  <si>
    <t>KS5_InScope_AGEN_2ndYr</t>
  </si>
  <si>
    <t>InScope_AGEN_2ndYr</t>
  </si>
  <si>
    <t>In scope for returned and retained for a second year where core aim is an applied general qualification</t>
  </si>
  <si>
    <t>KS5_InScope_ALEV_2ndYr</t>
  </si>
  <si>
    <t>InScope_ALEV_2ndYr</t>
  </si>
  <si>
    <t>In scope for returned and retained for a second year where core aim is an A-level programme</t>
  </si>
  <si>
    <t>KS5_Retained_ACAD_2ndYr</t>
  </si>
  <si>
    <t>Retained_ACAD_2ndYr</t>
  </si>
  <si>
    <t>Retained for a second year with an academic core aim</t>
  </si>
  <si>
    <t>KS5_Retained_TLEV_2ndYr</t>
  </si>
  <si>
    <t>Retained_TLEV_2ndYr</t>
  </si>
  <si>
    <t>Retained for a second year with a tech level core aim</t>
  </si>
  <si>
    <t>KS5_Retained_AGEN_2ndYr</t>
  </si>
  <si>
    <t>Retained_AGEN_2ndYr</t>
  </si>
  <si>
    <t>Retained for a second year with an applied general core aim</t>
  </si>
  <si>
    <t>KS5_Retained_ALEV_2ndYr</t>
  </si>
  <si>
    <t>Retained_ALEV_2ndYr</t>
  </si>
  <si>
    <t>Retained for a second year with an A-level core aim</t>
  </si>
  <si>
    <t>KS5_AMDFLAG_0</t>
  </si>
  <si>
    <t>AMDFLAG_0</t>
  </si>
  <si>
    <t>Amendment flag (for current reporting year)</t>
  </si>
  <si>
    <t>eg: 0, A, NR</t>
  </si>
  <si>
    <t>KS5_TOTPTSE_VQ</t>
  </si>
  <si>
    <t>TOTPTSE_VQ</t>
  </si>
  <si>
    <t>Total point score of student's  awards for vocational qualifications</t>
  </si>
  <si>
    <t>KS5_AGRADE_ALEV</t>
  </si>
  <si>
    <t>AGRADE_ALEV</t>
  </si>
  <si>
    <t>2011/12 - 2014/15</t>
  </si>
  <si>
    <t>Number of A*/A grades achieved at GCE A level only (in facilitating subjects)</t>
  </si>
  <si>
    <t>0-99</t>
  </si>
  <si>
    <t>KS5_BGRADE_ALEV</t>
  </si>
  <si>
    <t>BGRADE_ALEV</t>
  </si>
  <si>
    <t>Number of B grades achieved at GCE A level only (in facilitating subjects)</t>
  </si>
  <si>
    <t>KS5_GRADEAAB</t>
  </si>
  <si>
    <t>GRADEAAB</t>
  </si>
  <si>
    <t>Student achieved 3 GCE A levels at grades AAB or higher in facilitating subjects</t>
  </si>
  <si>
    <t>KS5_AGRADE_ALEV2</t>
  </si>
  <si>
    <t>AGRADE_ALEV2</t>
  </si>
  <si>
    <t>Number of A*/A grades achieved at GCE A level only</t>
  </si>
  <si>
    <t>KS5_BGRADE_ALEV2</t>
  </si>
  <si>
    <t>BGRADE_ALEV2</t>
  </si>
  <si>
    <t>Number of B grades achieved at GCE A level only</t>
  </si>
  <si>
    <t>KS5_GRADEAAB2</t>
  </si>
  <si>
    <t>GRADEAAB2</t>
  </si>
  <si>
    <t>Student achieved 3 GCE A levels at grades AAB or higher with 2 in facilitating subjects</t>
  </si>
  <si>
    <t>KS5_LEV3THRESH_ALEV</t>
  </si>
  <si>
    <t>LEV3THRESH_ALEV</t>
  </si>
  <si>
    <t>Student achievement against level 3 threshold in 'A level quals'</t>
  </si>
  <si>
    <t>KS5_LEV3THRESH_ACAD</t>
  </si>
  <si>
    <t>LEV3THRESH_ACAD</t>
  </si>
  <si>
    <t>Student achievement against level 3 threshold in 'academic quals'</t>
  </si>
  <si>
    <t>KS5_LEV3THRESH_VQ</t>
  </si>
  <si>
    <t>LEV3THRESH_VQ</t>
  </si>
  <si>
    <t>Student achievement against level 3 threshold in 'vocational qualifications'</t>
  </si>
  <si>
    <t>KS5_PASS1LV3_ALEV</t>
  </si>
  <si>
    <t>PASS1LV3_ALEV</t>
  </si>
  <si>
    <t>Student achieved equivalent of 1 A level in 'A level quals'</t>
  </si>
  <si>
    <t>KS5_PASS2LV3_ALEV</t>
  </si>
  <si>
    <t>PASS2LV3_ALEV</t>
  </si>
  <si>
    <t>Student achieved equivalent of 2 A levels in 'A level quals'</t>
  </si>
  <si>
    <t>KS5_PASS3LV3_ALEV</t>
  </si>
  <si>
    <t>PASS3LV3_ALEV</t>
  </si>
  <si>
    <t>Student achieved equivalent of 3 A levels in 'A level quals'</t>
  </si>
  <si>
    <t>KS5_PASS1LV3_ACAD</t>
  </si>
  <si>
    <t>PASS1LV3_ACAD</t>
  </si>
  <si>
    <t>Student achieved equivalent of 1 A level in 'academic quals'</t>
  </si>
  <si>
    <t>KS5_PASS2LV3_ACAD</t>
  </si>
  <si>
    <t>PASS2LV3_ACAD</t>
  </si>
  <si>
    <t>Student achieved equivalent of 2 A levels in 'academic quals'</t>
  </si>
  <si>
    <t>KS5_PASS3LV3_ACAD</t>
  </si>
  <si>
    <t>PASS3LV3_ACAD</t>
  </si>
  <si>
    <t>Student achieved equivalent of 3 A levels in 'academic quals'</t>
  </si>
  <si>
    <t>KS5_PASS1LV3_VQ</t>
  </si>
  <si>
    <t>PASS1LV3_VQ</t>
  </si>
  <si>
    <t>Student achieved equivalent of 1 A level in 'vocational qualifications'</t>
  </si>
  <si>
    <t>KS5_PASS2LV3_VQ</t>
  </si>
  <si>
    <t>PASS2LV3_VQ</t>
  </si>
  <si>
    <t>Student achieved equivalent of 2 A levels in 'vocational qualifications'</t>
  </si>
  <si>
    <t>KS5_PASS3LV3_VQ</t>
  </si>
  <si>
    <t>PASS3LV3_VQ</t>
  </si>
  <si>
    <t>Student achieved equivalent of 3 A levels in 'vocational qualifications'</t>
  </si>
  <si>
    <t>KS5_ACAD</t>
  </si>
  <si>
    <t>ACAD</t>
  </si>
  <si>
    <t>Candidate entered for "Academic" Award equivalent to at least 1 A Level in size, in reporting year summer</t>
  </si>
  <si>
    <t>KS5_VQ</t>
  </si>
  <si>
    <t>VQ</t>
  </si>
  <si>
    <t>Candidate awarded a "Vocational" Award equivalent to at least 1 A Level in size in reporting year summer</t>
  </si>
  <si>
    <t>KS5_VQPRO</t>
  </si>
  <si>
    <t>VQPRO</t>
  </si>
  <si>
    <t>Vocational proportion</t>
  </si>
  <si>
    <t>KS5_ACADPRO</t>
  </si>
  <si>
    <t>ACADPRO</t>
  </si>
  <si>
    <t>Academic proportion</t>
  </si>
  <si>
    <t>KS5_ALEVPRO</t>
  </si>
  <si>
    <t>ALEVPRO</t>
  </si>
  <si>
    <t>A level proportion</t>
  </si>
  <si>
    <t>KS5_QROUTE</t>
  </si>
  <si>
    <t>QROUTE</t>
  </si>
  <si>
    <t>qroute</t>
  </si>
  <si>
    <t>2006/07 - 2014/15</t>
  </si>
  <si>
    <t>Qualification route taken by student (i.e. largest volume of entries).</t>
  </si>
  <si>
    <t xml:space="preserve">1 = International Baccalaureate Route 
2 = Applied A Level 
3 = BTEC/OCR 
4 = NVQ/VRQ 
5 = A level Route 
6 = Other Route </t>
  </si>
  <si>
    <t>KS5_QROUTEGS</t>
  </si>
  <si>
    <t>QROUTEGS</t>
  </si>
  <si>
    <t>Qualification route taken by student with General Studies A/AS Level excluded</t>
  </si>
  <si>
    <t>KS5_POINTS_GA</t>
  </si>
  <si>
    <t>POINTS_GA</t>
  </si>
  <si>
    <t>pts_ga</t>
  </si>
  <si>
    <t>Points score contribution made by GCE A Levels.</t>
  </si>
  <si>
    <t>KS5_POINTS_GAS</t>
  </si>
  <si>
    <t>POINTS_GAS</t>
  </si>
  <si>
    <t>pts_gas</t>
  </si>
  <si>
    <t>Points score contribution made by GCE AS Levels.</t>
  </si>
  <si>
    <t>KS5_POINTS_GDAS</t>
  </si>
  <si>
    <t>POINTS_GDAS</t>
  </si>
  <si>
    <t>pts_gdas</t>
  </si>
  <si>
    <t>Points score contribution made by GCE AS Double Award Levels.</t>
  </si>
  <si>
    <t>KS5_POINTS_VA</t>
  </si>
  <si>
    <t>POINTS_VA</t>
  </si>
  <si>
    <t>pts_va</t>
  </si>
  <si>
    <t xml:space="preserve">2001/02 - 2007/08 </t>
  </si>
  <si>
    <t>Points score contribution made by VCE A Levels.</t>
  </si>
  <si>
    <t>KS5_POINTS_VGAA</t>
  </si>
  <si>
    <t>POINTS_VGAA</t>
  </si>
  <si>
    <t>Points score contribution made by VCE/GCE Applied A Levels.</t>
  </si>
  <si>
    <t>KS5_POINTS_VDA</t>
  </si>
  <si>
    <t>POINTS_VDA</t>
  </si>
  <si>
    <t>pts_vda</t>
  </si>
  <si>
    <t>Points score contribution made by VCE Double Award Levels.</t>
  </si>
  <si>
    <t>KS5_POINTS_VGADA</t>
  </si>
  <si>
    <t>POINTS_VGADA</t>
  </si>
  <si>
    <t>Points score contribution made by VCE/GCE Applied Double Award Levels.</t>
  </si>
  <si>
    <t>KS5_POINTS_VAS</t>
  </si>
  <si>
    <t>POINTS_VAS</t>
  </si>
  <si>
    <t>pts_vas</t>
  </si>
  <si>
    <t>Points score contribution made by VCE AS Levels.</t>
  </si>
  <si>
    <t>KS5_POINTS_VGAAS</t>
  </si>
  <si>
    <t>POINTS_VGAAS</t>
  </si>
  <si>
    <t>Points score contribution made by VCE/GCE Applied AS Levels.</t>
  </si>
  <si>
    <t>KS5_POINTS_K3</t>
  </si>
  <si>
    <t>POINTS_K3</t>
  </si>
  <si>
    <t>pts_ksl3</t>
  </si>
  <si>
    <t>Points score contribution made by Key Skills at Level 3.</t>
  </si>
  <si>
    <t>KS5_TOTPTSE</t>
  </si>
  <si>
    <t>TOTPTSE</t>
  </si>
  <si>
    <t>totptse</t>
  </si>
  <si>
    <t>Total GCE A Level and equivalent points score based on new QCA points.</t>
  </si>
  <si>
    <t>KS5_TOTPTSEGS</t>
  </si>
  <si>
    <t>TOTPTSEGS</t>
  </si>
  <si>
    <t>Total QCA point score of candidate's entries with General Studies A/AS Levels excluded</t>
  </si>
  <si>
    <t>KS5_TPTSRSGS</t>
  </si>
  <si>
    <t>TPTSRSGS</t>
  </si>
  <si>
    <t>Total re-scaled point score of candidate's entries</t>
  </si>
  <si>
    <t>2004/05 - 2005/06;
2007/08 - 2014/15</t>
  </si>
  <si>
    <t>Total prior attainment point scores</t>
  </si>
  <si>
    <t>Total size of prior attainment</t>
  </si>
  <si>
    <t>KS5_GVOL</t>
  </si>
  <si>
    <t>GVOLKS4</t>
  </si>
  <si>
    <t>2007/08 - 2014/15</t>
  </si>
  <si>
    <t>Volume of KS4 prior attainment - GCSE qualifications only</t>
  </si>
  <si>
    <t>KS5_VVOL</t>
  </si>
  <si>
    <t>VVOLKS4</t>
  </si>
  <si>
    <t>Volume of KS4 prior attainment - non-GCSE qualifications</t>
  </si>
  <si>
    <t>KS5_AVGKS4</t>
  </si>
  <si>
    <t>AVGKS4</t>
  </si>
  <si>
    <t>KS5_AVKS4</t>
  </si>
  <si>
    <t>AVKS4</t>
  </si>
  <si>
    <t>Average prior attainment point score</t>
  </si>
  <si>
    <t>KS5_ENGKS4</t>
  </si>
  <si>
    <t>ENGKS4</t>
  </si>
  <si>
    <t>Average KS4 English point score for CVA</t>
  </si>
  <si>
    <t>KS5_EDFKS4</t>
  </si>
  <si>
    <t>EDFKS4</t>
  </si>
  <si>
    <t>Difference between average KS4 English point score and average prior attainment</t>
  </si>
  <si>
    <t>KS5_MATKS4</t>
  </si>
  <si>
    <t>MATKS4</t>
  </si>
  <si>
    <t>Average KS4 Maths point score for CVA</t>
  </si>
  <si>
    <t>KS5_MDFKS4</t>
  </si>
  <si>
    <t>MDFKS4</t>
  </si>
  <si>
    <t>difference between average KS4 Maths point score and average prior attainment</t>
  </si>
  <si>
    <t>KS5_GRADEAKS4</t>
  </si>
  <si>
    <t>GRADEAKS4</t>
  </si>
  <si>
    <t>Number of GCSE A/A* grades achieved</t>
  </si>
  <si>
    <t>KS5_INCVA</t>
  </si>
  <si>
    <t>Student included in post-16 CVA model</t>
  </si>
  <si>
    <t>KS5_TGAE</t>
  </si>
  <si>
    <t>TGAE</t>
  </si>
  <si>
    <t>Total QCA size of GCE A level entries</t>
  </si>
  <si>
    <t>KS5_TGAEGS</t>
  </si>
  <si>
    <t>TGAEGS</t>
  </si>
  <si>
    <t>Total QCA size of GCE A level entries (General Studies excluded)</t>
  </si>
  <si>
    <t>KS5_TGAS</t>
  </si>
  <si>
    <t>TGAS</t>
  </si>
  <si>
    <t>Total QCA points of GCE A level entries</t>
  </si>
  <si>
    <t>KS5_TGASGS</t>
  </si>
  <si>
    <t>TGASGS</t>
  </si>
  <si>
    <t>Total QCA points of GCE A level entries (General Studies excluded)</t>
  </si>
  <si>
    <t>KS5_TGASE</t>
  </si>
  <si>
    <t>TGASE</t>
  </si>
  <si>
    <t>Total QCA size of GCE AS level entries (including AQA Baccalaureate and Core)</t>
  </si>
  <si>
    <t>KS5_TGASEGS</t>
  </si>
  <si>
    <t>TGASEGS</t>
  </si>
  <si>
    <t>Total QCA size of GCE AS level entries (including AQA Baccalaureate and Core) (General Studies excluded)</t>
  </si>
  <si>
    <t>KS5_TGASS</t>
  </si>
  <si>
    <t>TGASS</t>
  </si>
  <si>
    <t>Total QCA points of GCE AS level entries (including AQA Baccalaureate and Core)</t>
  </si>
  <si>
    <t>KS5_TGASSGS</t>
  </si>
  <si>
    <t>TGASSGS</t>
  </si>
  <si>
    <t>Total QCA points of GCE AS level entries (including AQA Baccalaureate and Core) (General Studies excluded)</t>
  </si>
  <si>
    <t>ks5_TGAEGSO</t>
  </si>
  <si>
    <t>TGAEGSO</t>
  </si>
  <si>
    <t>2009/10 only</t>
  </si>
  <si>
    <t>Total QCA size of GCE A level entries by trigger students in actual year group 13 - adjusted (General Studies only)</t>
  </si>
  <si>
    <t>ks5_TGASGSO</t>
  </si>
  <si>
    <t>TGASGSO</t>
  </si>
  <si>
    <t>Total QCA points of GCE A level entries by trigger students in actual year group 13 - adjusted (General Studies only)</t>
  </si>
  <si>
    <t>ks5_TGASEGSO</t>
  </si>
  <si>
    <t>TGASEGSO</t>
  </si>
  <si>
    <t>Total QCA size of GCE AS level entries by trigger students in actual year group 13 - adjusted (General Studies only)</t>
  </si>
  <si>
    <t>ks5_TGASSGSO</t>
  </si>
  <si>
    <t>TGASSGSO</t>
  </si>
  <si>
    <t>Total QCA points of GCE AS level entries by trigger students in actual year group 13 - adjusted (General Studies only)</t>
  </si>
  <si>
    <t>ks5_TALEVGSEO</t>
  </si>
  <si>
    <t>TALEVGSEO</t>
  </si>
  <si>
    <t>Total QCA size of A Level Route entries (General Studies only)</t>
  </si>
  <si>
    <t>ks5_TALEVGSSO</t>
  </si>
  <si>
    <t>TALEVGSSO</t>
  </si>
  <si>
    <t>KS5_TVAE</t>
  </si>
  <si>
    <t>TVAE</t>
  </si>
  <si>
    <t>Total QCA size of VCE/Applied A level entries</t>
  </si>
  <si>
    <t>KS5_TVAS</t>
  </si>
  <si>
    <t>TVAS</t>
  </si>
  <si>
    <t>Total QCA points of VCE/Applied A level entries</t>
  </si>
  <si>
    <t>KS5_TVASE</t>
  </si>
  <si>
    <t>TVASE</t>
  </si>
  <si>
    <t>Total QCA size of GCE Applied AS level entries (includes extended projects)</t>
  </si>
  <si>
    <t>KS5_TVASS</t>
  </si>
  <si>
    <t>TVASS</t>
  </si>
  <si>
    <t>Total QCA points of GCE Applied AS level entries (includes extended projects)</t>
  </si>
  <si>
    <t>KS5_TVDAE</t>
  </si>
  <si>
    <t>TVDAE</t>
  </si>
  <si>
    <t>Total QCA size of VCE/Applied Double Award entries</t>
  </si>
  <si>
    <t>KS5_TVDAS</t>
  </si>
  <si>
    <t>TVDAS</t>
  </si>
  <si>
    <t>Total QCA points of VCE/Applied Double Award entries</t>
  </si>
  <si>
    <t>KS5_TIBE</t>
  </si>
  <si>
    <t>TIBE</t>
  </si>
  <si>
    <t>Total QCA size of IB entries</t>
  </si>
  <si>
    <t>KS5_TIBS</t>
  </si>
  <si>
    <t>TIBS</t>
  </si>
  <si>
    <t>Total QCA points of IB entries</t>
  </si>
  <si>
    <t>KS5_TBTECE</t>
  </si>
  <si>
    <t>TBTECE</t>
  </si>
  <si>
    <t>Total QCA size of Level 3 BTEC entries</t>
  </si>
  <si>
    <t>KS5_TBTECS</t>
  </si>
  <si>
    <t>TBTECS</t>
  </si>
  <si>
    <t>Total QCA points of Level 3 BTEC entries</t>
  </si>
  <si>
    <t>KS5_TOCRE</t>
  </si>
  <si>
    <t>TOCRE</t>
  </si>
  <si>
    <t>Total QCA size of Level 3 OCR entries</t>
  </si>
  <si>
    <t>KS5_TOCRS</t>
  </si>
  <si>
    <t>TOCRS</t>
  </si>
  <si>
    <t>Total QCA points of Level 3 OCR entries</t>
  </si>
  <si>
    <t>KS5_TKSL3E</t>
  </si>
  <si>
    <t>TKSL3E</t>
  </si>
  <si>
    <t>Total QCA size of Key Skills at Level 3 entries</t>
  </si>
  <si>
    <t>KS5_TKSL3S</t>
  </si>
  <si>
    <t>TKSL3S</t>
  </si>
  <si>
    <t>Total QCA points of Key Skills at Level 3 entries</t>
  </si>
  <si>
    <t>KS5_TNVQE</t>
  </si>
  <si>
    <t>TNVQE</t>
  </si>
  <si>
    <t>Total QCA size of Level 3 NVQ entries</t>
  </si>
  <si>
    <t>KS5_TNVQS</t>
  </si>
  <si>
    <t>TNVQS</t>
  </si>
  <si>
    <t>Total QCA points of Level 3 NVQ entries</t>
  </si>
  <si>
    <t>KS5_TVRQE</t>
  </si>
  <si>
    <t>TVRQE</t>
  </si>
  <si>
    <t>Total QCA size of  Level 3 VRQ entries</t>
  </si>
  <si>
    <t>KS5_TVRQS</t>
  </si>
  <si>
    <t>TVRQS</t>
  </si>
  <si>
    <t>Total QCA points of  Level 3 VRQ entries</t>
  </si>
  <si>
    <t>KS5_TFSME</t>
  </si>
  <si>
    <t>TFSME</t>
  </si>
  <si>
    <t>Total QCA size of Free Standing Maths entries</t>
  </si>
  <si>
    <t>KS5_TFSMS</t>
  </si>
  <si>
    <t>TFSMS</t>
  </si>
  <si>
    <t>Total QCA points of Free Standing Maths entries</t>
  </si>
  <si>
    <t>KS5_TAEAE</t>
  </si>
  <si>
    <t>TAEAE</t>
  </si>
  <si>
    <t>Total QCA size of Advanced Extension Award entries</t>
  </si>
  <si>
    <t>KS5_TAEAS</t>
  </si>
  <si>
    <t>TAEAS</t>
  </si>
  <si>
    <t>Total QCA points of Advanced Extension Award entries</t>
  </si>
  <si>
    <t>KS5_TALEVE</t>
  </si>
  <si>
    <t>TALEVE</t>
  </si>
  <si>
    <t>Total QCA size of A Level Route entries</t>
  </si>
  <si>
    <t>KS5_TALEVS</t>
  </si>
  <si>
    <t>TALEVS</t>
  </si>
  <si>
    <t>Total QCA points of A Level Route entries</t>
  </si>
  <si>
    <t>KS5_TALEVGSE</t>
  </si>
  <si>
    <t>TALEVGSE</t>
  </si>
  <si>
    <t>Total QCA size of A Level Route entries, when General Studies are excluded</t>
  </si>
  <si>
    <t>KS5_TALEVGSS</t>
  </si>
  <si>
    <t>TALEVGSS</t>
  </si>
  <si>
    <t>Total QCA points of A Level Route entries, when General Studies are excluded</t>
  </si>
  <si>
    <t>KS5_TAVCEE</t>
  </si>
  <si>
    <t>TAVCEE</t>
  </si>
  <si>
    <t>Total QCA size of AVCE Route entries</t>
  </si>
  <si>
    <t>KS5_TAVCES</t>
  </si>
  <si>
    <t>TAVCES</t>
  </si>
  <si>
    <t>Total QCA points of AVCE Route entries</t>
  </si>
  <si>
    <t>KS5_TBTOCE</t>
  </si>
  <si>
    <t>TBTOCE</t>
  </si>
  <si>
    <t>Total QCA size of BTEC/OCR Route entries</t>
  </si>
  <si>
    <t>KS5_TBTOCS</t>
  </si>
  <si>
    <t>TBTOCS</t>
  </si>
  <si>
    <t>Total QCA points of BTEC/OCR Route entries</t>
  </si>
  <si>
    <t>KS5_TNVRE</t>
  </si>
  <si>
    <t>TNVRE</t>
  </si>
  <si>
    <t>Total QCA size of NVQ/VQR Route entries</t>
  </si>
  <si>
    <t>KS5_TNVRS</t>
  </si>
  <si>
    <t>TNVRS</t>
  </si>
  <si>
    <t>Total QCA points of NVQ/VQR Route entries</t>
  </si>
  <si>
    <t>KS5_MAXPTGS</t>
  </si>
  <si>
    <t>MAXPTGS</t>
  </si>
  <si>
    <t>Maximum possible QCA points score for the candidate with A/AS Level General Studies at full weight</t>
  </si>
  <si>
    <t>KS5_MAXRSGS</t>
  </si>
  <si>
    <t>MAXRSGS</t>
  </si>
  <si>
    <t>Maximum possible re-scaled points score for the candidate with General Studies A/AS Level at full weight</t>
  </si>
  <si>
    <t>KS5_P45RS</t>
  </si>
  <si>
    <t>P45RS</t>
  </si>
  <si>
    <t>The re-scaled predicted total points score for each student</t>
  </si>
  <si>
    <t>KS5_P45RSCAP</t>
  </si>
  <si>
    <t>P45RSCAP</t>
  </si>
  <si>
    <t>The re-scaled predicted total points score for each student, after capping</t>
  </si>
  <si>
    <t>KS5_P45RSCOR</t>
  </si>
  <si>
    <t>P45RSCOR</t>
  </si>
  <si>
    <t>The re-scaled predicted total points score for each student, corrected for ceiling/floor effects</t>
  </si>
  <si>
    <t>KS5_PRED45RS</t>
  </si>
  <si>
    <t>PRED45RS</t>
  </si>
  <si>
    <t>The final re-scaled predicted total points score for each student, corrected for ceiling/floor effects and with upper and lower capping.</t>
  </si>
  <si>
    <t>KS5_PRED45</t>
  </si>
  <si>
    <t>PRED45</t>
  </si>
  <si>
    <t>The final predicted total points score for each student, transformed back to the QCA points scale.</t>
  </si>
  <si>
    <t>KS5_CVA45U</t>
  </si>
  <si>
    <t>CVA45U</t>
  </si>
  <si>
    <t>The unshrunken contextual value added score for each student</t>
  </si>
  <si>
    <t>KS5_GRADEA_GA</t>
  </si>
  <si>
    <t>GRADEA_GA</t>
  </si>
  <si>
    <t>ga_a</t>
  </si>
  <si>
    <t>Number of GCE A Level qualifications at grade A or A*.</t>
  </si>
  <si>
    <t>KS5_GRADEA_VA</t>
  </si>
  <si>
    <t>GRADEA_VA</t>
  </si>
  <si>
    <t>va_a</t>
  </si>
  <si>
    <t>Number of VCE A Level qualifications at grade A.</t>
  </si>
  <si>
    <t>KS5_GRADEA_VGAA</t>
  </si>
  <si>
    <t>GRADEA_VGAA</t>
  </si>
  <si>
    <t>Number of VCE/GCE Applied A Level qualifications at grade A or A*.</t>
  </si>
  <si>
    <t>KS5_GRADEAA_VDA</t>
  </si>
  <si>
    <t>GRADEAA_VDA</t>
  </si>
  <si>
    <t>vda_aa</t>
  </si>
  <si>
    <t>Number of VCE Double Award Level qualifications at grade AA.</t>
  </si>
  <si>
    <t>KS5_GRADEAA_VGADA</t>
  </si>
  <si>
    <t>GRADEAA_VGADA</t>
  </si>
  <si>
    <t>Number of GCE Applied Double Award Level qualifications at grade AA, A*A or A*A*.</t>
  </si>
  <si>
    <t>KS5_GRADEAB_VDA</t>
  </si>
  <si>
    <t>GRADEAB_VDA</t>
  </si>
  <si>
    <t>vda_ab</t>
  </si>
  <si>
    <t>Number of VCE Double Award Level qualifications at grade AB.</t>
  </si>
  <si>
    <t>KS5_GRADEAB_VGADA</t>
  </si>
  <si>
    <t>GRADEAB_VGADA</t>
  </si>
  <si>
    <t>Number of VCE/GCE Applied Double Award Level qualifications at grade AB.</t>
  </si>
  <si>
    <t>KS5_GRADEA_TOT</t>
  </si>
  <si>
    <t>GRADEA_TOT</t>
  </si>
  <si>
    <t>gda_tot</t>
  </si>
  <si>
    <t>Total number of GCE/GCE Applied A Level qualifications at grade A or A* and GCE Applied Double Award Level qualifications at grade AA, A*A or A*A* (A Level equivalencies).</t>
  </si>
  <si>
    <t>KS5_PASSES_GA</t>
  </si>
  <si>
    <t>PASSES_GA</t>
  </si>
  <si>
    <t>tot_ga</t>
  </si>
  <si>
    <t>Number of passes at GCE A Level.</t>
  </si>
  <si>
    <t>KS5_PASSES_VA</t>
  </si>
  <si>
    <t>PASSES_VA</t>
  </si>
  <si>
    <t>tot_va</t>
  </si>
  <si>
    <t>Number of passes at VCE A Level.</t>
  </si>
  <si>
    <t>KS5_PASSES_VGAA</t>
  </si>
  <si>
    <t>PASSES_VGAA</t>
  </si>
  <si>
    <t>KS5_PASSES_GAS</t>
  </si>
  <si>
    <t>PASSES_GAS</t>
  </si>
  <si>
    <t>tot_gas</t>
  </si>
  <si>
    <t>2001/02 -</t>
  </si>
  <si>
    <t>Number of passes at GCE AS Level.</t>
  </si>
  <si>
    <t>KS5_PASSES_GDAS</t>
  </si>
  <si>
    <t>PASSES_GDAS</t>
  </si>
  <si>
    <t>tot_gdas</t>
  </si>
  <si>
    <t>Number of passes at GCE AS Double Award Level.</t>
  </si>
  <si>
    <t>KS5_PASSES_VAS</t>
  </si>
  <si>
    <t>PASSES_VAS</t>
  </si>
  <si>
    <t>tot_vas</t>
  </si>
  <si>
    <t>Number of passes at VCE AS Level.</t>
  </si>
  <si>
    <t>KS5_PASSES_VGAAS</t>
  </si>
  <si>
    <t>PASSES_VGAAS</t>
  </si>
  <si>
    <t>Number of passes at VCE/GCE Applied AS Level.</t>
  </si>
  <si>
    <t>KS5_PASSES_VDA</t>
  </si>
  <si>
    <t>PASSES_VDA</t>
  </si>
  <si>
    <t>tot_vda</t>
  </si>
  <si>
    <t>Number of passes at VCE Double Award Level.</t>
  </si>
  <si>
    <t>KS5_PASSES_VGADA</t>
  </si>
  <si>
    <t>PASSES_VGADA</t>
  </si>
  <si>
    <t>Number of passes at VCE/GCE Applied Double Award Level.</t>
  </si>
  <si>
    <t>KS5_PASSES_TOT</t>
  </si>
  <si>
    <t>PASSES_TOT</t>
  </si>
  <si>
    <t>tot_pass</t>
  </si>
  <si>
    <t>Total number of GCE/VCE A/AS Level and GCE AS/VCE Double Award Level passes (A Level equivalencies).</t>
  </si>
  <si>
    <t>KS5_GA_BIOLOGY</t>
  </si>
  <si>
    <t>GA_BIOLOGY</t>
  </si>
  <si>
    <t>ga_bio</t>
  </si>
  <si>
    <t>Grade achieved at GCE A Level Biology.</t>
  </si>
  <si>
    <t>A-E and N,Q,U,X</t>
  </si>
  <si>
    <t>KS5_GA_BIOLOGY_HUMAN</t>
  </si>
  <si>
    <t>GA_BIOLOGY_HUMAN</t>
  </si>
  <si>
    <t>ga_hbio</t>
  </si>
  <si>
    <t>Grade achieved at GCE A Level Biology: Human.</t>
  </si>
  <si>
    <t>As for GA_BIOLOGY</t>
  </si>
  <si>
    <t>KS5_GA_CHEMISTRY</t>
  </si>
  <si>
    <t>GA_CHEMISTRY</t>
  </si>
  <si>
    <t>ga_chem</t>
  </si>
  <si>
    <t>Grade achieved at GCE A Level Chemistry.</t>
  </si>
  <si>
    <t>KS5_GA_PHYSICS</t>
  </si>
  <si>
    <t>GA_PHYSICS</t>
  </si>
  <si>
    <t>ga_phys</t>
  </si>
  <si>
    <t>Grade achieved at GCE A Level Physics.</t>
  </si>
  <si>
    <t>KS5_GA_SCIENCE</t>
  </si>
  <si>
    <t>GA_SCIENCE</t>
  </si>
  <si>
    <t>ga_sci</t>
  </si>
  <si>
    <t>Grade achieved at GCE A Level Science: Single award.</t>
  </si>
  <si>
    <t>KS5_GA_ELECTRONICS</t>
  </si>
  <si>
    <t>GA_ELECTRONICS</t>
  </si>
  <si>
    <t>ga_elec</t>
  </si>
  <si>
    <t>Grade achieved at GCE A Level Science: Electronics.</t>
  </si>
  <si>
    <t>KS5_GA_ENV_SCI</t>
  </si>
  <si>
    <t>GA_ENV_SCI</t>
  </si>
  <si>
    <t>ga_envs</t>
  </si>
  <si>
    <t>Grade achieved at GCE A Level Science: Environmental.</t>
  </si>
  <si>
    <t>KS5_GA_GEOLOGY</t>
  </si>
  <si>
    <t>GA_GEOLOGY</t>
  </si>
  <si>
    <t>ga_geol</t>
  </si>
  <si>
    <t>Grade achieved at GCE A Level Science: Geology.</t>
  </si>
  <si>
    <t>KS5_GA_PSYCH_SCI</t>
  </si>
  <si>
    <t>GA_PSYCH_SCI</t>
  </si>
  <si>
    <t>ga_psci</t>
  </si>
  <si>
    <t>Grade achieved at GCE A Level Psychology JMB/NEA.</t>
  </si>
  <si>
    <t>KS5_GA_SCI_PUBLIC</t>
  </si>
  <si>
    <t>GA_SCI_PUBLIC</t>
  </si>
  <si>
    <t>ga_spub</t>
  </si>
  <si>
    <t>Grade achieved at GCE A Level Science for Public Understanding.</t>
  </si>
  <si>
    <t>KS5_GA_MATH</t>
  </si>
  <si>
    <t>GA_MATH</t>
  </si>
  <si>
    <t>ga_math</t>
  </si>
  <si>
    <t>Grade achieved at GCE A Level Mathematics.</t>
  </si>
  <si>
    <t>KS5_GA_MATH_MECH</t>
  </si>
  <si>
    <t>GA_MATH_MECH</t>
  </si>
  <si>
    <t>ga_mech</t>
  </si>
  <si>
    <t>Grade achieved at GCE A Level Mathematics (Mechanics).</t>
  </si>
  <si>
    <t>KS5_GA_MATH_PURE</t>
  </si>
  <si>
    <t>GA_MATH_PURE</t>
  </si>
  <si>
    <t>ga_puma</t>
  </si>
  <si>
    <t>Grade achieved at GCE A Level Mathematics (Pure).</t>
  </si>
  <si>
    <t>KS5_GA_MATH_DISC</t>
  </si>
  <si>
    <t>GA_MATH_DISC</t>
  </si>
  <si>
    <t>ga_dsma</t>
  </si>
  <si>
    <t>Grade achieved at GCE A Level Mathematics (Discrete).</t>
  </si>
  <si>
    <t>KS5_GA_MATH_APPL</t>
  </si>
  <si>
    <t>GA_MATH_APPL</t>
  </si>
  <si>
    <t>ga_apma</t>
  </si>
  <si>
    <t>Grade achieved at GCE A Level Mathematics (Applied).</t>
  </si>
  <si>
    <t>KS5_GA_MATH_STAT</t>
  </si>
  <si>
    <t>GA_MATH_STAT</t>
  </si>
  <si>
    <t>ga_stat</t>
  </si>
  <si>
    <t>Grade achieved at GCE A Level Mathematics (Statistics).</t>
  </si>
  <si>
    <t>KS5_GA_MATH_FURT</t>
  </si>
  <si>
    <t>GA_MATH_FURT</t>
  </si>
  <si>
    <t>ga_fuma</t>
  </si>
  <si>
    <t>Grade achieved at GCE A Level Mathematics (Further).</t>
  </si>
  <si>
    <t>KS5_GA_MATH_ADDI</t>
  </si>
  <si>
    <t>GA_MATH_ADDI</t>
  </si>
  <si>
    <t>ga_adma</t>
  </si>
  <si>
    <t>Grade achieved at GCE A Level Additional Mathematics.</t>
  </si>
  <si>
    <t>KS5_GA_COMP_STU</t>
  </si>
  <si>
    <t>GA_COMP_STU</t>
  </si>
  <si>
    <t>ga_comp</t>
  </si>
  <si>
    <t>Grade achieved at GCE A Level Computer Studies/Computing.</t>
  </si>
  <si>
    <t>KS5_GA_IT</t>
  </si>
  <si>
    <t>GA_IT</t>
  </si>
  <si>
    <t>ga_it</t>
  </si>
  <si>
    <t>Grade achieved at GCE A Level Information Technology.</t>
  </si>
  <si>
    <t>KS5_GA_BUS</t>
  </si>
  <si>
    <t>GA_BUS</t>
  </si>
  <si>
    <t>ga_bus</t>
  </si>
  <si>
    <t>Grade achieved at GCE A Level Business Studies.</t>
  </si>
  <si>
    <t>KS5_GA_BUS_ECON</t>
  </si>
  <si>
    <t>GA_BUS_ECON</t>
  </si>
  <si>
    <t>ga_buse</t>
  </si>
  <si>
    <t>Grade achieved at GCE A Level Business Studies and Economics.</t>
  </si>
  <si>
    <t>KS5_GA_HOME_EC</t>
  </si>
  <si>
    <t>GA_HOME_EC</t>
  </si>
  <si>
    <t>ga_he</t>
  </si>
  <si>
    <t>Grade achieved at GCE A Level Home Economics.</t>
  </si>
  <si>
    <t>KS5_GA_AD</t>
  </si>
  <si>
    <t>GA_AD</t>
  </si>
  <si>
    <t>ga_art</t>
  </si>
  <si>
    <t>Grade achieved at GCE A Level Art and Design.</t>
  </si>
  <si>
    <t>KS5_GA_AD_GRAPH</t>
  </si>
  <si>
    <t>GA_AD_GRAPH</t>
  </si>
  <si>
    <t>ga_gra</t>
  </si>
  <si>
    <t>Grade achieved at GCE A Level Art and Design (Graphics).</t>
  </si>
  <si>
    <t>KS5_GA_AD_PHOTO</t>
  </si>
  <si>
    <t>GA_AD_PHOTO</t>
  </si>
  <si>
    <t>ga_pho</t>
  </si>
  <si>
    <t>Grade achieved at GCE A Level Art and Design (Photography).</t>
  </si>
  <si>
    <t>KS5_GA_AD_TEXTI</t>
  </si>
  <si>
    <t>GA_AD_TEXTI</t>
  </si>
  <si>
    <t>ga_tex</t>
  </si>
  <si>
    <t>Grade achieved at GCE A Level Art and Design (Textiles).</t>
  </si>
  <si>
    <t>KS5_GA_AD_THREE</t>
  </si>
  <si>
    <t>GA_AD_THREE</t>
  </si>
  <si>
    <t>ga_3ds</t>
  </si>
  <si>
    <t>Grade achieved at GCE A Level Art and Design (3-D Studies).</t>
  </si>
  <si>
    <t>KS5_GA_AD_CRITI</t>
  </si>
  <si>
    <t>GA_AD_CRITI</t>
  </si>
  <si>
    <t>ga_crit</t>
  </si>
  <si>
    <t>Grade achieved at GCE A Level Art and Design (Critical Studies).</t>
  </si>
  <si>
    <t>KS5_GA_FINE_ART</t>
  </si>
  <si>
    <t>GA_FINE_ART</t>
  </si>
  <si>
    <t>ga_fina</t>
  </si>
  <si>
    <t>Grade achieved at GCE A Level Fine Art.</t>
  </si>
  <si>
    <t>KS5_GA_HIST_ART</t>
  </si>
  <si>
    <t>GA_HIST_ART</t>
  </si>
  <si>
    <t>ga_hisa</t>
  </si>
  <si>
    <t>Grade achieved at GCE A Level History of Art.</t>
  </si>
  <si>
    <t>KS5_GA_GEOG</t>
  </si>
  <si>
    <t>GA_GEOG</t>
  </si>
  <si>
    <t>ga_geog</t>
  </si>
  <si>
    <t>Grade achieved at GCE A Level Geography.</t>
  </si>
  <si>
    <t>KS5_GA_WORLD_DEV</t>
  </si>
  <si>
    <t>GA_WORLD_DEV</t>
  </si>
  <si>
    <t>ga_wdev</t>
  </si>
  <si>
    <t>Grade achieved at GCE A Level World Development.</t>
  </si>
  <si>
    <t>KS5_GA_HIST</t>
  </si>
  <si>
    <t>GA_HIST</t>
  </si>
  <si>
    <t>ga_hist</t>
  </si>
  <si>
    <t>Grade achieved at GCE A Level History.</t>
  </si>
  <si>
    <t>KS5_GA_EUROPE</t>
  </si>
  <si>
    <t>GA_EUROPE</t>
  </si>
  <si>
    <t>ga_eur</t>
  </si>
  <si>
    <t>Grade achieved at GCE A Level European Studies.</t>
  </si>
  <si>
    <t>KS5_GA_ECON</t>
  </si>
  <si>
    <t>GA_ECON</t>
  </si>
  <si>
    <t>ga_econ</t>
  </si>
  <si>
    <t>Grade achieved at GCE A Level Economics.</t>
  </si>
  <si>
    <t>KS5_GA_RE</t>
  </si>
  <si>
    <t>GA_RE</t>
  </si>
  <si>
    <t>ga_re</t>
  </si>
  <si>
    <t>Grade achieved at GCE A Level Religious Studies.</t>
  </si>
  <si>
    <t>KS5_GA_ARCHAE</t>
  </si>
  <si>
    <t>GA_ARCHAE</t>
  </si>
  <si>
    <t>ga_arch</t>
  </si>
  <si>
    <t>Grade achieved at GCE A Level Archaeology.</t>
  </si>
  <si>
    <t>KS5_GA_LAW</t>
  </si>
  <si>
    <t>GA_LAW</t>
  </si>
  <si>
    <t>ga_law</t>
  </si>
  <si>
    <t>Grade achieved at GCE A Level Law.</t>
  </si>
  <si>
    <t>KS5_GA_LOGIC_PHIL</t>
  </si>
  <si>
    <t>GA_LOGIC_PHIL</t>
  </si>
  <si>
    <t>ga_phil</t>
  </si>
  <si>
    <t>Grade achieved at GCE A Level Logic/Philosophy.</t>
  </si>
  <si>
    <t>KS5_GA_GOV_POLITICS</t>
  </si>
  <si>
    <t>GA_GOV_POLITICS</t>
  </si>
  <si>
    <t>ga_pol</t>
  </si>
  <si>
    <t>Grade achieved at GCE A Level Government &amp; Politics.</t>
  </si>
  <si>
    <t>KS5_GA_PSYCH_SOC</t>
  </si>
  <si>
    <t>GA_PSYCH_SOC</t>
  </si>
  <si>
    <t>ga_spsy</t>
  </si>
  <si>
    <t>Grade achieved at GCE A Level Psychology.</t>
  </si>
  <si>
    <t>KS5_GA_SOC</t>
  </si>
  <si>
    <t>GA_SOC</t>
  </si>
  <si>
    <t>ga_soc</t>
  </si>
  <si>
    <t>Grade achieved at GCE A Level Sociology.</t>
  </si>
  <si>
    <t>KS5_GA_SCO_POL</t>
  </si>
  <si>
    <t>GA_SCO_POL</t>
  </si>
  <si>
    <t>ga_socp</t>
  </si>
  <si>
    <t>Grade achieved at GCE A Level Social Policy.</t>
  </si>
  <si>
    <t>KS5_GA_SCO_SCI_CIT</t>
  </si>
  <si>
    <t>GA_SCO_SCI_CIT</t>
  </si>
  <si>
    <t>ga_ssc</t>
  </si>
  <si>
    <t>Grade achieved at GCE A Level Social Science Citizenship.</t>
  </si>
  <si>
    <t>KS5_GA_ENG</t>
  </si>
  <si>
    <t>GA_ENG</t>
  </si>
  <si>
    <t>ga_eng</t>
  </si>
  <si>
    <t>Grade achieved at GCE A Level English.</t>
  </si>
  <si>
    <t>KS5_GA_ENG_LANG</t>
  </si>
  <si>
    <t>GA_ENG_LANG</t>
  </si>
  <si>
    <t>ga_enla</t>
  </si>
  <si>
    <t>Grade achieved at GCE A Level English Language.</t>
  </si>
  <si>
    <t>KS5_GA_ENG_LIT</t>
  </si>
  <si>
    <t>GA_ENG_LIT</t>
  </si>
  <si>
    <t>ga_enli</t>
  </si>
  <si>
    <t>Grade achieved at GCE A Level English Literature.</t>
  </si>
  <si>
    <t>KS5_GA_DRAMA</t>
  </si>
  <si>
    <t>GA_DRAMA</t>
  </si>
  <si>
    <t>ga_dra</t>
  </si>
  <si>
    <t>Grade achieved at GCE A Level Drama &amp; Theatre Studies.</t>
  </si>
  <si>
    <t>KS5_GA_COMMUNICATION</t>
  </si>
  <si>
    <t>GA_COMMUNICATION</t>
  </si>
  <si>
    <t>ga_comm</t>
  </si>
  <si>
    <t>Grade achieved at GCE A Level Communication Studies.</t>
  </si>
  <si>
    <t>KS5_GA_PERFORMING</t>
  </si>
  <si>
    <t>GA_PERFORMING</t>
  </si>
  <si>
    <t>ga_perf</t>
  </si>
  <si>
    <t>Grade achieved at GCE A Level Performing Studies.</t>
  </si>
  <si>
    <t>KS5_GA_MEDIA_FILM_TV</t>
  </si>
  <si>
    <t>GA_MEDIA_FILM_TV</t>
  </si>
  <si>
    <t>ga_med</t>
  </si>
  <si>
    <t>Grade achieved at GCE A Level Media/Film/Television Studies.</t>
  </si>
  <si>
    <t>KS5_GA_FILM</t>
  </si>
  <si>
    <t>GA_FILM</t>
  </si>
  <si>
    <t>ga_film</t>
  </si>
  <si>
    <t>Grade achieved at GCE A Level Film Studies.</t>
  </si>
  <si>
    <t>KS5_GA_WELSH_SECOND</t>
  </si>
  <si>
    <t>GA_WELSH_SECOND</t>
  </si>
  <si>
    <t>ga_wel</t>
  </si>
  <si>
    <t>Grade achieved at GCE A Level Welsh Second Language.</t>
  </si>
  <si>
    <t>KS5_GA_DUTCH</t>
  </si>
  <si>
    <t>GA_DUTCH</t>
  </si>
  <si>
    <t>ga_dut</t>
  </si>
  <si>
    <t>Grade achieved at GCE A Level Dutch.</t>
  </si>
  <si>
    <t>KS5_GA_FRENCH</t>
  </si>
  <si>
    <t>GA_FRENCH</t>
  </si>
  <si>
    <t>ga_fre</t>
  </si>
  <si>
    <t>Grade achieved at GCE A Level French.</t>
  </si>
  <si>
    <t>KS5_GA_GERMAN</t>
  </si>
  <si>
    <t>GA_GERMAN</t>
  </si>
  <si>
    <t>ga_ger</t>
  </si>
  <si>
    <t>Grade achieved at GCE A Level German.</t>
  </si>
  <si>
    <t>KS5_GA_ITALIAN</t>
  </si>
  <si>
    <t>GA_ITALIAN</t>
  </si>
  <si>
    <t>ga_ital</t>
  </si>
  <si>
    <t>Grade achieved at GCE A Level Italian.</t>
  </si>
  <si>
    <t>KS5_GA_MOD_GREEK</t>
  </si>
  <si>
    <t>GA_MOD_GREEK</t>
  </si>
  <si>
    <t>ga_mgre</t>
  </si>
  <si>
    <t>Grade achieved at GCE A Level Modern Greek.</t>
  </si>
  <si>
    <t>KS5_GA_PORTUGUESE</t>
  </si>
  <si>
    <t>GA_PORTUGUESE</t>
  </si>
  <si>
    <t>ga_port</t>
  </si>
  <si>
    <t>Grade achieved at GCE A Level Portuguese.</t>
  </si>
  <si>
    <t>KS5_GA_SPANISH</t>
  </si>
  <si>
    <t>GA_SPANISH</t>
  </si>
  <si>
    <t>ga_spa</t>
  </si>
  <si>
    <t>Grade achieved at GCE A Level Spanish.</t>
  </si>
  <si>
    <t>KS5_GA_ARABIC</t>
  </si>
  <si>
    <t>GA_ARABIC</t>
  </si>
  <si>
    <t>ga_arab</t>
  </si>
  <si>
    <t>Grade achieved at GCE A Level Arabic.</t>
  </si>
  <si>
    <t>KS5_GA_BENGALI</t>
  </si>
  <si>
    <t>GA_BENGALI</t>
  </si>
  <si>
    <t>ga_beng</t>
  </si>
  <si>
    <t>Grade achieved at GCE A Level Bengali.</t>
  </si>
  <si>
    <t>KS5_GA_CHINESE</t>
  </si>
  <si>
    <t>GA_CHINESE</t>
  </si>
  <si>
    <t>ga_chin</t>
  </si>
  <si>
    <t>Grade achieved at GCE A Level Chinese.</t>
  </si>
  <si>
    <t>KS5_GA_GUJARATI</t>
  </si>
  <si>
    <t>GA_GUJARATI</t>
  </si>
  <si>
    <t>ga_guj</t>
  </si>
  <si>
    <t>Grade achieved at GCE A Level Gujarati.</t>
  </si>
  <si>
    <t>KS5_GA_JAPANESE</t>
  </si>
  <si>
    <t>GA_JAPANESE</t>
  </si>
  <si>
    <t>ga_jap</t>
  </si>
  <si>
    <t>Grade achieved at GCE A Level Japanese.</t>
  </si>
  <si>
    <t>KS5_GA_MOD_HEBREW</t>
  </si>
  <si>
    <t>GA_MOD_HEBREW</t>
  </si>
  <si>
    <t>ga_hebr</t>
  </si>
  <si>
    <t>Grade achieved at GCE A Level Modern Hebrew.</t>
  </si>
  <si>
    <t>KS5_GA_PANJABI</t>
  </si>
  <si>
    <t>GA_PANJABI</t>
  </si>
  <si>
    <t>ga_panj</t>
  </si>
  <si>
    <t>Grade achieved at GCE A Level Punjabi.</t>
  </si>
  <si>
    <t>KS5_GA_POLISH</t>
  </si>
  <si>
    <t>GA_POLISH</t>
  </si>
  <si>
    <t>ga_poli</t>
  </si>
  <si>
    <t>Grade achieved at GCE A Level Polish.</t>
  </si>
  <si>
    <t>KS5_GA_RUSSIAN</t>
  </si>
  <si>
    <t>GA_RUSSIAN</t>
  </si>
  <si>
    <t>ga_russ</t>
  </si>
  <si>
    <t>Grade achieved at GCE A Level Russian.</t>
  </si>
  <si>
    <t>KS5_GA_TURKISH</t>
  </si>
  <si>
    <t>GA_TURKISH</t>
  </si>
  <si>
    <t>ga_turk</t>
  </si>
  <si>
    <t>Grade achieved at GCE A Level Turkish.</t>
  </si>
  <si>
    <t>KS5_GA_URDU</t>
  </si>
  <si>
    <t>GA_URDU</t>
  </si>
  <si>
    <t>ga_urdu</t>
  </si>
  <si>
    <t>Grade achieved at GCE A Level Urdu.</t>
  </si>
  <si>
    <t>KS5_GA_PERSIAN</t>
  </si>
  <si>
    <t>GA_PERSIAN</t>
  </si>
  <si>
    <t>ga_pers</t>
  </si>
  <si>
    <t>Grade achieved at GCE A Level Persian.</t>
  </si>
  <si>
    <t>KS5_GA_ANC_HIST</t>
  </si>
  <si>
    <t>GA_ANC_HIST</t>
  </si>
  <si>
    <t>ga_ahis</t>
  </si>
  <si>
    <t>Grade achieved at GCE A Level Ancient History.</t>
  </si>
  <si>
    <t>KS5_GA_CLASS_CIV</t>
  </si>
  <si>
    <t>GA_CLASS_CIV</t>
  </si>
  <si>
    <t>ga_cciv</t>
  </si>
  <si>
    <t>Grade achieved at GCE A Level Classical Civilisation.</t>
  </si>
  <si>
    <t>KS5_GA_GREEK</t>
  </si>
  <si>
    <t>GA_GREEK</t>
  </si>
  <si>
    <t>ga_gre</t>
  </si>
  <si>
    <t>Grade achieved at GCE A Level Greek.</t>
  </si>
  <si>
    <t>KS5_GA_LATIN</t>
  </si>
  <si>
    <t>GA_LATIN</t>
  </si>
  <si>
    <t>ga_lat</t>
  </si>
  <si>
    <t>Grade achieved at GCE A Level Latin.</t>
  </si>
  <si>
    <t>KS5_GA_OTH_CLASS</t>
  </si>
  <si>
    <t>GA_OTH_CLASS</t>
  </si>
  <si>
    <t>ga_clas</t>
  </si>
  <si>
    <t>Grade achieved at GCE A Level Other Classical Languages.</t>
  </si>
  <si>
    <t>KS5_GA_MUSIC</t>
  </si>
  <si>
    <t>GA_MUSIC</t>
  </si>
  <si>
    <t>ga_mus</t>
  </si>
  <si>
    <t>Grade achieved at GCE A Level Music.</t>
  </si>
  <si>
    <t>KS5_GA_MUSIC_TECH</t>
  </si>
  <si>
    <t>GA_MUSIC_TECH</t>
  </si>
  <si>
    <t>ga_mtec</t>
  </si>
  <si>
    <t>Grade achieved at GCE A Level Music Technology.</t>
  </si>
  <si>
    <t>KS5_GA_PE</t>
  </si>
  <si>
    <t>GA_PE</t>
  </si>
  <si>
    <t>ga_pe</t>
  </si>
  <si>
    <t>Grade achieved at GCE A Level Sport/Physical Education Studies.</t>
  </si>
  <si>
    <t>KS5_GA_DANCE</t>
  </si>
  <si>
    <t>GA_DANCE</t>
  </si>
  <si>
    <t>ga_dan</t>
  </si>
  <si>
    <t>Grade achieved at GCE A Level Dance.</t>
  </si>
  <si>
    <t>KS5_GA_ACCOUNTING</t>
  </si>
  <si>
    <t>GA_ACCOUNTING</t>
  </si>
  <si>
    <t>ga_acc</t>
  </si>
  <si>
    <t>Grade achieved at GCE A Level Accounting/Finance.</t>
  </si>
  <si>
    <t>KS5_GA_GEN_STUD</t>
  </si>
  <si>
    <t>GA_GEN_STUD</t>
  </si>
  <si>
    <t>ga_gstu</t>
  </si>
  <si>
    <t>Grade achieved at GCE A Level General Studies.</t>
  </si>
  <si>
    <t>KS5_GA_CRIT_THINK</t>
  </si>
  <si>
    <t>GA_CRIT_THINK</t>
  </si>
  <si>
    <t>ga_cthi</t>
  </si>
  <si>
    <t>Grade achieved at GCE A Level Critical Thinking.</t>
  </si>
  <si>
    <t>KS5_GA_DT_FOOD</t>
  </si>
  <si>
    <t>GA_DT_FOOD</t>
  </si>
  <si>
    <t>ga_food</t>
  </si>
  <si>
    <t>Grade achieved at GCE A Level Design/Tech &amp; Food Technology.</t>
  </si>
  <si>
    <t>KS5_GA_DT_SYSTEMS</t>
  </si>
  <si>
    <t>GA_DT_SYSTEMS</t>
  </si>
  <si>
    <t>ga_sys</t>
  </si>
  <si>
    <t>Grade achieved at GCE A Level Design/Tech &amp; Systems.</t>
  </si>
  <si>
    <t>KS5_GA_DT_PRODUCTION</t>
  </si>
  <si>
    <t>GA_DT_PRODUCTION</t>
  </si>
  <si>
    <t>ga_prod</t>
  </si>
  <si>
    <t>Grade achieved at GCE A Level Design/Tech &amp; Production Design.</t>
  </si>
  <si>
    <t>KS5_GAS_BIOLOGY</t>
  </si>
  <si>
    <t>GAS_BIOLOGY</t>
  </si>
  <si>
    <t>gas_bio</t>
  </si>
  <si>
    <t>Grade achieved at GCE AS Level Biology.</t>
  </si>
  <si>
    <t>KS5_GAS_BIOLOGY_HUMAN</t>
  </si>
  <si>
    <t>GAS_BIOLOGY_HUMAN</t>
  </si>
  <si>
    <t>gas_hbio</t>
  </si>
  <si>
    <t>Grade achieved at GCE AS Level Biology: Human.</t>
  </si>
  <si>
    <t>KS5_GAS_CHEMISTRY</t>
  </si>
  <si>
    <t>GAS_CHEMISTRY</t>
  </si>
  <si>
    <t>gas_chem</t>
  </si>
  <si>
    <t>Grade achieved at GCE AS Level Chemistry.</t>
  </si>
  <si>
    <t>KS5_GAS_PHYSICS</t>
  </si>
  <si>
    <t>GAS_PHYSICS</t>
  </si>
  <si>
    <t>gas_phys</t>
  </si>
  <si>
    <t>Grade achieved at GCE AS Level Physics.</t>
  </si>
  <si>
    <t>KS5_GAS_SCIENCE</t>
  </si>
  <si>
    <t>GAS_SCIENCE</t>
  </si>
  <si>
    <t>gas_sci</t>
  </si>
  <si>
    <t>Grade achieved at GCE AS Level Science: Single award.</t>
  </si>
  <si>
    <t>KS5_GAS_ELECTRONICS</t>
  </si>
  <si>
    <t>GAS_ELECTRONICS</t>
  </si>
  <si>
    <t>gas_elec</t>
  </si>
  <si>
    <t>Grade achieved at GCE AS Level Science: Electronics.</t>
  </si>
  <si>
    <t>KS5_GAS_ENV_SCI</t>
  </si>
  <si>
    <t>GAS_ENV_SCI</t>
  </si>
  <si>
    <t>gas_envs</t>
  </si>
  <si>
    <t>Grade achieved at GCE AS Level Science: Environmental.</t>
  </si>
  <si>
    <t>KS5_GAS_GEOLOGY</t>
  </si>
  <si>
    <t>GAS_GEOLOGY</t>
  </si>
  <si>
    <t>gas_geol</t>
  </si>
  <si>
    <t>Grade achieved at GCE AS Level Science: Geology.</t>
  </si>
  <si>
    <t>KS5_GAS_PSYCH_SCI</t>
  </si>
  <si>
    <t>GAS_PSYCH_SCI</t>
  </si>
  <si>
    <t>gas_psci</t>
  </si>
  <si>
    <t>Grade achieved at GCE AS Level Psychology JMB/NEA.</t>
  </si>
  <si>
    <t>KS5_GAS_SCI_PUBLIC</t>
  </si>
  <si>
    <t>GAS_SCI_PUBLIC</t>
  </si>
  <si>
    <t>gas_spup</t>
  </si>
  <si>
    <t>Grade achieved at GCE AS Level Science for Public Understanding.</t>
  </si>
  <si>
    <t>KS5_GAS_MATH</t>
  </si>
  <si>
    <t>GAS_MATH</t>
  </si>
  <si>
    <t>gas_math</t>
  </si>
  <si>
    <t>Grade achieved at GCE AS Level Mathematics.</t>
  </si>
  <si>
    <t>KS5_GAS_MATH_MECH</t>
  </si>
  <si>
    <t>GAS_MATH_MECH</t>
  </si>
  <si>
    <t>gas_mech</t>
  </si>
  <si>
    <t>Grade achieved at GCE AS Level Mathematics (Mechanics).</t>
  </si>
  <si>
    <t>KS5_GAS_MATH_PURE</t>
  </si>
  <si>
    <t>GAS_MATH_PURE</t>
  </si>
  <si>
    <t>gas_puma</t>
  </si>
  <si>
    <t>Grade achieved at GCE AS Level Mathematics (Pure).</t>
  </si>
  <si>
    <t>KS5_GAS_MATH_DISC</t>
  </si>
  <si>
    <t>GAS_MATH_DISC</t>
  </si>
  <si>
    <t>gas_dsma</t>
  </si>
  <si>
    <t>Grade achieved at GCE AS Level Mathematics (Discrete).</t>
  </si>
  <si>
    <t>KS5_GAS_MATH_APPL</t>
  </si>
  <si>
    <t>GAS_MATH_APPL</t>
  </si>
  <si>
    <t>gas_apma</t>
  </si>
  <si>
    <t>Grade achieved at GCE AS Level Mathematics (Applied).</t>
  </si>
  <si>
    <t>KS5_GAS_MATH_STAT</t>
  </si>
  <si>
    <t>GAS_MATH_STAT</t>
  </si>
  <si>
    <t>gas_stat</t>
  </si>
  <si>
    <t>Grade achieved at GCE AS Level Mathematics (Statistics).</t>
  </si>
  <si>
    <t>KS5_GAS_MATH_FURT</t>
  </si>
  <si>
    <t>GAS_MATH_FURT</t>
  </si>
  <si>
    <t>gas_fma</t>
  </si>
  <si>
    <t>Grade achieved at GCE AS Level Mathematics (Further).</t>
  </si>
  <si>
    <t>KS5_GAS_MATH_ADDI</t>
  </si>
  <si>
    <t>GAS_MATH_ADDI</t>
  </si>
  <si>
    <t>gas_adma</t>
  </si>
  <si>
    <t>Grade achieved at GCE AS Level Additional Mathematics.</t>
  </si>
  <si>
    <t>KS5_GAS_COMP_STU</t>
  </si>
  <si>
    <t>GAS_COMP_STU</t>
  </si>
  <si>
    <t>gas_comp</t>
  </si>
  <si>
    <t>Grade achieved at GCE AS Level Computer Studies/Computing.</t>
  </si>
  <si>
    <t>KS5_GAS_IT</t>
  </si>
  <si>
    <t>GAS_IT</t>
  </si>
  <si>
    <t>gas_it</t>
  </si>
  <si>
    <t>Grade achieved at GCE AS Level Information Technology.</t>
  </si>
  <si>
    <t>KS5_GAS_BUS</t>
  </si>
  <si>
    <t>GAS_BUS</t>
  </si>
  <si>
    <t>gas_bus</t>
  </si>
  <si>
    <t>Grade achieved at GCE AS Level Business Studies.</t>
  </si>
  <si>
    <t>KS5_GAS_BUS_ECON</t>
  </si>
  <si>
    <t>GAS_BUS_ECON</t>
  </si>
  <si>
    <t>gas_buse</t>
  </si>
  <si>
    <t>Grade achieved at GCE AS Level Business Studies and Economics.</t>
  </si>
  <si>
    <t>KS5_GAS_HOME_EC</t>
  </si>
  <si>
    <t>GAS_HOME_EC</t>
  </si>
  <si>
    <t>gas_he</t>
  </si>
  <si>
    <t>Grade achieved at GCE AS Level Home Economics.</t>
  </si>
  <si>
    <t>KS5_GAS_AD</t>
  </si>
  <si>
    <t>GAS_AD</t>
  </si>
  <si>
    <t>gas_art</t>
  </si>
  <si>
    <t>Grade achieved at GCE AS Level Art and Design.</t>
  </si>
  <si>
    <t>KS5_GAS_AD_GRAPH</t>
  </si>
  <si>
    <t>GAS_AD_GRAPH</t>
  </si>
  <si>
    <t>gas_gra</t>
  </si>
  <si>
    <t>Grade achieved at GCE AS Level Art and Design (Graphics).</t>
  </si>
  <si>
    <t>KS5_GAS_AD_PHOTO</t>
  </si>
  <si>
    <t>GAS_AD_PHOTO</t>
  </si>
  <si>
    <t>gas_pho</t>
  </si>
  <si>
    <t>Grade achieved at GCE AS Level Art and Design (Photography).</t>
  </si>
  <si>
    <t>KS5_GAS_AD_TEXTI</t>
  </si>
  <si>
    <t>GAS_AD_TEXTI</t>
  </si>
  <si>
    <t>gas_tex</t>
  </si>
  <si>
    <t>Grade achieved at GCE AS Level Art and Design (Textiles).</t>
  </si>
  <si>
    <t>KS5_GAS_AD_THREE</t>
  </si>
  <si>
    <t>GAS_AD_THREE</t>
  </si>
  <si>
    <t>gas_3ds</t>
  </si>
  <si>
    <t>Grade achieved at GCE AS Level Art and Design (3-D Studies).</t>
  </si>
  <si>
    <t>KS5_GAS_AD_CRITI</t>
  </si>
  <si>
    <t>GAS_AD_CRITI</t>
  </si>
  <si>
    <t>gas_crit</t>
  </si>
  <si>
    <t>Grade achieved at GCE AS Level Art and Design (Critical Studies).</t>
  </si>
  <si>
    <t>KS5_GAS_FINE_ART</t>
  </si>
  <si>
    <t>GAS_FINE_ART</t>
  </si>
  <si>
    <t>gas_fine</t>
  </si>
  <si>
    <t>Grade achieved at GCE AS Level Fine Art.</t>
  </si>
  <si>
    <t>KS5_GAS_HIST_ART</t>
  </si>
  <si>
    <t>GAS_HIST_ART</t>
  </si>
  <si>
    <t>gas_hisa</t>
  </si>
  <si>
    <t>Grade achieved at GCE AS Level History of Art.</t>
  </si>
  <si>
    <t>KS5_GAS_GEOG</t>
  </si>
  <si>
    <t>GAS_GEOG</t>
  </si>
  <si>
    <t>gas_geog</t>
  </si>
  <si>
    <t>Grade achieved at GCE AS Level Geography.</t>
  </si>
  <si>
    <t>KS5_GAS_WORLD_DEV</t>
  </si>
  <si>
    <t>GAS_WORLD_DEV</t>
  </si>
  <si>
    <t>gas_wdev</t>
  </si>
  <si>
    <t>Grade achieved at GCE AS Level World Development.</t>
  </si>
  <si>
    <t>KS5_GAS_HIST</t>
  </si>
  <si>
    <t>GAS_HIST</t>
  </si>
  <si>
    <t>gas_hist</t>
  </si>
  <si>
    <t>Grade achieved at GCE AS Level History.</t>
  </si>
  <si>
    <t>KS5_GAS_EUROPE</t>
  </si>
  <si>
    <t>GAS_EUROPE</t>
  </si>
  <si>
    <t>gas_eur</t>
  </si>
  <si>
    <t>Grade achieved at GCE AS Level European Studies.</t>
  </si>
  <si>
    <t>KS5_GAS_ECON</t>
  </si>
  <si>
    <t>GAS_ECON</t>
  </si>
  <si>
    <t>gas_econ</t>
  </si>
  <si>
    <t>Grade achieved at GCE AS Level Economics.</t>
  </si>
  <si>
    <t>KS5_GAS_RE</t>
  </si>
  <si>
    <t>GAS_RE</t>
  </si>
  <si>
    <t>gas_re</t>
  </si>
  <si>
    <t>Grade achieved at GCE AS Level Religious Studies.</t>
  </si>
  <si>
    <t>KS5_GAS_ARCHAE</t>
  </si>
  <si>
    <t>GAS_ARCHAE</t>
  </si>
  <si>
    <t>gas_arch</t>
  </si>
  <si>
    <t>Grade achieved at GCE AS Level Archaeology.</t>
  </si>
  <si>
    <t>KS5_GAS_LAW</t>
  </si>
  <si>
    <t>GAS_LAW</t>
  </si>
  <si>
    <t>gas_law</t>
  </si>
  <si>
    <t>Grade achieved at GCE AS Level Law.</t>
  </si>
  <si>
    <t>KS5_GAS_LOGIC_PHIL</t>
  </si>
  <si>
    <t>GAS_LOGIC_PHIL</t>
  </si>
  <si>
    <t>gas_phil</t>
  </si>
  <si>
    <t>Grade achieved at GCE AS Level Logic/Philosophy.</t>
  </si>
  <si>
    <t>KS5_GAS_GOV_POLITICS</t>
  </si>
  <si>
    <t>GAS_GOV_POLITICS</t>
  </si>
  <si>
    <t>gas_pol</t>
  </si>
  <si>
    <t>Grade achieved at GCE AS Level Government &amp; Politics.</t>
  </si>
  <si>
    <t>KS5_GAS_PSYCH_SOC</t>
  </si>
  <si>
    <t>GAS_PSYCH_SOC</t>
  </si>
  <si>
    <t>gas_spsy</t>
  </si>
  <si>
    <t>Grade achieved at GCE AS Level Psychology.</t>
  </si>
  <si>
    <t>KS5_GAS_SOC</t>
  </si>
  <si>
    <t>GAS_SOC</t>
  </si>
  <si>
    <t>gas_soc</t>
  </si>
  <si>
    <t>Grade achieved at GCE AS Level Sociology.</t>
  </si>
  <si>
    <t>KS5_GAS_SCO_POL</t>
  </si>
  <si>
    <t>GAS_SCO_POL</t>
  </si>
  <si>
    <t>gas_socp</t>
  </si>
  <si>
    <t>Grade achieved at GCE AS Level Social Policy.</t>
  </si>
  <si>
    <t>KS5_GAS_SCO_SCI_CIT</t>
  </si>
  <si>
    <t>GAS_SCO_SCI_CIT</t>
  </si>
  <si>
    <t>gas_ssc</t>
  </si>
  <si>
    <t>Grade achieved at GCE AS Level Social Science Citizenship.</t>
  </si>
  <si>
    <t>KS5_GAS_ENG</t>
  </si>
  <si>
    <t>GAS_ENG</t>
  </si>
  <si>
    <t>gas_eng</t>
  </si>
  <si>
    <t>Grade achieved at GCE AS Level English.</t>
  </si>
  <si>
    <t>KS5_GAS_ENG_LANG</t>
  </si>
  <si>
    <t>GAS_ENG_LANG</t>
  </si>
  <si>
    <t>gas_enla</t>
  </si>
  <si>
    <t>Grade achieved at GCE AS Level English Language.</t>
  </si>
  <si>
    <t>KS5_GAS_ENG_LIT</t>
  </si>
  <si>
    <t>GAS_ENG_LIT</t>
  </si>
  <si>
    <t>gas_enli</t>
  </si>
  <si>
    <t>Grade achieved at GCE AS Level English Literature.</t>
  </si>
  <si>
    <t>KS5_GAS_DRAMA</t>
  </si>
  <si>
    <t>GAS_DRAMA</t>
  </si>
  <si>
    <t>gas_dra</t>
  </si>
  <si>
    <t>Grade achieved at GCE AS Level Drama &amp; Theatre Studies.</t>
  </si>
  <si>
    <t>KS5_GAS_COMMUNICATION</t>
  </si>
  <si>
    <t>GAS_COMMUNICATION</t>
  </si>
  <si>
    <t>gas_com</t>
  </si>
  <si>
    <t>Grade achieved at GCE AS Level Communication Studies.</t>
  </si>
  <si>
    <t>KS5_GAS_PERFORMING</t>
  </si>
  <si>
    <t>GAS_PERFORMING</t>
  </si>
  <si>
    <t>gas_perf</t>
  </si>
  <si>
    <t>Grade achieved at GCE AS Level Performing Studies.</t>
  </si>
  <si>
    <t>KS5_GAS_MEDIA_FILM_TV</t>
  </si>
  <si>
    <t>GAS_MEDIA_FILM_TV</t>
  </si>
  <si>
    <t>gas_med</t>
  </si>
  <si>
    <t>Grade achieved at GCE AS Level Media/Film/Television Studies.</t>
  </si>
  <si>
    <t>KS5_GAS_FILM</t>
  </si>
  <si>
    <t>GAS_FILM</t>
  </si>
  <si>
    <t>gas_film</t>
  </si>
  <si>
    <t>Grade achieved at GCE AS Level Film Studies.</t>
  </si>
  <si>
    <t>KS5_GAS_WELSH_SECOND</t>
  </si>
  <si>
    <t>GAS_WELSH_SECOND</t>
  </si>
  <si>
    <t>gas_wel</t>
  </si>
  <si>
    <t>Grade achieved at GCE AS Level Welsh Second Language.</t>
  </si>
  <si>
    <t>KS5_GAS_DUTCH</t>
  </si>
  <si>
    <t>GAS_DUTCH</t>
  </si>
  <si>
    <t>gas_dut</t>
  </si>
  <si>
    <t>Grade achieved at GCE AS Level Dutch.</t>
  </si>
  <si>
    <t>KS5_GAS_FRENCH</t>
  </si>
  <si>
    <t>GAS_FRENCH</t>
  </si>
  <si>
    <t>gas_fre</t>
  </si>
  <si>
    <t>Grade achieved at GCE AS Level French.</t>
  </si>
  <si>
    <t>KS5_GAS_GERMAN</t>
  </si>
  <si>
    <t>GAS_GERMAN</t>
  </si>
  <si>
    <t>gas_ger</t>
  </si>
  <si>
    <t>Grade achieved at GCE AS Level German.</t>
  </si>
  <si>
    <t>KS5_GAS_ITALIAN</t>
  </si>
  <si>
    <t>GAS_ITALIAN</t>
  </si>
  <si>
    <t>gas_ital</t>
  </si>
  <si>
    <t>Grade achieved at GCE AS Level Italian.</t>
  </si>
  <si>
    <t>KS5_GAS_MOD_GREEK</t>
  </si>
  <si>
    <t>GAS_MOD_GREEK</t>
  </si>
  <si>
    <t>gas_mgre</t>
  </si>
  <si>
    <t>Grade achieved at GCE AS Level Modern Greek.</t>
  </si>
  <si>
    <t>KS5_GAS_PORTUGUESE</t>
  </si>
  <si>
    <t>GAS_PORTUGUESE</t>
  </si>
  <si>
    <t>gas_port</t>
  </si>
  <si>
    <t>Grade achieved at GCE AS Level Portuguese.</t>
  </si>
  <si>
    <t>KS5_GAS_SPANISH</t>
  </si>
  <si>
    <t>GAS_SPANISH</t>
  </si>
  <si>
    <t>gas_spa</t>
  </si>
  <si>
    <t>Grade achieved at GCE AS Level Spanish.</t>
  </si>
  <si>
    <t>KS5_GAS_ARABIC</t>
  </si>
  <si>
    <t>GAS_ARABIC</t>
  </si>
  <si>
    <t>gas_arab</t>
  </si>
  <si>
    <t>Grade achieved at GCE AS Level Arabic.</t>
  </si>
  <si>
    <t>KS5_GAS_BENGALI</t>
  </si>
  <si>
    <t>GAS_BENGALI</t>
  </si>
  <si>
    <t>gas_beng</t>
  </si>
  <si>
    <t>Grade achieved at GCE AS Level Bengali.</t>
  </si>
  <si>
    <t>KS5_GAS_CHINESE</t>
  </si>
  <si>
    <t>GAS_CHINESE</t>
  </si>
  <si>
    <t>gas_chin</t>
  </si>
  <si>
    <t>Grade achieved at GCE AS Level Chinese.</t>
  </si>
  <si>
    <t>KS5_GAS_GUJARATI</t>
  </si>
  <si>
    <t>GAS_GUJARATI</t>
  </si>
  <si>
    <t>gas_guj</t>
  </si>
  <si>
    <t>Grade achieved at GCE AS Level Gujarati.</t>
  </si>
  <si>
    <t>KS5_GAS_JAPANESE</t>
  </si>
  <si>
    <t>GAS_JAPANESE</t>
  </si>
  <si>
    <t>gas_jap</t>
  </si>
  <si>
    <t>Grade achieved at GCE AS Level Japanese.</t>
  </si>
  <si>
    <t>KS5_GAS_MOD_HEBREW</t>
  </si>
  <si>
    <t>GAS_MOD_HEBREW</t>
  </si>
  <si>
    <t>gas_hebr</t>
  </si>
  <si>
    <t>Grade achieved at GCE AS Level Modern Hebrew.</t>
  </si>
  <si>
    <t>KS5_GAS_PANJABI</t>
  </si>
  <si>
    <t>GAS_PANJABI</t>
  </si>
  <si>
    <t>gas_panj</t>
  </si>
  <si>
    <t>Grade achieved at GCE AS Level Punjabi.</t>
  </si>
  <si>
    <t>KS5_GAS_POLISH</t>
  </si>
  <si>
    <t>GAS_POLISH</t>
  </si>
  <si>
    <t>gas_poli</t>
  </si>
  <si>
    <t>Grade achieved at GCE AS Level Polish.</t>
  </si>
  <si>
    <t>KS5_GAS_RUSSIAN</t>
  </si>
  <si>
    <t>GAS_RUSSIAN</t>
  </si>
  <si>
    <t>gas_russ</t>
  </si>
  <si>
    <t>Grade achieved at GCE AS Level Russian.</t>
  </si>
  <si>
    <t>KS5_GAS_TURKISH</t>
  </si>
  <si>
    <t>GAS_TURKISH</t>
  </si>
  <si>
    <t>gas_turk</t>
  </si>
  <si>
    <t>Grade achieved at GCE AS Level Turkish.</t>
  </si>
  <si>
    <t>KS5_GAS_URDU</t>
  </si>
  <si>
    <t>GAS_URDU</t>
  </si>
  <si>
    <t>gas_urdu</t>
  </si>
  <si>
    <t>Grade achieved at GCE AS Level Urdu.</t>
  </si>
  <si>
    <t>KS5_GAS_PERSIAN</t>
  </si>
  <si>
    <t>GAS_PERSIAN</t>
  </si>
  <si>
    <t>gas_pers</t>
  </si>
  <si>
    <t>Grade achieved at GCE AS Level Persian.</t>
  </si>
  <si>
    <t>KS5_GAS_ANC_HIST</t>
  </si>
  <si>
    <t>GAS_ANC_HIST</t>
  </si>
  <si>
    <t>gas_ahis</t>
  </si>
  <si>
    <t>Grade achieved at GCE AS Level Ancient History.</t>
  </si>
  <si>
    <t>KS5_GAS_CLASS_CIV</t>
  </si>
  <si>
    <t>GAS_CLASS_CIV</t>
  </si>
  <si>
    <t>gas_cciv</t>
  </si>
  <si>
    <t>Grade achieved at GCE AS Level Classical Civilisation.</t>
  </si>
  <si>
    <t>KS5_GAS_GREEK</t>
  </si>
  <si>
    <t>GAS_GREEK</t>
  </si>
  <si>
    <t>gas_gre</t>
  </si>
  <si>
    <t>Grade achieved at GCE AS Level Greek.</t>
  </si>
  <si>
    <t>KS5_GAS_LATIN</t>
  </si>
  <si>
    <t>GAS_LATIN</t>
  </si>
  <si>
    <t>gas_lat</t>
  </si>
  <si>
    <t>Grade achieved at GCE AS Level Latin.</t>
  </si>
  <si>
    <t>KS5_GAS_OTH_CLASS</t>
  </si>
  <si>
    <t>GAS_OTH_CLASS</t>
  </si>
  <si>
    <t>gas_clas</t>
  </si>
  <si>
    <t>Grade achieved at GCE AS Level Other Classical Languages.</t>
  </si>
  <si>
    <t>KS5_GAS_MUSIC</t>
  </si>
  <si>
    <t>GAS_MUSIC</t>
  </si>
  <si>
    <t>gas_mus</t>
  </si>
  <si>
    <t>Grade achieved at GCE AS Level Music.</t>
  </si>
  <si>
    <t>KS5_GAS_MUSIC_TECH</t>
  </si>
  <si>
    <t>GAS_MUSIC_TECH</t>
  </si>
  <si>
    <t>gas_mtec</t>
  </si>
  <si>
    <t>Grade achieved at GCE AS Level Music Technology.</t>
  </si>
  <si>
    <t>KS5_GAS_PE</t>
  </si>
  <si>
    <t>GAS_PE</t>
  </si>
  <si>
    <t>gas_pe</t>
  </si>
  <si>
    <t>Grade achieved at GCE AS Level Sport/Physical Education Studies.</t>
  </si>
  <si>
    <t>KS5_GAS_DANCE</t>
  </si>
  <si>
    <t>GAS_DANCE</t>
  </si>
  <si>
    <t>gas_dan</t>
  </si>
  <si>
    <t>Grade achieved at GCE AS Level Dance.</t>
  </si>
  <si>
    <t>KS5_GAS_ACCOUNTING</t>
  </si>
  <si>
    <t>GAS_ACCOUNTING</t>
  </si>
  <si>
    <t>gas_acc</t>
  </si>
  <si>
    <t>Grade achieved at GCE AS Level Accounting/Finance.</t>
  </si>
  <si>
    <t>KS5_GAS_GEN_STUD</t>
  </si>
  <si>
    <t>GAS_GEN_STUD</t>
  </si>
  <si>
    <t>gas_gstu</t>
  </si>
  <si>
    <t>Grade achieved at GCE AS Level General Studies.</t>
  </si>
  <si>
    <t>KS5_GAS_CRIT_THINK</t>
  </si>
  <si>
    <t>GAS_CRIT_THINK</t>
  </si>
  <si>
    <t>gas_cthi</t>
  </si>
  <si>
    <t>Grade achieved at GCE AS Level Critical Thinking.</t>
  </si>
  <si>
    <t>KS5_GAS_DT_FOOD</t>
  </si>
  <si>
    <t>GAS_DT_FOOD</t>
  </si>
  <si>
    <t>gas_food</t>
  </si>
  <si>
    <t>Grade achieved at GCE AS Level Design/Tech &amp; Food Technology.</t>
  </si>
  <si>
    <t>KS5_GAS_DT_SYSTEMS</t>
  </si>
  <si>
    <t>GAS_DT_SYSTEMS</t>
  </si>
  <si>
    <t>gas_sys</t>
  </si>
  <si>
    <t>Grade achieved at GCE AS Level Design/Tech &amp; Systems.</t>
  </si>
  <si>
    <t>KS5_GAS_DT_PRODUCTION</t>
  </si>
  <si>
    <t>GAS_DT_PRODUCTION</t>
  </si>
  <si>
    <t>gas_prod</t>
  </si>
  <si>
    <t>Grade achieved at GCE AS Level Design/Tech &amp; Production Design.</t>
  </si>
  <si>
    <t>KS5_GDAS_AD</t>
  </si>
  <si>
    <t>GDAS_AD</t>
  </si>
  <si>
    <t>gdas_ad</t>
  </si>
  <si>
    <t>Grade achieved at GCE AS Double Award Level Applied Art and Design</t>
  </si>
  <si>
    <t>AA,AB,BB,BC,CC,CD,DD,DE,EE,N,Q,U,X</t>
  </si>
  <si>
    <t>KS5_GDAS_BUS</t>
  </si>
  <si>
    <t>GDAS_BUS</t>
  </si>
  <si>
    <t>gdas_bus</t>
  </si>
  <si>
    <t>Grade achieved at GCE AS Double Award Level Applied Business.</t>
  </si>
  <si>
    <t>As for GDAS_AD</t>
  </si>
  <si>
    <t>KS5_GDAS_HEAL_SOC</t>
  </si>
  <si>
    <t>GDAS_HEAL_SOC</t>
  </si>
  <si>
    <t>gdas_hs</t>
  </si>
  <si>
    <t>Grade achieved at GCE AS Double Award Level Health and Social Care.</t>
  </si>
  <si>
    <t>KS5_GDAS_SCIENCE</t>
  </si>
  <si>
    <t>GDAS_SCIENCE</t>
  </si>
  <si>
    <t>gdas_sci</t>
  </si>
  <si>
    <t>Grade achieved at GCE AS Double Award Level Applied Science.</t>
  </si>
  <si>
    <t>KS5_GDAS_ICT</t>
  </si>
  <si>
    <t>GDAS_ICT</t>
  </si>
  <si>
    <t>gdas_ict</t>
  </si>
  <si>
    <t>Grade achieved at GCE AS Double Award Level Applied ICT.</t>
  </si>
  <si>
    <t>KS5_GDAS_LEIS_RECR</t>
  </si>
  <si>
    <t>GDAS_LEIS_RECR</t>
  </si>
  <si>
    <t>gdas_lei</t>
  </si>
  <si>
    <t>Grade achieved at GCE AS Double Award Level Leisure and Recreation.</t>
  </si>
  <si>
    <t>KS5_GDAS_TRAV_TOUR</t>
  </si>
  <si>
    <t>GDAS_TRAV_TOUR</t>
  </si>
  <si>
    <t>gdas_trv</t>
  </si>
  <si>
    <t>Grade achieved at GCE AS Double Award Level Travel and Tourism.</t>
  </si>
  <si>
    <t>KS5_VA_ART</t>
  </si>
  <si>
    <t>VA_AD</t>
  </si>
  <si>
    <t>va_art</t>
  </si>
  <si>
    <t>Grade achieved at VCE A Level Art and Design.</t>
  </si>
  <si>
    <t>KS5_VA_BUS</t>
  </si>
  <si>
    <t>VA_BUS</t>
  </si>
  <si>
    <t>va_bus</t>
  </si>
  <si>
    <t>Grade achieved at VCE A Level Business.</t>
  </si>
  <si>
    <t>As for VA_ART</t>
  </si>
  <si>
    <t>KS5_VA_HEAL_SOC</t>
  </si>
  <si>
    <t>VA_HEAL_SOC</t>
  </si>
  <si>
    <t>va_hth</t>
  </si>
  <si>
    <t>Grade achieved at VCE A Level Health and Social Care.</t>
  </si>
  <si>
    <t>KS5_VA_MANUFACTURING</t>
  </si>
  <si>
    <t>VA_MANUFACTURING</t>
  </si>
  <si>
    <t>va_manu</t>
  </si>
  <si>
    <t>Grade achieved at VCE A Level Manufacturing.</t>
  </si>
  <si>
    <t>KS5_VA_CONSTRUCTION</t>
  </si>
  <si>
    <t>VA_CONSTRUCTION</t>
  </si>
  <si>
    <t>va_cons</t>
  </si>
  <si>
    <t>Grade achieved at VCE A Level Construction.</t>
  </si>
  <si>
    <t>KS5_VA_HOSPITALITY</t>
  </si>
  <si>
    <t>VA_HOSPITALITY</t>
  </si>
  <si>
    <t>va_hosp</t>
  </si>
  <si>
    <t>Grade achieved at VCE A Level Hospitality and Catering.</t>
  </si>
  <si>
    <t>KS5_VA_SCIENCE</t>
  </si>
  <si>
    <t>VA_SCIENCE</t>
  </si>
  <si>
    <t>va_sci</t>
  </si>
  <si>
    <t>Grade achieved at VCE A Level Science.</t>
  </si>
  <si>
    <t>KS5_VA_ENGINEERING</t>
  </si>
  <si>
    <t>VA_ENGINEERING</t>
  </si>
  <si>
    <t>va_eng</t>
  </si>
  <si>
    <t>Grade achieved at VCE A Level Engineering.</t>
  </si>
  <si>
    <t>KS5_VA_ICT</t>
  </si>
  <si>
    <t>VA_ICT</t>
  </si>
  <si>
    <t>va_ict</t>
  </si>
  <si>
    <t>Grade achieved at VCE A Level ICT.</t>
  </si>
  <si>
    <t>KS5_VA_MEDIA</t>
  </si>
  <si>
    <t>VA_MEDIA</t>
  </si>
  <si>
    <t>va_med</t>
  </si>
  <si>
    <t>Grade achieved at VCE A Level Media: Communication and Production.</t>
  </si>
  <si>
    <t>KS5_VA_RETAIL</t>
  </si>
  <si>
    <t>VA_RETAIL</t>
  </si>
  <si>
    <t>va_retl</t>
  </si>
  <si>
    <t>Grade achieved at VCE A Level Retail and Distribution.</t>
  </si>
  <si>
    <t>KS5_VA_PERFORMING</t>
  </si>
  <si>
    <t>VA_PERFORMING</t>
  </si>
  <si>
    <t>va_perf</t>
  </si>
  <si>
    <t>Grade achieved at VCE A Level Performing Arts.</t>
  </si>
  <si>
    <t>KS5_VA_LEIS_RECR</t>
  </si>
  <si>
    <t>VA_LEIS_RECR</t>
  </si>
  <si>
    <t>va_leis</t>
  </si>
  <si>
    <t>Grade achieved at VCE A Level Leisure and Recreation.</t>
  </si>
  <si>
    <t>KS5_VA_TRAV_TOUR</t>
  </si>
  <si>
    <t>VA_TRAV_TOUR</t>
  </si>
  <si>
    <t>va_tour</t>
  </si>
  <si>
    <t>Grade achieved at VCE A Level Travel and Tourism.</t>
  </si>
  <si>
    <t>KS5_VAS_BUS</t>
  </si>
  <si>
    <t>VAS_BUS</t>
  </si>
  <si>
    <t>vas_bus</t>
  </si>
  <si>
    <t>Grade achieved at VCE AS Level Business.</t>
  </si>
  <si>
    <t>KS5_VAS_HEAL_SOC</t>
  </si>
  <si>
    <t>VAS_HEAL_SOC</t>
  </si>
  <si>
    <t>vas_hth</t>
  </si>
  <si>
    <t>Grade achieved at VCE AS Level Health and Social Care.</t>
  </si>
  <si>
    <t>KS5_VAS_ENGINEERING</t>
  </si>
  <si>
    <t>VAS_ENGINEERING</t>
  </si>
  <si>
    <t>vas_eng</t>
  </si>
  <si>
    <t>Grade achieved at VCE AS Level Engineering.</t>
  </si>
  <si>
    <t>KS5_VAS_ICT</t>
  </si>
  <si>
    <t>VAS_ICT</t>
  </si>
  <si>
    <t>vas_ict</t>
  </si>
  <si>
    <t>Grade achieved at VCE AS Level ICT.</t>
  </si>
  <si>
    <t>KS5_VDA_AD</t>
  </si>
  <si>
    <t>VDA_AD</t>
  </si>
  <si>
    <t>vda_art</t>
  </si>
  <si>
    <t>Grade achieved at VCE Double Award Level Art and Design.</t>
  </si>
  <si>
    <t>AA,AB,BB,BC,CC,CD,DD,DE,EE,Q,U,X</t>
  </si>
  <si>
    <t>KS5_VDA_BUS</t>
  </si>
  <si>
    <t>VDA_BUS</t>
  </si>
  <si>
    <t>vda_bus</t>
  </si>
  <si>
    <t>Grade achieved at VCE Double Award Level Business.</t>
  </si>
  <si>
    <t>As for VDA_AD</t>
  </si>
  <si>
    <t>KS5_VDA_HEAL_SOC</t>
  </si>
  <si>
    <t>VDA_HEAL_SOC</t>
  </si>
  <si>
    <t>vda_hth</t>
  </si>
  <si>
    <t>Grade achieved at VCE Double Award Level Health and Social Care.</t>
  </si>
  <si>
    <t>KS5_VDA_MANUFACTURING</t>
  </si>
  <si>
    <t>VDA_MANUFACTURING</t>
  </si>
  <si>
    <t>vda_manu</t>
  </si>
  <si>
    <t>Grade achieved at VCE Double Award Level Manufacturing.</t>
  </si>
  <si>
    <t>KS5_VDA_CONSTRUCTION</t>
  </si>
  <si>
    <t>VDA_CONSTRUCTION</t>
  </si>
  <si>
    <t>vda_cons</t>
  </si>
  <si>
    <t>Grade achieved at VCE Double Award Level Construction.</t>
  </si>
  <si>
    <t>KS5_VDA_HOSPITALITY</t>
  </si>
  <si>
    <t>VDA_HOSPITALITY</t>
  </si>
  <si>
    <t>vda_hosp</t>
  </si>
  <si>
    <t>Grade achieved at VCE Double Award Level Hospitality and Catering.</t>
  </si>
  <si>
    <t>KS5_VDA_SCIENCE</t>
  </si>
  <si>
    <t>VDA_SCIENCE</t>
  </si>
  <si>
    <t>vda_sci</t>
  </si>
  <si>
    <t>Grade achieved at VCE Double Award Level Science.</t>
  </si>
  <si>
    <t>KS5_VDA_ENGINEERING</t>
  </si>
  <si>
    <t>VDA_ENGINEERING</t>
  </si>
  <si>
    <t>vda_eng</t>
  </si>
  <si>
    <t>Grade achieved at VCE Double Award Level Engineering.</t>
  </si>
  <si>
    <t>KS5_VDA_ICT</t>
  </si>
  <si>
    <t>VDA_ICT</t>
  </si>
  <si>
    <t>vda_ict</t>
  </si>
  <si>
    <t>Grade achieved at VCE Double Award Level ICT.</t>
  </si>
  <si>
    <t>KS5_VDA_MEDIA</t>
  </si>
  <si>
    <t>VDA_MEDIA</t>
  </si>
  <si>
    <t>vda_med</t>
  </si>
  <si>
    <t>Grade achieved at VCE Double Award Level Media: Communication and Production.</t>
  </si>
  <si>
    <t>KS5_VDA_PERFORMING</t>
  </si>
  <si>
    <t>VDA_PERFORMING</t>
  </si>
  <si>
    <t>vda_perf</t>
  </si>
  <si>
    <t>Grade achieved at VCE Double Award Level Performing Arts.</t>
  </si>
  <si>
    <t>KS5_VDA_LEIS_RECR</t>
  </si>
  <si>
    <t>VDA_LEIS_RECR</t>
  </si>
  <si>
    <t>vda_leis</t>
  </si>
  <si>
    <t>Grade achieved at VCE Double Award Level Leisure and Recreation.</t>
  </si>
  <si>
    <t>KS5_VDA_TRAV_TOUR</t>
  </si>
  <si>
    <t>VDA_TRAV_TOUR</t>
  </si>
  <si>
    <t>vda_tour</t>
  </si>
  <si>
    <t>Grade achieved at VCE Double Award Level Travel and Tourism.</t>
  </si>
  <si>
    <t>KS5_VGAA_AD</t>
  </si>
  <si>
    <t>VGAA_AD</t>
  </si>
  <si>
    <t>Grade achieved at GCE Applied A Level Applied Art and Design.</t>
  </si>
  <si>
    <t>KS5_VGAA_BUS</t>
  </si>
  <si>
    <t>VGAA_BUS</t>
  </si>
  <si>
    <t>Grade achieved at GCE Applied A Level Applied Business</t>
  </si>
  <si>
    <t>As for VGAA_AD</t>
  </si>
  <si>
    <t>KS5_VGAA_HEAL_SOC</t>
  </si>
  <si>
    <t>VGAA_HEAL_SOC</t>
  </si>
  <si>
    <t>Grade achieved at GCE Applied  A Level Health and Social Care.</t>
  </si>
  <si>
    <t>KS5_VGAA_MANUFACTURING</t>
  </si>
  <si>
    <t>VGAA_MANUFACTURING</t>
  </si>
  <si>
    <t>Grade achieved at GCE Applied  A Level Manufacturing.</t>
  </si>
  <si>
    <t>KS5_VGAA_CONSTRUCTION</t>
  </si>
  <si>
    <t>VGAA_CONSTRUCTION</t>
  </si>
  <si>
    <t>Grade achieved at GCE Applied  A Level Construction.</t>
  </si>
  <si>
    <t>KS5_VGAA_HOSPITALITY</t>
  </si>
  <si>
    <t>VGAA_HOSPITALITY</t>
  </si>
  <si>
    <t>Grade achieved at GCE Applied  A Level Hospitality and Catering.</t>
  </si>
  <si>
    <t>KS5_VGAA_SCIENCE</t>
  </si>
  <si>
    <t>VGAA_SCIENCE</t>
  </si>
  <si>
    <t>Grade achieved at GCE Applied A Level Applied Science.</t>
  </si>
  <si>
    <t>KS5_VGAA_ENGINEERING</t>
  </si>
  <si>
    <t>VGAA_ENGINEERING</t>
  </si>
  <si>
    <t>Grade achieved at GCE Applied A Level Applied Engineering.</t>
  </si>
  <si>
    <t>KS5_VGAA_ICT</t>
  </si>
  <si>
    <t>VGAA_ICT</t>
  </si>
  <si>
    <t>Grade achieved at GCE Applied A Level Applied ICT.</t>
  </si>
  <si>
    <t>KS5_VGAA_MEDIA</t>
  </si>
  <si>
    <t>VGAA_MEDIA</t>
  </si>
  <si>
    <t>Grade achieved at GCE Applied  A Level Media: Communication and Production.</t>
  </si>
  <si>
    <t>KS5_VGAA_RETAIL</t>
  </si>
  <si>
    <t>VGAA_RETAIL</t>
  </si>
  <si>
    <t>Grade achieved at GCE Applied  A Level Retail and Distribution.</t>
  </si>
  <si>
    <t>KS5_VGAA_PERFORMING</t>
  </si>
  <si>
    <t>VGAA_PERFORMING</t>
  </si>
  <si>
    <t>Grade achieved at GCE Applied  A Level Performing Arts.</t>
  </si>
  <si>
    <t>KS5_VGAA_LEIS_RECR</t>
  </si>
  <si>
    <t>VGAA_LEIS_RECR</t>
  </si>
  <si>
    <t>Grade achieved at GCE Applied  A Level Leisure and Recreation.</t>
  </si>
  <si>
    <t>KS5_VGAA_TRAV_TOUR</t>
  </si>
  <si>
    <t>VGAA_TRAV_TOUR</t>
  </si>
  <si>
    <t>Grade achieved at GCE Applied  A Level Travel and Tourism.</t>
  </si>
  <si>
    <t>KS5_VGAAS_BUS</t>
  </si>
  <si>
    <t>VGAAS_BUS</t>
  </si>
  <si>
    <t>Grade achieved at GCE Applied AS Level Applied Business.</t>
  </si>
  <si>
    <t>KS5_VGAAS_HEAL_SOC</t>
  </si>
  <si>
    <t>VGAAS_HEAL_SOC</t>
  </si>
  <si>
    <t>Grade achieved at GCE Applied  AS Level Health and Social Care.</t>
  </si>
  <si>
    <t>As for VGAAS_BUS</t>
  </si>
  <si>
    <t>KS5_VGAAS_ENGINEERING</t>
  </si>
  <si>
    <t>VGAAS_ENGINEERING</t>
  </si>
  <si>
    <t>Grade achieved at GCE Applied AS Level Applied Engineering.</t>
  </si>
  <si>
    <t>KS5_VGAAS_ICT</t>
  </si>
  <si>
    <t>VGAAS_ICT</t>
  </si>
  <si>
    <t>Grade achieved at GCE Applied AS Level Applied ICT.</t>
  </si>
  <si>
    <t>KS5_VGADA_AD</t>
  </si>
  <si>
    <t>VGADA_AD</t>
  </si>
  <si>
    <t>Grade achieved at GCE Applied Double Award Level Applied Art and Design.</t>
  </si>
  <si>
    <t>KS5_VGADA_BUS</t>
  </si>
  <si>
    <t>VGADA_BUS</t>
  </si>
  <si>
    <t>Grade achieved at GCE Applied Double Award Level Applied Business.</t>
  </si>
  <si>
    <t>As for VGADA_AD</t>
  </si>
  <si>
    <t>KS5_VGADA_HEAL_SOC</t>
  </si>
  <si>
    <t>VGADA_HEAL_SOC</t>
  </si>
  <si>
    <t>Grade achieved at GCE Applied  Double Award Level Health and Social Care.</t>
  </si>
  <si>
    <t>KS5_VGADA_MANUFACTURING</t>
  </si>
  <si>
    <t>VGADA_MANUFACTURING</t>
  </si>
  <si>
    <t>Grade achieved at GCE Applied  Double Award Level Manufacturing.</t>
  </si>
  <si>
    <t>KS5_VGADA_CONSTRUCTION</t>
  </si>
  <si>
    <t>VGADA_CONSTRUCTION</t>
  </si>
  <si>
    <t>Grade achieved at GCE Applied  Double Award Level Construction.</t>
  </si>
  <si>
    <t>KS5_VGADA_HOSPITALITY</t>
  </si>
  <si>
    <t>VGADA_HOSPITALITY</t>
  </si>
  <si>
    <t>Grade achieved at GCE Applied  Double Award Level Hospitality and Catering.</t>
  </si>
  <si>
    <t>KS5_VGADA_SCIENCE</t>
  </si>
  <si>
    <t>VGADA_SCIENCE</t>
  </si>
  <si>
    <t>Grade achieved at GCE Applied Double Award Level Applied Science.</t>
  </si>
  <si>
    <t>KS5_VGADA_ENGINEERING</t>
  </si>
  <si>
    <t>VGADA_ENGINEERING</t>
  </si>
  <si>
    <t>Grade achieved at GCE Applied Double Award Level Applied Engineering.</t>
  </si>
  <si>
    <t>KS5_VGADA_ICT</t>
  </si>
  <si>
    <t>VGADA_ICT</t>
  </si>
  <si>
    <t>Grade achieved at GCE Applied Double Award Level Applied ICT.</t>
  </si>
  <si>
    <t>KS5_VGADA_MEDIA</t>
  </si>
  <si>
    <t>VGADA_MEDIA</t>
  </si>
  <si>
    <t>Grade achieved at GCE Applied  Double Award Level Media: Communication and Production.</t>
  </si>
  <si>
    <t>KS5_VGADA_PERFORMING</t>
  </si>
  <si>
    <t>VGADA_PERFORMING</t>
  </si>
  <si>
    <t>Grade achieved at GCE Applied  Double Award Level Performing Arts.</t>
  </si>
  <si>
    <t>KS5_VGADA_LEIS_RECR</t>
  </si>
  <si>
    <t>VGADA_LEIS_RECR</t>
  </si>
  <si>
    <t>Grade achieved at GCE Applied  Double Award Level Leisure and Recreation.</t>
  </si>
  <si>
    <t>KS5_VGADA_TRAV_TOUR</t>
  </si>
  <si>
    <t>VGADA_TRAV_TOUR</t>
  </si>
  <si>
    <t>Grade achieved at GCE Applied  Double Award Level Travel and Tourism.</t>
  </si>
  <si>
    <t>k5r_ay</t>
  </si>
  <si>
    <t>KS5_PREREG</t>
  </si>
  <si>
    <t>k5r_prer</t>
  </si>
  <si>
    <t>KS5_REGDATE</t>
  </si>
  <si>
    <t>k5r_frd</t>
  </si>
  <si>
    <t>First registration date (for Advanced GNVQs only)</t>
  </si>
  <si>
    <t xml:space="preserve">2005/06 only </t>
  </si>
  <si>
    <t>KS5_EXAMYEAR</t>
  </si>
  <si>
    <t>k5r_ey</t>
  </si>
  <si>
    <t>KS5_SEASON</t>
  </si>
  <si>
    <t>k5r_es</t>
  </si>
  <si>
    <t>KS5_BOARDNO</t>
  </si>
  <si>
    <t>k5r_abn</t>
  </si>
  <si>
    <t>KS5_SUBLEVNO</t>
  </si>
  <si>
    <t>k5r_qac</t>
  </si>
  <si>
    <t>KS5_QAN</t>
  </si>
  <si>
    <t>k5r_qan</t>
  </si>
  <si>
    <t>G-number for Advanced GNVQs or a QCA Qualification Accreditation Number (QAN) for Section 96 qualifications.</t>
  </si>
  <si>
    <t>KS5_GNUMBER</t>
  </si>
  <si>
    <t>GNUMBER</t>
  </si>
  <si>
    <t xml:space="preserve">2015/16 - </t>
  </si>
  <si>
    <t>KS5_BRDSUBNO</t>
  </si>
  <si>
    <t>k5r_absn</t>
  </si>
  <si>
    <t>KS5_MAPPING</t>
  </si>
  <si>
    <t>k5r_lsm</t>
  </si>
  <si>
    <t>KS5_INCLUDE</t>
  </si>
  <si>
    <t>Result is included in calculations.</t>
  </si>
  <si>
    <t>KS5_PTQ_INCLUDE</t>
  </si>
  <si>
    <t>Approved KS5/level 3 qualification: result is included in calculations</t>
  </si>
  <si>
    <t>KS5_MODE</t>
  </si>
  <si>
    <t>k5r_mode</t>
  </si>
  <si>
    <t>KS5_MODFLAG</t>
  </si>
  <si>
    <t>k5r_mf</t>
  </si>
  <si>
    <t>KS5_MODAFLAG</t>
  </si>
  <si>
    <t>k5r_malf</t>
  </si>
  <si>
    <t>KS5_LEV3</t>
  </si>
  <si>
    <t>k5r_lev3</t>
  </si>
  <si>
    <t>KS5_ASIZE</t>
  </si>
  <si>
    <t>k5r_size</t>
  </si>
  <si>
    <t>Size of the qualification equivalent to an A Level.</t>
  </si>
  <si>
    <t>KS5_ASIZEGS</t>
  </si>
  <si>
    <t>ASIZEGS</t>
  </si>
  <si>
    <t>k5r_szgs</t>
  </si>
  <si>
    <t>Size of the qualification equivalent to an A Level with General Studies A/AS Level excluded</t>
  </si>
  <si>
    <t>Exam/Assessment season</t>
  </si>
  <si>
    <t>KS5_GRADE</t>
  </si>
  <si>
    <t>k5r_eg</t>
  </si>
  <si>
    <t>KS5_GORIGIN</t>
  </si>
  <si>
    <t>k5r_og</t>
  </si>
  <si>
    <t>KS5_GFINAL</t>
  </si>
  <si>
    <t>k5r_fg</t>
  </si>
  <si>
    <t>KS5_POINTS</t>
  </si>
  <si>
    <t>k5r_pts</t>
  </si>
  <si>
    <t>Total A Level and equivalents point score.</t>
  </si>
  <si>
    <t>KS5_POINTS_1618</t>
  </si>
  <si>
    <t>POINTS_1618</t>
  </si>
  <si>
    <t>New 16-18 points (introduced in 2016)</t>
  </si>
  <si>
    <t>KS5_CAPPED_PTS</t>
  </si>
  <si>
    <t>CAPPED_PTS</t>
  </si>
  <si>
    <t>Capped points for English and Maths progress measure</t>
  </si>
  <si>
    <t>KS5_GSIZE</t>
  </si>
  <si>
    <t>GCSE equivalent size</t>
  </si>
  <si>
    <t>KS5_LEV1</t>
  </si>
  <si>
    <t>Level 1 Threshold Contribution</t>
  </si>
  <si>
    <t>KS5_LEV2</t>
  </si>
  <si>
    <t>Level 2 Threshold Contribution</t>
  </si>
  <si>
    <t>KS5_APTSGS</t>
  </si>
  <si>
    <t>APTSGS</t>
  </si>
  <si>
    <t>k5r_ptgs</t>
  </si>
  <si>
    <t>A Level equivalent points with General Studies A/AS Level excluded</t>
  </si>
  <si>
    <t>KS5_MAXPTGSE</t>
  </si>
  <si>
    <t>MAXPTGSE</t>
  </si>
  <si>
    <t>k5r_mxpt</t>
  </si>
  <si>
    <t>Maximum possible QCA points score for an exam with General Studies A/AS Level at full weight</t>
  </si>
  <si>
    <t>KS5_ASIZEGSO</t>
  </si>
  <si>
    <t>ASIZEGSO</t>
  </si>
  <si>
    <t>2009/10 - 2014/15</t>
  </si>
  <si>
    <t>A Level equivalent size for General Studies</t>
  </si>
  <si>
    <t>KS5_APTSGSO</t>
  </si>
  <si>
    <t>APTSGSO</t>
  </si>
  <si>
    <t>A Level equivalent points for General Studies</t>
  </si>
  <si>
    <t>KS5_DISCYEAR</t>
  </si>
  <si>
    <t>k5r_dy</t>
  </si>
  <si>
    <t>2001/02 - 2005/06</t>
  </si>
  <si>
    <t>KS5_DISC1</t>
  </si>
  <si>
    <t>k5r_df1y</t>
  </si>
  <si>
    <t>One year discount flag (based on A Level and equivalent qualifications).</t>
  </si>
  <si>
    <t>KS5_DISC2</t>
  </si>
  <si>
    <t>k5r_df2y</t>
  </si>
  <si>
    <t>Two year discount flag (based on A Level and equivalent qualifications).</t>
  </si>
  <si>
    <t>KS5_DISC3</t>
  </si>
  <si>
    <t>k5r_dfmy</t>
  </si>
  <si>
    <t>Multi year discount flag - 3 or more years (based on A Level and equivalent qualifications).</t>
  </si>
  <si>
    <t>KS5_DISC1B</t>
  </si>
  <si>
    <t>k5r_df1b</t>
  </si>
  <si>
    <t>One year discount flag (based on GCE/VCE A/AS Levels and Level 3 Key Skills only).</t>
  </si>
  <si>
    <t>KS5_DISC2B</t>
  </si>
  <si>
    <t>k5r_df2b</t>
  </si>
  <si>
    <t>Two year discount flag (based on GCE/VCE A/AS Levels and Level 3 Key Skills only).</t>
  </si>
  <si>
    <t>KS5_DISC3B</t>
  </si>
  <si>
    <t>k5r_df3b</t>
  </si>
  <si>
    <t>Multi year discount flag - 3 or more years (based on GCE/VCE A/AS Levels and Level 3 Key Skills only).</t>
  </si>
  <si>
    <t>KS5_DISC2S</t>
  </si>
  <si>
    <t>DISC2S</t>
  </si>
  <si>
    <t>k5r_dc2s</t>
  </si>
  <si>
    <t>Size based two year discount flag (based on A Level and equivalent qualifications).</t>
  </si>
  <si>
    <t>KS5_DISC_SINGLE</t>
  </si>
  <si>
    <t>DISC_SINGLE</t>
  </si>
  <si>
    <t>One year discount flag – used where student has studied at an institution for a single year. General discounting flag used to determine points.</t>
  </si>
  <si>
    <t>0 (Qualification included),
1 (Qualification discounted)</t>
  </si>
  <si>
    <t>KS5_DISCB_SINGLE</t>
  </si>
  <si>
    <t>DISCB_SINGLE</t>
  </si>
  <si>
    <t>One year discount flag for discounting A level cohort qualifications</t>
  </si>
  <si>
    <t>KS5_DISCS_SINGLE</t>
  </si>
  <si>
    <t>DISCS_SINGLE</t>
  </si>
  <si>
    <t>One year discount flag used to determine discounting of size e.g. where failed A level has been discounted by an AS level</t>
  </si>
  <si>
    <t>KS5_DISC_ALL</t>
  </si>
  <si>
    <t>DISC_ALL</t>
  </si>
  <si>
    <t>Three year discount flag – used where student not moved institution and for national level aggregation of all results. General discounting flag used to determine points.</t>
  </si>
  <si>
    <t>KS5_DISCB_ALL</t>
  </si>
  <si>
    <t>DISCB_ALL</t>
  </si>
  <si>
    <t>Three year discountflag for discounting A level cohort qualifications</t>
  </si>
  <si>
    <t>KS5_DISCS_ALL</t>
  </si>
  <si>
    <t>DISCS_ALL</t>
  </si>
  <si>
    <t>Three year discount flag used to determine discounting of size e.g. where failed A level has been discounted by an AS level</t>
  </si>
  <si>
    <t>KS5_DISC_0_1</t>
  </si>
  <si>
    <t>DISC_0_1</t>
  </si>
  <si>
    <t>Two year discount flag  used where student is in same institution in RY and RY-1. General discounting flag used to determine points.</t>
  </si>
  <si>
    <t>KS5_DISCB_0_1</t>
  </si>
  <si>
    <t>DISCB_0_1</t>
  </si>
  <si>
    <t>Two year discount flag for RY and RY-1, discounting A level cohort qualifications</t>
  </si>
  <si>
    <t>KS5_DISCS_0_1</t>
  </si>
  <si>
    <t>DISCS_0_1</t>
  </si>
  <si>
    <t>Two year discount flag for RY and RY-1 used to determine discounting of size, eg where failed A level has been discounted by an AS level</t>
  </si>
  <si>
    <t>KS5_DISC_1_2</t>
  </si>
  <si>
    <t>DISC_1_2</t>
  </si>
  <si>
    <t>Two year discount flag used where student is in same institution in RY-1 and RY-2. General discounting flag used to determine points.</t>
  </si>
  <si>
    <t>KS5_DISCB_1_2</t>
  </si>
  <si>
    <t>DISCB_1_2</t>
  </si>
  <si>
    <t>Two year discount flag for RY-1 and RY-2, discounting A level cohort qualifications</t>
  </si>
  <si>
    <t>KS5_DISCS_1_2</t>
  </si>
  <si>
    <t>DISCS_1_2</t>
  </si>
  <si>
    <t>Two year discount flag for RY-1 and RY-2 used to determine discounting of size, eg where failed A level has been discounted by an AS level</t>
  </si>
  <si>
    <t>KS5_DISC_0_2</t>
  </si>
  <si>
    <t>DISC_0_2</t>
  </si>
  <si>
    <t>Two year discount flag used where student is in same institution in RY and RY-2. General discounting flag used to determine points.</t>
  </si>
  <si>
    <t>KS5_DISCB_0_2</t>
  </si>
  <si>
    <t>DISCB_0_2</t>
  </si>
  <si>
    <t>Two year discount flag for RY and RY-2, discounting A level cohort qualifications</t>
  </si>
  <si>
    <t>KS5_DISCS_0_2</t>
  </si>
  <si>
    <t>DISCS_0_2</t>
  </si>
  <si>
    <t>Two year discount flag for RY and RY-2 used to determine discounting of size, eg where failed A level has been discounted by an AS level</t>
  </si>
  <si>
    <t>Institution type (in reporting year)</t>
  </si>
  <si>
    <t>20-38, 43-48, 50-64,98, 99, NULL</t>
  </si>
  <si>
    <t>1,2,3,4,5,6,7,8,9,NULL</t>
  </si>
  <si>
    <t>New admissions policy introduced in 2017</t>
  </si>
  <si>
    <t>New admissions policy introduced in 2019</t>
  </si>
  <si>
    <t>KS5_DiscountFamilyCode</t>
  </si>
  <si>
    <t>DiscountFamilyCode</t>
  </si>
  <si>
    <t>Discount family code</t>
  </si>
  <si>
    <t>eg AAA</t>
  </si>
  <si>
    <t>KS5_LATE_RESULT_FLAG</t>
  </si>
  <si>
    <t>late_result_flag</t>
  </si>
  <si>
    <t>potential late key stage 4 results flag</t>
  </si>
  <si>
    <t>0(not late KS4 results); 1 (late KS4 results); 2 (potential KS4 results)</t>
  </si>
  <si>
    <t>KS5_AMDEXAM</t>
  </si>
  <si>
    <t>k5_amres</t>
  </si>
  <si>
    <t>KS5_Centre_Assessed_Flag</t>
  </si>
  <si>
    <t>Centre_Assessed_Flag</t>
  </si>
  <si>
    <t>Flag whether result is assumed to be centre assessed. Set if the result has an award date between 05/05/2020 – 01/09/2020 for vocational qualifications or if Exam Session = '2020S' for JCQ qualifications</t>
  </si>
  <si>
    <t>1: Centre Assessed – Final grade, either the teacher predicted grade or the grade given by Ofqual (whichever was highest)
0: Not Centre Assessed – Grade given after sitting an examination</t>
  </si>
  <si>
    <t>KS5_Covid_Impacted_Flag</t>
  </si>
  <si>
    <r>
      <rPr>
        <b/>
        <sz val="8"/>
        <rFont val="Arial"/>
        <family val="2"/>
      </rPr>
      <t>2019/20</t>
    </r>
    <r>
      <rPr>
        <sz val="8"/>
        <rFont val="Arial"/>
        <family val="2"/>
      </rPr>
      <t xml:space="preserve">: Flag whether result is Covid impacted (Set if a result has an award date in 2020)  for vocational qualfications or if exam session = '2020S' for JCQ qualifications
</t>
    </r>
    <r>
      <rPr>
        <b/>
        <sz val="8"/>
        <rFont val="Arial"/>
        <family val="2"/>
      </rPr>
      <t>2020/21</t>
    </r>
    <r>
      <rPr>
        <sz val="8"/>
        <rFont val="Arial"/>
        <family val="2"/>
      </rPr>
      <t>: Flag whether result is Covid impacted (Set if a result has an award date in 2020 or 2021 for vocational qualifications or if exam session in (2020S, 2020A, 2020W, 2021S, 2021A)  for JCQ qualifications)</t>
    </r>
  </si>
  <si>
    <t>KS5_Autumn_Series</t>
  </si>
  <si>
    <t xml:space="preserve">Flag whether result was taken as part of the 2020 Autumn Series. Taken from the DCAM extract. Set if a result originally came in through the 2020A exam series (these results will then be outputted with exam series set to 2020S. GCSE Maths and English results will have Autumn_Series_Flag=0)
</t>
  </si>
  <si>
    <t>1: Autumn series result
0: Not an Autumn series result</t>
  </si>
  <si>
    <t>k5r_ver</t>
  </si>
  <si>
    <t>A - Amended
U - Unamended
F - Final</t>
  </si>
  <si>
    <t>Children In Need</t>
  </si>
  <si>
    <t>(Old TIER 1 only = Identification / sensitvity 1B "personal level data of sensitivity level B")</t>
  </si>
  <si>
    <t>CIN_LAchildID, CIN_UPN, CIN_FormerUPN, CIN_PostCode will be removed before releasing to ONS SRS to ensure it is identification/sensitivity 3B "de-identified personal level data of sensitivity level B"</t>
  </si>
  <si>
    <t xml:space="preserve">CIN data may not be used in conjunction with pupil postcode data from any source </t>
  </si>
  <si>
    <t>n_Census_CIN_Overall</t>
  </si>
  <si>
    <t>CIN_CINAt31March</t>
  </si>
  <si>
    <t>CINAt31March</t>
  </si>
  <si>
    <t>2008/09 - 2020/21</t>
  </si>
  <si>
    <t>Was the child CIN as at 31 March?</t>
  </si>
  <si>
    <t>CIN</t>
  </si>
  <si>
    <t>n_Census_CIN_Child</t>
  </si>
  <si>
    <t>CIN_ACADYR</t>
  </si>
  <si>
    <t>CIN_PupilMatchingRefAnonymous</t>
  </si>
  <si>
    <t>CIN_LA_anon</t>
  </si>
  <si>
    <t>2009/10 - 2020/21</t>
  </si>
  <si>
    <t>Local Authority (DfE codeset). This variable has been pseudonymised in line with the impact of COVID19 on DfE data sharing (See COVID19 Impact worksheet) and/or the requirements of Digital Economy Act in relation to a body corporate.</t>
  </si>
  <si>
    <t>CIN_LA_09_anon</t>
  </si>
  <si>
    <t>LA_09_anon</t>
  </si>
  <si>
    <t>2008/2009 only</t>
  </si>
  <si>
    <t>DfE local authority before the local government reorganisation. This variable has been pseudonymised in line with the impact of COVID19 on DfE data sharing (See COVID19 Impact worksheet) and/or the requirements of Digital Economy Act in relation to a body corporate.</t>
  </si>
  <si>
    <t>CIN_LA_9CODE_anon</t>
  </si>
  <si>
    <t>DfE local authority on CIN collection (9 digit code). This variable has been pseudonymised in line with the impact of COVID19 on DfE data sharing (See COVID19 Impact worksheet) and/or the requirements of Digital Economy Act in relation to a body corporate.</t>
  </si>
  <si>
    <t>CIN_LA_LGR_anon</t>
  </si>
  <si>
    <t>DfE local authority after the local government reorganisation. This variable has been pseudonymised in line with the impact of COVID19 on DfE data sharing (See COVID19 Impact worksheet) and/or the requirements of Digital Economy Act in relation to a body corporate.</t>
  </si>
  <si>
    <t>CIN_Age_Start</t>
  </si>
  <si>
    <t>CIN_Month_Part</t>
  </si>
  <si>
    <t>CIN_YearOfBirth</t>
  </si>
  <si>
    <t>CIN_MonthOfBirth</t>
  </si>
  <si>
    <t>CIN_ChildAge31March</t>
  </si>
  <si>
    <t>Age31March</t>
  </si>
  <si>
    <t>Age of child at 31 March derived from DOB</t>
  </si>
  <si>
    <t>CIN_Gender</t>
  </si>
  <si>
    <t xml:space="preserve">2008/2009 - </t>
  </si>
  <si>
    <t>1 = Male
2 = Female
0 = Not recorded or unborn at 31/03/xxxx
9 = Indeterminate</t>
  </si>
  <si>
    <t>CIN_Ethnicity</t>
  </si>
  <si>
    <t>Code identifying the child's ethnic group</t>
  </si>
  <si>
    <t xml:space="preserve">A1 = White - British
A2 = White Irish
A3 = Any Other White Background
A4 = Traveller of Irish Heritage
A5 = Gypsy/Roma
B1 = White and Black Caribbean
B2 = White and Black African
B3 = White and Asian
B4 = Any Other Mixed Background
C1 = Indian
C2 = Pakistani
C3 = Bangladeshi
C4 = Any other Asian Background
D1 = Black Caribbean
D2 = Black African
D3 = Any other Black Background
E1 = Chinese
E2 = Any other ethnic group
E3 = Refused
E4 = Information not yet obtained </t>
  </si>
  <si>
    <t xml:space="preserve">2009/2010 - </t>
  </si>
  <si>
    <t>WBRI = White British
WIRI = White Irish
WIRT = Traveller of Irish Heritage
WOTH = Any other White background
WROM = Gypsy/Roma
MWBC = White and Black Caribbean
MWBA = White and Black African
MWAS = White and Asian
MOTH = Any other Mixed background
AIND = Indian
APKN = Pakistani
ABAN = Bangladeshi
AOTH = Any other Asian background
BCRB = Caribbean
BAFR = African
BOTH = Any other Black background
CHNE = Chinese
OOTH = Any other ethnic group
REFU = Refused
NOBT = Information not yet obtained</t>
  </si>
  <si>
    <t>CIN_EthnicGroupMinor</t>
  </si>
  <si>
    <t>Pupil's minor ethnic group based on ethnicity code.</t>
  </si>
  <si>
    <t>CIN_EthnicGroupMajor</t>
  </si>
  <si>
    <t>CIN_AsylumSeeking</t>
  </si>
  <si>
    <t>AsylumSeeking</t>
  </si>
  <si>
    <t>2008/2009 - 2009/2010</t>
  </si>
  <si>
    <t>Used to indicate if the child is seeking asylum</t>
  </si>
  <si>
    <t>1 = True - the child has been asylum seeking at any time between 1 April 2009 and 31 March 2010
0 = False - the child has not been asylum seeking at any time between 1 April 2009 and 31 March 2010.</t>
  </si>
  <si>
    <t>CIN_DateCeasedAsylumSeeking</t>
  </si>
  <si>
    <t>DateCeasedAsylumSeeking</t>
  </si>
  <si>
    <t>Date the child ceased to seek asylum</t>
  </si>
  <si>
    <t>CIN_CeasedAsylumSeeking</t>
  </si>
  <si>
    <t>CeasedAsylumSeeking</t>
  </si>
  <si>
    <t>Flag  Set to 1 if DateCeasedAsylumSeeking is not null, else 0</t>
  </si>
  <si>
    <t>CIN_Disability</t>
  </si>
  <si>
    <t>HasDisability</t>
  </si>
  <si>
    <t>Disability flag derived from type(s) of disability entered or none</t>
  </si>
  <si>
    <t>CIN_LookedAfterChildAdopted</t>
  </si>
  <si>
    <t>LookedAfterChildAdopted</t>
  </si>
  <si>
    <t>Used to indicate if a looked after child is adopted</t>
  </si>
  <si>
    <t>CIN_CPPindicator</t>
  </si>
  <si>
    <t>CPPindicator</t>
  </si>
  <si>
    <t>Used to indicate if the child has a Child Protection Plan</t>
  </si>
  <si>
    <t>1 = True - if the child is currently the subject of a child protection plan (true at 31 March) 
0 = if the child is currently the subject of a child protection plan (false at 31 March)</t>
  </si>
  <si>
    <t>CIN_LatestReferralDate</t>
  </si>
  <si>
    <t>LatestReferralDate</t>
  </si>
  <si>
    <t>CIN_LatestClosureDate</t>
  </si>
  <si>
    <t>LatestClosureDate</t>
  </si>
  <si>
    <t>CIN_AnyCasesOpen31March</t>
  </si>
  <si>
    <t>AnyCasesOpen31March</t>
  </si>
  <si>
    <t>CIN_LLSOA</t>
  </si>
  <si>
    <t>National Statistics Postcode Directory Lower Layer Super Output Area derived from pupil's postcode.</t>
  </si>
  <si>
    <t>CIN_IDACI_Score</t>
  </si>
  <si>
    <t>IDACI_Score</t>
  </si>
  <si>
    <t xml:space="preserve">CIN_IDACi_Rank </t>
  </si>
  <si>
    <t xml:space="preserve">IDACi_Rank </t>
  </si>
  <si>
    <t>CIN_ReleaseFlag</t>
  </si>
  <si>
    <t>ReleaseFlag</t>
  </si>
  <si>
    <t>Flag to indicate whether a pupil's details can be released (using latest information available to DfE at the time the CIN data is provided).</t>
  </si>
  <si>
    <t>n_Census_CIN_CPP</t>
  </si>
  <si>
    <t>CIN_CPPTableID</t>
  </si>
  <si>
    <t>CPPTableID</t>
  </si>
  <si>
    <t>Primary_Key for view</t>
  </si>
  <si>
    <t>CIN_ChildTableID</t>
  </si>
  <si>
    <t>ChildTableID</t>
  </si>
  <si>
    <t>Bespoke</t>
  </si>
  <si>
    <t>Foreign_Key for view. Associates disabilities, open case status, child protection plans and CIN details with the child record (view CIN_2009_Child)</t>
  </si>
  <si>
    <t>CIN_CPPstartDate</t>
  </si>
  <si>
    <t>CPPstartDate</t>
  </si>
  <si>
    <t>2008/2009 - 2018/2019</t>
  </si>
  <si>
    <t>The date on which the child's protection plan starts</t>
  </si>
  <si>
    <t>CIN_CPPendDate</t>
  </si>
  <si>
    <t>CPPendDate</t>
  </si>
  <si>
    <t>2012/2013 - 2018/2019</t>
  </si>
  <si>
    <t>The date on which the child's protection plan ends</t>
  </si>
  <si>
    <t>CIN_CategoryOfAbuse</t>
  </si>
  <si>
    <t>CategoryOfAbuse</t>
  </si>
  <si>
    <t>The type of abuse the plan is put in place to prevent</t>
  </si>
  <si>
    <t>NEG = Neglect
PHY = Physical Abuse
SAB = Sexual Abuse
EMO = Emotional Abuse
MUL = Multiple not recommended</t>
  </si>
  <si>
    <t>CIN_InitialCategoryOfAbuse</t>
  </si>
  <si>
    <t>InitialCategoryOfAbuse</t>
  </si>
  <si>
    <t>2012/2013 -</t>
  </si>
  <si>
    <t>The type of abuse recorded the time the plan commenced</t>
  </si>
  <si>
    <t>NEG = Neglect,
PHY = Physical Abuse, 
SAB = Sexual Abuse, 
EMO = Emotional Abuse, 
MUL = Multiple not recommended</t>
  </si>
  <si>
    <t>CIN_LatestCategoryOfAbuse</t>
  </si>
  <si>
    <t>LatestCategoryOfAbuse</t>
  </si>
  <si>
    <t>CIN_NumberOfPreviousCPP</t>
  </si>
  <si>
    <t>NumberOfPreviousCPP</t>
  </si>
  <si>
    <t>How many previous plans a child has had</t>
  </si>
  <si>
    <t>CIN_SeenSocialWorker</t>
  </si>
  <si>
    <t>SeenSocialWorker</t>
  </si>
  <si>
    <t>2013/2014 - 2014/2015</t>
  </si>
  <si>
    <t>Flag to identify the child has or has not been seen by the lead social worker in accordance with their child protection plan</t>
  </si>
  <si>
    <t>0 = on some or all occasions the child was not seen in accordance with the timescales specified in the plan
1 = on all occasions during the year the child was seen in accordance with the timescales specified in the plan</t>
  </si>
  <si>
    <t>CIN_NI67DenominatorFlag</t>
  </si>
  <si>
    <t>NI67DenominatorFlag</t>
  </si>
  <si>
    <t>A flag showing if the record is included in the denominator of the former NI67 calculation</t>
  </si>
  <si>
    <t>CIN_NI67NumeratorFlag</t>
  </si>
  <si>
    <t>NI67NumeratorFlag</t>
  </si>
  <si>
    <t>A flag showing if the record is included in the numerator of the former NI67 calculation.</t>
  </si>
  <si>
    <t>n_Census_CIN_Details</t>
  </si>
  <si>
    <t>CIN_CINDetailsTableID</t>
  </si>
  <si>
    <t>CINDetailsTableID</t>
  </si>
  <si>
    <t xml:space="preserve">2010/2011 - </t>
  </si>
  <si>
    <t>Foreign_Key for view. Associates disabilities, open case status, child protection plans and CIN details with the child record.</t>
  </si>
  <si>
    <t>CIN_CINReferralDate</t>
  </si>
  <si>
    <t>CINReferralDate</t>
  </si>
  <si>
    <t>The date when the referral was made</t>
  </si>
  <si>
    <t>CIN_ReferralSource</t>
  </si>
  <si>
    <t>ReferralSource</t>
  </si>
  <si>
    <t>2013/2014 -</t>
  </si>
  <si>
    <t>Source of the child’s reported referral</t>
  </si>
  <si>
    <t xml:space="preserve">1A = INDIVIDUAL – Family member/relative/carer
1B = INDIVIDUAL – Acquaintance (including neighbours and child minders)
1C = INDIVIDUAL – Self
1D = INDIVIDUAL – Other (including strangers, MPs)
2A = SCHOOLS
2B = EDUCATION SERVICES
3A = HEALTH SERVICES – GP
3B = HEALTH SERVICES – Health Visitor
3C = HEALTH SERVICES – School Nurse
3D = HEALTH SERVICES – Other primary health services
3E = HEALTH SERVICES – A&amp;E (Emergency Department)
3F = HEALTH SERVICES – Other (eg hospice, hospital ward discharges)
4 = HOUSING (LA housing or housing association)
5A = LA SERVICES – Social care eg adults social care
5B = LA SERVICES – Other internal (department  other than social care in LA, eg youth offending (excluding housing))
5C = LA SERVICES – External eg from another LAs adults social care 
6 = POLICE
7 = OTHER LEGAL AGENCY – including courts, probation, immigration, CAFCASS, prison
8 = OTHER – including children’s centres (including those ran by LA social care), independent agency providers, voluntary organisations, fire department
9 = ANONYMOUS
10 = UNKNOWN 
</t>
  </si>
  <si>
    <t>CIN_PrimaryNeedCode</t>
  </si>
  <si>
    <t>PrimaryNeedCode</t>
  </si>
  <si>
    <t>The main need which the episode is taking care of.</t>
  </si>
  <si>
    <t>N1 = Abuse or neglect
N2 = Child's disability/illness
N3 = Parental Disability/illness
N4 = Family in acute stress
N5 = Family dysfunction
N6 = Socially unacceptable
N7 = Low income
N8 = Absent parenting
N9 = Cases other than Children in Need
N0 = Not stated</t>
  </si>
  <si>
    <t>CIN_CINClosureDate</t>
  </si>
  <si>
    <t>CINClosureDate</t>
  </si>
  <si>
    <t>This is the date that the care episode finished or closed</t>
  </si>
  <si>
    <t>CIN_ReasonForClosure</t>
  </si>
  <si>
    <t>ReasonForClosure</t>
  </si>
  <si>
    <t>The reason why the episode was closed</t>
  </si>
  <si>
    <t>RC1 = Adopted
RC2 = Died
RC3 = Residence Order
RC4 = Special Guardianship Order
RC5 = Transferred to services of another LA
RC6 = Transferred to adult social services
RC7 = Services ceased for any other reason, including child no longer in need
RC8 = Case closed after assessment, no further action</t>
  </si>
  <si>
    <t>CIN_DateOfInitialCPC</t>
  </si>
  <si>
    <t>DateOfInitialCPC</t>
  </si>
  <si>
    <t>2009/2010 - 2016/17</t>
  </si>
  <si>
    <t>This is the date of the initial Child Protection Conference</t>
  </si>
  <si>
    <t>CIN_ReferralNFA</t>
  </si>
  <si>
    <t>ReferralNFA</t>
  </si>
  <si>
    <t>2009/2010 -</t>
  </si>
  <si>
    <t>Flags children who were referred but after initial consideration, no further action was taken.</t>
  </si>
  <si>
    <t>CIN_CaseOpen31March</t>
  </si>
  <si>
    <t>CaseOpen31March</t>
  </si>
  <si>
    <t>Cases still open as at 31 March</t>
  </si>
  <si>
    <t>CIN_AgeStartOfCINPeriod</t>
  </si>
  <si>
    <t>AgeStartOfCINPeriod</t>
  </si>
  <si>
    <t>Derived from CIN referral date and DOB if on or before 31 March.</t>
  </si>
  <si>
    <t>CIN_AgeEndOfCINPeriod</t>
  </si>
  <si>
    <t>AgeEndOfCINPeriod</t>
  </si>
  <si>
    <t>Derived from CIN closure date and DOB if on or before 31 March</t>
  </si>
  <si>
    <t>CIN_Started</t>
  </si>
  <si>
    <t>Started</t>
  </si>
  <si>
    <t>CIN_Ended</t>
  </si>
  <si>
    <t>Ended</t>
  </si>
  <si>
    <t>CIN_AnyPoint</t>
  </si>
  <si>
    <t>AnyPoint</t>
  </si>
  <si>
    <t>CIN episode at any point during the year</t>
  </si>
  <si>
    <t>1 = Yes, 0 = No</t>
  </si>
  <si>
    <t>CIN_Throughout</t>
  </si>
  <si>
    <t>Throughout</t>
  </si>
  <si>
    <t>CIN_At31</t>
  </si>
  <si>
    <t>At31</t>
  </si>
  <si>
    <t>CIN_Age_Referral</t>
  </si>
  <si>
    <t>Age_Referral</t>
  </si>
  <si>
    <t>Age of child at the time of referral</t>
  </si>
  <si>
    <t>CIN_YearofReferral</t>
  </si>
  <si>
    <t>YearofReferral</t>
  </si>
  <si>
    <t>Year of child at the time of referral</t>
  </si>
  <si>
    <t>CIN_MonthOfReferral</t>
  </si>
  <si>
    <t>MonthOfReferral</t>
  </si>
  <si>
    <t>Month of child at the time of referral</t>
  </si>
  <si>
    <t>CIN_YearOfClosure</t>
  </si>
  <si>
    <t>YearOfClosure</t>
  </si>
  <si>
    <t>Taken from CinClosureDate on Details table</t>
  </si>
  <si>
    <t>CIN_MonthOfClosure</t>
  </si>
  <si>
    <t>MonthOfClosure</t>
  </si>
  <si>
    <t>2008/2009 -</t>
  </si>
  <si>
    <t>n_Census_CIN_Disabilities</t>
  </si>
  <si>
    <t>CIN_DisabilitiesID</t>
  </si>
  <si>
    <t>DisabilitiesID</t>
  </si>
  <si>
    <t>Holds a record of the type of disability(s) a child may suffer from. NONE by itself is used for no disability.</t>
  </si>
  <si>
    <t>NONE = None
MOB = Mobility
HAND = Hand Function
PC = Personal Care
INC = Incontinence
COMM = Communication
LD = Learning
HEAR = Hearing
VIS = Vision
BEH = Behaviour
CON = Consciousness
AUT = Diagnosed with autism or Aspergers syndrome 
DDA = Disabled under DDA but not in above categories</t>
  </si>
  <si>
    <t>n_Census_CIN_OpenCase</t>
  </si>
  <si>
    <t>CIN_OpenCaseStatusTableID</t>
  </si>
  <si>
    <t>OpenCaseStatusTableID</t>
  </si>
  <si>
    <t>CIN_OpenCaseInformation</t>
  </si>
  <si>
    <t>OpenCaseInformation</t>
  </si>
  <si>
    <t>Open case Information</t>
  </si>
  <si>
    <t>CLA = Child Looked After
RO = Residence Order
SG = Special Guardianship Order
TP = Transition Plan
CR = Cared for by a relative
PFC = Privately fostered child
YC = Young Carer
NCH = Receiving overnight short breaks in the child's home
NKH = Receiving overnight short breaks in the carers home
NAS = Receiving overnight short breaks at another setting
DCH = Receiving day care short breaks in the child's home
DKH = Receiving day care short breaks in the carers home
DAS = Reciting day care short breaks in another setting
BF = Receiving day care short breaks: Befriending service
CDP = Child receiving direct payments
KDP = Carer receiving direct payments
NON = Open Case, none of the above categories</t>
  </si>
  <si>
    <t>n_Census_CIN_ServiceProvision</t>
  </si>
  <si>
    <t>ServiceProvisionTableID</t>
  </si>
  <si>
    <t>Foreign_Key for view. Associates service provision with the CIN details record.</t>
  </si>
  <si>
    <t>ServiceType</t>
  </si>
  <si>
    <t>Service Type</t>
  </si>
  <si>
    <t>Y = Family Support (section 17)
Z = Section 24 " Leaving Care" Support
A = Adoption Support
X = Residence Order Payments
SG = Special Guardianship Support Services
P = Other Care and Accommodation
D = Disabled Children's Services
AI = Aids and Adaptations</t>
  </si>
  <si>
    <t>ServiceProvision</t>
  </si>
  <si>
    <t>Service Provision</t>
  </si>
  <si>
    <t>PR1 = Own Provision
PR2 = Other Local Authority Provision
PR3 = Other Public Provision
PR4 = Private Provision
PR5 = Voluntary or third sector provision</t>
  </si>
  <si>
    <t>ServiceProvisionStartDate</t>
  </si>
  <si>
    <t>Service Provision Start Date</t>
  </si>
  <si>
    <t>ServiceProvisionEndDate</t>
  </si>
  <si>
    <t>Service Provision End Date</t>
  </si>
  <si>
    <t>(Old TIER 1 only = Identification / sensitvity 2B "personal level data of sensitivity level B")</t>
  </si>
  <si>
    <t>CLA_LA, CLA_CHILD_ID, CLA_CHILD_LA_CODE, CLA_UPN will be removed before releasing to ONS SRS to ensure it is identification/sensitivity 3B "de-identified personal level data of sensitivity level B")</t>
  </si>
  <si>
    <t xml:space="preserve">CLA data may not be used in conjunction with pupil postcode data from any source </t>
  </si>
  <si>
    <t>cla_PupilMatchingRefAnonymous</t>
  </si>
  <si>
    <t>2005/2006 -</t>
  </si>
  <si>
    <t>cla_CLA_LA_anon</t>
  </si>
  <si>
    <t>CLA_LA_anon</t>
  </si>
  <si>
    <t>Children Looked After Local Authority number. This variable has been pseudonymised in line with the impact of COVID19 on DfE data sharing (See COVID19 Impact worksheet) and/or the requirements of Digital Economy Act in relation to a body corporate.</t>
  </si>
  <si>
    <t>cla_SEX</t>
  </si>
  <si>
    <t>SEX</t>
  </si>
  <si>
    <t>1 = Male
2 = Female</t>
  </si>
  <si>
    <t>cla_AGE_AUG</t>
  </si>
  <si>
    <t>AGE_AUG</t>
  </si>
  <si>
    <t>The child's age at 31 August of the preceding year. For 2015, the child's age would be as at 31 August 2014.</t>
  </si>
  <si>
    <t>cla_PROCESSING_YEAR</t>
  </si>
  <si>
    <t>PROCESSING_YEAR</t>
  </si>
  <si>
    <t>Children looked after in year 200_.</t>
  </si>
  <si>
    <t>2006, 2007, 2008, 2009, 2010, 2011, 2012, 2013, 2014, 2015, 2016, 2017, 2018</t>
  </si>
  <si>
    <t>cla_ETHNIC</t>
  </si>
  <si>
    <t>Ethnic origin.  This corresponds to EthnicGroupMinor in Census data.</t>
  </si>
  <si>
    <t>WBRI=White British
WIRI=White Irish
WOTH=Any other White background
WIRT=Traveller of Irish Heritage
WROM=Gypsy/Roma
MWBC=White and Black Caribbean
MWBA=White and Black African
MWAS=White and Asian
MOTH=Any other Mixed background
AIND=Indian
APKN=Pakistani
ABAN=Bangladeshi
AOTH=Any other Asian background
BCRB=Caribbean
BAFR=African
BOTH=Any other Black background
CHNE=Chinese
OOTH=Any other ethnic group
REFU=Refused
NOBT=Information not yet obtained</t>
  </si>
  <si>
    <t>cla_UASC_STATUS</t>
  </si>
  <si>
    <t>UASC_STATUS</t>
  </si>
  <si>
    <t>Is child Unaccompanied Asylum Seeker?</t>
  </si>
  <si>
    <t>cla_POC_START</t>
  </si>
  <si>
    <t>POC_START</t>
  </si>
  <si>
    <t>Start date of child's period of care. Relates to most recent period of continuous care.</t>
  </si>
  <si>
    <t>cla_POC_LENGTH</t>
  </si>
  <si>
    <t>POC_LENGTH</t>
  </si>
  <si>
    <t>Length of period of care in months. If child looked after at 31 March in processing year, length based on end of that financial year.</t>
  </si>
  <si>
    <t>cla_CAT_NEED</t>
  </si>
  <si>
    <t>CAT_NEED</t>
  </si>
  <si>
    <t>Child's category of need. Based on need at start of period of care.</t>
  </si>
  <si>
    <t>N1=Abuse or neglect
N2=Child’s Disability
N3=Parental illness or disability
N4=Family in acute stress
N5=Family dysfunction
N6=Socially Unacceptable Behaviour
N7=Low income
N8=Absent Parenting</t>
  </si>
  <si>
    <t>cla_EPI_IDX</t>
  </si>
  <si>
    <t>EPI_IDX</t>
  </si>
  <si>
    <t>Unique episode of care index. Relating to most recent episode during processing year.</t>
  </si>
  <si>
    <t>cla_DATE_EPI_COMM</t>
  </si>
  <si>
    <t>DATE_EPI_COMM</t>
  </si>
  <si>
    <t>The date the episode of care started. Relating to most recent episode during processing year.</t>
  </si>
  <si>
    <t>cla_DATE_EPI_CEASED</t>
  </si>
  <si>
    <t>DATE_EPI_CEASED</t>
  </si>
  <si>
    <t>The date the episode of care ended.  If date is beyond the 31 March in the processing year then the child is looked after at 31 March.</t>
  </si>
  <si>
    <t>cla_LEGAL STATUS</t>
  </si>
  <si>
    <t>LEGAL_STATUS</t>
  </si>
  <si>
    <t>Legal Status of looked after child’s most recent episode during processing year.</t>
  </si>
  <si>
    <t>C1 = Interim care order
C2 = Full care order
D1 = Freeing order granted
E1 = Placement order granted
V2 = Single period of accommodation under section 20
V3 = Accommodated under an agreed series of short-term breaks, when individual episodes of care are recorded 
V4 = Accommodated under an agreed series of short-term breaks, when agreements are recorded (i.e. NOT individual episodes of care) 
L1 = Under police protection and in local authority accommodation
L2 = Emergency protection order
L3 = Under child assessment order and in local authority accommodation
J1 = On remand, or committed for trial or sentence, and accommodated by LA (From 2017/18: Remanded to local authority accommodation or to youth detention accommodation; from 2017/18)
J2 = Detained in LA accommodation under PACE (From 2017/18: Placed in LA accommodation under PACE, including secure accommodation. However this would not necessarily be accommodation where the child would be detained)
J3 = Sentenced to CYPA 1969 supervision order with residence requirement (From 2017/18: Sentenced to Youth Rehabilitation Order (Criminal Justice and Immigration Act 2008, as amended by LASPOA 2012, with residence or intensive fostering requirement)</t>
  </si>
  <si>
    <t>cla_PLACEMENT</t>
  </si>
  <si>
    <t>PLACEMENT</t>
  </si>
  <si>
    <t>Type of placement. Relating to most recent episode during processing year</t>
  </si>
  <si>
    <t xml:space="preserve">Q1=Foster placement with relative or friend (up to 2014)
Q2=Placement with other foster carer (up to 2014)
A3=Placed for adoption with parental/guardian consent with current foster carer (under section 19 of the Adoption and Children Act 2002) or with a freeing order where parental/guardian consent has been given under section 18(1)(a) of the Adoption Act 1976
A4=Placed for adoption with parental/guardian consent not with current foster carer (under section 19 of the Adoption and Children Act 2002) or with a freeing order where parental/guardian consent has been given under section 18(1)(a) of the Adoption Act 1976
A5=Placed for adoption with placement order with current foster carer (under section 21 of the Adoption and Children Act 2002) or with a freeing order where parental/guardian consent was dispensed with under section 18(1)(b) the Adoption Act 1976
A6=Placed for adoption with placement order not with current foster carer (under section 21 of the Adoption and Children Act 2002) or with a freeing order where parental/guardian consent was dispensed with under section 18(1)(b) of the Adoption Act 1976
P1=Placed with own parents or other person with parental responsibility
P2=Independent living , e.g. in flat, lodgings, bedsit, B&amp;B or with friends, with or without formal support
P3=Residential employment
K1=Secure children's homes
K2= Children's homes subject to Children's homes regulations
H5=Semi-independent living accommodation not subject to Children’s homes regulations
R1=Residential care home
R2=NHS/Health Trust or other establishment providing medical or nursing care
R3=Family centre or mother and baby unit
R5=Young Offender Institution or Secure Training Centre (STC)
S1=All Residential schools, except where dual-registered as a school and children’s home
T0=All types of temporary move 
T1=Temporary periods in hospital
T2=Temporary absences of the child on holiday
T3=Temporary accommodation whilst normal foster carer is on holiday
T4=Temporary accommodation of seven days or less, for any reason, not covered by codes T1 to T3
</t>
  </si>
  <si>
    <t>M1=In Refuge (section 51 of Children Act) (up to 2014)
M2=Whereabouts known (not in Refuge) (up to 2014)
M3=Whereabouts unknown (up to 2014)
Z1=Other placements (must be listed on a schedule sent to DFE with annual submission)
U2 - Foster placement with relative or friend who is also an approved adopter: FFA/concurrent planning 
U3 - Foster placement with a relative or friend: not long-term fostering or FFA/concurrent planning (previously included U1 - Foster placement with relative or friend: long-term fostering, which was not a separate category in 2015 as the definition of long-term fostering was published late)
U4 - Foster placement with other foster carer: long term fostering
U5 - Foster placement with other foster carer who is also an approved adopter: FFA/concurrent planning
U6 - Foster placement with other foster carer: not long-term fostering or FFA/concurrent planning (previously included U4 - Foster placement with other foster carer: long-term fostering, which was not a separate category in 2015 as the definition of long-term fostering was published late)
F1 = Foster placement with relative or friend, inside LA boundary
F2 = Placement with other foster carer, provided by LA, inside LA boundary
F3 = Placement with other foster carer, arranged through agency, inside LA boundary
F4 = Foster placement with relative or friend, outside LA boundary
F5 = Placement with other foster carer, provided by LA, outside LA boundary
F6 = Placement with other foster carer, arranged through agency, outside LA boundary</t>
  </si>
  <si>
    <t>cla_REC</t>
  </si>
  <si>
    <t>REC</t>
  </si>
  <si>
    <t>The reason why the episode of care ended.  Relating to most recent episode during processing year. If reason episode ceased is equal to -10 then the child is looked after at 31 March.</t>
  </si>
  <si>
    <t>E11 = Adopted – Application unopposed
E12 = Adopted – consent dispensed with by court
E13 – Left care to live with parents, relatives, or other person with no parental responsibility – this code should be used if the child left care to live with parents, relatives or another person, but this person did not have parental responsibility.
E14 - Accommodation on remand ended- this code should be used if a child was remanded to youth detention accommodation and has stopped their episode of care because they are no longer remanded.
E15 - Age assessment determined child is aged 18 or over and E5, E6 and E7 do not apply eg an unaccompanied asylum seeking child whose age has been disputed- this code should be used if the episode of care ended because the age was disputed, an assessment revealed the child was 18 or over and the young person was not transferred to residential care and did not move into independent living arrangements.
E16 - Moved abroad - use this code if the child left care because they moved to another country, including when a child is deported.
E2 = Died
E3 = Care taken over by another LA
E4 = Returned home to live with parents or relatives or other person with parental responsibility (up to 2014)
E4A = Return home to live with parents, relatives, or other person with parental responsibility as part of the care planning process (not under a special guardianship order or residence order or (from 22 April 2014) a child arrangements order) - relates to a planned move where the child returns home as part of their agreed care plan. This return home has been discussed as part of the care planning process and happens within a planned timeframe.
E4B = Return home to live with parents, relatives, or other person with parental responsibility which was not part of the current care planning process (not under a special guardianship order or residence order or (from 22 April 2014) a child arrangements order) - relates to an unplanned move includes instances where the child’s return home is immediate (e.g. within 24 hours) and has not been discussed as part of the care planning process or does not occur within the planned timeframe. This would include instances where a child under a voluntary arrangement is removed from care by their parents and this was not agreed as part of the care planning process.
E41 = Residence order granted
E43 = Special guardianship made to former foster carers
E44 = Special guardianship made to carers other than foster carers
E5 = Moved into independent living arrangement and no longer looked after: supportive accommodation providing formalised advice/support arrangements (such aslike most hostels, YMCAs, foyers, and care leavers projects)
E6 = Moved into independent living arrangement and no longer looked after : accommodation providing no formalised advice/support arrangements (such aslike a bedsit, own flat, living with friends)
E7 = Transferred to residential care funded by adult social services
E8 = Period of being looked after ceased for any other reason
E9 = Sentenced to custody
X1 = Episode ceases, and new episode begins on same day, for any other reason
-10 = Child looked after at 31 March</t>
  </si>
  <si>
    <t>cla_LA_PLACEMENT_anon</t>
  </si>
  <si>
    <t>LA_PLACEMENT_anon</t>
  </si>
  <si>
    <t>Local Authority where placement is located. This variable has been pseudonymised in line with the impact of COVID19 on DfE data sharing (See COVID19 Impact worksheet) and/or the requirements of Digital Economy Act in relation to a body corporate.</t>
  </si>
  <si>
    <t>See 'LA List' worksheet plus
Child placed in Northern Ireland - NIR
Child placed in Wales - WAL
Child placed in Scotland - SCO
Child placed outside the UK - NUK
Child placed in confidential placement - CON</t>
  </si>
  <si>
    <t>cla_PLACE_LOCATION</t>
  </si>
  <si>
    <t>PLACE_LOCATION</t>
  </si>
  <si>
    <t xml:space="preserve">If the placement was within the Local Authority boundary (except for placement types V3 and V4 and also M1, M2 and M3 for years 2014 and earlier) </t>
  </si>
  <si>
    <t>Inside Local Authority boundary - IN
Outside Local Authority boundary - OUT
Child placed in confidential placement - CON</t>
  </si>
  <si>
    <t>cla_CLA_31_MARCH</t>
  </si>
  <si>
    <t>CLA_31_MARCH</t>
  </si>
  <si>
    <t>Is child looked after at 31 March in the current processing year?</t>
  </si>
  <si>
    <t>cla_CLA_6_MONTHS</t>
  </si>
  <si>
    <t>If the child is looked after on 31 March - has the child been looked after continuously for the last 6 months, i.e. since at least 1 October?</t>
  </si>
  <si>
    <t>cla_CLA_12_MONTHS</t>
  </si>
  <si>
    <t>If the child is looked after on 31 March - has the child been looked after continuously for the last 12 months, i.e. since at least 1 April?</t>
  </si>
  <si>
    <t>CLA_CLA_PP_6_MONTHS</t>
  </si>
  <si>
    <t>Child looked after continuously for 6 months (&gt;=183 days) during the year and aged 4-15. Excluding children looked after under an agreed series of short term placements.</t>
  </si>
  <si>
    <t>CLA_CLA_PP_1_DAY</t>
  </si>
  <si>
    <t>Child is looked after for at least 1 day during the year and aged 4-15 as at 31 August. Excludes children looked after under an agreed series of short placements and also those who were on remand/committed for trial or sentence and accommodated by the local authority.</t>
  </si>
  <si>
    <t>CLA_CLA_OC3</t>
  </si>
  <si>
    <t>CLA_OC3</t>
  </si>
  <si>
    <t>Is the child within the OC3 cohort? i.e. looked after on 1st April 20xx and aged 16. Excluding children looked after under an agreed series of short term placements.</t>
  </si>
  <si>
    <t>CLA_REASON_PLACE_CHANGE</t>
  </si>
  <si>
    <t>Reason why placement changes for children whose placements end after 1 April 2015, but they remain looked after (collected at end of episode)</t>
  </si>
  <si>
    <t xml:space="preserve">CARPL = Change to/Implementation of Care Plan
CLOSE = Resignation/closure of provision
ALLEG = Allegation (s47)
STAND = Standards of Care concern 
APPRR = Approval removed
CREQB = Carer requests placement end due to child’s behaviour
CREQO = Carer requests placement end other than due to child’s behaviour
CHILD = Child requests placement end
LAREQ = Responsible/Area authority requests placement end
PLACE = Change in the status of a placement only
OTHER = Other
</t>
  </si>
  <si>
    <t>Pupil Absence</t>
  </si>
  <si>
    <t>PLEASE NOTE THE 2019/2020 Absence data is not shared externally</t>
  </si>
  <si>
    <t>Source</t>
  </si>
  <si>
    <t>Gender_ab[yy]</t>
  </si>
  <si>
    <t>gend[yy]a</t>
  </si>
  <si>
    <t>Absence-Exclusion</t>
  </si>
  <si>
    <t>Termly Census</t>
  </si>
  <si>
    <t>AgeAtStartOfAcademicYear_ab[yy]</t>
  </si>
  <si>
    <t>age[yy]a</t>
  </si>
  <si>
    <t>Age of pupil at start of the academic year.</t>
  </si>
  <si>
    <t>MonthPartOfAgeAtStartOfAcademicYear_ab[yy]</t>
  </si>
  <si>
    <t>month[yy]a</t>
  </si>
  <si>
    <t>YearOfBirth_ab[yy]</t>
  </si>
  <si>
    <t>yob[yy]a</t>
  </si>
  <si>
    <t>MonthOfBirth_ab[yy]</t>
  </si>
  <si>
    <t>mob[yy]a</t>
  </si>
  <si>
    <t>Ethnicity_ab[yy]</t>
  </si>
  <si>
    <t>eth[yy]a</t>
  </si>
  <si>
    <t>EthnicGroup_ab[yy]</t>
  </si>
  <si>
    <t>ethg[yy]a</t>
  </si>
  <si>
    <t>2005/2006 - 2007/2008</t>
  </si>
  <si>
    <t>EthnicGroupMinor_ab[yy]</t>
  </si>
  <si>
    <t>Pupil's minor ethnic group based on ethnic code.</t>
  </si>
  <si>
    <t>EthnicGroupMajor_ab[yy]</t>
  </si>
  <si>
    <t>ethgm[yy]a</t>
  </si>
  <si>
    <t>Pupil's major ethnic group based on ethnic code.</t>
  </si>
  <si>
    <t>EthnicitySource_ab[yy]</t>
  </si>
  <si>
    <t>ethsc[yy]a</t>
  </si>
  <si>
    <t>2005/2006 - 2009/2010</t>
  </si>
  <si>
    <t>FSMeligible_ab[yy]
FreeSchoolMeals for 2001/02
FSMeligibility for 2002/03 - 2004/05
Based on periods of FSM from 2012/13</t>
  </si>
  <si>
    <t>fsm[yy]a</t>
  </si>
  <si>
    <t xml:space="preserve">Pupils should be recorded as eligibly (true) only if a claim for free school meals has been made by them or on their behalf by parents and either (a) the relevant authority has confirmed their eligibility and a free school meal is currently being provided for them, or (b) the school or the LEA have seen the necessary documentation (for example, an Income Support order book) that supports their eligibility, and the administration of the free meal is to follow as a matter of process.  Conversely, if pupils are in receipt of a free meal but there is confirmation that they are no longer eligible and entitlement will be revoked, false should be applied. </t>
  </si>
  <si>
    <t>EVERFSM_6_[term][yy]</t>
  </si>
  <si>
    <t>Flag to indicate if pupil has been recorded as eligible for free school meals in any termly School Census, AP Census or PRU Census in the last 6 years</t>
  </si>
  <si>
    <t>FirstLanguage_ab[yy]</t>
  </si>
  <si>
    <t>flang[yy]a</t>
  </si>
  <si>
    <t>2006/2007</t>
  </si>
  <si>
    <t>Language_ab[yy]</t>
  </si>
  <si>
    <t>lang[yy]a</t>
  </si>
  <si>
    <t>See Census Language Codes tab in NPD Data Tables document for allowed values</t>
  </si>
  <si>
    <t>LanguageGroup_ab[yy]</t>
  </si>
  <si>
    <t>lgrp[yy]a</t>
  </si>
  <si>
    <t>LanguageGroupMinor_ab[yy]</t>
  </si>
  <si>
    <t>2008/20019 - 2020/2021</t>
  </si>
  <si>
    <t>LanguageGroupMajor_ab[yy]</t>
  </si>
  <si>
    <t>GandTindicator_ab[yy]</t>
  </si>
  <si>
    <t>gant[yy]a</t>
  </si>
  <si>
    <t>2005/06 - 2010/11</t>
  </si>
  <si>
    <t>ServiceChild_ab[yy]</t>
  </si>
  <si>
    <t>svcd[yy]a</t>
  </si>
  <si>
    <t>2007/2008 -  2018/2019</t>
  </si>
  <si>
    <t>ServiceChildSource_ab[yy]</t>
  </si>
  <si>
    <t>svcds[yy]a</t>
  </si>
  <si>
    <t>EntryDate_ab[yy]</t>
  </si>
  <si>
    <t>entry[yy]a</t>
  </si>
  <si>
    <t>LeavingDate_ab[yy]</t>
  </si>
  <si>
    <t>leave[yy]a</t>
  </si>
  <si>
    <t>PartTime_ab[yy]</t>
  </si>
  <si>
    <t>pti[yy]a</t>
  </si>
  <si>
    <t>Boarder_ab[yy]</t>
  </si>
  <si>
    <t>board[yy]a</t>
  </si>
  <si>
    <t>SENprovision_ab[yy]</t>
  </si>
  <si>
    <t>sen[yy]a</t>
  </si>
  <si>
    <t xml:space="preserve">2005/2006 - 2020/2021 </t>
  </si>
  <si>
    <t>SENprovisionMajor_ab[yy]</t>
  </si>
  <si>
    <t>senm[yy]a</t>
  </si>
  <si>
    <t xml:space="preserve">2008/2009 - 2020/2021 </t>
  </si>
  <si>
    <t>Pupil's major SEN provision type under the SEN Code of Practice.</t>
  </si>
  <si>
    <t>PrimarySENtype_ab[yy]</t>
  </si>
  <si>
    <t>sen[yy]1a</t>
  </si>
  <si>
    <t>SecondarySENtype_ab[yy]</t>
  </si>
  <si>
    <t>sen2[yy]a</t>
  </si>
  <si>
    <t>SpecialProvisionIndicator_ab[yy]</t>
  </si>
  <si>
    <t>spi[yy]a</t>
  </si>
  <si>
    <t>2005/06</t>
  </si>
  <si>
    <t>SENUnitIndicator_ab[yy]</t>
  </si>
  <si>
    <t>sui[yy]a</t>
  </si>
  <si>
    <t>Indicates if a pupil with SEN in a mainstream school is a member of a SEN Unit (sometimes called special class).</t>
  </si>
  <si>
    <t>ResourcedProvisionIndicator_ab[yy]</t>
  </si>
  <si>
    <t>rpi[yy]a</t>
  </si>
  <si>
    <t>Indicates if a pupil with SEN in a mainstream school is a member of a resourced provision.</t>
  </si>
  <si>
    <t>COA_ab[yy]</t>
  </si>
  <si>
    <t>oa[yy]a</t>
  </si>
  <si>
    <t>2005/2006 - 2015/2016</t>
  </si>
  <si>
    <t>National Statistics Postcode Directory Census Output Area derived from pupil's postcode.</t>
  </si>
  <si>
    <t>LSOA01_ab[yy]</t>
  </si>
  <si>
    <t>soa1[yy]a</t>
  </si>
  <si>
    <t>2012/2013 - 2014/2015</t>
  </si>
  <si>
    <t>LSOA11_ab[yy]</t>
  </si>
  <si>
    <t>National Statistics Postcode Directory Lower Layer Super Output Area derived from pupil's postcode (based on 2011 Census)</t>
  </si>
  <si>
    <t>IDACI_S_ab[yy]</t>
  </si>
  <si>
    <t>idaci[yy]a</t>
  </si>
  <si>
    <t>IDACI_R_ab[yy]</t>
  </si>
  <si>
    <t>rank[yy]a</t>
  </si>
  <si>
    <t>2016/17 - 2020/2021</t>
  </si>
  <si>
    <t>OA11_home</t>
  </si>
  <si>
    <t>National Statistics Postcode Directory Output Area derived from pupil home postcode (based on 2011 Census)</t>
  </si>
  <si>
    <t>LSOA11_home</t>
  </si>
  <si>
    <t>National Statistics Postcode Directory Lower Layer Super Output Area derived from pupil home postcode (based on 2011 Census)</t>
  </si>
  <si>
    <t>IDACI_S_home</t>
  </si>
  <si>
    <t>Income Deprivation Affecting Children Indices 2015. IDACI Score. Derived from home postcode of pupil</t>
  </si>
  <si>
    <t>IDACI_R_home</t>
  </si>
  <si>
    <t>Income Deprivation Affecting Children Indices 2015. IDACI Rank. Derived from home postcode of pupil</t>
  </si>
  <si>
    <t>IDACI_D_home</t>
  </si>
  <si>
    <t>Income Deprivation Affecting Children Indices 2015. IDACI Decile. Derived from home postcode of pupil</t>
  </si>
  <si>
    <t>Rurality_Home_ab[yy]</t>
  </si>
  <si>
    <t>Rurality_home</t>
  </si>
  <si>
    <t>2017/18 - 2020/2021</t>
  </si>
  <si>
    <t>Rural-Urban Classification 2011. Derived from home postcode of pupil.</t>
  </si>
  <si>
    <t>TermlyReasonL_Autumn_ab[yy]</t>
  </si>
  <si>
    <t>TermlyReasonL_Autumn</t>
  </si>
  <si>
    <t xml:space="preserve">Late (before registers closed) marked as present </t>
  </si>
  <si>
    <t>TermlyReasonJ_Autumn_ab[yy]</t>
  </si>
  <si>
    <t>TermlyReasonJ_Autumn</t>
  </si>
  <si>
    <t xml:space="preserve">Approved education activity as pupil is attending interview </t>
  </si>
  <si>
    <t>TermlyReasonI_Autumn_ab[yy]</t>
  </si>
  <si>
    <t>TermlyReasonI_Autumn</t>
  </si>
  <si>
    <t>ri_au[yy]a</t>
  </si>
  <si>
    <t>Number of authorised sessions missed due to Illness (NOT medical or dental etc. appointments) in the Autumn term.</t>
  </si>
  <si>
    <t>TermlyReasonM_Autumn_ab[yy]</t>
  </si>
  <si>
    <t>TermlyReasonM_Autumn</t>
  </si>
  <si>
    <t>rm_au[yy]a</t>
  </si>
  <si>
    <t xml:space="preserve">2006/2007 - 2020/2021 </t>
  </si>
  <si>
    <t>Number of authorised sessions missed due to medical/ dental appointments in the Autumn term.</t>
  </si>
  <si>
    <t>TermlyReasonR_Autumn_ab[yy]</t>
  </si>
  <si>
    <t>TermlyReasonR_Autumn</t>
  </si>
  <si>
    <t>rr_au[yy]a</t>
  </si>
  <si>
    <t>Number of authorised sessions missed due to religious observance in the Autumn term.</t>
  </si>
  <si>
    <t>TermlyReasonS_Autumn_ab[yy]</t>
  </si>
  <si>
    <t>TermlyReasonS_Autumn</t>
  </si>
  <si>
    <t>rs_au[yy]a</t>
  </si>
  <si>
    <t>Number of authorised sessions missed due to study leave in the Autumn term.</t>
  </si>
  <si>
    <t>TermlyReasonT_Autumn_ab[yy]</t>
  </si>
  <si>
    <t>TermlyReasonT_Autumn</t>
  </si>
  <si>
    <t>rt_au[yy]a</t>
  </si>
  <si>
    <t>Number of authorised sessions missed due to traveller absence in the Autumn term.</t>
  </si>
  <si>
    <t>TermlyReasonH_Autumn_ab[yy]</t>
  </si>
  <si>
    <t>TermlyReasonH_Autumn</t>
  </si>
  <si>
    <t>rh_au[yy]a</t>
  </si>
  <si>
    <t>Number of authorised sessions missed due to agreed family holiday in the Autumn term.</t>
  </si>
  <si>
    <t>TermlyReasonF_Autumn_ab[yy]</t>
  </si>
  <si>
    <t>TermlyReasonF_Autumn</t>
  </si>
  <si>
    <t>rf_au[yy]a</t>
  </si>
  <si>
    <t>2006/07 - 2013/14</t>
  </si>
  <si>
    <t>Number of authorised sessions missed due to agreed extended family holiday in the Autumn term.</t>
  </si>
  <si>
    <t>TermlyReasonD_Autumn_ab[yy]</t>
  </si>
  <si>
    <t>TermlyReasonD_Autumn</t>
  </si>
  <si>
    <t xml:space="preserve">Dual registered (at another establishment) - not counted in possible attendances </t>
  </si>
  <si>
    <t>TermlyReasonE_Autumn_ab[yy]</t>
  </si>
  <si>
    <t>TermlyReasonE_Autumn</t>
  </si>
  <si>
    <t>re_au[yy]a</t>
  </si>
  <si>
    <t>Number of authorised sessions missed as pupil is excluded, with no alternative provision made in the Autumn term.</t>
  </si>
  <si>
    <t>TermlyReasonC_Autumn_ab[yy]</t>
  </si>
  <si>
    <t>TermlyReasonC_Autumn</t>
  </si>
  <si>
    <t>rc_au[yy]a</t>
  </si>
  <si>
    <t>2006/07 - 2020/2021</t>
  </si>
  <si>
    <t>Number of authorised sessions missed as pupil is absent due to other authorised circumstances in the Autumn term.</t>
  </si>
  <si>
    <t>TermlyReasonB_Autumn_ab[yy]</t>
  </si>
  <si>
    <t>TermlyReasonB_Autumn</t>
  </si>
  <si>
    <t xml:space="preserve">Approved education activity as pupil being educated off site (not dual registration) </t>
  </si>
  <si>
    <t>TermlyReasonAM_Autumn_ab[yy]</t>
  </si>
  <si>
    <t>TermlyReasonAM_Autumn</t>
  </si>
  <si>
    <t xml:space="preserve">Present (AM) </t>
  </si>
  <si>
    <t>TermlyReasonX_Summer_ab[yy]</t>
  </si>
  <si>
    <t>TermlyReasonX_Summer</t>
  </si>
  <si>
    <t>Number of sessions Non-compulsory school age absence - not counted in possible attendances and not attending in circumstances relating to coronavirus (COVID-19) (2020 to 2021 only).</t>
  </si>
  <si>
    <t>TermlyReasonAM_Summer_ab[yy]</t>
  </si>
  <si>
    <t>TermlyReasonAM_Summer</t>
  </si>
  <si>
    <t>TermlyReasonPM_Summer_ab[yy]</t>
  </si>
  <si>
    <t>TermlyReasonPM_Summer</t>
  </si>
  <si>
    <t xml:space="preserve">Present (PM) </t>
  </si>
  <si>
    <t>TermlyReasonB_Summer_ab[yy]</t>
  </si>
  <si>
    <t>TermlyReasonB_Summer</t>
  </si>
  <si>
    <t>TermlyReasonD_Summer_ab[yy]</t>
  </si>
  <si>
    <t>TermlyReasonD_Summer</t>
  </si>
  <si>
    <t>TermlyReasonJ_Summer_ab[yy]</t>
  </si>
  <si>
    <t>TermlyReasonJ_Summer</t>
  </si>
  <si>
    <t>TermlyReasonL_Summer_ab[yy]</t>
  </si>
  <si>
    <t>TermlyReasonL_Summer</t>
  </si>
  <si>
    <t>TermlyReasonP_Summer_ab[yy]</t>
  </si>
  <si>
    <t>TermlyReasonP_Summer</t>
  </si>
  <si>
    <t xml:space="preserve">Approved education activity as pupil is attending an approved sporting activity </t>
  </si>
  <si>
    <t>TermlyReasonV_Summer_ab[yy]</t>
  </si>
  <si>
    <t>TermlyReasonV_Summer</t>
  </si>
  <si>
    <t xml:space="preserve">Approved education activity as pupil is away on an educational visit or trip </t>
  </si>
  <si>
    <t>TermlyReasonW_Summer_ab[yy]</t>
  </si>
  <si>
    <t>TermlyReasonW_Summer</t>
  </si>
  <si>
    <t>Approved education activity as pupil is attending work experience</t>
  </si>
  <si>
    <t>TermlyReasonX_Summer6th_ab[yy]</t>
  </si>
  <si>
    <t>TermlyReasonX_Summer6th</t>
  </si>
  <si>
    <t>TermlyReasonAM_Summer6th_ab[yy]</t>
  </si>
  <si>
    <t>TermlyReasonAM_Summer6th</t>
  </si>
  <si>
    <t>TermlyReasonPM_Summer6th_ab[yy]</t>
  </si>
  <si>
    <t>TermlyReasonPM_Summer6th</t>
  </si>
  <si>
    <t>TermlyReasonB_Summer6th_ab[yy]</t>
  </si>
  <si>
    <t>TermlyReasonB_Summer6th</t>
  </si>
  <si>
    <t>TermlyReasonD_Summer6th_ab[yy]</t>
  </si>
  <si>
    <t>TermlyReasonD_Summer6th</t>
  </si>
  <si>
    <t>TermlyReasonJ_Summer6th_ab[yy]</t>
  </si>
  <si>
    <t>TermlyReasonJ_Summer6th</t>
  </si>
  <si>
    <t>TermlyReasonL_Summer6th_ab[yy]</t>
  </si>
  <si>
    <t>TermlyReasonL_Summer6th</t>
  </si>
  <si>
    <t>TermlyReasonP_Summer6th_ab[yy]</t>
  </si>
  <si>
    <t>TermlyReasonP_Summer6th</t>
  </si>
  <si>
    <t>TermlyReasonV_Summer6th_ab[yy]</t>
  </si>
  <si>
    <t>TermlyReasonV_Summer6th</t>
  </si>
  <si>
    <t>TermlyReasonW_Summer6th_ab[yy]</t>
  </si>
  <si>
    <t>TermlyReasonW_Summer6th</t>
  </si>
  <si>
    <t>TermlyReasonG_Autumn_ab[yy]</t>
  </si>
  <si>
    <t>TermlyReasonG_Autumn</t>
  </si>
  <si>
    <t>rg_au[yy]a</t>
  </si>
  <si>
    <t xml:space="preserve">2006/07 - 2020/2021 </t>
  </si>
  <si>
    <t>Number of unauthorised sessions missed as pupil is on a family holiday, not agreed, or is taking days in excess of an agreed family holiday in the Autumn term.</t>
  </si>
  <si>
    <t>TermlyReasonU_Autumn_ab[yy]</t>
  </si>
  <si>
    <t>TermlyReasonU_Autumn</t>
  </si>
  <si>
    <t>ru_au[yy]a</t>
  </si>
  <si>
    <t>Number of unauthorised sessions missed as pupil arrived after registers closed in the Autumn term.</t>
  </si>
  <si>
    <t>TermlyReasonO_Autumn_ab[yy]</t>
  </si>
  <si>
    <t>TermlyReasonO_Autumn</t>
  </si>
  <si>
    <t>ro_au[yy]a</t>
  </si>
  <si>
    <t>Number of sessions missed for an unauthorised absence not covered by any other code/description in the Autumn term.</t>
  </si>
  <si>
    <t>TermlyReasonN_Autumn_ab[yy]</t>
  </si>
  <si>
    <t>TermlyReasonN_Autumn</t>
  </si>
  <si>
    <t>rn_au[yy]a</t>
  </si>
  <si>
    <t>Number of unauthorised sessions missed as pupil missed sessions for a reason that has not yet been provided in the Autumn term.</t>
  </si>
  <si>
    <t>TermlyReasonI_Spring_ab[yy]</t>
  </si>
  <si>
    <t>TermlyReasonI_Spring</t>
  </si>
  <si>
    <t>ri_sp[yy]a</t>
  </si>
  <si>
    <t>Number of authorised sessions missed due to Illness (NOT medical or dental etc. appointments) in the Spring term.</t>
  </si>
  <si>
    <t>TermlyReasonM_Spring_ab[yy]</t>
  </si>
  <si>
    <t>TermlyReasonM_Spring</t>
  </si>
  <si>
    <t>rm_sp[yy]a</t>
  </si>
  <si>
    <t>Number of authorised sessions missed due to medical/ dental appointments.</t>
  </si>
  <si>
    <t>TermlyReasonR_Spring_ab[yy]</t>
  </si>
  <si>
    <t>TermlyReasonR_Spring</t>
  </si>
  <si>
    <t>rr_sp[yy]a</t>
  </si>
  <si>
    <t>Number of authorised sessions missed due to religious observance in the Spring term.</t>
  </si>
  <si>
    <t>TermlyReasonS_Spring_ab[yy]</t>
  </si>
  <si>
    <t>TermlyReasonS_Spring</t>
  </si>
  <si>
    <t>rs_sp[yy]a</t>
  </si>
  <si>
    <t>Number of authorised sessions missed due to study leave in the Spring term.</t>
  </si>
  <si>
    <t>TermlyReasonT_Spring_ab[yy]</t>
  </si>
  <si>
    <t>TermlyReasonT_Spring</t>
  </si>
  <si>
    <t>rt_sp[yy]a</t>
  </si>
  <si>
    <t>Number of authorised sessions missed due to traveller absence in the Spring term.</t>
  </si>
  <si>
    <t>TermlyReasonH_Spring_ab[yy]</t>
  </si>
  <si>
    <t>TermlyReasonH_Spring</t>
  </si>
  <si>
    <t>rh_sp[yy]a</t>
  </si>
  <si>
    <t>Number of authorised sessions missed due to agreed family holiday in the Spring term.</t>
  </si>
  <si>
    <t>TermlyReasonF_Spring_ab[yy]</t>
  </si>
  <si>
    <t>TermlyReasonF_Spring</t>
  </si>
  <si>
    <t>rf_sp[yy]a</t>
  </si>
  <si>
    <t>2006/2007 - 2013/2014</t>
  </si>
  <si>
    <t>Number of authorised sessions missed due to agreed extended family holiday in the Spring term.</t>
  </si>
  <si>
    <t>TermlyReasonE_Spring_ab[yy]</t>
  </si>
  <si>
    <t>TermlyReasonE_Spring</t>
  </si>
  <si>
    <t>re_sp[yy]a</t>
  </si>
  <si>
    <t>Number of authorised sessions missed as pupil is excluded, with no alternative provision made in the Spring term.</t>
  </si>
  <si>
    <t>TermlyReasonC_Spring_ab[yy]</t>
  </si>
  <si>
    <t>TermlyReasonC_Spring</t>
  </si>
  <si>
    <t>rc_sp[yy]a</t>
  </si>
  <si>
    <t>Number of authorised sessions missed as pupil is absent due to other authorised circumstances in the Spring term.</t>
  </si>
  <si>
    <t>TermlyReasonG_Spring_ab[yy]</t>
  </si>
  <si>
    <t>TermlyReasonG_Spring</t>
  </si>
  <si>
    <t>rg_sp[yy]a</t>
  </si>
  <si>
    <t>Number of unauthorised sessions missed as pupil is on a family holiday, not agreed, or is taking days in excess of an agreed family holiday in the Spring term.</t>
  </si>
  <si>
    <t>TermlyReasonU_Spring_ab[yy]</t>
  </si>
  <si>
    <t>TermlyReasonU_Spring</t>
  </si>
  <si>
    <t>ru_sp[yy]a</t>
  </si>
  <si>
    <t>Number of unauthorised sessions missed as pupil arrived after registers closed in the Spring term.</t>
  </si>
  <si>
    <t>TermlyReasonO_Spring_ab[yy]</t>
  </si>
  <si>
    <t>TermlyReasonO_Spring</t>
  </si>
  <si>
    <t>ro_sp[yy]a</t>
  </si>
  <si>
    <t>Number of sessions missed for an unauthorised absence not covered by any other code/description in the Spring term.</t>
  </si>
  <si>
    <t>TermlyReasonN_Spring_ab[yy]</t>
  </si>
  <si>
    <t>TermlyReasonN_Spring</t>
  </si>
  <si>
    <t>rn_sp[yy]a</t>
  </si>
  <si>
    <t>Number of unauthorised sessions missed as pupil missed sessions for a reason that has not yet been provided in the Spring term.</t>
  </si>
  <si>
    <t>TermlyReasonI_Summer_ab[yy]</t>
  </si>
  <si>
    <t>TermlyReasonI_Summer</t>
  </si>
  <si>
    <t>ri_su[yy]a</t>
  </si>
  <si>
    <t>Number of authorised sessions missed due to Illness (NOT medical or dental etc. appointments) in the Summer term.</t>
  </si>
  <si>
    <t>TermlyReasonM_Summer_ab[yy]</t>
  </si>
  <si>
    <t>TermlyReasonM_Summer</t>
  </si>
  <si>
    <t>rm_su[yy]a</t>
  </si>
  <si>
    <t>Number of authorised sessions missed due to medical/ dental appointments in the Summer term.</t>
  </si>
  <si>
    <t>TermlyReasonR_Summer_ab[yy]</t>
  </si>
  <si>
    <t>TermlyReasonR_Summer</t>
  </si>
  <si>
    <t>rr_su[yy]a</t>
  </si>
  <si>
    <t>Number of authorised sessions missed due to religious observance in the Summer term.</t>
  </si>
  <si>
    <t>TermlyReasonS_Summer_ab[yy]</t>
  </si>
  <si>
    <t>TermlyReasonS_Summer</t>
  </si>
  <si>
    <t>rs_su[yy]a</t>
  </si>
  <si>
    <t>Number of authorised sessions missed due to study leave in the Summer term.</t>
  </si>
  <si>
    <t>TermlyReasonT_Summer_ab[yy]</t>
  </si>
  <si>
    <t>TermlyReasonT_Summer</t>
  </si>
  <si>
    <t>rt_su[yy]a</t>
  </si>
  <si>
    <t>Number of authorised sessions missed due to traveller absence in the Summer term.</t>
  </si>
  <si>
    <t>TermlyReasonH_Summer_ab[yy]</t>
  </si>
  <si>
    <t>TermlyReasonH_Summer</t>
  </si>
  <si>
    <t>rh_su[yy]a</t>
  </si>
  <si>
    <t>Number of authorised sessions missed due to agreed family holiday in the Summer term.</t>
  </si>
  <si>
    <t>TermlyReasonF_Summer_ab[yy]</t>
  </si>
  <si>
    <t>TermlyReasonF_Summer</t>
  </si>
  <si>
    <t>rf_su[yy]a</t>
  </si>
  <si>
    <t>Number of authorised sessions missed due to agreed extended family holiday in the Summer term.</t>
  </si>
  <si>
    <t>TermlyReasonE_Summer_ab[yy]</t>
  </si>
  <si>
    <t>TermlyReasonE_Summer</t>
  </si>
  <si>
    <t>re_su[yy]a</t>
  </si>
  <si>
    <t>Number of authorised sessions missed as pupil is excluded, with no alternative provision made in the Summer term.</t>
  </si>
  <si>
    <t>TermlyReasonC_Summer_ab[yy]</t>
  </si>
  <si>
    <t>TermlyReasonC_Summer</t>
  </si>
  <si>
    <t>rc_su[yy]a</t>
  </si>
  <si>
    <t>Number of authorised sessions missed as pupil is absent due to other authorised circumstances in the Summer term.</t>
  </si>
  <si>
    <t>TermlyReasonG_Summer_ab[yy]</t>
  </si>
  <si>
    <t>TermlyReasonG_Summer</t>
  </si>
  <si>
    <t>rg_su[yy]a</t>
  </si>
  <si>
    <t>Number of unauthorised sessions missed as pupil is on a family holiday, not agreed, or is taking days in excess of an agreed family holiday in the Summer term.</t>
  </si>
  <si>
    <t>TermlyReasonU_Summer_ab[yy]</t>
  </si>
  <si>
    <t>TermlyReasonU_Summer</t>
  </si>
  <si>
    <t>ru_su[yy]a</t>
  </si>
  <si>
    <t>Number of unauthorised sessions missed as pupil arrived after registers closed in the Summer term.</t>
  </si>
  <si>
    <t>TermlyReasonO_Summer_ab[yy]</t>
  </si>
  <si>
    <t>TermlyReasonO_Summer</t>
  </si>
  <si>
    <t>ro_su[yy]a</t>
  </si>
  <si>
    <t>Number of sessions missed for an unauthorised absence not covered by any other code/description in the Summer term.</t>
  </si>
  <si>
    <t>TermlyReasonN_Summer_ab[yy]</t>
  </si>
  <si>
    <t>TermlyReasonN_Summer</t>
  </si>
  <si>
    <t>rn_su[yy]a</t>
  </si>
  <si>
    <t>Number of unauthorised sessions missed as pupil missed sessions for a reason that has not yet been provided in the Summer term.</t>
  </si>
  <si>
    <t>TermlyReasonI_Summer6th</t>
  </si>
  <si>
    <t>Number of authorised sessions missed due to Illness (NOT medical or dental etc. appointments) in the Summer 6th half term.</t>
  </si>
  <si>
    <t>Autumn Census
Set to zero if:
1. Rule TBC</t>
  </si>
  <si>
    <t>TermlyReasonM_Summer6th</t>
  </si>
  <si>
    <t>Number of authorised sessions missed due to medical/ dental appointments in the Summer 6th half term.</t>
  </si>
  <si>
    <t>TermlyReasonR_Summer6th</t>
  </si>
  <si>
    <t>Number of authorised sessions missed due to religious observance in the Summer 6th half term.</t>
  </si>
  <si>
    <t>TermlyReasonS_Summer6th</t>
  </si>
  <si>
    <t>Number of authorised sessions missed due to study leave in the Summer 6th half term.</t>
  </si>
  <si>
    <t>TermlyReasonT_Summer6th</t>
  </si>
  <si>
    <t>Number of authorised sessions missed due to traveller absence in the Summer 6th half term.</t>
  </si>
  <si>
    <t>TermlyReasonH_Summer6th</t>
  </si>
  <si>
    <t>Number of authorised sessions missed due to agreed family holiday in the Summer 6th half term.</t>
  </si>
  <si>
    <t>TermlyReasonF_Summer6th</t>
  </si>
  <si>
    <t>2012/13 - 2013/14</t>
  </si>
  <si>
    <t>Number of authorised sessions missed due to agreed extended family holiday in the Summer 6th half term.</t>
  </si>
  <si>
    <t>TermlyReasonE_Summer6th</t>
  </si>
  <si>
    <t>Number of authorised sessions missed as pupil is excluded, with no alternative provision made in the Summer 6th half term.</t>
  </si>
  <si>
    <t>TermlyReasonC_Summer6th</t>
  </si>
  <si>
    <t>Number of authorised sessions missed as pupil is absent due to other authorised circumstances in the Summer 6th half term.</t>
  </si>
  <si>
    <t>TermlyReasonG_Summer6th</t>
  </si>
  <si>
    <t>Number of unauthorised sessions missed as pupil is on a family holiday, not agreed, or is taking days in excess of an agreed family holiday in the Summer 6th half term.</t>
  </si>
  <si>
    <t>TermlyReasonU_Summer6th</t>
  </si>
  <si>
    <t>Number of unauthorised sessions missed as pupil arrived after registers closed in the Summer 6th half term.</t>
  </si>
  <si>
    <t>TermlyReasonPM_Autumn_ab[yy]</t>
  </si>
  <si>
    <t>TermlyReasonPM_Autumn</t>
  </si>
  <si>
    <t>TermlyReasonP_Autumn_ab[yy]</t>
  </si>
  <si>
    <t>TermlyReasonP_Autumn</t>
  </si>
  <si>
    <t>TermlyReasonO_Summer6th</t>
  </si>
  <si>
    <t>Number of sessions missed for an unauthorised absence not covered by any other code/description in the Summer 6th half term.</t>
  </si>
  <si>
    <t>TermlyReasonN_Summer6th</t>
  </si>
  <si>
    <t>Number of unauthorised sessions missed as pupil missed sessions for a reason that has not yet been provided in the Summer 6th half term.</t>
  </si>
  <si>
    <t>AnnualReasonI_ab[yy]</t>
  </si>
  <si>
    <t>AnnualReasonI</t>
  </si>
  <si>
    <t>ri_an[yy]a</t>
  </si>
  <si>
    <t>2006/2007 - 2015/2016</t>
  </si>
  <si>
    <t>Number of authorised sessions missed during the academic year due to Illness (NOT medical or dental etc. appointments).</t>
  </si>
  <si>
    <t>AnnualReasonM_ab[yy]</t>
  </si>
  <si>
    <t>AnnualReasonM</t>
  </si>
  <si>
    <t>rm_an[yy]a</t>
  </si>
  <si>
    <t>Number of authorised sessions missed during the academic year due to medical/ dental appointments.</t>
  </si>
  <si>
    <t>AnnualReasonR_ab[yy]</t>
  </si>
  <si>
    <t>AnnualReasonR</t>
  </si>
  <si>
    <t>rr_an[yy]a</t>
  </si>
  <si>
    <t>Number of authorised sessions missed during the academic year due to religious observance.</t>
  </si>
  <si>
    <t>AnnualReasonS_ab[yy]</t>
  </si>
  <si>
    <t>AnnualReasonS</t>
  </si>
  <si>
    <t>rs_an[yy]a</t>
  </si>
  <si>
    <t>Number of authorised sessions missed during the academic year due to study leave.</t>
  </si>
  <si>
    <t>AnnualReasonT_ab[yy]</t>
  </si>
  <si>
    <t>AnnualReasonT</t>
  </si>
  <si>
    <t>rt_an[yy]a</t>
  </si>
  <si>
    <t>Number of authorised sessions missed during the academic year due to traveller absence.</t>
  </si>
  <si>
    <t>AnnualReasonH_ab[yy]</t>
  </si>
  <si>
    <t>AnnualReasonH</t>
  </si>
  <si>
    <t>rh_an[yy]a</t>
  </si>
  <si>
    <t>Number of authorised sessions missed during the academic year due to agreed family holiday.</t>
  </si>
  <si>
    <t>AnnualReasonF_ab[yy]</t>
  </si>
  <si>
    <t>AnnualReasonF</t>
  </si>
  <si>
    <t>rf_an[yy]a</t>
  </si>
  <si>
    <t>Number of authorised sessions missed during the academic year due to agreed extended family holiday.</t>
  </si>
  <si>
    <t>AnnualReasonE_ab[yy]</t>
  </si>
  <si>
    <t>AnnualReasonE</t>
  </si>
  <si>
    <t>re_an[yy]a</t>
  </si>
  <si>
    <t>Number of authorised sessions missed during the academic year as pupil is excluded, with no alternative provision made.</t>
  </si>
  <si>
    <t>AnnualReasonC_ab[yy]</t>
  </si>
  <si>
    <t>AnnualReasonC</t>
  </si>
  <si>
    <t>rc_an[yy]a</t>
  </si>
  <si>
    <t>Number of authorised sessions missed during the academic year as pupil is absent due to other authorised circumstances.</t>
  </si>
  <si>
    <t>AnnualReasonG_ab[yy]</t>
  </si>
  <si>
    <t>AnnualReasonG</t>
  </si>
  <si>
    <t>rg_an[yy]a</t>
  </si>
  <si>
    <t>Number of unauthorised sessions missed during the academic year as pupil is on a family holiday, not agreed, or is taking days in excess of an agreed family holiday.</t>
  </si>
  <si>
    <t>AnnualReasonU_ab[yy]</t>
  </si>
  <si>
    <t>AnnualReasonU</t>
  </si>
  <si>
    <t>ru_an[yy]a</t>
  </si>
  <si>
    <t>Number of unauthorised sessions missed during the academic year as pupil arrived after registers closed.</t>
  </si>
  <si>
    <t>AnnualReasonO_ab[yy]</t>
  </si>
  <si>
    <t>AnnualReasonO</t>
  </si>
  <si>
    <t>ro_an[yy]a</t>
  </si>
  <si>
    <t>Number of sessions missed during the academic year for an unauthorised absence not covered by any other code/description.</t>
  </si>
  <si>
    <t>AnnualReasonN_ab[yy]</t>
  </si>
  <si>
    <t>AnnualReasonN</t>
  </si>
  <si>
    <t>rn_an[yy]a</t>
  </si>
  <si>
    <t>Number of unauthorised sessions missed during the academic year as pupil missed sessions for a reason that has not yet been provided.</t>
  </si>
  <si>
    <t>PersistentAbsentee_3Term_ab[yy]</t>
  </si>
  <si>
    <t>PersistentAbsentee_3Term</t>
  </si>
  <si>
    <t>pa_3t[yy]a</t>
  </si>
  <si>
    <t>Persistent absentee indicator during the academic year.</t>
  </si>
  <si>
    <t>Version 2: Set to 1 if OverallAbsence_3Term &gt; 63 else 0</t>
  </si>
  <si>
    <t>PersistentAbsentee15_3Term_ab[yy]</t>
  </si>
  <si>
    <t>PersistentAbsentee15_3Term</t>
  </si>
  <si>
    <t>2010/11- 2011/12</t>
  </si>
  <si>
    <t>15% Persistent absentee indicator during the academic year.</t>
  </si>
  <si>
    <t>Version 2: Set to 1 if OverallAbsence_3Term &gt; 45 else 0</t>
  </si>
  <si>
    <t>PersistentAbsentee15_5HalfTerms</t>
  </si>
  <si>
    <t>PersistentAbsentee_5HalfTerms</t>
  </si>
  <si>
    <t>Equivalent to PersistentAbsentee_3term</t>
  </si>
  <si>
    <t>PA15_Threshold_5Halfterms_ab[yy]</t>
  </si>
  <si>
    <t>PA15_Threshold_5Halfterms</t>
  </si>
  <si>
    <t>2013/2014 - 2015/2016</t>
  </si>
  <si>
    <t>15% 'threshold' Persistent absentee indicator during the academic year.</t>
  </si>
  <si>
    <t>Set to 1 if OverallAbsence_5HalfTerms &gt; 45 else 0</t>
  </si>
  <si>
    <t>PA15_Exact_5Halfterms_ab[yy]</t>
  </si>
  <si>
    <t>PA15_Exact_5Halfterms</t>
  </si>
  <si>
    <t>15% exact 'persistent absentee' indicator during the academic year.</t>
  </si>
  <si>
    <t>Set to 1 if OverallAbsence_5HalfTerms / SessionsPossible_5HalfTerms *100 &gt;= 15.0 else 0</t>
  </si>
  <si>
    <t>PA10_Threshold_5Halfterms_ab[yy]</t>
  </si>
  <si>
    <t>PA10_Threshold_5Halfterms</t>
  </si>
  <si>
    <t>2014/2015 - 2015/2016</t>
  </si>
  <si>
    <t>10% 'threshold' Persistent absentee indicator during the academic year.</t>
  </si>
  <si>
    <t>Set to 1 if OverallAbsence_5HalfTerms &gt; 30 else 0</t>
  </si>
  <si>
    <t>PA10_Exact_5Halfterms_ab[yy]</t>
  </si>
  <si>
    <t>PA10_Exact_5Halfterms</t>
  </si>
  <si>
    <t>10% exact 'persistent absentee' indicator during the academic year.</t>
  </si>
  <si>
    <t>Set to 1 if OverallAbsence_5HalfTerms / SessionsPossible_5HalfTerms *100 &gt;= 10.0 else 0</t>
  </si>
  <si>
    <t>PLAA_ab[yy]</t>
  </si>
  <si>
    <t>PLAA</t>
  </si>
  <si>
    <t>Post looked after arrangement</t>
  </si>
  <si>
    <t xml:space="preserve">N = Not declared
A = Ever ceased to be looked after through adoption
G = Ever ceased to be looked after through a special guardianship order (SGO)
R = Ever ceased to be looked after through a residence order (RO)
C = Ever ceased to be looked after through a child arrangement order (CAO)
</t>
  </si>
  <si>
    <t>PersistentAbsentee15_6HalfTerms_ab[yy]</t>
  </si>
  <si>
    <t>PersistentAbsentee_6HalfTerms</t>
  </si>
  <si>
    <t>2012/2013</t>
  </si>
  <si>
    <t>Version 2: Set to 1 if OverallAbsence_3TermNEW &gt; XX(TBC) else 0</t>
  </si>
  <si>
    <t>PA15_Threshold_6HalfTerms_ab[yy]</t>
  </si>
  <si>
    <t>PA15_Threshold_6HalfTerms</t>
  </si>
  <si>
    <t>Set to 1 if (OverallAbsence_6HalfTerms &gt; 55 and AgeAtStartOfAcademicYear &lt; 15) or (OverallAbsence_6HalfTerms &gt; 45 and AgeAtStartOfAcademicYear = 15) or else 0</t>
  </si>
  <si>
    <t>PA15_Exact_6HalfTerms_ab[yy]</t>
  </si>
  <si>
    <t>PA15_Exact_6HalfTerms</t>
  </si>
  <si>
    <t>Set to 1 if OverallAbsence_6HalfTerms / SessionsPossible_6HalfTerms *100 &gt;= 15.0 else 0</t>
  </si>
  <si>
    <t>PA10_threshold_6HalfTerms_ab[yy]</t>
  </si>
  <si>
    <t>PA10_threshold_6HalfTerms</t>
  </si>
  <si>
    <t>Set to 1 if (OverallAbsence_6HalfTerms &gt; 37 and AgeAtStartOfAcademicYear &lt; 15) or (OverallAbsence_6HalfTerms &gt; 30 and AgeAtStartOfAcademicYear = 15) or else 0</t>
  </si>
  <si>
    <t>PA10_exact_6HalfTerms_ab[yy]</t>
  </si>
  <si>
    <t>PA10_exact_6HalfTerms</t>
  </si>
  <si>
    <t>Set to 1 if OverallAbsence_6HalfTerms / SessionsPossible_6HalfTerms *100 &gt;= 10.0 else 0</t>
  </si>
  <si>
    <t>LA_ab[yy]_anon</t>
  </si>
  <si>
    <t>la[yy]a</t>
  </si>
  <si>
    <t>Local Authority (LA) that the school where the pupil attends reports to.</t>
  </si>
  <si>
    <t>Spring Census (Edubase from 2016/17)</t>
  </si>
  <si>
    <t>LAEstab_ab[yy]_anon</t>
  </si>
  <si>
    <t>laest[yy]a</t>
  </si>
  <si>
    <t>The LA and ESTAB fields joined together.</t>
  </si>
  <si>
    <t>URN_ab[yy]_anon</t>
  </si>
  <si>
    <t>urn[yy]a</t>
  </si>
  <si>
    <t>School unique reference number.</t>
  </si>
  <si>
    <t>OA11_school_ab[yy]</t>
  </si>
  <si>
    <t>OA11_school</t>
  </si>
  <si>
    <t>2016/2017 - 2020/2021</t>
  </si>
  <si>
    <t>National Statistics Postcode Directory  Output Area derived from school postcode (based on 2011 Census)</t>
  </si>
  <si>
    <t>Edubase</t>
  </si>
  <si>
    <t>LSOA11 _school_ab[yy]</t>
  </si>
  <si>
    <t>LSOA11 _school</t>
  </si>
  <si>
    <t>National Statistics Postcode Directory Lower Layer Super Output Area derived from school postcode (based on 2011 Census)</t>
  </si>
  <si>
    <t>IDACI_S_school_ab[yy]</t>
  </si>
  <si>
    <t>IDACI_S_school</t>
  </si>
  <si>
    <t>Income Deprivation Affecting Children Indices 2015. IDACI Score. Derived from school postcode.</t>
  </si>
  <si>
    <t>IDACI_R_school_ab[yy]</t>
  </si>
  <si>
    <t>IDACI_R_school</t>
  </si>
  <si>
    <t>Income Deprivation Affecting Children Indices 2015. IDACI Rank. Derived from school postcode.</t>
  </si>
  <si>
    <t>IDACI_D_school_ab[yy]</t>
  </si>
  <si>
    <t>IDACI_D_school</t>
  </si>
  <si>
    <t>Income Deprivation Affecting Children Indices 2015. IDACI Decile. Derived from school postcode.</t>
  </si>
  <si>
    <t>Rurality_School_ab[yy]</t>
  </si>
  <si>
    <t>Rurality_school</t>
  </si>
  <si>
    <t>2017/2018 -2018/2019</t>
  </si>
  <si>
    <t>Rural-Urban Classification 2011. Derived from postcode of school.</t>
  </si>
  <si>
    <t>NPDAlias</t>
  </si>
  <si>
    <t>FieldReference</t>
  </si>
  <si>
    <t>OldAlias</t>
  </si>
  <si>
    <t>Values</t>
  </si>
  <si>
    <t>DataCollection_1_ab[yy]</t>
  </si>
  <si>
    <t>DataCollection_1</t>
  </si>
  <si>
    <t>coll[yy]a</t>
  </si>
  <si>
    <t>2006/2006</t>
  </si>
  <si>
    <t>PLASC
Census</t>
  </si>
  <si>
    <t>SourceTable_1_ab[yy]</t>
  </si>
  <si>
    <t>SourceTable_1</t>
  </si>
  <si>
    <t>src[yy]1a</t>
  </si>
  <si>
    <t>Source table for data taken from Spring Census.</t>
  </si>
  <si>
    <t>PupilsOnRoll = On roll record
PupilsNoLongerOnRoll = Off roll record</t>
  </si>
  <si>
    <t>OnRoll_1_ab[yy]</t>
  </si>
  <si>
    <t>OnRoll_1</t>
  </si>
  <si>
    <t>onrl[yy]1a</t>
  </si>
  <si>
    <t>1 = On roll record
0 = Off roll record</t>
  </si>
  <si>
    <t>SourceTable_2_ab[yy]</t>
  </si>
  <si>
    <t>SourceTable_2</t>
  </si>
  <si>
    <t>src2[yy]a</t>
  </si>
  <si>
    <t>Source table for data taken from Summer Census.</t>
  </si>
  <si>
    <t>OnRoll_2_ab[yy]</t>
  </si>
  <si>
    <t>OnRoll_2</t>
  </si>
  <si>
    <t>onrl2[yy]a</t>
  </si>
  <si>
    <t>SourceTable_3_ab[yy]</t>
  </si>
  <si>
    <t>SourceTable_3</t>
  </si>
  <si>
    <t>src3[yy]a</t>
  </si>
  <si>
    <t>Source table for data taken from Autumn Census.</t>
  </si>
  <si>
    <t>OnRoll_3_ab[yy]</t>
  </si>
  <si>
    <t>OnRoll_3</t>
  </si>
  <si>
    <t>onrl3[yy]a</t>
  </si>
  <si>
    <t>AcademicYear_ab[yy]</t>
  </si>
  <si>
    <t>ac[yy]a</t>
  </si>
  <si>
    <t>PupilMatchingRefAnonymous_ab[yy]</t>
  </si>
  <si>
    <t>pmr[yy]a</t>
  </si>
  <si>
    <t>YSSA_ab[yy]
ConnexionsAssent for 2002/03 to 2004/05
Connexions for 2005/06 to 2011/12</t>
  </si>
  <si>
    <t>conn[yy]a</t>
  </si>
  <si>
    <t>ModeOfTravel_ab[yy]</t>
  </si>
  <si>
    <t>mot[yy]a</t>
  </si>
  <si>
    <t>Indicates the usual mode of travel used by the child for the greater part (in distance) of the journey to school.</t>
  </si>
  <si>
    <t>EnrolStatus_ab[yy]</t>
  </si>
  <si>
    <t>enrol[yy]a</t>
  </si>
  <si>
    <t>NCyearActual_ab[yy]</t>
  </si>
  <si>
    <t>ncyr[yy]a</t>
  </si>
  <si>
    <t>ClassType_ab[yy]</t>
  </si>
  <si>
    <t>ClassType</t>
  </si>
  <si>
    <t>cls[yy]a</t>
  </si>
  <si>
    <t>Pupil nursery class indicator.</t>
  </si>
  <si>
    <t>TypeOfClass_ab[yy]</t>
  </si>
  <si>
    <t>2007/2008</t>
  </si>
  <si>
    <t>SessionsPossible_Autumn_ab[yy]</t>
  </si>
  <si>
    <t>SessionsPossible_Autumn</t>
  </si>
  <si>
    <t>p_au[yy]a</t>
  </si>
  <si>
    <t>Number of Autumn sessions possible.  This will be blank for special schools before 2016/17</t>
  </si>
  <si>
    <t>TermlySessionsPossible_Autumn. 
Set to zero if:
1. OverallAbsence_Autumn greater than 
TermlySessionsPossible_Autumn
2. TermlySessionsPossible_Autumn is blank 
3. School is a special school (before 2016/17)
4. TermlySessionsPossible_Autumn greater than 170.</t>
  </si>
  <si>
    <t>AuthorisedAbsence_Autumn_ab[yy]</t>
  </si>
  <si>
    <t>AuthorisedAbsence_Autumn</t>
  </si>
  <si>
    <t>aa_au[yy]a</t>
  </si>
  <si>
    <t>Number of Autumn sessions missed due to authorised absence.  This will be blank for special schools before 2016/17</t>
  </si>
  <si>
    <t>Whichever is highest: 
TermlySessionsAuthorised_Autumn or sum of termly authorised reasons for the Autumn term. 
Set to zero if:
1. OverallAbsence_Autumn greater than 
TermlySessionsPossible_Autumn
2. TermlySessionsPossible_Autumn is blank 
3. School is a special school.(before 2016/17)
4. TermlySessionsPossible_Autumn greater than 170.</t>
  </si>
  <si>
    <t>AuthorisedAbsenceFlag_Autumn_ab[yy]</t>
  </si>
  <si>
    <t>AuthorisedAbsenceFlag_Autumn</t>
  </si>
  <si>
    <t>af_au[yy]a</t>
  </si>
  <si>
    <t>Flag to indicate if the Autumn authorised absence was calculated using the sum of the reasons for absence, or the TermlySessionsAuthorised variable.</t>
  </si>
  <si>
    <t>Reason
Total</t>
  </si>
  <si>
    <t>If AuthorisedAbsence_Autumn calculated using sum of termly authorised reasons then set to "Reason".  Otherwise set to "Total".
Set to NULL if:
1. OverallAbsence_Autumn greater than 
TermlySessionsPossible_Autumn
2. TermlySessionsPossible_Autumn is blank 
3. School is a special school.(before 2016/17)
4. TermlySessionsPossible_Autumn greater than 170.</t>
  </si>
  <si>
    <t>UnauthorisedAbsence_Autumn_ab[yy]</t>
  </si>
  <si>
    <t>UnauthorisedAbsence_Autumn</t>
  </si>
  <si>
    <t>ua_au[yy]a</t>
  </si>
  <si>
    <t>Number of Autumn sessions missed due to unauthorised absence.  This will be blank for special schools before 2016/17</t>
  </si>
  <si>
    <t>Whichever is highest: 
TermlySessionsUnauthorised_Autumn or sum of termly unauthorised reasons for the Autumn term. 
Set to zero if:
1. OverallAbsence_Autumn greater than 
TermlySessionsPossible_Autumn
2. TermlySessionsPossible_Autumn is blank 
3. School is a special school.(before 2016/17)
4. TermlySessionsPossible_Autumn greater than 170.</t>
  </si>
  <si>
    <t>UnauthorisedAbsenceFlag_Autumn_ab[yy]</t>
  </si>
  <si>
    <t>UnauthorisedAbsenceFlag_Autumn</t>
  </si>
  <si>
    <t>uf_au[yy]a</t>
  </si>
  <si>
    <t>Flag to indicate if the Autumn unauthorised absence was calculated using the sum of the reasons for absence, or the TermlySessionsUnauthorised variable.</t>
  </si>
  <si>
    <t>If UnauthorisedAbsence_Autumn calculated using sum of termly unauthorised reasons then set to "Reason".  Otherwise set to "Total".
Set to NULL if:
1. OverallAbsence_Autumn greater than 
TermlySessionsPossible_Autumn
2. TermlySessionsPossible_Autumn is blank 
3. School is a special school.(before 2016/17)
4. TermlySessionsPossible_Autumn greater than 170.</t>
  </si>
  <si>
    <t>OverallAbsence_Autumn_ab[yy]</t>
  </si>
  <si>
    <t>OverallAbsence_Autumn</t>
  </si>
  <si>
    <t>oa_au[yy]a</t>
  </si>
  <si>
    <t>Number of absence sessions for the Autumn term.</t>
  </si>
  <si>
    <t>AuthorisedAbsence_Autumn + UnauthorisedAbsence_Autumn (use derived fields)
Set to zero if:
1. OverallAbsence_Autumn greater than 
TermlySessionsPossible_Autumn
2. TermlySessionsPossible_Autumn is blank 
3. School is a special school.(before 2016/17)
4. TermlySessionsPossible_Autumn greater than 170.</t>
  </si>
  <si>
    <t>SessionsPossible_Spring_ab[yy]</t>
  </si>
  <si>
    <t>SessionsPossible_Spring</t>
  </si>
  <si>
    <t>p_sp[yy]a</t>
  </si>
  <si>
    <t>Number of Spring sessions possible.  This will be blank for special schools before 2016/17.</t>
  </si>
  <si>
    <t xml:space="preserve">TermlySessionsPossible_Spring. 
Set to zero if:
1. OverallAbsence_Spring greater than 
TermlySessionsPossible_Spring
2. TermlySessionsPossible_Spring is blank 
3. School is a special school (before 2016/17)
4. TermlySessionsPossible_Spring greater than 170.
</t>
  </si>
  <si>
    <t>AuthorisedAbsence_Spring_ab[yy]</t>
  </si>
  <si>
    <t>AuthorisedAbsence_Spring</t>
  </si>
  <si>
    <t>aa_sp[yy]a</t>
  </si>
  <si>
    <t>Number of Spring sessions missed due to authorised absence.   This will be blank for special schools before 2016/17.</t>
  </si>
  <si>
    <t xml:space="preserve">Whichever is highest: 
TermlySessionsAuthorised_Spring or sum of termly authorised reasons for the Spring term. 
Set to zero if:
1. OverallAbsence_Spring greater than 
TermlySessionsPossible_Spring
2. TermlySessionsPossible_Spring is blank 
3. School is a special school (before 2016/17)
4. TermlySessionsPossible_Spring greater than 170.
</t>
  </si>
  <si>
    <t>AuthorisedAbsenceFlag_Spring_ab[yy]</t>
  </si>
  <si>
    <t>AuthorisedAbsenceFlag_Spring</t>
  </si>
  <si>
    <t>af_sp[yy]a</t>
  </si>
  <si>
    <t>Flag to indicate if the Spring authorised absence was calculated using the sum of the reasons for absence, or the TermlySessionsAuthorised variable.</t>
  </si>
  <si>
    <t xml:space="preserve">If AuthorisedAbsence_Spring calculated using sum of termly authorised reasons then set to "Reason".  Otherwise set to "Total".
Set to NULL if:
1. OverallAbsence_Spring greater than 
TermlySessionsPossible_Spring
2. TermlySessionsPossible_Spring is blank 
3. School is a special school (before 2016/17)
4. TermlySessionsPossible_Spring greater than 170.
</t>
  </si>
  <si>
    <t>UnauthorisedAbsence_Spring_ab[yy]</t>
  </si>
  <si>
    <t>UnauthorisedAbsence_Spring</t>
  </si>
  <si>
    <t>ua_sp[yy]a</t>
  </si>
  <si>
    <t>Number of Spring sessions missed due to unauthorised absence.   This will be blank for special schools before 2016/17.</t>
  </si>
  <si>
    <t xml:space="preserve">Whichever is highest: 
TermlySessionsUnauthorised_Spring or sum of termly unauthorised reasons for the Spring term. 
Set to zero if:
1. OverallAbsence_Spring greater than 
TermlySessionsPossible_Spring
2. TermlySessionsPossible_Spring is blank 
3. School is a special school (before 2016/17)
4. TermlySessionsPossible_Spring greater than 170.
</t>
  </si>
  <si>
    <t>UnauthorisedAbsenceFlag_Spring_ab[yy]</t>
  </si>
  <si>
    <t>UnauthorisedAbsenceFlag_Spring</t>
  </si>
  <si>
    <t>uf_sp[yy]a</t>
  </si>
  <si>
    <t>Flag to indicate if the Spring unauthorised absence was calculated using the sum of the reasons for absence, or the TermlySessionsUnauthorised variable.</t>
  </si>
  <si>
    <t xml:space="preserve">If UnauthorisedAbsence_Spring calculated using sum of termly unauthorised reasons then set to "Reason".  Otherwise set to "Total".
Set to NULL if:
1. OverallAbsence_Spring greater than 
TermlySessionsPossible_Spring
2. TermlySessionsPossible_Spring is blank 
3. School is a special school (before 2016/17)
4. TermlySessionsPossible_Spring greater than 170.
</t>
  </si>
  <si>
    <t>OverallAbsence_Spring_ab[yy]</t>
  </si>
  <si>
    <t>OverallAbsence_Spring</t>
  </si>
  <si>
    <t>oa_sp[yy]a</t>
  </si>
  <si>
    <t>Number of absence sessions in the Spring term.</t>
  </si>
  <si>
    <t xml:space="preserve">AuthorisedAbsence_Spring + UnauthorisedAbsence_Spring (use derived fields)
Set to zero if:
1. OverallAbsence_Spring greater than 
TermlySessionsPossible_Spring
2. TermlySessionsPossible_Spring is blank 
3. School is a special school (before 2016/17)
4. TermlySessionsPossible_Spring greater than 170.
</t>
  </si>
  <si>
    <t>SessionsPossible_Summer_ab[yy]</t>
  </si>
  <si>
    <t>SessionsPossible_Summer</t>
  </si>
  <si>
    <t>p_su[yy]a</t>
  </si>
  <si>
    <t>Number of Summer sessions possible.  This will be blank for special schools before 2016/17.</t>
  </si>
  <si>
    <t xml:space="preserve">TermlySessionsPossible_Summer. 
Set to zero if: 
1. OverallAbsence_Summer greater than TermlySessionsPossible_Summer 
2. TermlySessionsPossible_Summer is blank 
3. School is a special school (before 2016/17)
4. TermlySessionsPossible_Summer greater than 170.
</t>
  </si>
  <si>
    <t>AuthorisedAbsence_Summer_ab[yy]</t>
  </si>
  <si>
    <t>AuthorisedAbsence_Summer</t>
  </si>
  <si>
    <t>aa_su[yy]a</t>
  </si>
  <si>
    <t>Number of Summer sessions missed due to authorised absence.  This will be blank for special schools before 2016/17.</t>
  </si>
  <si>
    <t xml:space="preserve">Whichever is highest: 
TermlySessionsAuthorised_Summer or sum of termly authorised reasons for the Summer term. 
Set to zero if: 
1. OverallAbsence_Summer greater than 
TermlySessionsPossible_Summer
2. TermlySessionsPossible_Summer is blank 
3. School is a special school (before 2016/17)
4. TermlySessionsPossible_Summer greater than 170.
</t>
  </si>
  <si>
    <t>AuthorisedAbsenceFlag_Summer_ab[yy]</t>
  </si>
  <si>
    <t>AuthorisedAbsenceFlag_Summer</t>
  </si>
  <si>
    <t>af_su[yy]a</t>
  </si>
  <si>
    <t>Flag to indicate if the Summer authorised absence was calculated using the sum of the reasons for absence, or the TermlySessionsAuthorised variable.</t>
  </si>
  <si>
    <t xml:space="preserve">If AuthorisedAbsence_Summer calculated using sum of termly authorised reasons then set to "Reason".  Otherwise set to "Total".
Set to NULL if: 
1. OverallAbsence_Summer greater than 
TermlySessionsPossible_Summer
2. TermlySessionsPossible_Summer is blank 
3. School is a special school (before 2016/17)
4. TermlySessionsPossible_Summer greater than 170.
</t>
  </si>
  <si>
    <t>UnauthorisedAbsence_Summer_ab[yy]</t>
  </si>
  <si>
    <t>UnauthorisedAbsence_Summer</t>
  </si>
  <si>
    <t>au_su[yy]a</t>
  </si>
  <si>
    <t>Number of Summer sessions missed due to unauthorised absence.  This will be blank for special schools before 2016/17.</t>
  </si>
  <si>
    <t xml:space="preserve">Whichever is highest: 
TermlySessionsUnauthorised_Summer or sum of termly unauthorised reasons for the Summer term. 
Set to zero if: 
1. OverallAbsence_Summer greater than 
TermlySessionsPossible_Summer
2. TermlySessionsPossible_Summer is blank 
3. School is a special school (before 2016/17)
4. TermlySessionsPossible_Summer greater than 170.
</t>
  </si>
  <si>
    <t>UnauthorisedAbsenceFlag_Summer_ab[yy]</t>
  </si>
  <si>
    <t>UnauthorisedAbsenceFlag_Summer</t>
  </si>
  <si>
    <t>uf_su[yy]a</t>
  </si>
  <si>
    <t>Flag to indicate if the Summer unauthorised absence was calculated using the sum of the reasons for absence, or the TermlySessionsUnauthorised variable.</t>
  </si>
  <si>
    <t xml:space="preserve">If UnauthorisedAbsence_Summer calculated using sum of termly unauthorised reasons then set to "Reason".  Otherwise set to "Total".
Set to NULL if: 
1. OverallAbsence_Summer greater than 
TermlySessionsPossible_Summer
2. TermlySessionsPossible_Summer is blank 
3. School is a special school (before 2016/17)
4. TermlySessionsPossible_Summer greater than 170.
</t>
  </si>
  <si>
    <t>OverallAbsence_Summer_ab[yy]</t>
  </si>
  <si>
    <t>OverallAbsence_Summer</t>
  </si>
  <si>
    <t>oa_su[yy]a</t>
  </si>
  <si>
    <t>Number of absence sessions in the Summer term.</t>
  </si>
  <si>
    <t xml:space="preserve">AuthorisedAbsence_Summer + UnauthorisedAbsence_Summer (use derived fields)
Set to zero if: 
1. OverallAbsence_Summer greater than 
TermlySessionsPossible_Summer
2. TermlySessionsPossible_Summer is blank 
3. School is a special school (before 2016/17)
4. TermlySessionsPossible_Summer greater than 170.
</t>
  </si>
  <si>
    <t>SessionsPossible_Summer6th_ab[yy]</t>
  </si>
  <si>
    <t>SessionsPossible_Summer6th</t>
  </si>
  <si>
    <t>Number of Summer 6th half sessions possible.  This will be blank for special schools before 2016/17.</t>
  </si>
  <si>
    <t xml:space="preserve">TermlySessionsPossible_Summer6th. 
Set to zero if: 
1. OverallAbsence_Summer6th greater than TermlySessionsPossible_Summer6th 
2. TermlySessionsPossible_Summer6th is blank 
3. TermlySessionsPossible_Summer6th greater than 170.
</t>
  </si>
  <si>
    <t>AuthorisedAbsence_Summer6th_ab[yy]</t>
  </si>
  <si>
    <t>AuthorisedAbsence_Summer6th</t>
  </si>
  <si>
    <t>Number of Summer 6th half sessions missed due to authorised absence.  This will be blank for special schools before 2016/17.</t>
  </si>
  <si>
    <t xml:space="preserve">Whichever is highest: 
TermlySessionsAuthorised_Summer6th or sum of termly authorised reasons for the Summer 6th half term. 
Set to zero if: 
1. OverallAbsence_Summer6th greater than 
TermlySessionsPossible_Summer6th
2. TermlySessionsPossible_Summer6th is blank 
3. TermlySessionsPossible_Summer6th greater than 170.
</t>
  </si>
  <si>
    <t>AuthorisedAbsenceFlag_Summer6th_ab[yy]</t>
  </si>
  <si>
    <t>AuthorisedAbsenceFlag_Summer6th</t>
  </si>
  <si>
    <t>Flag to indicate if the Summer 6th half authorised absence was calculated using the sum of the reasons for absence, or the TermlySessionsAuthorised variable.</t>
  </si>
  <si>
    <t xml:space="preserve">If AuthorisedAbsence_Summer6th calculated using sum of termly authorised reasons then set to "Reason".  Otherwise set to "Total".
Set to NULL if: 
1. OverallAbsence_Summer6th greater than 
TermlySessionsPossible_Summer6th
2. TermlySessionsPossible_Summer6th is blank 
3. TermlySessionsPossible_Summer6th greater than 170.
</t>
  </si>
  <si>
    <t>UnauthorisedAbsence_Summer6th_ab[yy]</t>
  </si>
  <si>
    <t>UnauthorisedAbsence_Summer6th</t>
  </si>
  <si>
    <t>Number of Summer 6th half sessions missed due to unauthorised absence. This will be blank for special schools before 2016/17.</t>
  </si>
  <si>
    <t xml:space="preserve">Whichever is highest: 
TermlySessionsUnauthorised_Summer6th or sum of termly unauthorised reasons for the Summer term. 
Set to zero if: 
1. OverallAbsence_Summer6th greater than 
TermlySessionsPossible_Summer6th
2. TermlySessionsPossible_Summer6th is blank 
3. TermlySessionsPossible_Summer6th greater than 170.
</t>
  </si>
  <si>
    <t>UnauthorisedAbsenceFlag_Summer6th_ab[yy]</t>
  </si>
  <si>
    <t>UnauthorisedAbsenceFlag_Summer6th</t>
  </si>
  <si>
    <t>Flag to indicate if the Summer 6th half unauthorised absence was calculated using the sum of the reasons for absence, or the TermlySessionsUnauthorised variable.</t>
  </si>
  <si>
    <t xml:space="preserve">If UnauthorisedAbsence_Summer6th calculated using sum of termly unauthorised reasons then set to "Reason".  Otherwise set to "Total".
Set to NULL if: 
1. OverallAbsence_Summer6th greater than 
TermlySessionsPossible_Summer6th
2. TermlySessionsPossible_Summer6th is blank 
3. TermlySessionsPossible_Summer6th greater than 170.
</t>
  </si>
  <si>
    <t>OverallAbsence_Summer6th_ab[yy]</t>
  </si>
  <si>
    <t>OverallAbsence_Summer6th</t>
  </si>
  <si>
    <t>Number of absence sessions in the Summer 6th half term.</t>
  </si>
  <si>
    <t xml:space="preserve">AuthorisedAbsence_Summer6th + UnauthorisedAbsence_Summer6th (use derived fields)
Set to zero if: 
1. OverallAbsence_Summer6th greater than 
TermlySessionsPossible_Summer6th
2. TermlySessionsPossible_Summer6th is blank 
3. TermlySessionsPossible_Summer6th greater than 170.
</t>
  </si>
  <si>
    <t>SessionsPossible_Annual_ab[yy]</t>
  </si>
  <si>
    <t>SessionsPossible_Annual</t>
  </si>
  <si>
    <t>p_an[yy]a</t>
  </si>
  <si>
    <t>Number of sessions possible during the academic year.  This will only be populated for special schools.</t>
  </si>
  <si>
    <t xml:space="preserve">AnnualSessionsPossible. 
Set to zero if:
1. OverallAbsence_Annual greater than 
AnnualSessionsPossible
2. AnnualSessionsPossible is blank 
3. School is not a special school.
</t>
  </si>
  <si>
    <t>AuthorisedAbsence_Annual_ab[yy]</t>
  </si>
  <si>
    <t>AuthorisedAbsence_Annual</t>
  </si>
  <si>
    <t>aa_an[yy]a</t>
  </si>
  <si>
    <t>Number of sessions missed during the academic year due to authorised absence.  This will only be populated for special schools.</t>
  </si>
  <si>
    <t xml:space="preserve">Whichever is highest: 
AnnualSessionsAuthorised or sum of authorised reasons for the academic year. 
Set to zero if:
1. OverallAbsence_Annual greater than 
AnnualSessionsPossible
2. AnnualSessionsPossible is blank 
3. School is not a special school.
</t>
  </si>
  <si>
    <t>AuthorisedAbsenceFlag_Annual_ab[yy]</t>
  </si>
  <si>
    <t>AuthorisedAbsenceFlag_Annual</t>
  </si>
  <si>
    <t>af_an[yy]a</t>
  </si>
  <si>
    <t>Flag to indicate if the annual authorised absence was calculated using the sum of the reasons for absence, or the AnnualSessionsAuthorised variable.</t>
  </si>
  <si>
    <t xml:space="preserve">If AuthorisedAbsence_Annual calculated using sum of authorised reasons then set to "Reason".  Otherwise set to "Total".
Set to NULL if:
1. OverallAbsence_Annual greater than 
AnnualSessionsPossible
2. AnnualSessionsPossible is blank 
3. School is not a special school.
</t>
  </si>
  <si>
    <t>UnauthorisedAbsence_Annual_ab[yy]</t>
  </si>
  <si>
    <t>UnauthorisedAbsence_Annual</t>
  </si>
  <si>
    <t>ua_an[yy]a</t>
  </si>
  <si>
    <t>Number of sessions missed during the academic year due to unauthorised absence.  This will only be populated for special schools.</t>
  </si>
  <si>
    <t xml:space="preserve">Whichever is highest: 
AnnualSessionsUnauthorised or sum of unauthorised reasons for the academic year. 
Set to zero if:
1. OverallAbsence_Annual greater than 
AnnualSessionsPossible
2. AnnualSessionsPossible is blank 
3. School is not a special school.
</t>
  </si>
  <si>
    <t>UnauthorisedAbsenceFlag_Annual_ab[yy]</t>
  </si>
  <si>
    <t>UnauthorisedAbsenceFlag_Annual</t>
  </si>
  <si>
    <t>uf_an[yy]a</t>
  </si>
  <si>
    <t>Flag to indicate if the annual unauthorised absence was calculated using the sum of the reasons for absence, or the AnnualSessionsUnauthorised variable.</t>
  </si>
  <si>
    <t xml:space="preserve">If UnauthorisedAbsence_Annual calculated using sum of unauthorised reasons then set to "Reason".  Otherwise set to "Total".
Set to NULL if:
1. OverallAbsence_Annual greater than 
AnnualSessionsPossible
2. AnnualSessionsPossible is blank 
3. School is not a special school.
</t>
  </si>
  <si>
    <t>OverallAbsence_Annual_ab[yy]</t>
  </si>
  <si>
    <t>OverallAbsence_Annual</t>
  </si>
  <si>
    <t>oa_an[yy]a</t>
  </si>
  <si>
    <t>Number of absence sessions for the academic year.  This will only be populated for special schools.</t>
  </si>
  <si>
    <t xml:space="preserve">AuthorisedAbsence_Annual + UnauthorisedAbsence_Annual (i.e. use derived fields)
</t>
  </si>
  <si>
    <t>SessionsPossible_3Term_ab[yy]</t>
  </si>
  <si>
    <t>SessionsPossible_3Term</t>
  </si>
  <si>
    <t>p_3t[yy]a</t>
  </si>
  <si>
    <t>Number of sessions possible for the academic year.  Based on termly sessions for all schools except special schools for which annual sessions data will be used.</t>
  </si>
  <si>
    <t>Capped at 420 for version 2</t>
  </si>
  <si>
    <t xml:space="preserve">SessionsPossible_Autumn + SessionsPossible_Spring + SessionsPossible_Summer + SessionsPossible_Annual (i.e. use derived fields)
</t>
  </si>
  <si>
    <t>AuthorisedAbsence_3Term_ab[yy]</t>
  </si>
  <si>
    <t>AuthorisedAbsence_3Term</t>
  </si>
  <si>
    <t>aa_3t[yy]a</t>
  </si>
  <si>
    <t>Number of sessions missed due to authorised absence during the academic year.  Based on termly sessions for all schools except special schools for which annual sessions data will be used.</t>
  </si>
  <si>
    <t xml:space="preserve">AuthorisedAbsence_Autumn + AuthorisedAbsence_Spring + AuthorisedAbsence_Summer + AuthorisedAbsence_Annual  (i.e. use derived fields)
</t>
  </si>
  <si>
    <t>UnauthorisedAbsence_3Term_ab[yy]</t>
  </si>
  <si>
    <t>UnauthorisedAbsence_3Term</t>
  </si>
  <si>
    <t>ua_3t[yy]a</t>
  </si>
  <si>
    <t>Number of sessions missed due to unauthorised absence during the academic year.  Based on termly sessions for all schools except special schools for which annual sessions data will be used.</t>
  </si>
  <si>
    <t xml:space="preserve">UnauthorisedAbsence_Autumn + UnauthorisedAbsence_Spring + UnauthorisedAbsence_Summer + UnauthorisedAbsence_Annual  (i.e. use derived fields)
</t>
  </si>
  <si>
    <t>OverallAbsence_3Term_ab[yy]</t>
  </si>
  <si>
    <t>OverallAbsence_3Term</t>
  </si>
  <si>
    <t>oa_3t[yy]a</t>
  </si>
  <si>
    <t>Number of absence sessions during the academic year.</t>
  </si>
  <si>
    <t xml:space="preserve">OverallAbsence_Autumn + OverallAbsence_Spring + OverallAbsence_Summer + OverallAbsence_Annual (before 2016/17) (i.e. use derived fields)
</t>
  </si>
  <si>
    <t>SessionsPossible_5HalfTerms_ab[yy]</t>
  </si>
  <si>
    <t>SessionsPossible_5HalfTerms</t>
  </si>
  <si>
    <t>Number of sessions possible for the academic year.  Based on termly sessions for all schools except special schools before 2016/17 for which annual sessions data will be used.</t>
  </si>
  <si>
    <t>Equivalent to SessionsPossible_3term</t>
  </si>
  <si>
    <t>AuthorisedAbsence_5HalfTerms_ab[yy]</t>
  </si>
  <si>
    <t>AuthorisedAbsence_5HalfTerms</t>
  </si>
  <si>
    <t>Number of sessions missed due to authorised absence during the academic year.  Based on termly sessions for all schools except special schools before 2016/17  for which annual sessions data will be used.</t>
  </si>
  <si>
    <t>Equivalent to AuthorisedAbsence_3term</t>
  </si>
  <si>
    <t>UnauthorisedAbsence_5HalfTerms_ab[yy]</t>
  </si>
  <si>
    <t>UnauthorisedAbsence_5HalfTerms</t>
  </si>
  <si>
    <t>Number of sessions missed due to unauthorised absence during the academic year.  Based on termly sessions for all schools except special schools before 2016/17 for which annual sessions data will be used.</t>
  </si>
  <si>
    <t>Equivalent to UnauthorisedAbsence_3term</t>
  </si>
  <si>
    <t>OverallAbsence_5HalfTerms_ab[yy]</t>
  </si>
  <si>
    <t>OverallAbsence_5HalfTerms</t>
  </si>
  <si>
    <t>Equivalent to OverallAbsence_3term</t>
  </si>
  <si>
    <t>SessionsPossible_6HalfTerms_ab[yy]</t>
  </si>
  <si>
    <t>SessionsPossible_6HalfTerms</t>
  </si>
  <si>
    <t xml:space="preserve">SessionsPossible_Autumn + SessionsPossible_Spring + SessionsPossible_Summer + SessionsPossible_Summer6th+
SessionsPossible_Annual (before 2016/17) (i.e. use derived fields)
</t>
  </si>
  <si>
    <t>AuthorisedAbsence_6HalfTerms_ab[yy]</t>
  </si>
  <si>
    <t>AuthorisedAbsence_6HalfTerms</t>
  </si>
  <si>
    <t xml:space="preserve">AuthorisedAbsence_Autumn + AuthorisedAbsence_Spring + AuthorisedAbsence_Summer + AuthorisedAbsence_Summer6th + AuthorisedAbsence_Annual  (before 2016/17) (i.e. use derived fields)
</t>
  </si>
  <si>
    <t>UnauthorisedAbsence_6HalfTerms_ab[yy]</t>
  </si>
  <si>
    <t>UnauthorisedAbsence_6HalfTerms</t>
  </si>
  <si>
    <t xml:space="preserve">UnauthorisedAbsence_Autumn + UnauthorisedAbsence_Spring + UnauthorisedAbsence_Summer+ UnauthorisedAbsence_Summer6th + UnauthorisedAbsence_Annual (before 2016/17) (i.e. use derived fields)
</t>
  </si>
  <si>
    <t>OverallAbsence_6HalfTerms_ab[yy]</t>
  </si>
  <si>
    <t>OverallAbsence_6HalfTerms</t>
  </si>
  <si>
    <t xml:space="preserve">OverallAbsence_Autumn + OverallAbsence_Spring + OverallAbsence_Summer+ OverallAbsence_Summer6th  + OverallAbsence_Annual  (before 2016/17 (i.e. use derived fields)
</t>
  </si>
  <si>
    <t>MainRecord_ab[yy]</t>
  </si>
  <si>
    <t>MainRecord</t>
  </si>
  <si>
    <t>main[yy]a</t>
  </si>
  <si>
    <t>Indicates whether or not this is the main record for a pupil in cases where there are multiple records, e.g. for pupils who changed school during the year.</t>
  </si>
  <si>
    <t>Calculated field - see Allowed Values</t>
  </si>
  <si>
    <t>Phase_ab[yy]</t>
  </si>
  <si>
    <t>Phase</t>
  </si>
  <si>
    <t>This details the Phase of Education offered by Mainstream Schools</t>
  </si>
  <si>
    <t xml:space="preserve">SCHOOL PHASE
NS Nursery
PS Primary 
MP Middle (Deemed Primary)
MS Middle (Deemed Secondary)
SS Secondary (including CTC and Academies)
SP Special
AT All-Through (excludes PRUs and special schools)
PR Pupil Referral Unit (includes AP academies and AP free schools)
XX Multiple Phases (not Middle, Special or PRU)
</t>
  </si>
  <si>
    <t>Exclusions up to 2004/05</t>
  </si>
  <si>
    <t>Gender_ex[yy]</t>
  </si>
  <si>
    <t xml:space="preserve">2001/02 - 2004/05 </t>
  </si>
  <si>
    <t>YearOfBirth_ex[yy]</t>
  </si>
  <si>
    <t>MonthOfBirth_ex[yy]</t>
  </si>
  <si>
    <t>Ethnicity_ex[yy]</t>
  </si>
  <si>
    <t>eth[yy]</t>
  </si>
  <si>
    <t>EthnicGroup_ex[yy]</t>
  </si>
  <si>
    <t>ethg[yy]</t>
  </si>
  <si>
    <t>EthnicitySource_ex[yy]
SourceOfEthnicity_ex[yy] in 2001/02</t>
  </si>
  <si>
    <t>ethsc[yy]</t>
  </si>
  <si>
    <t>SENstatus_ex[yy]
SENStage_ex[yy] in 2001/02</t>
  </si>
  <si>
    <t>SENStage</t>
  </si>
  <si>
    <t>sen[yy]</t>
  </si>
  <si>
    <t>LA_ex[yy]_anon</t>
  </si>
  <si>
    <t>LAEstab_ex[yy]_anon</t>
  </si>
  <si>
    <t>URN_ex[yy]_anon</t>
  </si>
  <si>
    <t>CensusDate_ex[yy]</t>
  </si>
  <si>
    <t>s.PupilMatchingRefAnonymous_ex[yy]</t>
  </si>
  <si>
    <t>StartDate_ex[yy]</t>
  </si>
  <si>
    <t>StartDate</t>
  </si>
  <si>
    <t>sdte[yy]</t>
  </si>
  <si>
    <t>Start date of the exclusion.</t>
  </si>
  <si>
    <t>PermanentExclusionInd_ex[yy]</t>
  </si>
  <si>
    <t>PermanentExclusionInd</t>
  </si>
  <si>
    <t>pei[yy]</t>
  </si>
  <si>
    <t>Permanent Exclusion Indicator.</t>
  </si>
  <si>
    <t>Exclusions 2005/06 onwards</t>
  </si>
  <si>
    <t>There are 3 different exclusions tables for each year; table 1, 2 or 3 (column G):</t>
  </si>
  <si>
    <t xml:space="preserve"> - Table 1 contains one record per each individual exclusion; </t>
  </si>
  <si>
    <t xml:space="preserve"> - Table 2 contains one record covering all exclusions for the year for a pupil per LAEstab ,so if a pupil has incurred exclusions at more than one school over the course of a year they would have more than one record in table 2;</t>
  </si>
  <si>
    <t xml:space="preserve"> - Table 3 is one record per pupil of all of their exclusions instances for the academic year.</t>
  </si>
  <si>
    <t>DfE's published statistics on exclusions uses table 1 (number of exclusions) and table 2 (one record per pupil per school, i.e. one record per enrolment). Table 2 provides the number of enrolments with one or more exclusion; particularly useful when looking at school level.  If researcher is intending to match with published figures, table 2 may be more appropriate than table 3 (one record per pupil).</t>
  </si>
  <si>
    <t>Table</t>
  </si>
  <si>
    <t>Table requested?</t>
  </si>
  <si>
    <t>gend[yy]e</t>
  </si>
  <si>
    <t>AgeAtStartOfAcademicYear_ex[yy]</t>
  </si>
  <si>
    <t>age[yy]e</t>
  </si>
  <si>
    <t>Age of pupil at start of the academic year when the exclusion started.</t>
  </si>
  <si>
    <t>MonthPartOfAgeAtStartOfAcademicYear_ex[yy]</t>
  </si>
  <si>
    <t>month[yy]e</t>
  </si>
  <si>
    <t>Month part of age of pupil at start of the academic year when the exclusion started.</t>
  </si>
  <si>
    <t>yob[yy]e</t>
  </si>
  <si>
    <t>mob[yy]e</t>
  </si>
  <si>
    <t>eth[yy]e</t>
  </si>
  <si>
    <t>ethg[yy]e</t>
  </si>
  <si>
    <t>EthnicGroupMinor_ex[yy]</t>
  </si>
  <si>
    <t>EthnicGroupMajor_ex[yy]</t>
  </si>
  <si>
    <t>EthnicitySource_ex[yy]</t>
  </si>
  <si>
    <t>ethsc[yy]e</t>
  </si>
  <si>
    <t>EntryDate_ex[yy]</t>
  </si>
  <si>
    <t>entry[yy]e</t>
  </si>
  <si>
    <t>LeavingDate_ex[yy]</t>
  </si>
  <si>
    <t>leave[yy]e</t>
  </si>
  <si>
    <t>PartTime_ex[yy]</t>
  </si>
  <si>
    <t>pti[yy]e</t>
  </si>
  <si>
    <t>Boarder_ex[yy]</t>
  </si>
  <si>
    <t>board[yy]e</t>
  </si>
  <si>
    <t>SENprovision_ex[yy]</t>
  </si>
  <si>
    <t>sen[yy]e</t>
  </si>
  <si>
    <t>N = No Special Educational Need
A = School Action or Early Years Action
P = School Action Plus or Early Years Action Plus
S = Statement
K = SEN support
E = Education, health and care plan</t>
  </si>
  <si>
    <t>CensusSEN_ex[yy]</t>
  </si>
  <si>
    <t>CensusSEN</t>
  </si>
  <si>
    <t>As for SENprovision</t>
  </si>
  <si>
    <t>LatestSEN_ex[yy]</t>
  </si>
  <si>
    <t>LatestSEN</t>
  </si>
  <si>
    <t>Reason_ex[yy]</t>
  </si>
  <si>
    <t>Reason</t>
  </si>
  <si>
    <t>reas[yy]e</t>
  </si>
  <si>
    <t>For each exclusion, reason for exclusion. Please note from 2021 this field is recorded as three separate fields - reason_a, reason_b and reason_c</t>
  </si>
  <si>
    <t>PP = Physical assault against a pupil
PA = Physical assault against an adult
VP = Verbal abuse/threatening behaviour against a pupil
VA = Verbal abuse/threatening behaviour against an adult
BU = Bullying
RA = Racist abuse
SM = Sexual misconduct
DA = Drug and alcohol related
DM = Damage
TH = Theft
DB = Persistent disruptive behaviour
OT = Other</t>
  </si>
  <si>
    <t>Reason_A_ex[yy]</t>
  </si>
  <si>
    <t>For each exclusion, reason for exclusion.</t>
  </si>
  <si>
    <t>PP = Physical assault against a pupil</t>
  </si>
  <si>
    <t>Reason_B_ex[yy]</t>
  </si>
  <si>
    <t>PA = Physical assault against an adult</t>
  </si>
  <si>
    <t>Reason_C_ex[yy]</t>
  </si>
  <si>
    <t>VP = Verbal abuse/threatening behaviour against a pupil</t>
  </si>
  <si>
    <t>FSMeligible_ex[yy]</t>
  </si>
  <si>
    <t>fsm[yy]e</t>
  </si>
  <si>
    <t>FirstLanguage_ex[yy]</t>
  </si>
  <si>
    <t>flang[yy]e</t>
  </si>
  <si>
    <t>Language_ex[yy]</t>
  </si>
  <si>
    <t>lang[yy]e</t>
  </si>
  <si>
    <t>Please see Census Language Codes tab</t>
  </si>
  <si>
    <t>LanguageGroup_ex[yy]</t>
  </si>
  <si>
    <t>lgrp[yy]e</t>
  </si>
  <si>
    <t>2006/2007 - 2007/2008</t>
  </si>
  <si>
    <t>Pupil's language group based on their language code</t>
  </si>
  <si>
    <t>As for FirstLanguage,
Additional code of INV for cases where an invalid code has been recorded</t>
  </si>
  <si>
    <t>LanguageGroupMinor_ex[yy]</t>
  </si>
  <si>
    <t>LanguageGroupMajor_ex[yy]</t>
  </si>
  <si>
    <t>GandTindicator_ex[yy]</t>
  </si>
  <si>
    <t>gant[yy]e</t>
  </si>
  <si>
    <t>2005/2006 - 2010/2011</t>
  </si>
  <si>
    <t>ServiceChild_ex[yy]</t>
  </si>
  <si>
    <t>svcd[yy]e</t>
  </si>
  <si>
    <t>ServiceChildSource_ex[yy]</t>
  </si>
  <si>
    <t>svcds[yy]e</t>
  </si>
  <si>
    <t>2007/2008 - 2010/2011</t>
  </si>
  <si>
    <t>PrimarySENtype_ex[yy]</t>
  </si>
  <si>
    <t>sen1[yy]e</t>
  </si>
  <si>
    <t>SPLD = Specific Learning Difficulty 
MLD = Moderate Learning Difficulty
SLD = Severe Learning Difficulty
PMLD = Profound &amp; Multiple Learning Difficulty
BESD = Behaviour, Emotional and Social Difficulty
SLCN = Speech Language and Communication Difficulty
HI = Hearing Impairment
VI = Visual Impairment
MSI = Multi-Sensory Impairment
PD = Physical Disability
ASD = Autistic Spectrum Disorder
OTH = Other Difficulty/Disability</t>
  </si>
  <si>
    <t>SecondarySENtype_ex[yy]</t>
  </si>
  <si>
    <t>sen2[yy]e</t>
  </si>
  <si>
    <t>Secondary SEN type</t>
  </si>
  <si>
    <t>SpecialProvisionIndicator_ex[yy]</t>
  </si>
  <si>
    <t>spi[yy]e</t>
  </si>
  <si>
    <t>SENUnitIndicator_ex[yy]</t>
  </si>
  <si>
    <t>sui[yy]e</t>
  </si>
  <si>
    <t>ResourcedProvisionIndicator_ex[yy]</t>
  </si>
  <si>
    <t>rpi[yy]e</t>
  </si>
  <si>
    <t>COA_ex[yy]</t>
  </si>
  <si>
    <t>oa[yy]e</t>
  </si>
  <si>
    <t>LLSOA_ex[yy]</t>
  </si>
  <si>
    <t>soa[yy]e</t>
  </si>
  <si>
    <t>LSOA01_ex[yy]</t>
  </si>
  <si>
    <t>National Statistics Postcode Directory Lower Layer Super Output Area derived from pupil's postcode (based on 2001 Census).</t>
  </si>
  <si>
    <t>LSOA11_ex[yy]</t>
  </si>
  <si>
    <t>National Statistics Postcode Directory Lower Layer Super Output Area derived from pupil's postcode (based on 2011 Census).</t>
  </si>
  <si>
    <t>IDACIScore_10_ex[yy]</t>
  </si>
  <si>
    <t>IDACI_S_10</t>
  </si>
  <si>
    <t>idaci[yy]e</t>
  </si>
  <si>
    <t>Income Deprivation Affecting Children Indices. IDACI Score 2010</t>
  </si>
  <si>
    <t>IDACIRank_10_ex[yy]</t>
  </si>
  <si>
    <t>IDACI_R_10</t>
  </si>
  <si>
    <t>rank[yy]e</t>
  </si>
  <si>
    <t>Income Deprivation Affecting Children Indices. IDACI Rank 2010.</t>
  </si>
  <si>
    <t>IDACIScore_15_ex[yy]</t>
  </si>
  <si>
    <t>IDACI_S_15</t>
  </si>
  <si>
    <t>Income Deprivation Affecting Children Indices. IDACI Score 2015</t>
  </si>
  <si>
    <t>IDACIRank_15_ex[yy]</t>
  </si>
  <si>
    <t>IDACI_R_15</t>
  </si>
  <si>
    <t>Income Deprivation Affecting Children Indices. IDACI Rank 2015.</t>
  </si>
  <si>
    <t>IDACI_D_15_ex[yy]</t>
  </si>
  <si>
    <t>IDACI_D_15</t>
  </si>
  <si>
    <t>IDACI Band 2015 giving deciles (10% bands) of areas from most deprived to least deprived, should be equivalent to bands published by DCLG (https://www.gov.uk/government/statistics/english-indices-of-deprivation-2015)</t>
  </si>
  <si>
    <t>0 - 10% most deprived
11 - 20%
21 - 30%
31 - 40%
41 - 50%
51 - 60%
61 - 70%
71 - 80%
81 - 90%
91 - 100% least deprived</t>
  </si>
  <si>
    <t>la[yy]e</t>
  </si>
  <si>
    <t>laest[yy]e</t>
  </si>
  <si>
    <t>urn[yy]e</t>
  </si>
  <si>
    <t>LatestLA_ex[yy]_anon</t>
  </si>
  <si>
    <t>LatestLA_anon</t>
  </si>
  <si>
    <t>Local Authority responsible for the most recent exclusion. This variable has been pseudonymised in line with the impact of COVID19 on DfE data sharing (See COVID19 Impact worksheet) and/or the requirements of Digital Economy Act in relation to a body corporate.</t>
  </si>
  <si>
    <t>Following variables repeated for each case of exclusion ordered by StartDate.  Maximum of 40 iterations.</t>
  </si>
  <si>
    <t>Reason_[n]_ex[yy]</t>
  </si>
  <si>
    <t>Reason_[n]</t>
  </si>
  <si>
    <t>reas[n][yy]e</t>
  </si>
  <si>
    <t>SENprovision_[n]_ex[yy]</t>
  </si>
  <si>
    <t>SENprovision_[n]</t>
  </si>
  <si>
    <t>sen[n][yy]e</t>
  </si>
  <si>
    <t>LAEstab_ex[YY]_anon</t>
  </si>
  <si>
    <t>LAEstab_[n]_anon</t>
  </si>
  <si>
    <t>las[n][yy]e</t>
  </si>
  <si>
    <t>LA_ex[YY]</t>
  </si>
  <si>
    <t>LA_[n]</t>
  </si>
  <si>
    <t>la[n]08e</t>
  </si>
  <si>
    <t>URN_ex[YY]_anon</t>
  </si>
  <si>
    <t>URN_[n]_anon</t>
  </si>
  <si>
    <t>urn[n][yy]e</t>
  </si>
  <si>
    <t>AcademicYear_ex[yy]</t>
  </si>
  <si>
    <t>ac[yy]e</t>
  </si>
  <si>
    <t>Academic year when the exclusion started.</t>
  </si>
  <si>
    <t>1,2,3</t>
  </si>
  <si>
    <t>Term_ex[yy]</t>
  </si>
  <si>
    <t>Term</t>
  </si>
  <si>
    <t>trm[yy]e</t>
  </si>
  <si>
    <t>Academic term when the exclusion started based on the start date of the exclusion.</t>
  </si>
  <si>
    <t>Autumn
Spring
Summer
Invalid = Start date not in the accepted range for the academic year</t>
  </si>
  <si>
    <t>PupilMatchingRefAnonymous_ex[yy]</t>
  </si>
  <si>
    <t>pmr[yy]e</t>
  </si>
  <si>
    <t>ReportingAcademicYear_ex[yy]</t>
  </si>
  <si>
    <t>ReportingAcademicYear</t>
  </si>
  <si>
    <t>rac[yy]e</t>
  </si>
  <si>
    <t>Academic year of the Census when the exclusion was collected.</t>
  </si>
  <si>
    <t>ReportingTerm_ex[yy]</t>
  </si>
  <si>
    <t>ReportingTerm</t>
  </si>
  <si>
    <t>rtrm[yy]e</t>
  </si>
  <si>
    <t>Census term when the exclusion data was collected.</t>
  </si>
  <si>
    <t>Autumn
Spring
Summer</t>
  </si>
  <si>
    <t>Category_ex[yy]</t>
  </si>
  <si>
    <t>cat[yy]e</t>
  </si>
  <si>
    <t>For each exclusion, type of exclusion (PERM, FIXD, LNCH).  Set to PERM for earlier years when indicator did not exist.</t>
  </si>
  <si>
    <t>FIXD = Fixed Period
PERM = Permanent
LNCH = Lunchtime</t>
  </si>
  <si>
    <t>sdte[yy]e</t>
  </si>
  <si>
    <t>For each exclusion, exclusion start date</t>
  </si>
  <si>
    <t>Sessions_ex[yy]</t>
  </si>
  <si>
    <t>Sessions</t>
  </si>
  <si>
    <t>sns[yy]e</t>
  </si>
  <si>
    <t>For each exclusion, number of sessions excluded from.</t>
  </si>
  <si>
    <t>YSSA_ex[yy]
ConnexionsAssent for 2002/03 to 2004/05
Connexions for 2005/06 to 2011/12</t>
  </si>
  <si>
    <t>conn[yy]e</t>
  </si>
  <si>
    <t>EnrolStatus_ex[yy]</t>
  </si>
  <si>
    <t>enrol[yy]e</t>
  </si>
  <si>
    <t>ModeOfTravel_ex[yy]</t>
  </si>
  <si>
    <t>mot[yy]e</t>
  </si>
  <si>
    <t>WLK = Walk
CYC = Cycle
CAR = Car/Van
CRS = Car Share (with a child/children from a different household)
PSB = Public Service Bus
DSB = Dedicated School Bus
BNK = Bus (type not known)
TXI = Taxi
TRN = Train
LUL = London Underground
MTL = Metro/Tram/Light R</t>
  </si>
  <si>
    <t>NCYear_ex[yy]</t>
  </si>
  <si>
    <t>NCYear</t>
  </si>
  <si>
    <t>National Curriculum Year Group at the time of the exclusion</t>
  </si>
  <si>
    <t>1,2</t>
  </si>
  <si>
    <t>Source_Characteristics_ex[yy]</t>
  </si>
  <si>
    <t>Source_Characteristics</t>
  </si>
  <si>
    <t>srcc[yy]e</t>
  </si>
  <si>
    <t>Source from which main characteristics have been taken</t>
  </si>
  <si>
    <t>Perm_Duplicate_ex[yy]</t>
  </si>
  <si>
    <t>Perm_Duplicate</t>
  </si>
  <si>
    <t>dup[yy]e</t>
  </si>
  <si>
    <t>Indicates multiple permanent exclusions at the same school.</t>
  </si>
  <si>
    <t>NumberOfEnrolments_ex[yy]</t>
  </si>
  <si>
    <t>NumberOfEnrolments</t>
  </si>
  <si>
    <t>noe[yy]e</t>
  </si>
  <si>
    <t>2005/2006 - 2014/2015</t>
  </si>
  <si>
    <t>Pupil appears more than once in this table with exclusions from another school</t>
  </si>
  <si>
    <t>1 = Has exclusions from one school in reporting period
2 = Appears twice in the table with exclusions from two schools
3 = Appears three times in the table with exclusions from three schools etc.</t>
  </si>
  <si>
    <t>2,3</t>
  </si>
  <si>
    <t>TotalFixedExclusions_ex[yy]</t>
  </si>
  <si>
    <t>TotalFixedExclusions</t>
  </si>
  <si>
    <t>tfe[yy]e</t>
  </si>
  <si>
    <t>The total number of fixed exclusions for the academic year:
Table 2: at enrolment level
Table 3: at pupil level</t>
  </si>
  <si>
    <t>TotalFixedSessions_ex[yy]</t>
  </si>
  <si>
    <t>TotalFixedSessions</t>
  </si>
  <si>
    <t>tfs[yy]e</t>
  </si>
  <si>
    <t>The total number of sessions for fixed exclusions for the academic year:
Table 2: at enrolment level
Table 3: at pupil level</t>
  </si>
  <si>
    <t>PermanentExclusionIndicator_ex[yy]</t>
  </si>
  <si>
    <t>PermanentExclusionIndicator</t>
  </si>
  <si>
    <t>pei[yy]e</t>
  </si>
  <si>
    <t>Indicates if the pupil was permanently excluded during the academic year:
Table 2: from this establishment
Table 3: from any establishment</t>
  </si>
  <si>
    <t>0 = Pupil not permanently excluded
1 = Pupil permanently excluded</t>
  </si>
  <si>
    <t>PermanentExclusionCount_ex[yy]</t>
  </si>
  <si>
    <t>PermanentExclusionCount</t>
  </si>
  <si>
    <t>Indicates how many times the pupil was permanently excluded during the academic year:
Table 2: from this establishment
Table 3: from any establishment</t>
  </si>
  <si>
    <t>Category_[n]_ex[yy]</t>
  </si>
  <si>
    <t>Category_[n]</t>
  </si>
  <si>
    <t>cat[n][yy]e</t>
  </si>
  <si>
    <t>For each exclusion, type of exclusion (PERM, FIXD, LNCH).</t>
  </si>
  <si>
    <t>Term_[n]_ex[yy]</t>
  </si>
  <si>
    <t>Term_[n]</t>
  </si>
  <si>
    <t>trm[n][yy]e</t>
  </si>
  <si>
    <t>StartDate_[n]_ex[yy]</t>
  </si>
  <si>
    <t>StartDate_[n]</t>
  </si>
  <si>
    <t>sdte[n][yy]e</t>
  </si>
  <si>
    <t>Sessions_[n]_ex[yy]</t>
  </si>
  <si>
    <t>Sessions_[n]</t>
  </si>
  <si>
    <t>sns[n][yy]e</t>
  </si>
  <si>
    <t>NCYear_[n]_ex[yy]</t>
  </si>
  <si>
    <t>NCYear_[n]</t>
  </si>
  <si>
    <t>Post-16 Learning Aims</t>
  </si>
  <si>
    <t>pl_Gender</t>
  </si>
  <si>
    <t>pl_AgeAtStartOfAcademicYear</t>
  </si>
  <si>
    <t>pl_MonthPartOfAgeAtStartOfAcademicYear</t>
  </si>
  <si>
    <t>pl_YearOfBirth</t>
  </si>
  <si>
    <t>pl_MonthOfBirth</t>
  </si>
  <si>
    <t>pl_LA</t>
  </si>
  <si>
    <t>LA</t>
  </si>
  <si>
    <t>pl_LA_9CODE</t>
  </si>
  <si>
    <t>LA_9CODE</t>
  </si>
  <si>
    <t>New 9 digit Local Authority code introduced by ONS</t>
  </si>
  <si>
    <t>pl_LAEstab_anon</t>
  </si>
  <si>
    <t>LAEstab from Census.  Populated from LAEstab_AAT for unmatched attainment records. This variable has been pseudonymised in line with the impact of COVID19 on DfE data sharing (See COVID19 Impact worksheet) and/or the requirements of Digital Economy Act in relation to a body corporate.</t>
  </si>
  <si>
    <t>pl_LAEstab_AAT_anon</t>
  </si>
  <si>
    <t>LAEstab_AAT_anon</t>
  </si>
  <si>
    <t>2007/08 - 2008/09</t>
  </si>
  <si>
    <t>LAEstab from AAT data.  (From KS4 AAT if GRADE_SOURCE=4, From KS5 AAT if GRADE_SOURCE=5). This variable has been pseudonymised in line with the impact of COVID19 on DfE data sharing (See COVID19 Impact worksheet) and/or the requirements of Digital Economy Act in relation to a body corporate.</t>
  </si>
  <si>
    <t>pl_LAEstab_ATT_anon</t>
  </si>
  <si>
    <t>LAEstab_ATT_anon</t>
  </si>
  <si>
    <t>LAESTAB from attainment data.  (From KS4 AAT if SOURCE_AAT=4, From KS5 AAT if SOURCE_AAT=5, from KS45 if GRADE_SOURCE = 45). This variable has been pseudonymised in line with the impact of COVID19 on DfE data sharing (See COVID19 Impact worksheet) and/or the requirements of Digital Economy Act in relation to a body corporate.</t>
  </si>
  <si>
    <t>pl_ACADYR</t>
  </si>
  <si>
    <t>Academic Year.</t>
  </si>
  <si>
    <t>pl_PupilMatchingRefAnonymous</t>
  </si>
  <si>
    <t>pl_RecordSource</t>
  </si>
  <si>
    <t>RecordSource</t>
  </si>
  <si>
    <t>Source of Record.</t>
  </si>
  <si>
    <t>SC_[yyyy]_AU e.g. SC_0708_AU
SC_[yyyy]_SU 
AAT_[yyyy]_KS5
KS45_L23_[yyyy]
NISVQ_[yyyy]</t>
  </si>
  <si>
    <t>pl_OnRoll</t>
  </si>
  <si>
    <t>Indicates whether the learning aim was taken from the on roll table, the off roll table or is an unmatched attainment record.</t>
  </si>
  <si>
    <t>0 = Off Roll
1 = On Roll
2 = Unmatched attainment record</t>
  </si>
  <si>
    <t>pl_RecordStatus</t>
  </si>
  <si>
    <t>Main/Duplicate      Rules
1/ 101 = 2 records, Main record (1) is POR, Duplicate record (101) is PNLOR
2/102 = 2 PNLOR records, Main record (2) has latest LeavingDate
3/103 = 2 POR records, Main record (3) set using EnrolStatus (as defined in the hierarchy below)
4/104 =  2 POR records, Main record (4) set using School Type (as in the hierarchy below) or, if not possible, latest EntryDate
5/105 =  &gt;2 records, Main record (5) is POR, Duplicate record (105) is PNLOR 
6/106 =  &gt;2 PNLOR records, Main record (6) has latest LeavingDate
7/107 =  &gt;2 POR records, Main record (7) set using EnrolStatus (as defined in the hierarchy below)
8/108 =  &gt;2 POR records, Main record (8) set using School Type (as defined in the hierarchy below) or, if not possible, latest EntryDate
9/109 =  Set manually (i.e. any remaining after applying stages defined as above)
10/110 = Duplicates where not matched to core pupil table i.e. MATCH_FFT_ID allocated after adding the (10) record to Core Pupil Table
20/120 = Duplicate pupils from N1 and N2 and who currently have PupilIDs set to -2 and Record_Status is not NULL</t>
  </si>
  <si>
    <t>pl_NCYear</t>
  </si>
  <si>
    <t>NCYearActual from School Census.  Blank for NoLongerOnRoll.  Derived from DoB for records added from AAT data</t>
  </si>
  <si>
    <t>7-14</t>
  </si>
  <si>
    <t>pl_NCYearID</t>
  </si>
  <si>
    <t>NCYearID</t>
  </si>
  <si>
    <t>2010/11 only</t>
  </si>
  <si>
    <t>As above, but consistent for each aim of the same learner/Pupil ID regardless of which Census their aim relates to.</t>
  </si>
  <si>
    <t>pl_QAN</t>
  </si>
  <si>
    <t>Qualification Accreditation Number - unique number identifying learning aim/course of study.</t>
  </si>
  <si>
    <t>pl_QN</t>
  </si>
  <si>
    <t>QN</t>
  </si>
  <si>
    <t>Qualification Number - unique number identifying learning aim/course of study.</t>
  </si>
  <si>
    <t>Qualification Number
1st and 8th characters can be 0-9 or A-Z (upper case)
Characters 2-7 must be numeric
Additionally 1st character may be a #</t>
  </si>
  <si>
    <t>pl_Disc_Code</t>
  </si>
  <si>
    <t>Disc_Code</t>
  </si>
  <si>
    <t>2007/08 - 2010/11, 2012/13 - 2014/15</t>
  </si>
  <si>
    <t>Discount code and QAN together identify the subject studied where the QAN on its own does not.</t>
  </si>
  <si>
    <t>pl_SCC</t>
  </si>
  <si>
    <t>SCC</t>
  </si>
  <si>
    <t>Subject classification code and QN together identify the subject studied where the QN on its own does not</t>
  </si>
  <si>
    <t>pl_Disc_Code_Ref</t>
  </si>
  <si>
    <t>Disc_Code_Ref</t>
  </si>
  <si>
    <t>Disc_Code_AAT</t>
  </si>
  <si>
    <t>Discount code taken from the discounting tables for the current academic year.</t>
  </si>
  <si>
    <t>SCC_Ref</t>
  </si>
  <si>
    <t>pl_Sublevno_Ref</t>
  </si>
  <si>
    <t>Sublevno_Ref</t>
  </si>
  <si>
    <t>Qual_Code_AAT</t>
  </si>
  <si>
    <t>2007/08 - 2010/11</t>
  </si>
  <si>
    <t>The qualification code taken from the discounting tables for the current academic year.</t>
  </si>
  <si>
    <t>pl_Qual_Lev_Ref</t>
  </si>
  <si>
    <t>Qual_Lev_Ref</t>
  </si>
  <si>
    <t>Potential Level taken from the discounting tables for the current academic year</t>
  </si>
  <si>
    <t>0 - 7</t>
  </si>
  <si>
    <t>pl_Title_Ref</t>
  </si>
  <si>
    <t>Title_Ref</t>
  </si>
  <si>
    <t>Title_AAT</t>
  </si>
  <si>
    <t>Title of the qualification taken from the discounting tables for the current academic year.</t>
  </si>
  <si>
    <t>pl_Short_Title_Ref</t>
  </si>
  <si>
    <t>Short_Title_Ref</t>
  </si>
  <si>
    <t>Short_Title_AAT</t>
  </si>
  <si>
    <t>Short title of the qualification taken from the discounting tables for the current academic year.</t>
  </si>
  <si>
    <t>pl_Qual_Type_Ref</t>
  </si>
  <si>
    <t>Qual_Type_Ref</t>
  </si>
  <si>
    <t>Qual_Type_AAT</t>
  </si>
  <si>
    <t>The qualification type taken from the discounting tables for the current academic year.</t>
  </si>
  <si>
    <t>pl_LearningStartDate</t>
  </si>
  <si>
    <t>LearningStartDate</t>
  </si>
  <si>
    <t>The date on which learning for the learning aim began.</t>
  </si>
  <si>
    <t>pl_LearningPlannedEndDate</t>
  </si>
  <si>
    <t>LearningPlannedEndDate</t>
  </si>
  <si>
    <t>The date by which the school and learner plan to complete the learning related to this learning aim.</t>
  </si>
  <si>
    <t>pl_LearningActualEndDate</t>
  </si>
  <si>
    <t>LearningActualEndDate</t>
  </si>
  <si>
    <t>The date that the learner completed the learning activities necessary to achieve the learning aim or the date the learner withdrew from the learning activities.</t>
  </si>
  <si>
    <t>pl_LearningCompletionStatus</t>
  </si>
  <si>
    <t>LearningCompletionStatus</t>
  </si>
  <si>
    <t>An indication of the degree of completion of the learning activities leading to the learning aim.</t>
  </si>
  <si>
    <t>NONE
0 = The learner is re-sitting the examination or coursework only. The learner is not attending the full course of study for this learning aim. (The student may be attending some revision classes.)
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X = Data input error</t>
  </si>
  <si>
    <t>pl_LearningAimStatus</t>
  </si>
  <si>
    <t>LearningAimStatus</t>
  </si>
  <si>
    <t>The status of the learning aim at the time of the Autumn census</t>
  </si>
  <si>
    <t>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X - Data Input Error</t>
  </si>
  <si>
    <t>pl_LearningAimOutcome</t>
  </si>
  <si>
    <t>LearningAimOutcome</t>
  </si>
  <si>
    <t>The outcome of the learning aim at the time of the Autumn census</t>
  </si>
  <si>
    <t>1 - Pass
2 - Fail
3 - Result not known</t>
  </si>
  <si>
    <t>pl_LearningAimResult</t>
  </si>
  <si>
    <t>LearningAimResult</t>
  </si>
  <si>
    <t>The result of the overall examination / assessment associated with the completed learning aim of the learning aim at the time of the Autumn census</t>
  </si>
  <si>
    <t>pl_CoreAim</t>
  </si>
  <si>
    <t>CoreAim</t>
  </si>
  <si>
    <t>Indicator to identify the core learning aim</t>
  </si>
  <si>
    <t>0 - false
1 - true</t>
  </si>
  <si>
    <t>pl_LearningAimWithdrawalReason</t>
  </si>
  <si>
    <t>LearningAimWithdrawalReason</t>
  </si>
  <si>
    <t>Reason for withdrawal from learning aim</t>
  </si>
  <si>
    <t>1  - Learner has transferred to another provider to undertake learning which meets a specific government strategy. This should only be used to identify learners who have transferred onto apprenticeship provision
2  - Learner has transferred to another provider
3 -  Learner injury/illness
4 -  Financial reasons
44  - Other personal reasons
45 -  Exclusion
97  - Other
98  - Reason not known</t>
  </si>
  <si>
    <t>pl_ProgType</t>
  </si>
  <si>
    <t>ProgType</t>
  </si>
  <si>
    <t>Identifies the type of programme the learning aim belongs to</t>
  </si>
  <si>
    <t>30 - T Level transition programme
31  - T Level
01  - 16 to 19 study programme</t>
  </si>
  <si>
    <t>pl_Traineeship</t>
  </si>
  <si>
    <t>Traineeship</t>
  </si>
  <si>
    <t>Indicates whether a learning aim is part of a traineeship programme</t>
  </si>
  <si>
    <t>pl_QAN_AAT</t>
  </si>
  <si>
    <t>QAN_AAT</t>
  </si>
  <si>
    <t>GNUMBER from AAT data.</t>
  </si>
  <si>
    <t>pl_QAN_ATT</t>
  </si>
  <si>
    <t>QAN_ATT</t>
  </si>
  <si>
    <t>GNUMBER from attainment data.</t>
  </si>
  <si>
    <t>pl_Disc_Code_AAT</t>
  </si>
  <si>
    <t>MAPPING from AAT data.</t>
  </si>
  <si>
    <t>pl_Disc_Code_ATT</t>
  </si>
  <si>
    <t>Disc_Code_ATT</t>
  </si>
  <si>
    <t>MAPPING from attainment data.</t>
  </si>
  <si>
    <t>pl_Qual_Type_AAT</t>
  </si>
  <si>
    <t>The qualification type taken from the discounting tables for the current academic year, based on AAT data QAN/DISC_CODE.</t>
  </si>
  <si>
    <t>pl_Qual_Type_ATT</t>
  </si>
  <si>
    <t>Qual_Type_ATT</t>
  </si>
  <si>
    <t>The qualification type taken from the discounting tables for the current academic year, based on QAN/DISC_CODE.</t>
  </si>
  <si>
    <t>pl_Sublevno_AAT</t>
  </si>
  <si>
    <t>Sublevno_AAT</t>
  </si>
  <si>
    <t>Sublevno from AAT data</t>
  </si>
  <si>
    <t>pl_Sublevno_ATT</t>
  </si>
  <si>
    <t>Sublevno_ATT</t>
  </si>
  <si>
    <t>SUBLEVNO from attainment data.</t>
  </si>
  <si>
    <t>pl_Qual_Lev_AAT</t>
  </si>
  <si>
    <t>Qual_Lev_AAT</t>
  </si>
  <si>
    <t>Potential Level taken from the discounting tables for the current academic year, based on AAT data QAN/DISC_CODE.</t>
  </si>
  <si>
    <t>0 - 5</t>
  </si>
  <si>
    <t>pl_Qual_Lev_ATT</t>
  </si>
  <si>
    <t>Qual_Lev_ATT</t>
  </si>
  <si>
    <t>Potential Level taken from the discounting tables for the current academic year, based on QAN/DISC_CODE.</t>
  </si>
  <si>
    <t>pl_Source_AAT</t>
  </si>
  <si>
    <t>Source_AAT</t>
  </si>
  <si>
    <t>Indicates whether data has been matched to KS4 or KS5 AAT candidate file.</t>
  </si>
  <si>
    <t>4 = KS4
5 = KS5</t>
  </si>
  <si>
    <t>pl_Source_ATT</t>
  </si>
  <si>
    <t>Source_ATT</t>
  </si>
  <si>
    <t>Indicates whether data has been matched to KS4 or KS5 AAT candidate file, KS45 from L23_19 file or to NISVQ file.</t>
  </si>
  <si>
    <t>0 = Not matched
4 = Matched to KS4 AAT Candidate file
5 = Matched to KS5 AAT Candidate file
45 = Matched to KS45 from L23_19 file
N = Matched to NISVQ file</t>
  </si>
  <si>
    <t>pl_Grade_AAT</t>
  </si>
  <si>
    <t>Grade_AAT</t>
  </si>
  <si>
    <t>Grade</t>
  </si>
  <si>
    <t>pl_Grade_ATT</t>
  </si>
  <si>
    <t>Grade_ATT</t>
  </si>
  <si>
    <t>The grade of the exam.  (From KS4 AAT if GRADE_SOURCE=4, from KS5 AAT if GRADE_SOURCE=5, from KS45 if GRADE_SOURCE = 45, and from NISVQ if GRADE_SOURCE=N).</t>
  </si>
  <si>
    <t>pl_Grade_AAT_Description</t>
  </si>
  <si>
    <t>Grade_AAT_Description</t>
  </si>
  <si>
    <t>The description of the grade of the exam (taken from the QCDA Discounting tables)</t>
  </si>
  <si>
    <t>pl_Grade_ATT_Description</t>
  </si>
  <si>
    <t>Grade_ATT_Description</t>
  </si>
  <si>
    <t>The description of the grade of the exam (taken from the QCDA Discounting tables).</t>
  </si>
  <si>
    <t>pl_Grade_Match_Status</t>
  </si>
  <si>
    <t>Grade_Match_Status</t>
  </si>
  <si>
    <t>Indicates the level of matching for the learning aim.</t>
  </si>
  <si>
    <t>0 = No match
1 = Matched on both QAN (GNUMBER) and Disc_Code (MAPPING) - undiscounted from current year data
2 = Matched on QAN only - undiscounted from current year data
3 = Matched on DiscCode only - undiscounted from current year data
4 = Matched on both QAN (GNUMBER) and Disc_Code (MAPPING) - discounted from current year data
5 = Matched on QAN only - discounted from current year data
6 = Matched on DiscCode only - discounted from current year data
101 = Matched on both QAN (GNUMBER) and DiscCode (MAPPING) - undiscounted from previous year AAT data as no match available to current year data
102 = Matched on QAN only - undiscounted from previous year AAT data as no match available to current year data
103 = Matched on DiscCode only - undiscounted from previous year AAT data as no match available to current year data
104 = Matched on both QAN (GNUMBER) and Disc_Code (MAPPING) only - discounted from previous year AAT data as no match available to current year data
105 = Matched on QAN only - discounted from previous year AAT data as no match available to current year data
106 = Matched on DiscCode only - discounted from previous year AAT data as no match available to current year data
200 = Unmatched AAT data (taken from KS5 AAT datafile for cases where LAESTAB is in PLAMS and examination is in relevant academic year)</t>
  </si>
  <si>
    <t>See output spec</t>
  </si>
  <si>
    <t>pl_Grade_Source</t>
  </si>
  <si>
    <t>Grade_Source</t>
  </si>
  <si>
    <t>For matched data, indicates whether the qualification was found on KS4 or KS5.</t>
  </si>
  <si>
    <t>0 = Not found in AAT data
4 = Found in KS4 AAT data
5 = Found in KS5 AAT data</t>
  </si>
  <si>
    <t>For matched data, indicates whether the qualification was found on KS4, KS5, KS45 from L23_19, or NISVQ.</t>
  </si>
  <si>
    <t>4 = Found in KS4 AAT data
5 = Found in KS5 AAT data
45 = Found in KS45 data from L23_19
N = Found in NISVQ data</t>
  </si>
  <si>
    <t>pl_GradePassFail</t>
  </si>
  <si>
    <t>GradePassFail</t>
  </si>
  <si>
    <t>Indication of whether the confirmed grade for the exam constitutes a Pass ('P') or a Fail ('F') grade.</t>
  </si>
  <si>
    <t>P = Pass
F = Fail</t>
  </si>
  <si>
    <t>pl_GradeQCDAPoints</t>
  </si>
  <si>
    <t>GradeQCDAPoints</t>
  </si>
  <si>
    <t>The QCDA Points score of the confirmed grade.</t>
  </si>
  <si>
    <t>pl_Version</t>
  </si>
  <si>
    <t>Version</t>
  </si>
  <si>
    <t>P = Participation
A = Amended examination</t>
  </si>
  <si>
    <t>National Client Caseload Information System</t>
  </si>
  <si>
    <t>NCCIS_Gender</t>
  </si>
  <si>
    <t>2010/2011 -</t>
  </si>
  <si>
    <t xml:space="preserve">F = Female
M = Male
U = Not Known
W = Withheld
</t>
  </si>
  <si>
    <t>NCCIS_Ethnic_Code</t>
  </si>
  <si>
    <t>Ethnic_Code</t>
  </si>
  <si>
    <t>Ethnicity code of Young Person</t>
  </si>
  <si>
    <t xml:space="preserve">WBRI = White British; 
WIRI = White Irish
WROM = Gypsy / Roma
WOTH = Any Other White Background
MWBC = White And Black Caribbean; 
MWBA = White And Black African; 
MWAS = White And Asian; 
MOTH = Any Other Mixed Background; 
AIND = Indian; 
APKN = Pakistani; 
ABAN = Bangladeshi; 
AOTH = Any Other Asian Background; 
BCRB = Caribbean; 
BAFR = African; 
BOTH = Any Other Black Background; 
CHNE = Chinese; 
OARA = Other Ethnic Group – Arab
OOTH = Any Other Ethnic Group; 
REFU = Refused; 
NOBT = Information Not Obtained;
</t>
  </si>
  <si>
    <t>NCCIS_SEND_flag</t>
  </si>
  <si>
    <t>SEND_flag</t>
  </si>
  <si>
    <t>2016/2017 -</t>
  </si>
  <si>
    <t>SEND flag</t>
  </si>
  <si>
    <t>Y or N</t>
  </si>
  <si>
    <t>NCCIS_LDD_Flag</t>
  </si>
  <si>
    <t>LDD_Flag</t>
  </si>
  <si>
    <t>2010/2011 - 2015/2016</t>
  </si>
  <si>
    <t>Young Persons Learning Difficulties or Disabilities status</t>
  </si>
  <si>
    <t xml:space="preserve">Y = Yes
N = No
</t>
  </si>
  <si>
    <t>NCCIS_Lead_LEA_Code_anon</t>
  </si>
  <si>
    <t>Lead_LEA_Code_anon</t>
  </si>
  <si>
    <t>Lead LA code. This variable has been pseudonymised in line with the impact of COVID19 on DfE data sharing (See COVID19 Impact worksheet) and/or the requirements of Digital Economy Act in relation to a body corporate.</t>
  </si>
  <si>
    <t>NCCIS_LEA_Code_At_Year_11_anon</t>
  </si>
  <si>
    <t>LEA_Code_At_Year_11_anon</t>
  </si>
  <si>
    <t>LA code where educated in Year 11. This variable has been pseudonymised in line with the impact of COVID19 on DfE data sharing (See COVID19 Impact worksheet) and/or the requirements of Digital Economy Act in relation to a body corporate.</t>
  </si>
  <si>
    <t>NCCIS_Transferred_To_LA_Code_anon</t>
  </si>
  <si>
    <t>Transferred_To_LA_Code_anon</t>
  </si>
  <si>
    <t>Transferred to LA code. This variable has been pseudonymised in line with the impact of COVID19 on DfE data sharing (See COVID19 Impact worksheet) and/or the requirements of Digital Economy Act in relation to a body corporate.</t>
  </si>
  <si>
    <t>NCCIS_LEA_Code_Currently_Educated_anon</t>
  </si>
  <si>
    <t>LEA_Code_Currently_Educated_anon</t>
  </si>
  <si>
    <t>LA Code where currently educated. This variable has been pseudonymised in line with the impact of COVID19 on DfE data sharing (See COVID19 Impact worksheet) and/or the requirements of Digital Economy Act in relation to a body corporate.</t>
  </si>
  <si>
    <t>NCCIS_DfE_No_anon</t>
  </si>
  <si>
    <t>DfE_No_anon</t>
  </si>
  <si>
    <t>DfE establishment number. This variable has been pseudonymised in line with the impact of COVID19 on DfE data sharing (See COVID19 Impact worksheet) and/or the requirements of Digital Economy Act in relation to a body corporate.</t>
  </si>
  <si>
    <t>NCCIS_Year_11_September_Guarantee_LA_code_anon</t>
  </si>
  <si>
    <t>Year_11_September_Guarantee_LA_code_anon</t>
  </si>
  <si>
    <t>Year 11 September Guarantee LA code. This variable has been pseudonymised in line with the impact of COVID19 on DfE data sharing (See COVID19 Impact worksheet) and/or the requirements of Digital Economy Act in relation to a body corporate.</t>
  </si>
  <si>
    <t>NCCIS_Year_12_September_Guarantee_LA_code_anon</t>
  </si>
  <si>
    <t>Year_12_September_Guarantee_LA_code_anon</t>
  </si>
  <si>
    <t>Year 12 September Guarantee LA code. This variable has been pseudonymised in line with the impact of COVID19 on DfE data sharing (See COVID19 Impact worksheet) and/or the requirements of Digital Economy Act in relation to a body corporate.</t>
  </si>
  <si>
    <t>NCCIS_ACADYR</t>
  </si>
  <si>
    <t>Academic Year</t>
  </si>
  <si>
    <t>NCCIS_PupilMatchingRefAnonymous</t>
  </si>
  <si>
    <t>NCCIS_Cohort_Status</t>
  </si>
  <si>
    <t>Cohort_status</t>
  </si>
  <si>
    <t>Cohort status</t>
  </si>
  <si>
    <t>P = Primary cohort
G = No longer in primary cohort but covered by September Guarantee
A = Age reached where an “active record” is no longer required
L = Young person aged 20 – 25 whose EHCP/LDA has ceased
T = Transferred to another LA so no longer an “active record”
L = Left England so no longer an “active record”
M = Found to be a duplicate record
D = The young person is deceased</t>
  </si>
  <si>
    <t>NCCIS_Guarantee_status_indicator</t>
  </si>
  <si>
    <t>Guarantee_status_indicator</t>
  </si>
  <si>
    <t>Guarantee status indicator</t>
  </si>
  <si>
    <t>NCCIS_Youth_Contract_start_date</t>
  </si>
  <si>
    <t>Youth_Contract_start_date</t>
  </si>
  <si>
    <t>Youth Contract Start Date</t>
  </si>
  <si>
    <t>NCCIS_Current_Activity_Code</t>
  </si>
  <si>
    <t>Current_Activity_Code</t>
  </si>
  <si>
    <t>Indicates Current Activity of the Young person</t>
  </si>
  <si>
    <t xml:space="preserve">110 Registered at a school or other educational establishment in the area
120 Educated at home
130 Custodial Sentence
140 Not registered at a school or other educational establishment
150 Current Situation not known
210 FTE - School Sixth Form
220 FTE - Sixth Form College
230 FTE - Further Education
240 FTE - Higher Education
250 Part time Education
260 Gap Year students
270 FTE - Other
280 Independent specialist provider
290 Custodial Institution (juvenille offender)
310 Apprenticeship
320 Full time employment with study (regulated qualification)
330 Employment without training
340 Employment with training (other)
350 Temporary employment
360 Part time Employment
380 Self-employment
381 Self-employment combined with study (regulated qualification)
410 EFA/SFA funded WBL
430 Other training
440 Training through the Work Programme
450 Traineeship
460 Supported Internships
530 Reengagement provision
540 Working not for reward
550 Working not for reward combined with part time study
610 Those not yet ready for work or learning
615 Start date agreed (other)
616 Start Date agreed (RPA compliant)
619 Seeking employment, education or training
620 Not available to labour market Young carers
630 Not available to labour market Teenage parents
640 Not available to labour market Illness
650 Not available to labour market Pregnancy
660 Not available to labour market on religious grounds
670 Not available to labour market those who are currently unlikely to be economically active
680 Not available to labour market Other reason
710 Custody - young adult offender
720 Refugees/Asylum seekers
810 Current situation not known
820 Cannot Be Contacted
830 Refused to disclose activity
</t>
  </si>
  <si>
    <t>NCCIS_Current_Activity_Start_Date</t>
  </si>
  <si>
    <t>Current_Activity_Start_Date</t>
  </si>
  <si>
    <t>Date Current Activity Started</t>
  </si>
  <si>
    <t>NCCIS_Current_Activity_Recorded</t>
  </si>
  <si>
    <t>Current_Activity_Recorded</t>
  </si>
  <si>
    <t>Date Current Activity Recorded</t>
  </si>
  <si>
    <t>NCCIS_Current_Activity_Verification_Date</t>
  </si>
  <si>
    <t>Current_Activity_Verification_Date</t>
  </si>
  <si>
    <t>Date Current Activity last confirmed</t>
  </si>
  <si>
    <t>NCCIS_Current_Activity_Review_Date</t>
  </si>
  <si>
    <t>Current_Activity_Review_Date</t>
  </si>
  <si>
    <t>Date of currency review</t>
  </si>
  <si>
    <t>NCCIS_NEET_Start_Date</t>
  </si>
  <si>
    <t>NEET_Start_Date</t>
  </si>
  <si>
    <t>The actual date that the young person entered the NEET group as their current destination</t>
  </si>
  <si>
    <t>NCCIS_Year_11_Intended_Destination</t>
  </si>
  <si>
    <t>Year_11_Intended_Destination</t>
  </si>
  <si>
    <t>Intended Destination of a Young Person on reaching statutory school leaving age</t>
  </si>
  <si>
    <t xml:space="preserve">110 – Staying in same school
111 - FTE - Same school
120 – Other school or sixth form college
121 - FTE or training - other institution
130 – College
211 - Apprenticeship or traineeship
220 – Training/Apprenticeship – definite place
230 – Training/Apprenticeship – no definite place
310 – Labour Market – definite place
311 - Full time employment with study (regulated qualification)
320 – Labour Market – no definite place
321 - Employment without training
410 – Undecided
411 - Other destination
510 – Other
511 - Undecided
610 – Not obtained
611 - Not obtained
</t>
  </si>
  <si>
    <t>NCCIS_Year_11_Offer</t>
  </si>
  <si>
    <t>Year_11_Offer</t>
  </si>
  <si>
    <t>Year 11 post-16 offers of education and training</t>
  </si>
  <si>
    <t xml:space="preserve">Offer of education and training to start
110 – Offer Made
Offer of education or training not appropriate at this time
120 -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</si>
  <si>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NCCIS_Year_12_Offer</t>
  </si>
  <si>
    <t>Year_12_Offer</t>
  </si>
  <si>
    <t>Year 12 post-16 offers of education and training</t>
  </si>
  <si>
    <t xml:space="preserve">Offer of education and training to start
110 – Offer Made
114 - Already in Learning - Continuing in Education
115 - Already in Learning - Continuing in Employment with training to level 2
Offer of education or training not appropriate at this time
120 – Already in or going into Employment without training to level 2
122 - Personal circumstances prevent learning
123 - Other Reason
124 – Personal Development Opportunities
No Offer Made
140 - Application made Awaiting Outcome
150 - No Appropriate Provision
151 - Y P has not applied for learning
153 - Unable to Contact  - Known to have Moved Away
154 - Unable to Contact  - Other Reason
159 - Guarantee status not yet recorded
</t>
  </si>
  <si>
    <t>NCCIS_Year_11_September_Guarantee_Status</t>
  </si>
  <si>
    <t>Year_11_September_Guarantee_status</t>
  </si>
  <si>
    <t>Year 11 September Guarantee Status</t>
  </si>
  <si>
    <t>NCCIS_Year_12_September_Guarantee_Status</t>
  </si>
  <si>
    <t>Year_12_September_Guarantee_status</t>
  </si>
  <si>
    <t>Year 12 September Guarantee Status</t>
  </si>
  <si>
    <t>NCCIS_MonthNo</t>
  </si>
  <si>
    <t>MonthNo</t>
  </si>
  <si>
    <t>Month of data return</t>
  </si>
  <si>
    <t xml:space="preserve"> 1-12</t>
  </si>
  <si>
    <t>NCCIS_Currency_Lapsed_Indicator</t>
  </si>
  <si>
    <t>CurrencyLapsed</t>
  </si>
  <si>
    <t>2015/2016 -</t>
  </si>
  <si>
    <t>Has the currency lapsed?</t>
  </si>
  <si>
    <t>NCCIS_Currency_Due_to_Lapse_Date</t>
  </si>
  <si>
    <t>DueToLapseDate</t>
  </si>
  <si>
    <t>Date currency due to lapse</t>
  </si>
  <si>
    <t>NCCIS_Expected_Course_End_Date</t>
  </si>
  <si>
    <t>PredictedEndDate</t>
  </si>
  <si>
    <t>2015/2016 only</t>
  </si>
  <si>
    <t>Predicted end date</t>
  </si>
  <si>
    <t>Expected_course_end_date</t>
  </si>
  <si>
    <t>NCCIS_Youth_Contract_Indicator</t>
  </si>
  <si>
    <t>YouthContractIndicator</t>
  </si>
  <si>
    <t>2015/2016 - 2016/2017</t>
  </si>
  <si>
    <t>Youth Contract Indicator</t>
  </si>
  <si>
    <t>Young Person's Matched Administrative Dataset (formerly Level 2 and 3 at 19 indicators)</t>
  </si>
  <si>
    <t>Chronological Indicators</t>
  </si>
  <si>
    <t>YPMAD_main_inst_Laestab_code_anon</t>
  </si>
  <si>
    <t>main_inst_Laestab_code_anon</t>
  </si>
  <si>
    <t>2001/02 - 2020/21</t>
  </si>
  <si>
    <t>Laestab code of main_inst. This variable has been pseudonymised in line with the impact of COVID19 on DfE data sharing (See COVID19 Impact worksheet) and/or the requirements of Digital Economy Act in relation to a body corporate.</t>
  </si>
  <si>
    <t>EthnicityPLASCage15</t>
  </si>
  <si>
    <t>Ethnicity as recorded on PLASC at academic age 15</t>
  </si>
  <si>
    <t>FSMEligibilityage15</t>
  </si>
  <si>
    <t xml:space="preserve">FSM eligibility as recorded on PLASC/PRU/AP in the academic year according to the base_year the young person was 15 at the start of that academic year. </t>
  </si>
  <si>
    <t>Disadvantage</t>
  </si>
  <si>
    <t>Measure of individual level disadvantage</t>
  </si>
  <si>
    <t>0 = no disadvantage
1 = disadvantage</t>
  </si>
  <si>
    <t>EthnicGroupPLASC15</t>
  </si>
  <si>
    <t>Ethnic group as recorded on PLASC/PRU/AP in academic year when when base year says they will 16 at the end of it.</t>
  </si>
  <si>
    <t>IDACIscoreage15</t>
  </si>
  <si>
    <t>IDACI score as recorded on PLASC/PRU/AP in academic year when base year says they will be 15 at the start of it.</t>
  </si>
  <si>
    <t>SENStatusage15</t>
  </si>
  <si>
    <t>SEN status same sentiments for FSMeligibilityage 15 apply</t>
  </si>
  <si>
    <t>PrimarySENtypeage15</t>
  </si>
  <si>
    <t>Primary SENtype same sentiments as for FSM eligibilityage15 apply</t>
  </si>
  <si>
    <t>SecondarySENtypeage15</t>
  </si>
  <si>
    <t>Secondary SENtype same sentiments as for fsmeligibility age 15 apply</t>
  </si>
  <si>
    <t>RankofIDACIage15</t>
  </si>
  <si>
    <t>IDACI rank as recorded on PLASC/PRU/AP in academic year when according to the base year the young person was 15 at the start of it.</t>
  </si>
  <si>
    <t>EverFSMage10to15</t>
  </si>
  <si>
    <t>Recorded as FSM eligible in at least one School Census or PRU Census or AP Census from Age 10 up to Age 15 (by reference to base year).</t>
  </si>
  <si>
    <t xml:space="preserve">0 = No 
1 = Yes </t>
  </si>
  <si>
    <t>Surname</t>
  </si>
  <si>
    <t>Forenames</t>
  </si>
  <si>
    <t>NameSource</t>
  </si>
  <si>
    <t xml:space="preserve">Source of surname and forename data. Priority is PLASC, KS45, Ilr, NISVQ </t>
  </si>
  <si>
    <t>YPMAD_gender</t>
  </si>
  <si>
    <t>gender</t>
  </si>
  <si>
    <t>YPMAD_GenderSource</t>
  </si>
  <si>
    <t>GenderSource</t>
  </si>
  <si>
    <t>DOB</t>
  </si>
  <si>
    <t xml:space="preserve">Date of birth
</t>
  </si>
  <si>
    <t>AgeSource</t>
  </si>
  <si>
    <t xml:space="preserve">source of DOB </t>
  </si>
  <si>
    <t>ILR_LearningDiff</t>
  </si>
  <si>
    <t>sourcedata_ILR_Learner.L14</t>
  </si>
  <si>
    <t xml:space="preserve">1 Learner considers himself or herself to have a learning difficulty and/or disability and/or health problem
2 Learner does not consider himself or herself to have a learning difficulty and/or disability and/or health problem
9 No information provided by the learner
Look at the most recent ILR collection for the young person and if L14 is coded substantively (i.e. is 1 or 2 then take that value).  If there are multiple values (ie 1 and 2) for different records in the latest year then take 1.  If the value is 9 then look back at any earlier records until a substantive value ( 1 or 2) is found.   If only 9s are recorded for that young person then value should be 9, otherwise null.
</t>
  </si>
  <si>
    <t>ILR_LearningDiffSource</t>
  </si>
  <si>
    <t>Value of SRC_TABLE from record from which ILR_LearningDiff was sourced</t>
  </si>
  <si>
    <t>YPMAD_GeoLA_school_age15_anon</t>
  </si>
  <si>
    <t>GeoLA_school_age15_anon</t>
  </si>
  <si>
    <t>Geographic LA of school of study at age 15. This variable has been pseudonymised in line with the impact of COVID19 on DfE data sharing (See COVID19 Impact worksheet) and/or the requirements of Digital Economy Act in relation to a body corporate.</t>
  </si>
  <si>
    <t>YPMAD_LAUA_school_age15_anon</t>
  </si>
  <si>
    <t>LAUA_school_age15_anon</t>
  </si>
  <si>
    <t>Geographic LAUA of school of study at age 15. This variable has been pseudonymised in line with the impact of COVID19 on DfE data sharing (See COVID19 Impact worksheet) and/or the requirements of Digital Economy Act in relation to a body corporate.</t>
  </si>
  <si>
    <t>YPMAD_PupilMatchingRefAnonymous</t>
  </si>
  <si>
    <t>Pupil Matching Reference - anonymous</t>
  </si>
  <si>
    <t xml:space="preserve">YPMAD_Base_Year </t>
  </si>
  <si>
    <t xml:space="preserve">Base_Year </t>
  </si>
  <si>
    <t>Base Year for pupil</t>
  </si>
  <si>
    <t xml:space="preserve">YPMAD_Academic_Year </t>
  </si>
  <si>
    <t xml:space="preserve">Academic_Year </t>
  </si>
  <si>
    <t>Identifies the academic year of the data in format yyyy/yyyy</t>
  </si>
  <si>
    <t>YPMAD_Ac_Year</t>
  </si>
  <si>
    <t>Ac_Year</t>
  </si>
  <si>
    <t>FFT academic year yyyy</t>
  </si>
  <si>
    <t>YPMAD_L2_GCSEFull</t>
  </si>
  <si>
    <t>L2_GCSEFull</t>
  </si>
  <si>
    <t xml:space="preserve">Number of GCSE Full qualifications:
- A** to C 
- new GCSE grades 4-9
including GCSEs plus international GCSEs and other non-standard qualifications which are only counted if the mapping/leap code corresponds to an Ebacc subject.  
</t>
  </si>
  <si>
    <t>YPMAD_L2_GCSEVOC</t>
  </si>
  <si>
    <t>L2_GCSEVOC</t>
  </si>
  <si>
    <t>Number of  Vocational GCSE qualifications
- A** to C 
- new GCSE grades 4-9</t>
  </si>
  <si>
    <t>YPMAD_L2_GCSESHORT</t>
  </si>
  <si>
    <t>L2_GCSESHORT</t>
  </si>
  <si>
    <t xml:space="preserve">Number of GCSE Short qualifications 
- A** to C 
- new GCSE grades 4-9
* 0.5 as a short course only counts as 0.5 of a GCSE </t>
  </si>
  <si>
    <t>YPMAD_L2_GCSE_AC</t>
  </si>
  <si>
    <t>L2_GCSE_AC</t>
  </si>
  <si>
    <t>Total number of Full, Vocational and Short GCSE qualifications
- A** to C 
- new GCSE grades 4-9</t>
  </si>
  <si>
    <t xml:space="preserve">YPMAD_L2_GNVQ_AC </t>
  </si>
  <si>
    <t xml:space="preserve">L2_GNVQ_AC </t>
  </si>
  <si>
    <t>Number of GNVQ A to C qualifications</t>
  </si>
  <si>
    <t xml:space="preserve">YPMAD_L2_GCSEGNVQ_AC </t>
  </si>
  <si>
    <t xml:space="preserve">L2_GCSEGNVQ_AC </t>
  </si>
  <si>
    <t xml:space="preserve">Total number of GCSE/GNVQ  qualifications
- A** to C 
- new GCSE grades 9-4
</t>
  </si>
  <si>
    <t>YPMAD_L3_A_PASS</t>
  </si>
  <si>
    <t>L3_A_PASS</t>
  </si>
  <si>
    <t xml:space="preserve">Number of A level, GCE and VCE passes 
Including A levels, applied A levels, vocational GCEs and pre-U principal subjects.
Single and double awards </t>
  </si>
  <si>
    <t>YPMAD_L3_GA</t>
  </si>
  <si>
    <t>L3_GA</t>
  </si>
  <si>
    <t>Number of GCE A Level
A levels, GCE A levels and applied GCE A level/AS level combined.</t>
  </si>
  <si>
    <t>YPMAD_L3_VA</t>
  </si>
  <si>
    <t>L3_VA</t>
  </si>
  <si>
    <t>Number of vocational GCE Single
Vocational and applied GCE single</t>
  </si>
  <si>
    <t>YPMAD_L3_VDA</t>
  </si>
  <si>
    <t>L3_VDA</t>
  </si>
  <si>
    <t>Number of vocational GCE Double
vocatonal and applied GCE double</t>
  </si>
  <si>
    <t>YPMAD_L3_AS_PASS</t>
  </si>
  <si>
    <t>L3_AS_PASS</t>
  </si>
  <si>
    <t>Number of AS level, GCE and VCE passes</t>
  </si>
  <si>
    <t>YPMAD_L3_GAS</t>
  </si>
  <si>
    <t>L3_GAS</t>
  </si>
  <si>
    <t>All AS levels inc applied and vocational, and pre-U short course subject</t>
  </si>
  <si>
    <t>YPMAD_L3_GDAS</t>
  </si>
  <si>
    <t>L3_GDAS</t>
  </si>
  <si>
    <t>Number of GCE AS level double award</t>
  </si>
  <si>
    <t>YPMAD_L3_VAS</t>
  </si>
  <si>
    <t>L3_VAS</t>
  </si>
  <si>
    <t>Number of Vocational GCE AS Single
Vocational and applied</t>
  </si>
  <si>
    <t>YPMAD_L3_IB_PASS</t>
  </si>
  <si>
    <t>L3_IB_PASS</t>
  </si>
  <si>
    <t>Number of International Baccalaureate Passes
IB and components.  953 is 'Other General Qualification at Level 3' which counts only if awarded by [?]</t>
  </si>
  <si>
    <t>YPMAD_L3_AASIB_PASS</t>
  </si>
  <si>
    <t>L3_AASIB_PASS</t>
  </si>
  <si>
    <t>Total number of A, AS  and IB passes</t>
  </si>
  <si>
    <t>YPMAD_L3_TOTAL_PASS</t>
  </si>
  <si>
    <t>L3_TOTAL_PASS</t>
  </si>
  <si>
    <t>Total number of Advanced qualifications (As, AS, Advanced GNVQs)</t>
  </si>
  <si>
    <t>YPMAD_L1_ACADEMIC_WIDTH</t>
  </si>
  <si>
    <t>L1_ACADEMIC_WIDTH</t>
  </si>
  <si>
    <t>Total width of all Level 1 academic qualifications, GCSE (full &amp; short A** to C or new GCSE grades 4-9, iGCSEs), GNVQ (A to C) A Level, AS Level, GNVQ Advanced level</t>
  </si>
  <si>
    <t>YPMAD_L2_ACADEMIC_WIDTH</t>
  </si>
  <si>
    <t>L2_ACADEMIC_WIDTH</t>
  </si>
  <si>
    <t xml:space="preserve">Total width of all Level 2 academic qualifications GCSE (full &amp; short A** to C or new GCSE grades 4-9), GNVQ (A to C) A Level, AS Level, </t>
  </si>
  <si>
    <t>YPMAD_L2_ACWIDTH_GCSEFull</t>
  </si>
  <si>
    <t>L2_ACWIDTH_GCSEFull</t>
  </si>
  <si>
    <t>Total width of level 2 GCSE Full Course</t>
  </si>
  <si>
    <t>YPMAD_L2_ACWIDTH_Short_Int</t>
  </si>
  <si>
    <t>L2_ACWIDTH_Short_Int</t>
  </si>
  <si>
    <t xml:space="preserve">Total width of level 2 GCSE short course </t>
  </si>
  <si>
    <t>YPMAD_L2_ACWIDTH_Part1</t>
  </si>
  <si>
    <t>L2_ACWIDTH_Part1</t>
  </si>
  <si>
    <t>Total width of level 2 part 1 intermediate/GCSE double awards</t>
  </si>
  <si>
    <t>YPMAD_L2_ACWIDTH_GCE_D</t>
  </si>
  <si>
    <t>L2_ACWIDTH_GCE_D</t>
  </si>
  <si>
    <t>Total width of level 2 Vocational GCE Double awards</t>
  </si>
  <si>
    <t>YPMAD_L2_ACWIDTH_IGCSE</t>
  </si>
  <si>
    <t>L2_ACWIDTH_IGCSE</t>
  </si>
  <si>
    <t xml:space="preserve">Total L2 width of IGCSEs actually included </t>
  </si>
  <si>
    <t>YPMAD_L3_ACWIDTH_A</t>
  </si>
  <si>
    <t>L3_ACWIDTH_A</t>
  </si>
  <si>
    <t>Total width of level 2 A level academic quals</t>
  </si>
  <si>
    <t>YPMAD_L3_ACWIDTH_AS</t>
  </si>
  <si>
    <t>L3_ACWIDTH_AS</t>
  </si>
  <si>
    <t>Total width of level 2 AS level academic quals</t>
  </si>
  <si>
    <t>YPMAD_L3_ACWIDTH_IB</t>
  </si>
  <si>
    <t>L3_ACWIDTH_IB</t>
  </si>
  <si>
    <t>Total width of level 3 International Baccalaureate academic quals</t>
  </si>
  <si>
    <t>YPMAD_L3_ACADEMIC_WIDTH</t>
  </si>
  <si>
    <t>L3_ACADEMIC_WIDTH</t>
  </si>
  <si>
    <t>Total width of all Level 3 academic qualifications A level , AS level, GNVQ Advanced level</t>
  </si>
  <si>
    <t>YPMAD_HIGHESTDIPLEV</t>
  </si>
  <si>
    <t>HIGHESTDIPLEV</t>
  </si>
  <si>
    <t>Highest level of diploma attained</t>
  </si>
  <si>
    <t>0,1,2,3</t>
  </si>
  <si>
    <t>YPMAD_L1_ACADEMIC</t>
  </si>
  <si>
    <t>L1_ACADEMIC</t>
  </si>
  <si>
    <t>Level 1 reached by academic qualifications</t>
  </si>
  <si>
    <t>YPMAD_L2_ACADEMIC</t>
  </si>
  <si>
    <t>L2_ACADEMIC</t>
  </si>
  <si>
    <t>Level 2 reached by academic qualifications</t>
  </si>
  <si>
    <t>YPMAD_L3_ACADEMIC</t>
  </si>
  <si>
    <t>L3_ACADEMIC</t>
  </si>
  <si>
    <t>Level 3 reached by academic qualifications</t>
  </si>
  <si>
    <t>YPMAD_L1_GNVQ_DG</t>
  </si>
  <si>
    <t>L1_GNVQ_DG</t>
  </si>
  <si>
    <t>Number of GNVQ level 1 and foundation qualfications</t>
  </si>
  <si>
    <t xml:space="preserve">YPMAD_EN_L2_ACADEMIC </t>
  </si>
  <si>
    <t xml:space="preserve">EN_L2_ACADEMIC </t>
  </si>
  <si>
    <t xml:space="preserve">Level 2 acquired in English qualification via academic qualifications i.e GCSE, GNVQ   </t>
  </si>
  <si>
    <t>YPMAD_MA_L2_ACADEMIC</t>
  </si>
  <si>
    <t>MA_L2_ACADEMIC</t>
  </si>
  <si>
    <t xml:space="preserve">Level 2 acquired in Maths qualification via academic qualifications i.e GCSE, GNVQ   </t>
  </si>
  <si>
    <t>YPMAD_KS45_DATAONPUPIL</t>
  </si>
  <si>
    <t>KS45_DATAONPUPIL</t>
  </si>
  <si>
    <t xml:space="preserve">SERAP data on the individual in the academic year </t>
  </si>
  <si>
    <t>YPMAD_L1_GCSEFULL</t>
  </si>
  <si>
    <t>L1_GCSEFULL</t>
  </si>
  <si>
    <t>Number of GCSE Full A* to G or new 1-9 qualifications</t>
  </si>
  <si>
    <t>YPMAD_L1_GCSEVOC</t>
  </si>
  <si>
    <t>L1_GCSEVOC</t>
  </si>
  <si>
    <t>Number of Vocational GCSE Full A* to G qualifications</t>
  </si>
  <si>
    <t>YPMAD_L1_GCSESHORT</t>
  </si>
  <si>
    <t>L1_GCSESHORT</t>
  </si>
  <si>
    <t>Sum of width of GCSE Short A* to G or  new GCSE 1-9 qualifications</t>
  </si>
  <si>
    <t>YPMAD_L1_GCSE_AG</t>
  </si>
  <si>
    <t>L1_GCSE_AG</t>
  </si>
  <si>
    <t>Total number of Full and Short GCSE and VGCSE A* to G qualifications</t>
  </si>
  <si>
    <t>YPMAD_L1_GCSEGNVQ</t>
  </si>
  <si>
    <t>L1_GCSEGNVQ</t>
  </si>
  <si>
    <t xml:space="preserve">Total number of GCSE/GNVQ  A* to G qualifications </t>
  </si>
  <si>
    <t>YPMAD_GCSE_GRADE_ENG</t>
  </si>
  <si>
    <t>GCSE_GRADE_ENG</t>
  </si>
  <si>
    <t xml:space="preserve">Best grade recorded in GCSE English
The qual types are the same as for L1 GCSE_FULL but restricts the leap/mapping codes for all subjects to those for English [including English literature?] </t>
  </si>
  <si>
    <t>**,*A,*,AA,A,AB,BB,B,BC, CC,C,CD,DD,D,DE,EE,E,EF,FF,F,FG,GG,G</t>
  </si>
  <si>
    <t>YPMAD_GCSE_GRADE_MATHS</t>
  </si>
  <si>
    <t>GCSE_GRADE_MATHS</t>
  </si>
  <si>
    <t xml:space="preserve">Best grade recorded in GCSE MATHS
The qual types are the same as for L1 GCSE_FULL but restricts the leap/mapping codes for all subjects to those for maths </t>
  </si>
  <si>
    <t>YPMAD_L1_NVQ_NISVQ</t>
  </si>
  <si>
    <t>L1_NVQ_NISVQ</t>
  </si>
  <si>
    <t>Number of level 1 NVQ/SVQ NISVQ qualifications</t>
  </si>
  <si>
    <t>YPMAD_L2_NVQ_NISVQ</t>
  </si>
  <si>
    <t>L2_NVQ_NISVQ</t>
  </si>
  <si>
    <t>Number of level 2 NVQ/SVQ NISVQ qualifications</t>
  </si>
  <si>
    <t>YPMAD_L3_NVQ_NISVQ</t>
  </si>
  <si>
    <t>L3_NVQ_NISVQ</t>
  </si>
  <si>
    <t>Number of level 3/4 NVQ/SVQ NISVQ qualifications</t>
  </si>
  <si>
    <t>YPMAD_L1_VRQ_NISVQ</t>
  </si>
  <si>
    <t>L1_VRQ_NISVQ</t>
  </si>
  <si>
    <t>Number of level 1 VRQ NISVQ qualifications</t>
  </si>
  <si>
    <t>YPMAD_L2_VRQ_NISVQ</t>
  </si>
  <si>
    <t>L2_VRQ_NISVQ</t>
  </si>
  <si>
    <t>Number of level 2 VRQ NISVQ qualifications</t>
  </si>
  <si>
    <t>YPMAD_L3_VRQ_NISVQ</t>
  </si>
  <si>
    <t>L3_VRQ_NISVQ</t>
  </si>
  <si>
    <t>Number of level 3 VRQ NISVQ qualifications</t>
  </si>
  <si>
    <t>YPMAD_L1_TOTAL_NISVQ</t>
  </si>
  <si>
    <t>L1_TOTAL_NISVQ</t>
  </si>
  <si>
    <t>Total number of level 1 NVQ/SVQ/VRQ NISVQ qualifications</t>
  </si>
  <si>
    <t xml:space="preserve">YPMAD_L2_TOTAL_NISVQ </t>
  </si>
  <si>
    <t xml:space="preserve">L2_TOTAL_NISVQ </t>
  </si>
  <si>
    <t>Total number of level 2 NVQ/SVQ/VRQ NISVQ qualifications</t>
  </si>
  <si>
    <t xml:space="preserve">YPMAD_L3_TOTAL_NISVQ </t>
  </si>
  <si>
    <t xml:space="preserve">L3_TOTAL_NISVQ </t>
  </si>
  <si>
    <t>Total number of level 3 NVQ/SVQ/VRQ NISVQ qualifications</t>
  </si>
  <si>
    <t>YPMAD_L1_NISVQ</t>
  </si>
  <si>
    <t>L1_NISVQ</t>
  </si>
  <si>
    <t>Level 1 reached by NVQ/SVQ/VRQ NISVQ qualifications</t>
  </si>
  <si>
    <t>YPMAD_L2_NISVQ</t>
  </si>
  <si>
    <t>L2_NISVQ</t>
  </si>
  <si>
    <t>Level 2 reached by NVQ/SVQ/VRQ NISVQ qualifications</t>
  </si>
  <si>
    <t>YPMAD_L3_NISVQ</t>
  </si>
  <si>
    <t>L3_NISVQ</t>
  </si>
  <si>
    <t>Level 3 reached by NVQ/SVQ/VRQ NISVQ qualifications</t>
  </si>
  <si>
    <t>YPMAD_NISVQ_DATAONPUPIL</t>
  </si>
  <si>
    <t>NISVQ_DATAONPUPIL</t>
  </si>
  <si>
    <t xml:space="preserve">NISVQ data on the individual in the academic year </t>
  </si>
  <si>
    <t>YPMAD_L1NISVQONLY</t>
  </si>
  <si>
    <t>L1NISVQONLY</t>
  </si>
  <si>
    <t>Only L1 NISVQ data on the individual in the academic year  (no academic, FE, WBL data)</t>
  </si>
  <si>
    <t>YPMAD_L2NISVQONLY</t>
  </si>
  <si>
    <t>L2NISVQONLY</t>
  </si>
  <si>
    <t>Only L2 NISVQ data on the individual in the academic year  (no academic, FE, WBL data)</t>
  </si>
  <si>
    <t>YPMAD_L3NISVQONlY</t>
  </si>
  <si>
    <t>L3NISVQONlY</t>
  </si>
  <si>
    <t>Only L3 NISVQ data on the individual in the academic year  (no academic, FE, WBL data)</t>
  </si>
  <si>
    <t>YPMAD_L1_NVQ_FE_ILR</t>
  </si>
  <si>
    <t>L1_NVQ_FE_ILR</t>
  </si>
  <si>
    <t xml:space="preserve">Number of level 1 NVQ FE qualifications </t>
  </si>
  <si>
    <t>YPMAD_L2_NVQ_FE_ILR</t>
  </si>
  <si>
    <t>L2_NVQ_FE_ILR</t>
  </si>
  <si>
    <t xml:space="preserve">Number of level 2 NVQ FE qualifications </t>
  </si>
  <si>
    <t>YPMAD_L3_NVQ_FE_ILR</t>
  </si>
  <si>
    <t>L3_NVQ_FE_ILR</t>
  </si>
  <si>
    <t xml:space="preserve">Number of level 3 NVQ FE qualifications </t>
  </si>
  <si>
    <t>YPMAD_L1_VRQ_FE_ILR</t>
  </si>
  <si>
    <t>L1_VRQ_FE_ILR</t>
  </si>
  <si>
    <t xml:space="preserve">Number of level 1 VRQ FE qualifications </t>
  </si>
  <si>
    <t>YPMAD_L2_VRQ_FE_ILR</t>
  </si>
  <si>
    <t>L2_VRQ_FE_ILR</t>
  </si>
  <si>
    <t xml:space="preserve">Number of level 2 VRQ FE qualifications </t>
  </si>
  <si>
    <t>YPMAD_L3_VRQ_FE_ILR</t>
  </si>
  <si>
    <t>L3_VRQ_FE_ILR</t>
  </si>
  <si>
    <t xml:space="preserve">Number of level 3 &amp; 4 VRQ FE qualifications </t>
  </si>
  <si>
    <t>YPMAD_L1_VRQ_WBL_ILR</t>
  </si>
  <si>
    <t>L1_VRQ_WBL_ILR</t>
  </si>
  <si>
    <t xml:space="preserve">Number of level 1 VRQ WBL qualifications </t>
  </si>
  <si>
    <t>YPMAD_L2_VRQ_WBL_ILR</t>
  </si>
  <si>
    <t>L2_VRQ_WBL_ILR</t>
  </si>
  <si>
    <t xml:space="preserve">Number of level 2 VRQ WBL qualifications </t>
  </si>
  <si>
    <t>YPMAD_L3_VRQ_WBL_ILR</t>
  </si>
  <si>
    <t>L3_VRQ_WBL_ILR</t>
  </si>
  <si>
    <t xml:space="preserve">Number of level 3 VRQ WBL qualifications </t>
  </si>
  <si>
    <t>YPMAD_L1_NVQ_WBL_ILR</t>
  </si>
  <si>
    <t>L1_NVQ_WBL_ILR</t>
  </si>
  <si>
    <t xml:space="preserve">Number of level 1 NVQ WBL qualifications </t>
  </si>
  <si>
    <t>YPMAD_L2_NVQ_WBL_ILR</t>
  </si>
  <si>
    <t>L2_NVQ_WBL_ILR</t>
  </si>
  <si>
    <t xml:space="preserve">Number of level 2 NVQ WBL qualifications </t>
  </si>
  <si>
    <t>YPMAD_L3_NVQ_WBL_ILR</t>
  </si>
  <si>
    <t>L3_NVQ_WBL_ILR</t>
  </si>
  <si>
    <t xml:space="preserve">Number of level 3 &amp; 4  NVQ WBL qualifications </t>
  </si>
  <si>
    <t>YPMAD_L2_NVQ_WBL_ILRxtra</t>
  </si>
  <si>
    <t>L2_NVQ_WBL_ILRxtra</t>
  </si>
  <si>
    <t>Number of extra level 2 NVQ WBL qualifications (any not already picked up in L2_ NVQ_WBL)</t>
  </si>
  <si>
    <t>YPMAD_L3_NVQ_WBL_ILRxtra</t>
  </si>
  <si>
    <t>L3_NVQ_WBL_ILRxtra</t>
  </si>
  <si>
    <t>Number of extra level 3 NVQ WBL qualifications (any not already picked up in L3_ NVQ_WBL)</t>
  </si>
  <si>
    <t>YPMAD_L2_FOUNDATION_WBL_ILR</t>
  </si>
  <si>
    <t>L2_FOUNDATION_WBL_ILR</t>
  </si>
  <si>
    <t xml:space="preserve">Number of level 2 Foundation Modern Apprenticeship WBL qualifications </t>
  </si>
  <si>
    <t>YPMAD_L3_APPRENTICESHIP_WBL_ILR</t>
  </si>
  <si>
    <t>L3_APPRENTICESHIP_WBL_ILR</t>
  </si>
  <si>
    <t xml:space="preserve">Number of level 3 Advanced Modern Apprenticeship WBL qualifications </t>
  </si>
  <si>
    <t>YPMAD_L1_TOTAL_FE_ILR</t>
  </si>
  <si>
    <t>L1_TOTAL_FE_ILR</t>
  </si>
  <si>
    <t>Total number of level 1 VRQ &amp; NVQ FE qualifications</t>
  </si>
  <si>
    <t>YPMAD_L2_TOTAL_FE_ILR</t>
  </si>
  <si>
    <t>L2_TOTAL_FE_ILR</t>
  </si>
  <si>
    <t>Total number of level 2 VRQ &amp; NVQ FE qualifications</t>
  </si>
  <si>
    <t>YPMAD_L3_TOTAL_FE_ILR</t>
  </si>
  <si>
    <t>L3_TOTAL_FE_ILR</t>
  </si>
  <si>
    <t>Total number of level 3 VRQ &amp; NVQ FE qualifications</t>
  </si>
  <si>
    <t>YPMAD_L1_TOTAL_WBL_ILR</t>
  </si>
  <si>
    <t>L1_TOTAL_WBL_ILR</t>
  </si>
  <si>
    <t>Total number of level 1 NVQ WBL qualifications</t>
  </si>
  <si>
    <t>YPMAD_L2_TOTAL_WBL_ILR</t>
  </si>
  <si>
    <t>L2_TOTAL_WBL_ILR</t>
  </si>
  <si>
    <t>Total number of level 2 NVQ  and Foundation WBL qualifications</t>
  </si>
  <si>
    <t>YPMAD_L3_TOTAL_WBL_ILR</t>
  </si>
  <si>
    <t>L3_TOTAL_WBL_ILR</t>
  </si>
  <si>
    <t>Total number of level 3 NVQ  and Apprenticeship WBL qualifications</t>
  </si>
  <si>
    <t>YPMAD_L3_FE_ILR</t>
  </si>
  <si>
    <t>L3_FE_ILR</t>
  </si>
  <si>
    <t>Level 3 acquired by FE qualifications</t>
  </si>
  <si>
    <t>YPMAD_L2_FE_ILR</t>
  </si>
  <si>
    <t>L2_FE_ILR</t>
  </si>
  <si>
    <t>Level 2 acquired by FE qualifications</t>
  </si>
  <si>
    <t>YPMAD_L1_FE_ILR</t>
  </si>
  <si>
    <t>L1_FE_ILR</t>
  </si>
  <si>
    <t>Level 1 acquired by FE qualifications</t>
  </si>
  <si>
    <t>YPMAD_L3_WBL_ILR</t>
  </si>
  <si>
    <t>L3_WBL_ILR</t>
  </si>
  <si>
    <t>Level 3 acquired by WBL qualifications</t>
  </si>
  <si>
    <t>YPMAD_L2_WBL_ILR</t>
  </si>
  <si>
    <t>L2_WBL_ILR</t>
  </si>
  <si>
    <t>Level 2 acquired by WBL qualifications</t>
  </si>
  <si>
    <t>YPMAD_L1_WBL_ILR</t>
  </si>
  <si>
    <t>L1_WBL_ILR</t>
  </si>
  <si>
    <t>Level 1 acquired by WBL qualifications</t>
  </si>
  <si>
    <t>YPMAD_ILR_WBL_DATAONPUPIL</t>
  </si>
  <si>
    <t>ILR_WBL_DATAONPUPIL</t>
  </si>
  <si>
    <t xml:space="preserve">ILR WBL data on the individual in the academic year </t>
  </si>
  <si>
    <t>YPMAD_ILR_FE_DATAONPUPIL</t>
  </si>
  <si>
    <t>ILR_FE_DATAONPUPIL</t>
  </si>
  <si>
    <t xml:space="preserve">ILR FE data on the individual in the academic year </t>
  </si>
  <si>
    <t>YPMAD_CENSUS_DATAONPUPIL</t>
  </si>
  <si>
    <t>CENSUS_DATAONPUPIL</t>
  </si>
  <si>
    <t xml:space="preserve">PLASC data on the individual in the academic year </t>
  </si>
  <si>
    <t xml:space="preserve">0 = no 
1 = yes </t>
  </si>
  <si>
    <t>YPMAD_L1_OVERALL</t>
  </si>
  <si>
    <t>L1_OVERALL</t>
  </si>
  <si>
    <t>Level 1 acquired via any route, Academic, NISVQ, FE or WBL</t>
  </si>
  <si>
    <t>YPMAD_L2_OVERALL</t>
  </si>
  <si>
    <t>L2_OVERALL</t>
  </si>
  <si>
    <t>Level 2 acquired via any route, Academic, NISVQ, FE or WBL</t>
  </si>
  <si>
    <t>YPMAD_L3_OVERALL</t>
  </si>
  <si>
    <t>L3_OVERALL</t>
  </si>
  <si>
    <t>Level 3 acquired via any route, Academic, NISVQ, FE or WBL</t>
  </si>
  <si>
    <t>YPMAD_L1_NVQ</t>
  </si>
  <si>
    <t>L1_NVQ</t>
  </si>
  <si>
    <t xml:space="preserve">Set to highest value of  Level 1 NVQ quals </t>
  </si>
  <si>
    <t>YPMAD_L2_NVQ</t>
  </si>
  <si>
    <t>L2_NVQ</t>
  </si>
  <si>
    <t xml:space="preserve">Set to highest value of  Level 2 NVQ quals </t>
  </si>
  <si>
    <t>YPMAD_L3_NVQ</t>
  </si>
  <si>
    <t>L3_NVQ</t>
  </si>
  <si>
    <t xml:space="preserve">Set to highest value of  Level 3 NVQ quals </t>
  </si>
  <si>
    <t>YPMAD_L1_VRQ</t>
  </si>
  <si>
    <t>L1_VRQ</t>
  </si>
  <si>
    <t xml:space="preserve">Set to highest value of  Level 1 VRQ quals </t>
  </si>
  <si>
    <t>YPMAD_L2_VRQ</t>
  </si>
  <si>
    <t>L2_VRQ</t>
  </si>
  <si>
    <t xml:space="preserve">Set to highest value of  Level 2 VRQ quals </t>
  </si>
  <si>
    <t>YPMAD_L3_VRQ</t>
  </si>
  <si>
    <t>L3_VRQ</t>
  </si>
  <si>
    <t xml:space="preserve">Set to highest value of  Level 3 VRQ quals </t>
  </si>
  <si>
    <t>YPMAD_NO_QUALS_ACHIEVED</t>
  </si>
  <si>
    <t>NO_QUALS_ACHIEVED</t>
  </si>
  <si>
    <t>No qualifications achieved by this person - participation (PLASC/ILR) records only</t>
  </si>
  <si>
    <t>YPMAD_AgeAtStartofAcadYear</t>
  </si>
  <si>
    <t>AgeAtStartofAcadYear</t>
  </si>
  <si>
    <t xml:space="preserve">Age of the learner at the start of the academic year  </t>
  </si>
  <si>
    <t>YPMAD_qual_type_ILR_FE</t>
  </si>
  <si>
    <t>qual_type_ILR_FE</t>
  </si>
  <si>
    <t>highest qualification type recorded under ILR_FE data source</t>
  </si>
  <si>
    <t>YPMAD_qual_type_ILR_WBL</t>
  </si>
  <si>
    <t>qual_type_ILR_WBL</t>
  </si>
  <si>
    <t>highest qualification type recorded under ILR_WBL data source</t>
  </si>
  <si>
    <t>YPMAD_qual_type_PLASC</t>
  </si>
  <si>
    <t>qual_type_PLASC</t>
  </si>
  <si>
    <t>highest qualification type recorded under PLASC/PLAMS data source</t>
  </si>
  <si>
    <t>YPMAD_qual_type_KS45</t>
  </si>
  <si>
    <t>qual_type_KS45</t>
  </si>
  <si>
    <t>highest qualification type recorded under KS4/5 data source</t>
  </si>
  <si>
    <t>YPMAD_qual_type_NISVQ</t>
  </si>
  <si>
    <t>qual_type_NISVQ</t>
  </si>
  <si>
    <t>highest qualification type recorded under NISVQ data source</t>
  </si>
  <si>
    <t>YPMAD_inst_type_lookup_ILR_FE</t>
  </si>
  <si>
    <t>inst_type_lookup_ILR_FE</t>
  </si>
  <si>
    <t>"type" from institution look up file for p_code_ILR_FE</t>
  </si>
  <si>
    <t>YPMAD_inst_type_lookup_ILR_WBL</t>
  </si>
  <si>
    <t>inst_type_lookup_ILR_WBL</t>
  </si>
  <si>
    <t>"type" from institution look up file for p_code_ILR_WBL</t>
  </si>
  <si>
    <t>YPMAD_inst_type_lookup_PLASC</t>
  </si>
  <si>
    <t>inst_type_lookup_PLASC</t>
  </si>
  <si>
    <t>"type" from institution look up file for p_code_PLASC</t>
  </si>
  <si>
    <t>YPMAD_inst_type_lookup_KS45</t>
  </si>
  <si>
    <t>inst_type_lookup_KS45</t>
  </si>
  <si>
    <t>"type" from institution look up file for p_code_KS45</t>
  </si>
  <si>
    <t>YPMAD_MODE_ILR_FE</t>
  </si>
  <si>
    <t>MODE_ILR_FE</t>
  </si>
  <si>
    <t>Participation mode in ILR_FE 1 Full time, 2 Part time</t>
  </si>
  <si>
    <t>YPMAD_main_qual_type</t>
  </si>
  <si>
    <t>main_qual_type</t>
  </si>
  <si>
    <t>Summary indicator on participation route i.e. GCE or VCE A/AS level; GCSEs; combination of GNVQs and GCSEs; Apprenticeships; NVQ; VRQ</t>
  </si>
  <si>
    <t>YPMAD_source_main_qual_type</t>
  </si>
  <si>
    <t>source_main_qual_type</t>
  </si>
  <si>
    <t>Source from which main_qual_type was taken</t>
  </si>
  <si>
    <t>PLASC, ILR_FE, ILR_WBL, KS45, NISVQ</t>
  </si>
  <si>
    <t>YPMAD_main_inst_type</t>
  </si>
  <si>
    <t>main_inst_type</t>
  </si>
  <si>
    <t xml:space="preserve">Summary indicator on where participating - FE, school, WBL, plus overlaps. Use the Whole_year indicator values to determine where they were in the academic year e.g if Maintained_School_Whole_Year is set to 1 then set this field to 'Maintained _School' if Academy_CTC_Whole_Year is set to 1 then set this field value to 'Academy_CTC' etc. </t>
  </si>
  <si>
    <t>YPMAD_main_inst_type_lookup</t>
  </si>
  <si>
    <t>main_inst_type_lookup</t>
  </si>
  <si>
    <t>Type of institution of main_inst taken directly from look up table</t>
  </si>
  <si>
    <t>YPMAD_main_inst_newFEDStype</t>
  </si>
  <si>
    <t>main_inst_newFEDStype</t>
  </si>
  <si>
    <t>newFEDStype of institution of main_inst taken directly from look up table</t>
  </si>
  <si>
    <t>YPMAD_main_inst_region</t>
  </si>
  <si>
    <t>main_inst_region</t>
  </si>
  <si>
    <t>region of main_inst taken from look up table</t>
  </si>
  <si>
    <t>YPMAD_main_inst_region update</t>
  </si>
  <si>
    <t>Region_A23_main</t>
  </si>
  <si>
    <t>Region of delivery location</t>
  </si>
  <si>
    <t>YPMAD_l_mode</t>
  </si>
  <si>
    <t>l_mode</t>
  </si>
  <si>
    <t>main mode of attendance (FT or PT)</t>
  </si>
  <si>
    <t xml:space="preserve">1 = Full time 
2 = Part time </t>
  </si>
  <si>
    <t>YPMAD_OnAppren</t>
  </si>
  <si>
    <t>OnAppren</t>
  </si>
  <si>
    <t>Whether on apprenticeship (and what type) in given year</t>
  </si>
  <si>
    <t>0,2,3,10</t>
  </si>
  <si>
    <t>YPMAD_FEILR</t>
  </si>
  <si>
    <t>FEILR</t>
  </si>
  <si>
    <t xml:space="preserve">Achieved functional english at any level picked up via ILR </t>
  </si>
  <si>
    <t>YPMAD_FEKS45</t>
  </si>
  <si>
    <t>FEKS45</t>
  </si>
  <si>
    <t xml:space="preserve">Achieved functional english at any level picked up via KS45  </t>
  </si>
  <si>
    <t>YPMAD_FENISVQ</t>
  </si>
  <si>
    <t>FENISVQ</t>
  </si>
  <si>
    <t xml:space="preserve">Achieved functional english at any level picked up via NISVQ  </t>
  </si>
  <si>
    <t>YPMAD_FMILR</t>
  </si>
  <si>
    <t>FMILR</t>
  </si>
  <si>
    <t>Achieved functional maths at any level</t>
  </si>
  <si>
    <t>YPMAD_FMKS45</t>
  </si>
  <si>
    <t>FMKS45</t>
  </si>
  <si>
    <t>YPMAD_FMNISVQ</t>
  </si>
  <si>
    <t>FMNISVQ</t>
  </si>
  <si>
    <t>Achieved functional maths at any level via NISVQ</t>
  </si>
  <si>
    <t>YPMAD_Lev2Overall_FEandM</t>
  </si>
  <si>
    <t>Lev2Overall_FEandM</t>
  </si>
  <si>
    <t>Whether attained Level 2 including English and Maths based on a broader definition including Basic Skills and Key Skills</t>
  </si>
  <si>
    <t>YPMAD_EngL2</t>
  </si>
  <si>
    <t>EngL2</t>
  </si>
  <si>
    <t>Whether attained Level 2+ English functional or academic</t>
  </si>
  <si>
    <t>0,1 or 2</t>
  </si>
  <si>
    <t>YPMAD_MathsL2</t>
  </si>
  <si>
    <t>MathsL2</t>
  </si>
  <si>
    <t>Whether attained Level 2+ maths functional or academic</t>
  </si>
  <si>
    <t>YPMAD_L2plusFuncAc_Eng_Maths</t>
  </si>
  <si>
    <t>L2plusFuncAc_Eng_Maths</t>
  </si>
  <si>
    <t>Whether L2 attained or not and whether English and/or Maths L2 (Func or Ac) attained</t>
  </si>
  <si>
    <t>0,1,2,3,4,5,6 or 7</t>
  </si>
  <si>
    <t>YPMAD_FE_Study</t>
  </si>
  <si>
    <t>FE_Study</t>
  </si>
  <si>
    <t>A new extended indicator on participation in functional English/Maths.  the highest qualification studied in each particular year coded.   The permissible g_numbers, LEARNAIMREFs and qual_codes will be the same as for the attainment versions (but, of course, there will be no need for any restriction on grade).  The Autumn Census will be an additional source.  We won’t need to have variables for each source – just one for English and one for maths.</t>
  </si>
  <si>
    <t xml:space="preserve">0-11
0 No functional English attained
1 Basic Skills Entry level
2 Functional Skills/Functional Skills (QCF) Entry level
3 Key Skills L1
4 Basic Skills L1
5 Functional Skills/Functional Skills (QCF) Level 1
6 Other General Qualification L1
7 Key Skills L2
8 Basic Skills L2
9 Functional Skills/Functional Skills (QCF) L2
10 Other General Qualification L2
11 Key Skills L3
</t>
  </si>
  <si>
    <t>YPMAD_FM_Study</t>
  </si>
  <si>
    <t>FM_Study</t>
  </si>
  <si>
    <t xml:space="preserve"> the highest qualification studied in each particular year coded.   The permissible g_numbers, LEARNAIMREFs and qual_codes will be the same as for the attainment versions (but, of course, there will be no need for any restriction on grade so don't apply any COMPSTATUS or OUTCOME filters for ILR).  The Autumn Census will be an additional source.  We won’t need to have variables for each source – just one for English and one for maths.</t>
  </si>
  <si>
    <t xml:space="preserve">0-14
0 No functional Maths attained
1 Basic Skills Entry Level
2 Functional Skills/Functional Skills (QCF) Entry Level
3 Free Standing Maths L1
4 Key Skills L1
5 Basic Skills L1
6 Other General Qualification L1
7 Functional Skills/Functional Skills (QCF) L1
8 Free Standing Maths L2
9 Key Skills L2
10 Basic Skills L2
11 Other General Qualification L2
12 Functional Skills/Functional Skills (QCF) L2
13 Free Standing Maths L3
14 Key Skills L3
</t>
  </si>
  <si>
    <t>YPMAD_L2_EN_Academic_Study</t>
  </si>
  <si>
    <t>L2_EN_Academic_Study</t>
  </si>
  <si>
    <t>2017/18</t>
  </si>
  <si>
    <t>We will just code the highest qualification studied in each particular year. In these variables, of course, we will include all instances in KS45 regardless of grade.    The attainment variables (EN_L2_Academic and MA_L2_Academic) just reference KS45. We will also need to draw on the Autumn census as a source for study in schools and the ILR.  
0 No L2+ English studied
1 GCSE English studied 
2 AS Level 
3 IB
4 A Level</t>
  </si>
  <si>
    <t xml:space="preserve">0 No L2+ academic studied
1 GCSE studied 
2 AS Level 
3 A level 
</t>
  </si>
  <si>
    <t>YPMAD_L2_MA_Academic_Study</t>
  </si>
  <si>
    <t>L2_MA_Academic_Study</t>
  </si>
  <si>
    <t>We would like two new variables on participation in academic English/Maths.  We will just code the highest qualification studied in each particular year. .  In these variables, of course, we will include all instances in KS45 regardless of grade.    The attainment variables (EN_L2_Academic and MA_L2_Academic) just reference KS45. We will also need to draw on the Autumn census as a source for study in schools.  The subject mappings for the KS45 and Autumn Census sources will be the same as for attainment versions.   We will also need to draw on the FE ILR as a source for study in colleges etc.  For FE ILR the a_latype codes will be the same as in the participation pre-actions for the relevant qualification level and is 1401 for IBs, but I will need advice from FEDS about IBs the subject mappings in general for academic English and Maths on the ILR.</t>
  </si>
  <si>
    <t>YPMAD_Tech_Level_Study</t>
  </si>
  <si>
    <t>Tech_Level_Study</t>
  </si>
  <si>
    <t>Whether a Tech Level qualification has been studied in the current year</t>
  </si>
  <si>
    <t>YPMAD_Tech_Level</t>
  </si>
  <si>
    <t>Tech_Level</t>
  </si>
  <si>
    <t>The cumulative number of Tech Levels that have been attained</t>
  </si>
  <si>
    <t>Qualification Count</t>
  </si>
  <si>
    <t>YPMAD_Tech_Level_Width</t>
  </si>
  <si>
    <t>Tech_Level_Width</t>
  </si>
  <si>
    <t>The cumulative width of the Tech Levels attained</t>
  </si>
  <si>
    <t>YPMAD_Applied_Gen_Study</t>
  </si>
  <si>
    <t>Applied_Gen_Study</t>
  </si>
  <si>
    <t>Whether an Applied General qualificaiton has been studied in the current year</t>
  </si>
  <si>
    <t>YPMAD_Applied_Gen</t>
  </si>
  <si>
    <t>Applied_Gen</t>
  </si>
  <si>
    <t>The cumulative number of Applied Generals that have been attained</t>
  </si>
  <si>
    <t>YPMAD_Applied_Gen_Width</t>
  </si>
  <si>
    <t>Applied_Gen_Width</t>
  </si>
  <si>
    <t>The cumulative width of the Applied Generals attained</t>
  </si>
  <si>
    <t>YPMAD_Extended_Project_Study</t>
  </si>
  <si>
    <t>Extended_Project_Study</t>
  </si>
  <si>
    <t>Whether an Extended Project has been studied in the current year</t>
  </si>
  <si>
    <t>YPMAD_Extended_Project</t>
  </si>
  <si>
    <t>Extended_Project</t>
  </si>
  <si>
    <t>The cumulative number of Extended Projects that have been attained</t>
  </si>
  <si>
    <t>YPMAD_Tech_Cert_Study</t>
  </si>
  <si>
    <t>Tech_Cert_Study</t>
  </si>
  <si>
    <t>Whether a Tech Certificate qualification has been studied in the current year</t>
  </si>
  <si>
    <t>YPMAD_Tech_Cert</t>
  </si>
  <si>
    <t>Tech_Cert</t>
  </si>
  <si>
    <t>The cumulative number of Tech Certificates that have been attained</t>
  </si>
  <si>
    <t>YPMAD_Tech_Cert_Width</t>
  </si>
  <si>
    <t>Tech_Cert_Width</t>
  </si>
  <si>
    <t>The cumulative width of the Tech Certificates attained</t>
  </si>
  <si>
    <t>Qualification Size</t>
  </si>
  <si>
    <t>YPMAD_L1_NVQ_KS45</t>
  </si>
  <si>
    <t>L1_NVQ_KS45</t>
  </si>
  <si>
    <t>Number of level 1 NVQ KS45 qualifications</t>
  </si>
  <si>
    <t>YPMAD_L2_NVQ_KS45</t>
  </si>
  <si>
    <t>L2_NVQ_KS45</t>
  </si>
  <si>
    <t>Number of level 2 NVQ KS45 qualifications</t>
  </si>
  <si>
    <t>YPMAD_L3_NVQ_KS45</t>
  </si>
  <si>
    <t>L3_NVQ_KS45</t>
  </si>
  <si>
    <t>Number of level 3 NVQ KS45 qualifications</t>
  </si>
  <si>
    <t>YPMAD_L1_VRQ_KS45</t>
  </si>
  <si>
    <t>L1_VRQ_KS45</t>
  </si>
  <si>
    <t>Number of level 1 VRQ KS45 qualifications</t>
  </si>
  <si>
    <t>YPMAD_L2_VRQ_KS45</t>
  </si>
  <si>
    <t>L2_VRQ_KS45</t>
  </si>
  <si>
    <t>Number of level 2 VRQ KS45 qualifications</t>
  </si>
  <si>
    <t>YPMAD_L3_VRQ_KS45</t>
  </si>
  <si>
    <t>L3_VRQ_KS45</t>
  </si>
  <si>
    <t xml:space="preserve">Number of level 3 VRQ KS45 qualifications </t>
  </si>
  <si>
    <t>YPMAD_CoF_English_study</t>
  </si>
  <si>
    <t>CoF_English_study</t>
  </si>
  <si>
    <t>Whether a Condition of English qualification has been studied in the current year</t>
  </si>
  <si>
    <t>0 - 13
1 Entry Award
2 Entry Certificate
3 Entry Functional Skills
4 Level 1 Award
5 Level 1 Certificate
6 Level 1 Functional Skills
7 Level 2 ESOL
8 Level 2 Certificate
9 Level 2 Functional Skills
10 GCSE
11 AS English Language
12 IB
13 A Level English Language</t>
  </si>
  <si>
    <t>YPMAD_CoF_English_highest</t>
  </si>
  <si>
    <t>CoF_English_highest</t>
  </si>
  <si>
    <t>The highest level of attainment of Condition of English qualifications</t>
  </si>
  <si>
    <t>YPMAD_CoF_Maths_study</t>
  </si>
  <si>
    <t>CoF_Maths_study</t>
  </si>
  <si>
    <t>Whether a Condition of maths qualification has been studied in the current year</t>
  </si>
  <si>
    <t xml:space="preserve">0 - 16
1 Entry Award
2 Entry Certificate
3 Entry Functional Skills
4 Level 1 Award
5 Level 1 Certificate
6 Level 1 Free Standing Maths
7 Level 1 Functional Skills
8 Level 2 Certificate
9 Level 2 Free Standing Maths
10 Level 2 Functional Skills
11 GCSE
12 Level 3 Certificate
13 AS Level
14 IB
15 Pre U Certificate
16 A Level </t>
  </si>
  <si>
    <t>YPMAD_CoF_Maths_highest</t>
  </si>
  <si>
    <t>CoF_Maths_highest</t>
  </si>
  <si>
    <t>The highest level of attainment of Condition of maths qualifications</t>
  </si>
  <si>
    <t>YPMAD_CoF_English_Completion</t>
  </si>
  <si>
    <t>CoF_English_Completion</t>
  </si>
  <si>
    <t>If an approved qualification is studied in the CoF_English_Studied variable, this variable denotes whether that has been completed</t>
  </si>
  <si>
    <t>0 No qualification
1 Continuing Aim
2 Complete
3 Withdrawn
4 Transferred Aim</t>
  </si>
  <si>
    <t>YPMAD_CoF_Maths_Completion</t>
  </si>
  <si>
    <t>CoF_Maths_Completion</t>
  </si>
  <si>
    <t>If an approved qualification is studied in the CoF_Maths_Studied variable, this variable denotes whether that has been completed</t>
  </si>
  <si>
    <t>Snapshot Indicators</t>
  </si>
  <si>
    <t>YPMAD_Base_Year</t>
  </si>
  <si>
    <t>Base_Year</t>
  </si>
  <si>
    <t>YPMAD_Base_Year_Old</t>
  </si>
  <si>
    <t>Base_Year_Old</t>
  </si>
  <si>
    <t>Base Year from 2015/2016 data if different from current year. NULL if not.</t>
  </si>
  <si>
    <t>YPMAD_In16</t>
  </si>
  <si>
    <t>In16</t>
  </si>
  <si>
    <t>Indicates whether the young person was in any of the data sources in the relevant academic year at the age 15 where age is based on age at the end of the academic year relative to the base year.</t>
  </si>
  <si>
    <t>YPMAD_In17</t>
  </si>
  <si>
    <t>In17</t>
  </si>
  <si>
    <t>Indicates whether the young person was in any of the data sources in the relevant academic year at the age 16 where age is based on age at the end of the academic year relative to the base year.</t>
  </si>
  <si>
    <t>YPMAD_In18</t>
  </si>
  <si>
    <t>In18</t>
  </si>
  <si>
    <t>Indicates whether the young person was in any of the data sources in the relevant academic year at the age 17 where age is based on age at the end of the academic year relative to the base year.</t>
  </si>
  <si>
    <t>YPMAD_In19</t>
  </si>
  <si>
    <t>In19</t>
  </si>
  <si>
    <t>Indicates whether the young person was in any of the data sources in the relevant academic year at the age 18 where age is based on age at the end of the academic year relative to the base year.</t>
  </si>
  <si>
    <t>YPMAD_In20</t>
  </si>
  <si>
    <t>In20</t>
  </si>
  <si>
    <t>Indicates whether the young person was in any of the data sources in the relevant academic year at the age 19 where age is based on age at the end of the academic year relative to the base year.</t>
  </si>
  <si>
    <t>YPMAD_In21</t>
  </si>
  <si>
    <t>In21</t>
  </si>
  <si>
    <t>Indicates whether the young person was in any of the data sources in the relevant academic year at the age 20 where age is based on age at the end of the academic year relative to the base year.</t>
  </si>
  <si>
    <t>YPMAD_FirstAgeIn</t>
  </si>
  <si>
    <t>FirstAgeIn</t>
  </si>
  <si>
    <t>Indicates whether the young person was in any of the data sources in the relevant academic year at the age 21 where age is based on age at the end of the academic year relative to the base year.</t>
  </si>
  <si>
    <t>YPMAD_FIRST_YEAR_IN_DATA</t>
  </si>
  <si>
    <t>FIRST_YEAR_IN_DATA</t>
  </si>
  <si>
    <t>Identifies academic year that person first appeared in any of the source data</t>
  </si>
  <si>
    <t>YPMAD_FIRST_YEAR_IN_DATA_PLASC</t>
  </si>
  <si>
    <t>FIRST_YEAR_IN_DATA_PLASC</t>
  </si>
  <si>
    <t>Identifies academic year that person first appeared in PLASC</t>
  </si>
  <si>
    <t>YPMAD_FIRST_YEAR_IN_DATA_ILR</t>
  </si>
  <si>
    <t>FIRST_YEAR_IN_DATA_ILR</t>
  </si>
  <si>
    <t>Identifies academic year that person first appeared in ILR</t>
  </si>
  <si>
    <t>YPMAD_FIRST_YEAR_IN_DATA_NISVQ</t>
  </si>
  <si>
    <t>FIRST_YEAR_IN_DATA_NISVQ</t>
  </si>
  <si>
    <t>Identifies academic year that person first appeared in NISVQ</t>
  </si>
  <si>
    <t>YPMAD_FIRST_YEAR_IN_DATA_KS45</t>
  </si>
  <si>
    <t>FIRST_YEAR_IN_DATA_KS45</t>
  </si>
  <si>
    <t>Identifies academic year that person first appeared in KS45</t>
  </si>
  <si>
    <t>YPMAD_FIRST_SOURCE</t>
  </si>
  <si>
    <t>FIRST_SOURCE</t>
  </si>
  <si>
    <t>Identifies which dataset they first appeared in (only include ILR, NISVQ, KS45,PLASC at datasets)</t>
  </si>
  <si>
    <t>YPMAD_L1_at_16</t>
  </si>
  <si>
    <t>L1_at_16</t>
  </si>
  <si>
    <t xml:space="preserve">Indicator to show whether pupil has reached L1 in the academic year when they were 16 years of age </t>
  </si>
  <si>
    <t>YPMAD_L1_at_17</t>
  </si>
  <si>
    <t>L1_at_17</t>
  </si>
  <si>
    <t xml:space="preserve">Indicator to show whether pupil has reached L1 in the academic year when they were 17 years of age </t>
  </si>
  <si>
    <t>YPMAD_L1_at_18</t>
  </si>
  <si>
    <t>L1_at_18</t>
  </si>
  <si>
    <t xml:space="preserve">Indicator to show whether pupil has reached L1 in the academic year when they were 18 years of age </t>
  </si>
  <si>
    <t>YPMAD_L1_at_19</t>
  </si>
  <si>
    <t>L1_at_19</t>
  </si>
  <si>
    <t xml:space="preserve">Indicator to show whether pupil has reached L1 in the academic year when they were 19 years of age </t>
  </si>
  <si>
    <t>YPMAD_L1_at_20</t>
  </si>
  <si>
    <t>L1_at_20</t>
  </si>
  <si>
    <t xml:space="preserve">Indicator to show whether pupil has reached L1 in the academic year when they were 20 years of age </t>
  </si>
  <si>
    <t>YPMAD_L1_at_21</t>
  </si>
  <si>
    <t>L1_at_21</t>
  </si>
  <si>
    <t xml:space="preserve">Indicator to show whether pupil has reached L1 in the academic year when they were 21 years of age </t>
  </si>
  <si>
    <t>YPMAD_L2_at_16</t>
  </si>
  <si>
    <t>L2_at_16</t>
  </si>
  <si>
    <t xml:space="preserve">Indicator to show whether pupil has reached L2 in the academic year when they were 16 years of age </t>
  </si>
  <si>
    <t>YPMAD_L2_at_17</t>
  </si>
  <si>
    <t>L2_at_17</t>
  </si>
  <si>
    <t xml:space="preserve">Indicator to show whether pupil has reached L2 in the academic year when they were 17 years of age </t>
  </si>
  <si>
    <t>YPMAD_L2_at_18</t>
  </si>
  <si>
    <t>L2_at_18</t>
  </si>
  <si>
    <t xml:space="preserve">Indicator to show whether pupil has reached L2 in the academic year when they were 18 years of age </t>
  </si>
  <si>
    <t>YPMAD_L2_at_19</t>
  </si>
  <si>
    <t>L2_at_19</t>
  </si>
  <si>
    <t xml:space="preserve">Indicator to show whether pupil has reached L2 in the academic year when they were 19 years of age </t>
  </si>
  <si>
    <t>YPMAD_L2_at_20</t>
  </si>
  <si>
    <t>L2_at_20</t>
  </si>
  <si>
    <t xml:space="preserve">Indicator to show whether pupil has reached L2 in the academic year when they were 20 years of age </t>
  </si>
  <si>
    <t>YPMAD_L2_at_21</t>
  </si>
  <si>
    <t>L2_at_21</t>
  </si>
  <si>
    <t xml:space="preserve">Indicator to show whether pupil has reached L2 in the academic year when they were 21 years of age </t>
  </si>
  <si>
    <t>YPMAD_L3_at_16</t>
  </si>
  <si>
    <t>L3_at_16</t>
  </si>
  <si>
    <t xml:space="preserve">Indicator to show whether pupil has reached L3 in the academic year when they were 16 years of age </t>
  </si>
  <si>
    <t>YPMAD_L3_at_17</t>
  </si>
  <si>
    <t>L3_at_17</t>
  </si>
  <si>
    <t xml:space="preserve">Indicator to show whether pupil has reached L3 in the academic year when they were 17 years of age </t>
  </si>
  <si>
    <t>YPMAD_L3_at_18</t>
  </si>
  <si>
    <t>L3_at_18</t>
  </si>
  <si>
    <t xml:space="preserve">Indicator to show whether pupil has reached L3 in the academic year when they were 18 years of age </t>
  </si>
  <si>
    <t>YPMAD_L3_at_19</t>
  </si>
  <si>
    <t>L3_at_19</t>
  </si>
  <si>
    <t xml:space="preserve">Indicator to show whether pupil has reached L3 in the academic year when they were 19 years of age </t>
  </si>
  <si>
    <t>YPMAD_L3_at_20</t>
  </si>
  <si>
    <t>L3_at_20</t>
  </si>
  <si>
    <t xml:space="preserve">Indicator to show whether pupil has reached L3 in the academic year when they were 20 years of age </t>
  </si>
  <si>
    <t>YPMAD_L3_at_21</t>
  </si>
  <si>
    <t>L3_at_21</t>
  </si>
  <si>
    <t xml:space="preserve">Indicator to show whether pupil has reached L3 in the academic year when they were 21 years of age </t>
  </si>
  <si>
    <t>YPMAD_l_post_latest_year</t>
  </si>
  <si>
    <t>l_post_latest_year</t>
  </si>
  <si>
    <t>Year in which latest home postcode is recorded</t>
  </si>
  <si>
    <t>YPMAD_Year_L1</t>
  </si>
  <si>
    <t>Year_L1</t>
  </si>
  <si>
    <t>minimum academic year where L1_overall=1</t>
  </si>
  <si>
    <t>YPMAD_Year_L2</t>
  </si>
  <si>
    <t>Year_L2</t>
  </si>
  <si>
    <t>minimum academic year where L2_overall=1</t>
  </si>
  <si>
    <t>YPMAD_Year_L3</t>
  </si>
  <si>
    <t>Year_L3</t>
  </si>
  <si>
    <t>minimum academic year where L3_overall=1</t>
  </si>
  <si>
    <t>YPMAD_YEAR_LATEST_STUDY</t>
  </si>
  <si>
    <t>YEAR_LATEST_STUDY</t>
  </si>
  <si>
    <t>Year in which young person was most recently studying</t>
  </si>
  <si>
    <t>YPMAD_MAIN_INST_TYPE_L2_ACHIEVED</t>
  </si>
  <si>
    <t>MAIN_INST_TYPE_L2_ACHIEVED</t>
  </si>
  <si>
    <t>Type of Main Institution in year where L2 obtained</t>
  </si>
  <si>
    <t>YPMAD_MAIN_INST_TYPE_L3_ACHIEVED</t>
  </si>
  <si>
    <t>MAIN_INST_TYPE_L3_ACHIEVED</t>
  </si>
  <si>
    <t>Type of Main Institution in year where L3 obtained</t>
  </si>
  <si>
    <t>YPMAD_L2_inst_type_SFR</t>
  </si>
  <si>
    <t>L2_inst_type_SFR</t>
  </si>
  <si>
    <t>Type of Main Institution in year where L2 obtained for SFR</t>
  </si>
  <si>
    <t>YPMAD_L3_inst_type_SFR</t>
  </si>
  <si>
    <t>L3_inst_type_SFR</t>
  </si>
  <si>
    <t>Type of Main Institution in year where L3 obtained for SFR</t>
  </si>
  <si>
    <t>YPMAD_Chars15CensusSource</t>
  </si>
  <si>
    <t>Chars15CensusSource</t>
  </si>
  <si>
    <t>Indicates which source is used for the characteristic indicators below</t>
  </si>
  <si>
    <t>1 = School Census
2 = PRU Census (up to 2012/13)</t>
  </si>
  <si>
    <t>YPMAD_L1_qualtype16</t>
  </si>
  <si>
    <t>L1_qualtype16</t>
  </si>
  <si>
    <t xml:space="preserve">Type of qualifications achieved in reaching the level 1 threshold. 
</t>
  </si>
  <si>
    <t xml:space="preserve">1 = 5 GCSEs A*-G or 9-1
2 = NVQ Level 1
3 = VRQ Level 1
4 = Level 2+ qualifications
5 = Combination of qualifications </t>
  </si>
  <si>
    <t>YPMAD_L2_qualtype16</t>
  </si>
  <si>
    <t>L2_qualtype16</t>
  </si>
  <si>
    <t xml:space="preserve">Type of qualifications achieved in reaching the level 2 threshold. 
</t>
  </si>
  <si>
    <t xml:space="preserve">1 = 5 GCSEs (A*-C or 9-4)
2 = GNVQs or combinations of GNVQs and GCSEs
3 = Apprenticeship
4 = NVQ Level 2 
5 = VRQ Level 2 
6 = Level 3 qualifications
7 = Combination of qualifications </t>
  </si>
  <si>
    <t>YPMAD_L3_qualtype16</t>
  </si>
  <si>
    <t>L3_qualtype16</t>
  </si>
  <si>
    <t xml:space="preserve">Type of qualifications achieved in reaching the level 3 threshold. 
</t>
  </si>
  <si>
    <t>1 = AS,A-levels. AVCEs or Advanced GNVQ
2 = Advanced apprenticeship
3 = NVQ level 3
4 = VRQ level 3                             
5 = IB
6 = Combination of qualifications</t>
  </si>
  <si>
    <t>YPMAD_L1_qualtype17</t>
  </si>
  <si>
    <t>L1_qualtype17</t>
  </si>
  <si>
    <t xml:space="preserve">Type of qualifications achieved in reaching the level 1 threshold. </t>
  </si>
  <si>
    <t>YPMAD_L2_qualtype17</t>
  </si>
  <si>
    <t>L2_qualtype17</t>
  </si>
  <si>
    <t>YPMAD_L3_qualtype17</t>
  </si>
  <si>
    <t>L3_qualtype17</t>
  </si>
  <si>
    <t>1 = AS,A-levels. AVCEs or Advanced GNVQ
2 = Advanced apprenticeship
3 = NVQ level 3
4 = VRQ level 3                            
5 = IB
6 = Combination of qualifications</t>
  </si>
  <si>
    <t>YPMAD_L1_qualtype18</t>
  </si>
  <si>
    <t>L1_qualtype18</t>
  </si>
  <si>
    <t>YPMAD_L2_qualtype18</t>
  </si>
  <si>
    <t>L2_qualtype18</t>
  </si>
  <si>
    <t>YPMAD_L3_qualtype18</t>
  </si>
  <si>
    <t>L3_qualtype18</t>
  </si>
  <si>
    <t>YPMAD_L1_qualtype19</t>
  </si>
  <si>
    <t>L1_qualtype19</t>
  </si>
  <si>
    <t>Type of qualifications achieved in reaching the level 1 threshold. Calculated as follows :-</t>
  </si>
  <si>
    <t>YPMAD_L2_qualtype19</t>
  </si>
  <si>
    <t>L2_qualtype19</t>
  </si>
  <si>
    <t>Type of qualifications achieved in reaching the level 2 threshold. Calculated as follows :-</t>
  </si>
  <si>
    <t>YPMAD_L3_qualtype19</t>
  </si>
  <si>
    <t>L3_qualtype19</t>
  </si>
  <si>
    <t>Type of qualifications achieved in reaching the level 3 threshold. Calculated as follows :-</t>
  </si>
  <si>
    <t>YPMAD_L2_qualtype20</t>
  </si>
  <si>
    <t>L2_qualtype20</t>
  </si>
  <si>
    <t xml:space="preserve">Type of qualifications achieved in reaching the level 2 threshold, but before discounting for those who reached L2 only through L3 quals with no history of prior attainment. 
</t>
  </si>
  <si>
    <t>YPMAD_L3_qualtype20</t>
  </si>
  <si>
    <t>L3_qualtype20</t>
  </si>
  <si>
    <t>YPMAD_L2_qualtype21</t>
  </si>
  <si>
    <t>L2_qualtype21</t>
  </si>
  <si>
    <t>YPMAD_L3_qualtype21</t>
  </si>
  <si>
    <t>L3_qualtype21</t>
  </si>
  <si>
    <t>YPMAD_L_atype_L2</t>
  </si>
  <si>
    <t>L_atype_L2</t>
  </si>
  <si>
    <t xml:space="preserve">Type of qualifications achieved in reaching the level 2 threshold. 
</t>
  </si>
  <si>
    <t>YPMAD_L_atype_L3</t>
  </si>
  <si>
    <t>L_atype_L3</t>
  </si>
  <si>
    <t>YPMAD_L2_qualtype19SFR</t>
  </si>
  <si>
    <t>L2_qualtype19SFR</t>
  </si>
  <si>
    <t xml:space="preserve">Priorised type of L2 qualification achieved post-16 up to academic age 18 </t>
  </si>
  <si>
    <t>YPMAD_L3_qualtype19SFR</t>
  </si>
  <si>
    <t>L3_qualtype19SFR</t>
  </si>
  <si>
    <t xml:space="preserve">Priorised type of L3 qualification achieved post-16 up to academic age 18.    </t>
  </si>
  <si>
    <t>YPMAD_L3AnyRouteNoL2DW</t>
  </si>
  <si>
    <t>L3AnyRouteNoL2DW</t>
  </si>
  <si>
    <t>Learner getting to Level 2 through L3 quals having first entered the data post-16 and if L2 gained from 18 onwards then first participated no earlier than year year prior to reaching L2 and no quals achieved prior to the year reaching L2</t>
  </si>
  <si>
    <t>YPMAD_AppStart_Year</t>
  </si>
  <si>
    <t>AppStart_Year</t>
  </si>
  <si>
    <t>Year first started apprenticeship</t>
  </si>
  <si>
    <t>YPMAD_AppStart_Age</t>
  </si>
  <si>
    <t>AppStart_Age</t>
  </si>
  <si>
    <t>Academic age Age first started apprenticeship</t>
  </si>
  <si>
    <t>YPMAD_Academic_Age_L2</t>
  </si>
  <si>
    <t>Academic_Age_L2</t>
  </si>
  <si>
    <t>Academic age attained L2</t>
  </si>
  <si>
    <t>YPMAD_Academic_Age_L3</t>
  </si>
  <si>
    <t>Academic_Age_L3</t>
  </si>
  <si>
    <t>Academic age attained L3</t>
  </si>
  <si>
    <t>YPMAD_AcAge_FuncAcL2Eng</t>
  </si>
  <si>
    <t>AcAge_FuncAcL2Eng</t>
  </si>
  <si>
    <t>Academic age at which L2 English (whether func or ac) first attained</t>
  </si>
  <si>
    <t>YPMAD_AcAge_AcL2Eng</t>
  </si>
  <si>
    <t>AcAge_AcL2Eng</t>
  </si>
  <si>
    <t>Academic age at which L2 English (academic) first attained</t>
  </si>
  <si>
    <t>YPMAD_AcAge_FuncAcL2Maths</t>
  </si>
  <si>
    <t>AcAge_FuncAcL2Maths</t>
  </si>
  <si>
    <t>Academic age at which L2 Maths (whether func or ac) first attained</t>
  </si>
  <si>
    <t>YPMAD_AcAge_AcL2Maths</t>
  </si>
  <si>
    <t>AcAge_AcL2Maths</t>
  </si>
  <si>
    <t>Academic age at which L2 Maths (academic) first attained</t>
  </si>
  <si>
    <t>YPMAD_AcAge_FuncAcL2EM</t>
  </si>
  <si>
    <t>AcAge_FuncAcL2EM</t>
  </si>
  <si>
    <t>Academic age at which both L2 English and maths (whether func or ac) held</t>
  </si>
  <si>
    <t>YPMAD_AcAge_AcL2EM</t>
  </si>
  <si>
    <t>AcAge_AcL2EM</t>
  </si>
  <si>
    <t>Academic age at which both academic L2 English and maths held</t>
  </si>
  <si>
    <t>YPMAD_AcAge_L2incFuncAcEM</t>
  </si>
  <si>
    <t>AcAge_L2incFuncAcEM</t>
  </si>
  <si>
    <t>Academic age at which L2 overall and both (academic or functional) L2 English and maths held</t>
  </si>
  <si>
    <t>YPMAD_AcAge_L2incAcEM</t>
  </si>
  <si>
    <t>AcAge_L2incAcEM</t>
  </si>
  <si>
    <t>Academic age at which L2 overall and both academic L2 English and maths held</t>
  </si>
  <si>
    <t>Longitudinal ILR Learners table</t>
  </si>
  <si>
    <t>Field</t>
  </si>
  <si>
    <t>Type</t>
  </si>
  <si>
    <t>Length</t>
  </si>
  <si>
    <t>Nullable</t>
  </si>
  <si>
    <t>Years available</t>
  </si>
  <si>
    <t>Codes</t>
  </si>
  <si>
    <t>external_id</t>
  </si>
  <si>
    <t>bigint</t>
  </si>
  <si>
    <t>NULL</t>
  </si>
  <si>
    <t>Combination of learner, provider, year and dataset_id. Use to define a learner in the ILR. Joins the aims and learner files together.</t>
  </si>
  <si>
    <t>All Years</t>
  </si>
  <si>
    <t>na</t>
  </si>
  <si>
    <t>Year</t>
  </si>
  <si>
    <t>varchar</t>
  </si>
  <si>
    <t>NOT NULL</t>
  </si>
  <si>
    <t>Academic year start</t>
  </si>
  <si>
    <t>2002 = 2002/03 and so on</t>
  </si>
  <si>
    <t>Academic year</t>
  </si>
  <si>
    <t>dataset_identifier</t>
  </si>
  <si>
    <t>Source dataset for the record</t>
  </si>
  <si>
    <t>learner_id</t>
  </si>
  <si>
    <t>Learner reference number</t>
  </si>
  <si>
    <t>upin_anon</t>
  </si>
  <si>
    <t>int</t>
  </si>
  <si>
    <t xml:space="preserve"> old provider reference number. This variable has been pseudonymised in line with the impact of COVID19 on DfE data sharing (See COVID19 Impact worksheet) and/or the requirements of Digital Economy Act in relation to a body corporate.</t>
  </si>
  <si>
    <t>ukprn_anon</t>
  </si>
  <si>
    <t xml:space="preserve"> provider reference number. This variable has been pseudonymised in line with the impact of COVID19 on DfE data sharing (See COVID19 Impact worksheet) and/or the requirements of Digital Economy Act in relation to a body corporate.</t>
  </si>
  <si>
    <t>PriorPstCode</t>
  </si>
  <si>
    <t>Postcode prior to learning (used in SFR counts)</t>
  </si>
  <si>
    <t>CurrentPstCode</t>
  </si>
  <si>
    <t>Learner's current postcode</t>
  </si>
  <si>
    <t>Sex</t>
  </si>
  <si>
    <t>F = Female 
M = Male</t>
  </si>
  <si>
    <t>smallint</t>
  </si>
  <si>
    <t>Ethnicity of the learner</t>
  </si>
  <si>
    <t xml:space="preserve">31 = English / Welsh / Scottish / Northern Irish / British
32 = Irish
33 = Gypsy or Irish Traveller 
34 = Any Other White background
35 = White and Black Caribbean
36 = White and Black African
37 = White and Asian
38 = Any Other Mixed / multiple ethnic background
39 = Indian
40 = Pakistani 
41 = Bangladeshi
42 = Chinese
43 = Any other Asian background
44 = African
45 = Caribbean
46 = Any other Black / African / Caribbean background
47 = Arab
98 = Any other ethnic group
99 = Not provided   Ethnicity Ethnicity_Desc
-1 Missing (Not Applicable/ Not Known)
1 Bangladeshi
2 Black African
3 Black Caribbean
4 Black Other
5 Chinese
6 Indian
7 Pakistani
8 White
9 Other Asian
11 Asian or Asian British – Bangladeshi
12 Asian or Asian British – Indian
13 Asian or Asian British – Pakistani
14 Asian or Asian British – any other Asian background
15 Black or Black British – African
16 Black or Black British – Caribbean
17 Black or Black British – any other Black background
18 Chinese
19 Mixed - White and Asian
20 Mixed - White and Black African
21 Mixed - White and Black Caribbean
22 Mixed - any other Mixed background
23 White – British
24 White – Irish
25 White - any other White background
</t>
  </si>
  <si>
    <t>AcAge</t>
  </si>
  <si>
    <t>Academic age (31st Aug of the academic year)</t>
  </si>
  <si>
    <t>LLDD</t>
  </si>
  <si>
    <t>LLDD and health problem</t>
  </si>
  <si>
    <t xml:space="preserve">-1 = Missing (Not Applicable/ Not Known)
1  = Learner Considers Himself Or Herself To Have A Learning Difficulty and/or Disability and/or Health Problem
2  = Learner Does Not Consider Himself Or Herself To Have A Learning Difficulty and/or Disability and/or Health Problem
9  = No Information Provided By The Learner
</t>
  </si>
  <si>
    <t>LLDD_Detail</t>
  </si>
  <si>
    <t>Primary LLDD category</t>
  </si>
  <si>
    <t>-1  Missing/Not Applicable
0  More than one learning difficult or disability and no primary one specified
1  Emotional/behavioural difficulties 
2  Multiple disabilities 
3  Multiple learning difficulties 
4  Visual impairment 
5  Hearing impairment 
6  Disability affecting mobility 
7  Profound complex disabilities 
8  Social and emotional difficulties 
9  Mental health difficulty 
10  Moderate learning difficulty 
11  Severe learning difficulty 
12  Dyslexia 
13  Dyscalculia 
14  Autism spectrum disorder 
15  Asperger’s syndrome 
16  Temporary disability after illness (for example post-viral) or accident 
93  Other physical disability 
94  Other specific learning difficulty (e.g. Dyspraxia) 
95  Other medical condition (for example epilepsy, asthma, diabetes) 
96  Other learning difficulty 
97  Other disability 
98  Prefer not to say 
99      Not provided</t>
  </si>
  <si>
    <t>Detailed disability category</t>
  </si>
  <si>
    <t>-1 = Missing (Not Applicable/ Not Known)
01 = Visual Impairment
02 = Hearing Impairment
03 = Disability Affecting Mobility
04 = Other Physical Disability
05 = Other Medical Condition (For Example Epilepsy, Asthma, Diabetes)
06 = Emotional/Behavioural Difficulties
07 = Mental Health difficulty
08 = Temporary Disability After Illness (For Example Post-Viral) or accident
09 = Profound Complex Disabilities
10 = Asperger's syndrome
90 = Multiple Disabilities
97 = Other
98 = No Disability
99 = Not Known/Information Not Provided</t>
  </si>
  <si>
    <t>LearnDiff</t>
  </si>
  <si>
    <t>Detailed learning difficulty category</t>
  </si>
  <si>
    <t>-1 = Missing (Not Applicable/ Not Known)
01 = Moderate Learning Difficulty
02 = Severe Learning Difficulty
10 = Dyslexia
11 = Dyscalculia
19 = Other Specific Learning Difficulty
20 = Autism spectrum disorder
90 = Multiple Learning Difficulties
97 = Other
98 = No Learning Difficulty
99 = Not Known/Information Not Provided</t>
  </si>
  <si>
    <t>L_FEFUND</t>
  </si>
  <si>
    <t>Sources of funding for the learner</t>
  </si>
  <si>
    <t>0  = Eligible for EFA/Skills Funding Agency formula funding but generates no Funding
1  = EFA/Skills Funding Agency Formula Funding
2  = EFA/Skills Funding Agency Non Formula funding
3  = No EFA/Skill Agency Funding Financed by 24+ advanced learning loan
4  = ESF co-finance for the learning aim.
9  = No EFA/Skill Funding Agency funding and not financed by 24+ advanced learning loan
-1 = Not Applicable / Not Known</t>
  </si>
  <si>
    <t>L_FullLevel2</t>
  </si>
  <si>
    <t>Learner's Full Level 2</t>
  </si>
  <si>
    <t>1=FL2 participation</t>
  </si>
  <si>
    <t>L_FullLevel3</t>
  </si>
  <si>
    <t>Learner's Full Level 3</t>
  </si>
  <si>
    <t>1=FL3 participation</t>
  </si>
  <si>
    <t>L_FullLevel2Ach</t>
  </si>
  <si>
    <t>Learner's Full Level 2 Achievement</t>
  </si>
  <si>
    <t>1=FL2 achievement</t>
  </si>
  <si>
    <t>L_FullLevel3Ach</t>
  </si>
  <si>
    <t>Learner's Full Level 3 Achievement</t>
  </si>
  <si>
    <t>1=FL3 achievement</t>
  </si>
  <si>
    <t>PriorAttain</t>
  </si>
  <si>
    <t>Prior Attainment</t>
  </si>
  <si>
    <t>"-1  = Not applicable/Not Known
1   = Level 1
2   = Full Level 2
3   = Full Level 3
4   = Level 4
5   = Level 5 and above
7   = Other QualIfications Below Level 1
9   = Entry Level
10 = Level 4
11 = Level 5
12 = Level 6
13 = Level 7 and above
97 = Other QualIfication, Level Not Known
98 = Not Known
99 = No QualIfications"</t>
  </si>
  <si>
    <t>ALSCost</t>
  </si>
  <si>
    <t>Learning support cost</t>
  </si>
  <si>
    <t>L_OLASS</t>
  </si>
  <si>
    <t>OLASS Learner</t>
  </si>
  <si>
    <t>"1  = OLASS learner in custody
2  = OLASS learner in the community
3  = OLASS learner in custody and in the community
9  = Not an OLASS learner
-1 = Missing not known"</t>
  </si>
  <si>
    <t>RECORDID</t>
  </si>
  <si>
    <t>identifier to join to LEO - can use it to get AE_id, which then joins to edukey,PMR etc</t>
  </si>
  <si>
    <t>AppParticipant</t>
  </si>
  <si>
    <t>A flag to indicate whether a learner was an apprenticeship participant in the year.</t>
  </si>
  <si>
    <t>0 = Not an apprenticeship participant in the year
1 = Apprenticeship participant in the year</t>
  </si>
  <si>
    <t>OA_Code</t>
  </si>
  <si>
    <t>Census Output Area code derived from the learners home postcode</t>
  </si>
  <si>
    <t>LSOA</t>
  </si>
  <si>
    <t>Lower-Super Output Area derived from the learners home postcode</t>
  </si>
  <si>
    <t>LA9_Anon</t>
  </si>
  <si>
    <t>varbinary</t>
  </si>
  <si>
    <t>Masked Local Authority 9 code derived from the learners home postcode. This variable has been pseudonymised in line with the impact of COVID19 on DfE data sharing (See COVID19 Impact worksheet) and/or the requirements of Digital Economy Act in relation to a body corporate.</t>
  </si>
  <si>
    <t>GOR</t>
  </si>
  <si>
    <t>Region code derived from the learners home postcode</t>
  </si>
  <si>
    <t>Longitudinal ILR Aims table</t>
  </si>
  <si>
    <t xml:space="preserve">	AcademicYear</t>
  </si>
  <si>
    <t xml:space="preserve">	dataset_identifier</t>
  </si>
  <si>
    <t>All years</t>
  </si>
  <si>
    <t xml:space="preserve">	learner_id</t>
  </si>
  <si>
    <t xml:space="preserve">	upin_anon</t>
  </si>
  <si>
    <t>Masked old provider reference number. This variable has been pseudonymised in line with the impact of COVID19 on DfE data sharing (See COVID19 Impact worksheet) and/or the requirements of Digital Economy Act in relation to a body corporate.</t>
  </si>
  <si>
    <t xml:space="preserve">	ukprn_anon</t>
  </si>
  <si>
    <t>Masked provider reference number. This variable has been pseudonymised in line with the impact of COVID19 on DfE data sharing (See COVID19 Impact worksheet) and/or the requirements of Digital Economy Act in relation to a body corporate.</t>
  </si>
  <si>
    <t xml:space="preserve">	external_id</t>
  </si>
  <si>
    <t xml:space="preserve">	sequence_index</t>
  </si>
  <si>
    <t>Aim sequence number</t>
  </si>
  <si>
    <t xml:space="preserve">	learning_aim_id</t>
  </si>
  <si>
    <t>Learning aim reference code</t>
  </si>
  <si>
    <t xml:space="preserve">	RECORDID</t>
  </si>
  <si>
    <t>LEO RECORD ID</t>
  </si>
  <si>
    <t xml:space="preserve">	framework_id</t>
  </si>
  <si>
    <t>Apprenticeship framework code</t>
  </si>
  <si>
    <t>See detailed raw ILR codes</t>
  </si>
  <si>
    <t xml:space="preserve">	pathway_id</t>
  </si>
  <si>
    <t>Apprenticeship pathway code</t>
  </si>
  <si>
    <t>2012 onwards</t>
  </si>
  <si>
    <t>Codes on Lars https://hub.fasst.org.uk/Learning%20Aims/Downloads/Pages/default.aspx</t>
  </si>
  <si>
    <t xml:space="preserve">	Standard_id</t>
  </si>
  <si>
    <t>Apprenticeship standard code</t>
  </si>
  <si>
    <t>2014 onwards</t>
  </si>
  <si>
    <t xml:space="preserve">	WPLProv</t>
  </si>
  <si>
    <t>Workplace learning provision indicator</t>
  </si>
  <si>
    <t>2013 to 2015</t>
  </si>
  <si>
    <t>-1 = Missing (Not Applicable/ Not Known)
0  = The learning aim is not Workplace learning
1  = The learning aim is Workplace learning</t>
  </si>
  <si>
    <t xml:space="preserve">	SOF</t>
  </si>
  <si>
    <t>Source of funding</t>
  </si>
  <si>
    <t>1      = HEFCE
105 = Skills Funding Agency
107 = Education Funding Agency (EFA)
108 = Local authority (Community Learning funds)
110 = Unassigned
111 = Unassigned
112 = Unassigned
113 = Unassigned
114 = Unassigned
115 = Unassigned
116 = Unassigned
117 = Unassigned
118 = Unassigned
119 = Unassigned
120 = Unassigned
998 = Other
999 = None - No Sources Other Than Tuition Fees</t>
  </si>
  <si>
    <t xml:space="preserve">	AgeAimStart</t>
  </si>
  <si>
    <t>Age at the start of the learning aim</t>
  </si>
  <si>
    <t xml:space="preserve">	AgeProgStart</t>
  </si>
  <si>
    <t>age at the start of the programme</t>
  </si>
  <si>
    <t>2013 onwards</t>
  </si>
  <si>
    <t xml:space="preserve">	programme_type</t>
  </si>
  <si>
    <t>Programme type</t>
  </si>
  <si>
    <t>-1 = Not Applicable/Not Known
2   = Advanced-level Apprenticeship
3   = Intermediate-level Apprenticeship
10 = Higher Apprenticeship (not valid for new starts on or after 1 August 2011)
15 = Diploma - Level 1 (foundation)
16 = Diploma - Level 2 (higher)
17 = Diploma - Level 3 (progression)
18 = Diploma - Level 3 (advanced)
20 = Higher Apprenticeship - level 4
21 = Higher Apprenticeship - level 5
22 = Higher Apprenticeship - level 6
23 = Higher Apprenticeship - level 7+
24 =Traineeship
25 =Apprenticeship Trailblazer
99 = None Of The Above</t>
  </si>
  <si>
    <t xml:space="preserve">	AimType</t>
  </si>
  <si>
    <t>Aim type</t>
  </si>
  <si>
    <t xml:space="preserve">1 = Programme Aim
3 = Component learning aim within a programme
4 = Learning aim that is not part of a programme
5 = Core aim – EFA funded learning aims only
30 = Old - standard learning aim
35 = Old - programme aim
null = Old framework aim
</t>
  </si>
  <si>
    <t xml:space="preserve">	FundModel</t>
  </si>
  <si>
    <t>Funding model</t>
  </si>
  <si>
    <t xml:space="preserve">-1 Missing (Not Applicable/Not Known)
10 Community Learning
21 16-18 Learner Responsive Provision
22 Adult Learner Responsive Provision
25 16-19 EFA funding
35 Adult skills funding
45 Employer Responsive Provision
46 Employer Responsive funded main aim as part of an apprenticeship programme
70 ESF funded (co-financed by the Skills Funding Agency)
80 Other LSC funding (valid only for learning aims starting before 1 August 2010)
81 Other Skills Funding Agency funding model
82 Other YPLA funding model
99 No Skills Funding Agency or YPLA funding for this learning aim
</t>
  </si>
  <si>
    <t xml:space="preserve">	L_fund</t>
  </si>
  <si>
    <t>Source of funding for the learner</t>
  </si>
  <si>
    <t xml:space="preserve">	D_fund</t>
  </si>
  <si>
    <t>Source of funding for the aim</t>
  </si>
  <si>
    <t>2009 onwards</t>
  </si>
  <si>
    <t xml:space="preserve">	NotionalNVQLev</t>
  </si>
  <si>
    <t>decimal</t>
  </si>
  <si>
    <t>18, 0</t>
  </si>
  <si>
    <t xml:space="preserve">Notional NVQ Level for the </t>
  </si>
  <si>
    <t>0  = Entry Level
1  = Level 1
2  = Level 2
3  = Level 3
4  = Level 4
5  = Level 5
6  = Higher Level
9  = Other Level
-1 = Not Known</t>
  </si>
  <si>
    <t xml:space="preserve">	ASL</t>
  </si>
  <si>
    <t>Community learning provision type</t>
  </si>
  <si>
    <t>2008 onwards</t>
  </si>
  <si>
    <t>-1 = Not applicable/Not Known
0   = Community Learning type not specified
1   = Personal and community development learning
2   = Neighbour learning in deprived communities
3   = Family English Maths and Language
4   = Wider family learning</t>
  </si>
  <si>
    <t xml:space="preserve">	start_date</t>
  </si>
  <si>
    <t>date</t>
  </si>
  <si>
    <t>Start date</t>
  </si>
  <si>
    <t xml:space="preserve">	end_date_expected</t>
  </si>
  <si>
    <t>Planned end date</t>
  </si>
  <si>
    <t xml:space="preserve">	end_date</t>
  </si>
  <si>
    <t>actual end date</t>
  </si>
  <si>
    <t xml:space="preserve">	Compstatus</t>
  </si>
  <si>
    <t>completion status</t>
  </si>
  <si>
    <t>1 = The learner is continuing or intending to continue the learning activities leading to the learning aim
2 = The learner has completed the learning activities leading to the learning aim
3 = The learner has withdrawn from the learning activities leading to the learning aim
4 = The learner has transferred to a new learning aim. That is, the learner has withdrawn from this learning aim and as a direct result has at the same time started studying for another learning aim within the same provider
6 = Learner has temporarily withdrawn from the aim due to an agreed break in learning</t>
  </si>
  <si>
    <t xml:space="preserve">	outcome</t>
  </si>
  <si>
    <t>outcome for the learning aim</t>
  </si>
  <si>
    <t>1 = Achieved (non AS-level aims)
2 = Partial Achievement
3 = No Achievement
4 = Exam Taken/ Assessment Completed But Result Not Yet Known
5 = Learning Activities Are Complete But The Exam Has Not Yet Been Taken And There Is An Intention To Take The Exam/Assessment
6 = Achieved but uncashed (AS-levels only)
7 = Achieved and cashed (AS-levels only)
8 = Learning activities are complete but the outcome is not yet known
9 = Study Continuing</t>
  </si>
  <si>
    <t xml:space="preserve">	outcome_grade</t>
  </si>
  <si>
    <t>grade</t>
  </si>
  <si>
    <t xml:space="preserve">	Achievement_date</t>
  </si>
  <si>
    <t>achievement date</t>
  </si>
  <si>
    <t xml:space="preserve">	FFI</t>
  </si>
  <si>
    <t xml:space="preserve">	EmployerID_Anon</t>
  </si>
  <si>
    <t>Employer ID code. This variable has been pseudonymised in line with the impact of COVID19 on DfE data sharing (See COVID19 Impact worksheet) and/or the requirements of Digital Economy Act in relation to a body corporate.</t>
  </si>
  <si>
    <t xml:space="preserve">	LDM_1</t>
  </si>
  <si>
    <t>Learning delivery and monitoring codes</t>
  </si>
  <si>
    <t xml:space="preserve">	LDM_2</t>
  </si>
  <si>
    <t xml:space="preserve">	LDM_3</t>
  </si>
  <si>
    <t xml:space="preserve">	LDM_4</t>
  </si>
  <si>
    <t xml:space="preserve">	delivery_postcode</t>
  </si>
  <si>
    <t xml:space="preserve">Postcode for the delivery location of the learning </t>
  </si>
  <si>
    <t xml:space="preserve">	SFL</t>
  </si>
  <si>
    <t>float</t>
  </si>
  <si>
    <t>English and maths (skills for life) indicator</t>
  </si>
  <si>
    <t>-1 = NA
0  = No
1  = Yes</t>
  </si>
  <si>
    <t xml:space="preserve">	SFL_P</t>
  </si>
  <si>
    <t>English and maths (skills for life) provision indicator</t>
  </si>
  <si>
    <t>-1 = Missing (Not Applicable/ Not Known)
1  = Yes 
0  = No</t>
  </si>
  <si>
    <t xml:space="preserve">	SFL_Type</t>
  </si>
  <si>
    <t>English and maths (skills for life) type</t>
  </si>
  <si>
    <t>-1 = Not App/Known
1  = Literacy 
2  = Numeracy
3  = Language
4  = Other
9  = Not App</t>
  </si>
  <si>
    <t xml:space="preserve">	FL2Width</t>
  </si>
  <si>
    <t>numeric</t>
  </si>
  <si>
    <t>12, 2</t>
  </si>
  <si>
    <t>the learning aims percentage contribution to a Full Level 2</t>
  </si>
  <si>
    <t>2007 onwards</t>
  </si>
  <si>
    <t xml:space="preserve">	FL3Width</t>
  </si>
  <si>
    <t>the learning aims percentage contribution to a Full Level 3</t>
  </si>
  <si>
    <t xml:space="preserve">	FL2AchWidth</t>
  </si>
  <si>
    <t>the learning aims percentage contribution to a Full Level 2 achievement</t>
  </si>
  <si>
    <t xml:space="preserve">	FL3AchWidth</t>
  </si>
  <si>
    <t>the learning aims percentage contribution to a Full Level 3 achievement</t>
  </si>
  <si>
    <t xml:space="preserve">	AimTitle</t>
  </si>
  <si>
    <t>Title of the learning aim</t>
  </si>
  <si>
    <t xml:space="preserve">	SFL_finetype</t>
  </si>
  <si>
    <t>2004 onwards</t>
  </si>
  <si>
    <t>-1   = Unknown
-2   = Not Applicable
1   = Certificate in Adult Literacy
2   = Certificate in Adult Numeracy.
11 = GCSE in English Language
12 = GCSE in Maths
13 = Key Skill in Communication
14 = Key Skill in Application of Number
18 = Other Skills for Life aims that are not specifically identifiable as literacy, numeracy or ESOL
19 = Functional Skills in Mathematics
20 = Functional Skills in English
21 = Units of the Certificate in Adult Numeracy
22 = Units of the Certificate in ESOL Skills For Life
23 = Units of the Certificate in Adult Literacy
24 = Non-NQF/QCF Skills For Life Literacy (including continuing Ufi learners from 2009/10)
25 = Non-NQF/QCF Skills For Life Numeracy (including continuing Ufi learners from 2009/10)
26 = Non-NQF/QCF Skills For Life ESOL (including continuing Ufi learners from 2009/10)
27 = Certificate in ESOL Skills For Life
28 = Certificate in ESOL Skills For Life (Speaking &amp; Listening)
29 = QCF Basic Skills English Language
30 = QCF Basic Skills Maths
31 = Units of QCF Basic Skills English Language
32 = Units of QCF Basic Skills Maths
33 = International GCSE in English Language
34 = International GCSE in Mathematics
35 = Free-Standing Mathematics qualification (Foundation and Intermediate Levels)</t>
  </si>
  <si>
    <t xml:space="preserve">	QualificationType</t>
  </si>
  <si>
    <t>nvarchar</t>
  </si>
  <si>
    <t>Type of learning aim - more codes will be on LARS, these are the codes available in recent years.</t>
  </si>
  <si>
    <t>0001 = GCE AS level
0002 = GCE A level
0003 = GCSE
0004 = Access Certificate
0006 = Diploma
0009 = Advanced Certificate
0016 = Certificate
0017 = National Diploma
0020 = Technician Certificate (Final)
0024 = Higher Diploma
0025 = Licentiateship
0028 = First Certificate
0029 = First Diploma
0030 = National Certificate
0031 = HNC
0032 = HND
0033 = BTEC/EDEXCEL Professional Development Qualification
0036 = NVQ
0040 = Graded Music Exams 1-8
0059 = Associate Diploma
0060 = Licentiate Diploma
0061 = Membership
0064 = Associateship
0065 = Postgraduate Certificate
0066 = Fellowship
0071 = Graduate Diploma
0073 = Certificate of Competence
0075 = Associate
0076 = Licentiate
0084 = Higher Certificate
0086 = Introductory Certificate
0111 = Professional Diploma
0117 = Advanced Diploma
0125 = Postgraduate Diploma
0128 = Intermediate Certificate
0146 = Technician
0385 = Graduateship
0393 = MMus Performance Degree
0394 = BMus Performance Degree
1077 = Teachers Diploma
1327 = NVQ/GNVQ Key Skills Unit
1328 = NVQ/GNVQ Language Unit
1401 = International Baccalaureate
1407 = LLB
1409 = BEd
1410 = MEd
1413 = GCE A2 Level
1419 = Advanced Extension Award
1420 = Free Standing Mathematics Qualifications
1421 = Edexcel National Award
1422 = GCSEs in Vocational Subjects
1423 = Edexcel First Diploma (new syllabus)
1424 = Edexcel National Certificate (new syllabus)
1425 = Edexcel National Diploma (new syllabus)
1426 = Introductory Diploma
1428 = National Extended Diploma
1430 = GCE Applied A Level
1431 = GCE Applied A Level (Double Award)
1432 = GCE Applied AS Level
1433 = GCE Applied AS Level (Double Award)
1434 = GCE Applied A2
1435 = GCE Applied A2 (Double Award)
1436 = Conversion Class Code
1437 = Employability Award
1439 = Functional Skills
1440 = Access to Higher Education Diploma (from 2007)
1442 = Diploma (14-19)
1443 = Diploma (14-19) Template/Catalogue aim
1444 = Principal Learning within Diploma (14-19)
1445 = Project/Extended Project within Diploma (14-19)
1446 = Pre-U Certificate
1447 = Pre-U Diploma
1448 = QCF Units
1449 = Diploma in Teaching for the Lifelong Learning Sector (DTLLS)
1450 = Preparing to Teach in the Lifelong Learning Sector (PTLLS)
1451 = Certificate in Teaching in the Lifelong Learning Sector (CTLLS)
1452 = Award
1453 = GCE A Level (with GCE Advanced Subsidiary)
1454 = Higher National Certificate to Higher National Diploma (HNC to HND) Conversion Code
1455 = Edexcel First Extended Certificate (2012 onwards)
1457 = Certificate in Education and Training (36 credits, HEI approved)
1458 = Certificate in Education and Training (36 credits, HEI approved)
1459 = Diploma in Education and Training (45 credits, HEI approved)
1460 = Access to Higher Education Diploma (from 2014 onwards)
2001 = MA
2999 = Short Course GCSE
4342 = Other
6001 = Foundation Degree Bridging Course
6002 = Bachelors Degree (Not BA;BSc;BEng;BEd)
6003 = Enhanced First Degree (Not MA;MSc)
6004 = Postgraduate Diploma in Education
8001 = Schedule 2(j) course
8002 = Schedule 2(g) course
8004 = Schedule 2(e) course
8007 = Long Term Residential College Course
8008 = Second Stage Unitisation Pilot
8009 = Unitisation Provision
8010 = Short Course
8011 = Diagnostic Test
9000 = BA
9001 = University Certificate
9002 = BSc
9006 = Certificate of Proficiency
9007 = Fellowship Diploma
9101 = MSc
9103 = PGCE (Post Graduate Certificate in Education)
9107 = BEng
9109 = MBA
9110 = Foundation Degree
9111 = Certificate of Education (CertEd)
9112 = Diploma of Higher Education (DipHE)
9114 = LLM
9115 = Professional Graduate Certificate in Education
E007 = First Degree
X901 = NVQ/GNVQ additional units</t>
  </si>
  <si>
    <t xml:space="preserve">	FL2_Cat</t>
  </si>
  <si>
    <t xml:space="preserve">	FL2_Pct</t>
  </si>
  <si>
    <t xml:space="preserve">	FL3_Cat</t>
  </si>
  <si>
    <t xml:space="preserve">	FL3_Pct</t>
  </si>
  <si>
    <t xml:space="preserve">	D_OLASS</t>
  </si>
  <si>
    <t>OLASS aim</t>
  </si>
  <si>
    <t>1  = OLASS learner in custody
2  = OLASS learner in the community
3  = OLASS learner in custody and in the community
9  = Not an OLASS learner
-1 = Missing not known</t>
  </si>
  <si>
    <t xml:space="preserve">	D_LeaveAcMnth</t>
  </si>
  <si>
    <t>Period/Academic month of leaving</t>
  </si>
  <si>
    <t>`-99 = Before 1 August  2014
1     = Period 1
2     = Period 2
3     = Period 3
4     = Period 4
5     = Period 5
6     = Period 6
7     = Period 7
8     = Period 8
9     = Period 9
10   = Period 10
11   = Period 11
12   = Period 12
50   = Continuing
99   = After 31 July 2015</t>
  </si>
  <si>
    <t xml:space="preserve">	ESF_Cofinance</t>
  </si>
  <si>
    <t>ESF cofinanced aim. Included in other funding variables after 2008</t>
  </si>
  <si>
    <t>2002 to 2008</t>
  </si>
  <si>
    <t xml:space="preserve">	A_Status</t>
  </si>
  <si>
    <t>Old apprenticeship completion and achievement indicator</t>
  </si>
  <si>
    <t>up to 2007</t>
  </si>
  <si>
    <t xml:space="preserve">	D_AccToAppEmpd</t>
  </si>
  <si>
    <t>Access to apprenticeship indicator</t>
  </si>
  <si>
    <t>2011 onwards</t>
  </si>
  <si>
    <t xml:space="preserve">	app</t>
  </si>
  <si>
    <t>Apprenticeship indicator</t>
  </si>
  <si>
    <t>All years - broken for 2002 and 2003</t>
  </si>
  <si>
    <t xml:space="preserve">1= apprenticeship programme aim
0 = not an apprenticeship programme aim
</t>
  </si>
  <si>
    <t xml:space="preserve">	CL</t>
  </si>
  <si>
    <t>Community Learning indicator</t>
  </si>
  <si>
    <t xml:space="preserve">1= Community learning aim
0 = not a community learning aim
</t>
  </si>
  <si>
    <t xml:space="preserve">	WPL</t>
  </si>
  <si>
    <t>Workplace learning indicator</t>
  </si>
  <si>
    <t xml:space="preserve">1= Workplace learning aim aim
0 = not a workplace learning aim
</t>
  </si>
  <si>
    <t xml:space="preserve">	CBL</t>
  </si>
  <si>
    <t>classroom learning indicator (education and training)</t>
  </si>
  <si>
    <t xml:space="preserve">	Traineeship</t>
  </si>
  <si>
    <t>Traineeship indicator</t>
  </si>
  <si>
    <t xml:space="preserve">	Notional_Level</t>
  </si>
  <si>
    <t>Notional Level for all aims (including apprenticeships)</t>
  </si>
  <si>
    <t xml:space="preserve">	SSATier1</t>
  </si>
  <si>
    <t>Sector subject area tier 1</t>
  </si>
  <si>
    <t>1   = Health, Public Services and Care
2   = Science and Mathematics
3   = Agriculture, Horticulture and Animal Care
4   = Engineering and Manufacturing Technologies
5   = Construction, Planning and the Built Environment
6   = Information and Communication Technology
7   = Retail and Commercial Enterprise
8   = Leisure, Travel and Tourism
9   = Arts, Media and Publishing
10 = History, Philosophy and Theology
11 = Social Sciences
12 = Languages, Literature and Culture
13 = Education and Training
14 = Preparation for Life and Work
15 = Business, Administration and Law
98 = Unknown
99 = Not Applicable</t>
  </si>
  <si>
    <t xml:space="preserve">	SSATier2</t>
  </si>
  <si>
    <t>Sector subject area tier 2</t>
  </si>
  <si>
    <t>1      = Health, Public Services and Care
1.1   = Medicine and Dentistry
1.2   = Nursing and Subjects and Vocations Allied to Medicine
1.3   = Health and Social Care
1.4   = Public Services
1.5   = Child Development and Well Being
2      = Science and Mathematics
2.1   = Science
2.2   = Mathematics and Statistics
3      = Agriculture, Horticulture and Animal Care
3.1   = Agriculture
3.2   = Horticulture and Forestry
3.3   = Animal Care and Veterinary Science
3.4   = Environmental Conservation
4      = Engineering and Manufacturing Technologies
4.1   = Engineering
4.2   = Manufacturing Technologies
4.3   = Transportation Operations and Maintenance
5      = Construction, Planning and the Built Environment
5.1   = Architecture
5.2   = Building and Construction
5.3   = Urban, Rural and Regional Planning
6      = Information and Communication Technology
6.1   = ICT Practitioners
6.2   = ICT for Users
7      = Retail and Commercial Enterprise
7.1   = Retailing and Wholesaling
7.2   = Warehousing and Distribution
7.3   = Service Enterprises
7.4   = Hospitality and Catering
8      = Leisure, Travel and Tourism
8.1   = Sport, Leisure and Recreation
8.2   = Travel and Tourism
9      = Arts, Media and Publishing
9.1   = Performing Arts
9.2   = Crafts, Creative Arts and Design
9.3   = Media and Communication
9.4   = Publishing and Information Services
10    = History, Philosophy and Theology
10.1 = History
10.2 = Archaeology and Archaeological Sciences
10.3 = Philosophy
10.4 = Theology and Religious Studies
11    = Social Sciences
11.1 = Geography
11.2 = Sociology and Social Policy
11.3 = Politics
11.4 = Economics
11.5 = Anthropology
12    = Languages, Literature and Culture
12.1 = Languages, Literature and Culture of the British Isles
12.2 = Other Languages, Literature and Culture
12.3 = Linguistics
13    = Education and Training
13.1 = Teaching and Lecturing
13.2 = Direct Learning Support
14    = Preparation for Life and Work
14.1 = Foundations for Learning and Life
14.2 = Preparation for Work
15    = Business, Administration and Law
15.1 = Accounting and Finance
15.2 = Administration
15.3 = Business Management
15.4 = Marketing and Sales
15.5 = Law and Legal Services
98    = Unknown
99 Not Applicable</t>
  </si>
  <si>
    <t xml:space="preserve">	Funded_SFR</t>
  </si>
  <si>
    <t>Aim is undertaken by a learner funded by ESFA (SFR funded definition)</t>
  </si>
  <si>
    <t xml:space="preserve">1= funded
0 = not funded
</t>
  </si>
  <si>
    <t xml:space="preserve">	Funded_aim</t>
  </si>
  <si>
    <t>Aim is funded by ESFA</t>
  </si>
  <si>
    <t xml:space="preserve">	active</t>
  </si>
  <si>
    <t>Aim is in learning in the academic year</t>
  </si>
  <si>
    <t xml:space="preserve">1= active
0 = not active
</t>
  </si>
  <si>
    <t xml:space="preserve">	start</t>
  </si>
  <si>
    <t>Aim started in the academic year</t>
  </si>
  <si>
    <t xml:space="preserve">1= start
0 = not a start
</t>
  </si>
  <si>
    <t xml:space="preserve">	completion</t>
  </si>
  <si>
    <t>Aim is completed in the academic year</t>
  </si>
  <si>
    <t xml:space="preserve">1= completion
0 = not a completion
</t>
  </si>
  <si>
    <t xml:space="preserve">	achievement</t>
  </si>
  <si>
    <t>Aim is achieved in the academic year</t>
  </si>
  <si>
    <t xml:space="preserve">1= achieved
0 = not achieved
</t>
  </si>
  <si>
    <t xml:space="preserve">	enrolment</t>
  </si>
  <si>
    <t>Aim is counted as in scope in official statistics (exludes component aims)</t>
  </si>
  <si>
    <t xml:space="preserve">1= enrolment
0 = not an enrolment
</t>
  </si>
  <si>
    <t xml:space="preserve">	Notional_Level_v2</t>
  </si>
  <si>
    <t>Notional Level V2 for all aims including apprenticeships. This is derived from the LARS file for each academic year (so a qualification aim in 2007/08 is matched to the notional_levelv2 value in the 2007/08 LARS file)</t>
  </si>
  <si>
    <t xml:space="preserve">"0   = Entry Level
1    = Level 1
1.5 = Level 1 / 2
2    = Level 2
3    = Level 3
4    = Level 4
5    = Level 5
6    = Level 6
7    = Level 7
8    = Level 8
9    = Higher Level
-1    = Not Known"
</t>
  </si>
  <si>
    <t xml:space="preserve">	FrameworkApp</t>
  </si>
  <si>
    <t>Aim is a framework apprenticeship</t>
  </si>
  <si>
    <t>0 = Not a framework apprenticeship
1 = Framework apprenticeship</t>
  </si>
  <si>
    <t xml:space="preserve">	StandardApp</t>
  </si>
  <si>
    <t>Aim is a standard apprenticeship</t>
  </si>
  <si>
    <t>0 = Not an apprenticeship standard
1 = Apprenticeship standard</t>
  </si>
  <si>
    <t xml:space="preserve">	EngMath</t>
  </si>
  <si>
    <t>Is an English &amp; Math aim</t>
  </si>
  <si>
    <t>0 = Not an English and Maths aim
1 = English and Math aim</t>
  </si>
  <si>
    <t xml:space="preserve">	ESOL</t>
  </si>
  <si>
    <t>Is an ESOL aim</t>
  </si>
  <si>
    <t>0 = Not an ESOL aim
1 = ESOL aim</t>
  </si>
  <si>
    <t xml:space="preserve">	FullL2</t>
  </si>
  <si>
    <t>Aim is a full level 2</t>
  </si>
  <si>
    <t>0 = Not a Full Level 2 aim
1 = Full Level 2 aim</t>
  </si>
  <si>
    <t xml:space="preserve">	PartialL2</t>
  </si>
  <si>
    <t>Aim is a GCSE (partial level 2)</t>
  </si>
  <si>
    <t>0 = Not a partial level 2 aim (GCSE)
1 = A partial level 2 aim (GCSE)</t>
  </si>
  <si>
    <t xml:space="preserve">	FullL3</t>
  </si>
  <si>
    <t>Aim is a full level 3</t>
  </si>
  <si>
    <t>0 = Not a Full Level 3 aim
1 = Full Level 3 aim</t>
  </si>
  <si>
    <t xml:space="preserve">	PartialL3</t>
  </si>
  <si>
    <t>Aim is an AS/A Level (partial level 3)</t>
  </si>
  <si>
    <t>0 = Not a partial level 3 aim (GCSE)
1 = A partial level 3 aim (GCSE)</t>
  </si>
  <si>
    <t xml:space="preserve">	Notional_Level_v2_latest</t>
  </si>
  <si>
    <t>Notional Level V2 for all aims including apprenticeships. This is derived from the LARS file for only the latest academic year (so a qualification aim in 2007/08 is matched to the notional_levelv2 value in the 2016/17 LARS file). Where there is no matching aim in the lars file, Notional_Level_V2 is used. This variable makes use of the fact that the later LARS files are much better at allocating accurate levels to level 4+ qualifications.</t>
  </si>
  <si>
    <t>0   = Entry Level
1    = Level 1
1.5 = Level 1 / 2
2    = Level 2
3    = Level 3
4    = Level 4
5    = Level 5
6    = Level 6
7    = Level 7
8    = Level 8
9    = Higher Level
-1    = Not Known</t>
  </si>
  <si>
    <t xml:space="preserve">	SSATier1_Desc</t>
  </si>
  <si>
    <t>Descriptive label for the broad (Tier 1) classification of a learning aim within the Qualification and Curriculum Authority (QCA) SSA classification system</t>
  </si>
  <si>
    <t>Agriculture, Horticulture and Animal Care
Arts, Media and Publishing
Business, Administration, Finance and Law
Construction, Planning and the Built Environment
Education and Training
Engineering and Manufacturing Technologies
Health, Public Services and Care
History, Philosophy and Theology
Information and Communication Technology (ICT)
Languages, Literature and Culture
Leisure, Travel and Tourism
Preparation for Life and Work
Retail and Commercial Enterprise
Science and Mathematics
Social Sciences
Unknown</t>
  </si>
  <si>
    <t xml:space="preserve">	SSATier2_Desc</t>
  </si>
  <si>
    <t>Descriptive label for the more detailed (Tier 2) classification of a learning aim within the QCA SSA classification system</t>
  </si>
  <si>
    <t>Accounting and finance
Administration
Agriculture
Agriculture, Horticulture and Animal Care
Animal care and veterinary science
Anthropology
Archaeology and archaeological sciences
Architecture
Arts, Media and Publishing
Building and construction
Business management
Business, Administration, Finance and Law
Child development and well being
Construction, Planning and the Built Environment
Crafts, creative arts and design
Direct learning support
Economics
Education and Training
Engineering
Engineering and Manufacturing Technologies
Environmental conservation
Foundations for learning and life
Geography
Health and social care
Health, Public Services and Care
History
History, Philosophy and Theology
Horticulture and forestry
Hospitality and catering
ICT for users
ICT practitioners
Information and Communication Technology (ICT)
Languages, Literature and Culture
Languages, literature and culture of the British isles
Law and legal services
Leisure, Travel and Tourism
Linguistics
Manufacturing technologies
Marketing and sales
Mathematics and statistics
Media and communication
Medicine and dentistry
Nursing, and subjects and vocations allied to medicine
Other languages, literature and culture
Performing arts
Philosophy
Politics
Preparation for work
Public services
Publishing and information services
Retail and Commercial Enterprise
Retailing and wholesaling
Science
Science and Mathematics
Service enterprises
Social Sciences
Sociology and social policy
Sport, leisure and recreation
Teaching and lecturing
Theology and religious studies
Transportation operations and maintenance
Travel and tourism
Unknown
Urban, rural and regional planning
Warehousing and distribution</t>
  </si>
  <si>
    <t xml:space="preserve">	LevelOfLearning</t>
  </si>
  <si>
    <t>3, 1</t>
  </si>
  <si>
    <t>Key for the type and level of learning, grouped into mutually exclusive descriptive groups.</t>
  </si>
  <si>
    <t>`-9.0 - Not assigned
0.0 - Other
1.0 - Level 1
2.0 - Level 1 English &amp; Maths
3.0 - Level 1 ESOL
4.0 - Level 2
5.0 - Level 2 English &amp; Maths
6.0 - Level 2 ESOL
7.1 - Traineeship
7.2 - Partial level 2 (towards full)
7.3 - Full level 2
7.5 - Level 2 Apprenticeship
8.0 - Level 3 Other
9.0 - Partial level 3 (towards full)
9.1 - Full level 3
9.5 - Level 3 Apprenticeship
10.1 - Level 4
10.1 - Level 4 Apprenticeship
10.2 - Level 5 Apprenticeship
10.2 - Level 5
10.3 - Level 6+ Apprenticeship
10.3 - Level 6+</t>
  </si>
  <si>
    <t xml:space="preserve">	LevelOfLearning_Desc</t>
  </si>
  <si>
    <t>Descriptive label for the type and level of learning, grouped into mutually exclusive descriptive groups.</t>
  </si>
  <si>
    <t>Not assigned
Other
Level 1
Level 1 English &amp; Maths
Level 1 ESOL
Level 2
Level 2 English &amp; Maths
Level 2 ESOL
Traineeship
Partial level 2 (towards full)
Full level 2
Level 2 Apprenticeship
Level 3 Other
Partial level 3 (towards full)
Full level 3
Level 3 Apprenticeship
Level 4 Apprenticeship
Level 4
Level 5 Apprenticeship
Level 5
Level 6+ Apprenticeship
Level 6+</t>
  </si>
  <si>
    <t xml:space="preserve">	AimRankInYear</t>
  </si>
  <si>
    <t>A ranking of aims undertaken by a learner within an academic year, with higher level and later aims being prioritised.</t>
  </si>
  <si>
    <t>1 … n</t>
  </si>
  <si>
    <t xml:space="preserve">	OnBenefits_AtStart</t>
  </si>
  <si>
    <t>The learner was on benefits at the start of their learning aim.</t>
  </si>
  <si>
    <t>0 = Not on benefits at start of aim
1 = On benefits at start of aim</t>
  </si>
  <si>
    <t xml:space="preserve">	OnUC_AtStart</t>
  </si>
  <si>
    <t>The learner was on universal credit at the start of their learning aim.</t>
  </si>
  <si>
    <t>0 = Not on universal credit at start of aim
1 = On universal credit at start of aim</t>
  </si>
  <si>
    <t xml:space="preserve">	OnJSAESA_AtStart</t>
  </si>
  <si>
    <t>The learner was on JSA or ESA benefits at the start of their learning aim.</t>
  </si>
  <si>
    <t>0 = Not on JSA or ESA at start of aim
1 = On JSA or ESA  at start of aim</t>
  </si>
  <si>
    <t xml:space="preserve">	OnOtherBenefit_AtStart</t>
  </si>
  <si>
    <t>The learner was on any other benefits at the start of their learning aim.</t>
  </si>
  <si>
    <t>0 = Not on any other benefits at start of aim
1 = On any other benefits at start of aim</t>
  </si>
  <si>
    <t xml:space="preserve">	OnBenefits_6MonthPrior</t>
  </si>
  <si>
    <t>An apprenticeship learner who was on benefits 6 months before starting their learning aim.
This flag was designed to align with the definitions used in the publication 'Further education for benefit claimants'.</t>
  </si>
  <si>
    <t>0 = Not on benefits 6 months before aim
1 = On benefits 6 months before aim</t>
  </si>
  <si>
    <t xml:space="preserve">	OnUC_6MonthPrior</t>
  </si>
  <si>
    <t>An apprenticeship learner who was on universal credit 6 months before starting their learning aim.
This flag was designed to align with the definitions used in the publication 'Further education for benefit claimants'.</t>
  </si>
  <si>
    <t>0 = Not on universal credit 6 months before aim
1 = On universal credit 6 months before aim</t>
  </si>
  <si>
    <t xml:space="preserve">	OnJSAESA_6MonthPrior</t>
  </si>
  <si>
    <t>An apprenticeship learner who was on JSA or ESA benefits 6 months before starting their learning aim.
This flag was designed to align with the definitions used in the publication 'Further education for benefit claimants'.</t>
  </si>
  <si>
    <t>0 = Not on JSA or ESA 6 months before aim
1 = On JSA or ESA  6 months before aim</t>
  </si>
  <si>
    <t xml:space="preserve">	OnOtherBenefit_6MonthPrior</t>
  </si>
  <si>
    <t>An apprenticeship learner who was on any other benefits 6 months before starting their learning aim.
This flag was designed to align with the definitions used in the publication 'Further education for benefit claimants'.</t>
  </si>
  <si>
    <t>0 = Not on any other benefits 6 months before aim
1 = On any other benefits 6 months before aim</t>
  </si>
  <si>
    <t>D_FundingLineType</t>
  </si>
  <si>
    <t>Funding Line Type</t>
  </si>
  <si>
    <t>descriptions in the data</t>
  </si>
  <si>
    <t>Tlevel</t>
  </si>
  <si>
    <t>T-Level indicator</t>
  </si>
  <si>
    <t>2020 onwards</t>
  </si>
  <si>
    <t>0 = Not on TLevel aim
1 = On Tlevel aim</t>
  </si>
  <si>
    <t>TransitionProg</t>
  </si>
  <si>
    <t>T-Level transition programme indicator</t>
  </si>
  <si>
    <t>0 = Not on Tlevel transition programme aim
1 = On Tlevel transition programme aim</t>
  </si>
  <si>
    <t>LevySupported</t>
  </si>
  <si>
    <t>A flag to indicate whether an apprenticeship was levy-supported</t>
  </si>
  <si>
    <t>2016 onwards</t>
  </si>
  <si>
    <t>Descriptions in the data</t>
  </si>
  <si>
    <t>Census Output Area code of the learning aim delivery location</t>
  </si>
  <si>
    <t>Lower-Super Output Area of the learning aim delivery location</t>
  </si>
  <si>
    <t>Masked Local Authority 9 code of the learning aim delivery location. This variable has been pseudonymised in line with the impact of COVID19 on DfE data sharing (See COVID19 Impact worksheet) and/or the requirements of Digital Economy Act in relation to a body corporate.</t>
  </si>
  <si>
    <t>Region code of the learning aim delivery location</t>
  </si>
  <si>
    <t>distance_to_learning</t>
  </si>
  <si>
    <t>Distance in metres between learner home postcode at start of learning (LSDPostcode) and learning delivery postcode (DelLocPostcode), as the crow flies. Divide by 1609 to convert to miles.</t>
  </si>
  <si>
    <t>2019 onwards</t>
  </si>
  <si>
    <t>Longitudinal ILR LARS (learning aims reference service) table</t>
  </si>
  <si>
    <t xml:space="preserve">	LearnAimRef</t>
  </si>
  <si>
    <t>MAX</t>
  </si>
  <si>
    <t xml:space="preserve">	QualType</t>
  </si>
  <si>
    <t>0001 = GCE AS level_x000D_
0002 = GCE A level_x000D_
0003 = GCSE_x000D_
0004 = Access Certificate_x000D_
0006 = Diploma_x000D_
0009 = Advanced Certificate_x000D_
0016 = Certificate_x000D_
0017 = National Diploma_x000D_
0020 = Technician Certificate (Final)_x000D_
0024 = Higher Diploma_x000D_
0025 = Licentiateship_x000D_
0028 = First Certificate_x000D_
0029 = First Diploma_x000D_
0030 = National Certificate_x000D_
0031 = HNC_x000D_
0032 = HND_x000D_
0033 = BTEC/EDEXCEL Professional Development Qualification_x000D_
0036 = NVQ_x000D_
0040 = Graded Music Exams 1-8_x000D_
0059 = Associate Diploma_x000D_
0060 = Licentiate Diploma_x000D_
0061 = Membership_x000D_
0064 = Associateship_x000D_
0065 = Postgraduate Certificate_x000D_
0066 = Fellowship_x000D_
0071 = Graduate Diploma_x000D_
0073 = Certificate of Competence_x000D_
0075 = Associate_x000D_
0076 = Licentiate_x000D_
0084 = Higher Certificate_x000D_
0086 = Introductory Certificate_x000D_
0111 = Professional Diploma_x000D_
0117 = Advanced Diploma_x000D_
0125 = Postgraduate Diploma_x000D_
0128 = Intermediate Certificate_x000D_
0146 = Technician_x000D_
0385 = Graduateship_x000D_
0393 = MMus Performance Degree_x000D_
0394 = BMus Performance Degree_x000D_
1077 = Teachers Diploma_x000D_
1327 = NVQ/GNVQ Key Skills Unit_x000D_
1328 = NVQ/GNVQ Language Unit_x000D_
1401 = International Baccalaureate_x000D_
1407 = LLB_x000D_
1409 = BEd_x000D_
1410 = MEd_x000D_
1413 = GCE A2 Level_x000D_
1419 = Advanced Extension Award_x000D_
1420 = Free Standing Mathematics Qualifications_x000D_
1421 = Edexcel National Award_x000D_
1422 = GCSEs in Vocational Subjects_x000D_
1423 = Edexcel First Diploma (new syllabus)_x000D_
1424 = Edexcel National Certificate (new syllabus)_x000D_
1425 = Edexcel National Diploma (new syllabus)_x000D_
1426 = Introductory Diploma_x000D_
1428 = National Extended Diploma_x000D_
1430 = GCE Applied A Level_x000D_
1431 = GCE Applied A Level (Double Award)_x000D_
1432 = GCE Applied AS Level_x000D_
1433 = GCE Applied AS Level (Double Award)_x000D_
1434 = GCE Applied A2_x000D_
1435 = GCE Applied A2 (Double Award)_x000D_
1436 = Conversion Class Code_x000D_
1437 = Employability Award_x000D_
1439 = Functional Skills_x000D_
1440 = Access to Higher Education Diploma (from 2007)_x000D_
1442 = Diploma (14-19)_x000D_
1443 = Diploma (14-19) Template/Catalogue aim_x000D_
1444 = Principal Learning within Diploma (14-19)_x000D_
1445 = Project/Extended Project within Diploma (14-19)_x000D_
1446 = Pre-U Certificate_x000D_
1447 = Pre-U Diploma_x000D_
1448 = QCF Units_x000D_
1449 = Diploma in Teaching for the Lifelong Learning Sector (DTLLS)_x000D_
1450 = Preparing to Teach in the Lifelong Learning Sector (PTLLS)_x000D_
1451 = Certificate in Teaching in the Lifelong Learning Sector (CTLLS)_x000D_
1452 = Award_x000D_
1453 = GCE A Level (with GCE Advanced Subsidiary)_x000D_
1454 = Higher National Certificate to Higher National Diploma (HNC to HND) Conversion Code_x000D_
1455 = Edexcel First Extended Certificate (2012 onwards)_x000D_
1457 = Certificate in Education and Training (36 credits, HEI approved)_x000D_
1458 = Certificate in Education and Training (36 credits, HEI approved)_x000D_
1459 = Diploma in Education and Training (45 credits, HEI approved)_x000D_
1460 = Access to Higher Education Diploma (from 2014 onwards)_x000D_
2001 = MA_x000D_
2999 = Short Course GCSE_x000D_
4342 = Other_x000D_
6001 = Foundation Degree Bridging Course_x000D_
6002 = Bachelors Degree (Not BA;BSc;BEng;BEd)_x000D_
6003 = Enhanced First Degree (Not MA;MSc)_x000D_
6004 = Postgraduate Diploma in Education_x000D_
8001 = Schedule 2(j) course_x000D_
8002 = Schedule 2(g) course_x000D_
8004 = Schedule 2(e) course_x000D_
8007 = Long Term Residential College Course_x000D_
8008 = Second Stage Unitisation Pilot_x000D_
8009 = Unitisation Provision_x000D_
8010 = Short Course_x000D_
8011 = Diagnostic Test_x000D_
9000 = BA_x000D_
9001 = University Certificate_x000D_
9002 = BSc_x000D_
9006 = Certificate of Proficiency_x000D_
9007 = Fellowship Diploma_x000D_
9101 = MSc_x000D_
9103 = PGCE (Post Graduate Certificate in Education)_x000D_
9107 = BEng_x000D_
9109 = MBA_x000D_
9110 = Foundation Degree_x000D_
9111 = Certificate of Education (CertEd)_x000D_
9112 = Diploma of Higher Education (DipHE)_x000D_
9114 = LLM_x000D_
9115 = Professional Graduate Certificate in Education_x000D_
E007 = First Degree_x000D_
X901 = NVQ/GNVQ additional units</t>
  </si>
  <si>
    <t>The level of the NVQ. Note levels 4 and 5 continue to reflect their pre 2004 to 2005 values</t>
  </si>
  <si>
    <t>1 = Level 1
2 = Level 2
3 = Level 3
4 = Level 4 (original)
5 = Level 5 (original)
E = Entry level
H = Higher level
M = Mixed level
X = Not Applicable/ Not Known</t>
  </si>
  <si>
    <t xml:space="preserve">The level of the NVQ. This field is the same as the “NotionalNVQLevel” field, except levels 4 and 5 are expanded to levels 4 – 8 </t>
  </si>
  <si>
    <t>1    = Level 1
1.5 = Level 1 / 2
2    = Level 2
3    = Level 3
4    = Level 4
5    = Level 5
6    = Level 6
7    = Level 7
8    = Level 8
E    = Entry Level
H    = Higher Level
M   = Mixed Level
X = Not Applicable/ Not Known</t>
  </si>
  <si>
    <t xml:space="preserve">	SFL_Finetype</t>
  </si>
  <si>
    <t>Whether the learning aim is considered a basic skill relating to achievements in literacy, numeracy and language and counts towards Basic Skills national targets</t>
  </si>
  <si>
    <t>0 = Not Basic Skills
1 = Basic Skills</t>
  </si>
  <si>
    <t xml:space="preserve">	SFL_broad_type</t>
  </si>
  <si>
    <t>The broad categorisation of basic skill</t>
  </si>
  <si>
    <t>-2 = Not applicable
-1 = Unknown
1  = Literacy
2  = Numeracy
3  = Language
4  = Other</t>
  </si>
  <si>
    <t xml:space="preserve">	SectorSubjectAreaT1</t>
  </si>
  <si>
    <t>The broad (Tier 1) classification of a learning aim within the Qualification and Curriculum Authority (QCA) SSA classification system</t>
  </si>
  <si>
    <t xml:space="preserve">-2.00 = Not Applicable
-1.00 = Unknown
1        = Health, Public Services and Care
2        = Science and Mathematics
3        = Agriculture, Horticulture and Animal Care
4        = Engineering and Manufacturing Technologies
5        = Construction, Planning and the Built Environment
6        = Information and Communication Technology
7        = Retail and Commercial Enterprise
8        = Leisure, Travel and Tourism
9        = Arts, Media and Publishing
10      = History, Philosophy and Theology
11      = Social Sciences
12      = Languages, Literature and Culture
13      = Education and Training
14      = Preparation for Life and Work
15      = Business, Administration and Law
</t>
  </si>
  <si>
    <t xml:space="preserve">	SectorSubjectAreaT2</t>
  </si>
  <si>
    <t>The more detailed (Tier 2) classification of a learning aim within the QCA SSA classification system</t>
  </si>
  <si>
    <t>-2.00 = Not Applicable
-1.00 = Unknown
1       = Health, Public Services and Care
1.1    = Medicine and Dentistry
1.2    = Nursing and Subjects and Vocations Allied to Medicine
1.3    = Health and Social Care
1.4    = Public Services
1.5    = Child Development and Well Being
2       = Science and Mathematics
2.1    = Science
2.2    = Mathematics and Statistics
3       = Agriculture, Horticulture and Animal Care
3.1    = Agriculture
3.2    = Horticulture and Forestry
3.3    = Animal Care and Veterinary Science
3.4    = Environmental Conservation
4       = Engineering and Manufacturing Technologies
4.1    = Engineering
4.2    = Manufacturing Technologies
4.3    = Transportation Operations and Maintenance
5       = Construction, Planning and the Built Environment
5.1   = Architecture
5.2   = Building and Construction
5.3   = Urban, Rural and Regional Planning
6      = Information and Communication Technology
6.1   = ICT Practitioners
6.2   = ICT for Users
7      = Retail and Commercial Enterprise
7.1   = Retailing and Wholesaling
7.2   = Warehousing and Distribution
7.3   = Service Enterprises
7.4   = Hospitality and Catering
8      = Leisure, Travel and Tourism
8.1   = Sport, Leisure and Recreation
8.2   = Travel and Tourism
9      = Arts, Media and Publishing
9.1   = Performing Arts
9.2   = Crafts, Creative Arts and Design
9.3   = Media and Communication
9.4   = Publishing and Information Services
10    = History, Philosophy and Theology
10.1 = History
10.2 = Archaeology and Archaeological Sciences
10.3 = Philosophy
10.4 = Theology and Religious Studies
11    = Social Sciences
11.1 = Geography
11.2 = Sociology and Social Policy
11.3 = Politics
11.4 = Economics
11.5 = Anthropology
12    = Languages, Literature and Culture
12.1 = Languages, Literature and Culture of the British Isles
12.2 = Other Languages, Literature and Culture
12.3 = Linguistics
13    = Education and Training
13.1 = Teaching and Lecturing
13.2 = Direct Learning Support
14    = Preparation for Life and Work
14.1 = Foundations for Learning and Life
14.2 = Preparation for Work
15    = Business, Administration and Law
15.1 = Accounting and Finance
15.2 = Administration
15.3 = Business Management
15.4 = Marketing and Sales
15.5 = Law and Legal Services</t>
  </si>
  <si>
    <t xml:space="preserve">	L2_Cat_id</t>
  </si>
  <si>
    <t>The category or ‘family’ which the learning aim belongs to for assessing how far the aim contributes to a Full level 2</t>
  </si>
  <si>
    <t>-2 = Not Applicable
-1 = Unknown
1  = Full Level 2 Qualification
2  = AS/A2
3  = A Level
4  = GCSE (including short course GCSE)</t>
  </si>
  <si>
    <t xml:space="preserve">	L3_Cat_id</t>
  </si>
  <si>
    <t>The category or ‘family’ to which the learning aim belongs to for assessing how far the aim contributes to a Full level 3</t>
  </si>
  <si>
    <t>-2 = Not Applicable
-1 = Unknown
1  = Full Level 3 Qualification
2  = AS/A2
3  = A Level</t>
  </si>
  <si>
    <t xml:space="preserve">	L2_percent</t>
  </si>
  <si>
    <t xml:space="preserve">The percentage the aim contributes to a Full Level 2 </t>
  </si>
  <si>
    <t xml:space="preserve">	L3_percent</t>
  </si>
  <si>
    <t xml:space="preserve">The percentage the aim contributes to a Full Level 3 </t>
  </si>
  <si>
    <t xml:space="preserve">	FE_HE</t>
  </si>
  <si>
    <t>If it is a Further Education (FE) aim or a Higher Education (HE) aim</t>
  </si>
  <si>
    <t>F = Further Education
H = Higher Education
U = Unknown
X = Not Applicable</t>
  </si>
  <si>
    <t xml:space="preserve">	Learning_delivery_Genre</t>
  </si>
  <si>
    <t>The genre of the learning delivery (e.g. prescribed HE, generic class code, QAA regulated qualification, OfQual regulated qualification, OfQual regulated unit)</t>
  </si>
  <si>
    <t>EOQ = Ofqual Regulated Qualification
EOU = Ofqual Regulated Unit
EQQ = QAA Regulated Qualification
IGC   = Generic Class Code
IHE   = Prescribed HE
IOP   = Internal Other Provision</t>
  </si>
  <si>
    <t xml:space="preserve">	Awarding_Organisation_Anon</t>
  </si>
  <si>
    <t>This variable has been pseudonymised in line with the impact of COVID19 on DfE data sharing (See COVID19 Impact worksheet) and/or the requirements of Digital Economy Act in relation to a body corporate.</t>
  </si>
  <si>
    <t xml:space="preserve">Please see HESA website for full definitions: </t>
  </si>
  <si>
    <t xml:space="preserve">https://www.hesa.ac.uk/support/definitions/students </t>
  </si>
  <si>
    <t>Field type</t>
  </si>
  <si>
    <t>HE_PUPILMATCHINGREFANONYMOUS</t>
  </si>
  <si>
    <t>PUPILMATCHINGREFANONYMOUS</t>
  </si>
  <si>
    <t>Anonymous Pupil Matching Reference</t>
  </si>
  <si>
    <t>2004/2005 - 2019/2020</t>
  </si>
  <si>
    <t xml:space="preserve">Anonymous pupil matching reference - used to map the HESA data back to NPD/ILR. </t>
  </si>
  <si>
    <t>HE Provider identifiers and location</t>
  </si>
  <si>
    <t>HE_INSTID_ANON</t>
  </si>
  <si>
    <t>INSTID_ANON</t>
  </si>
  <si>
    <t>HESA provider identifier. This variable has been pseudonymised in line with the impact of COVID19 on DfE data sharing (See COVID19 Impact worksheet) and/or the requirements of Digital Economy Act in relation to a body corporate.</t>
  </si>
  <si>
    <t>2004/2005 - 2006/2007</t>
  </si>
  <si>
    <t>Replaced by XINSTID01</t>
  </si>
  <si>
    <t>HE_XINSTID01__ANON</t>
  </si>
  <si>
    <t>XINSTID01_ANON</t>
  </si>
  <si>
    <t>Derived HESA provider Identifier. This variable has been pseudonymised in line with the impact of COVID19 on DfE data sharing (See COVID19 Impact worksheet) and/or the requirements of Digital Economy Act in relation to a body corporate.</t>
  </si>
  <si>
    <t>2007/2008 - 2019/2020</t>
  </si>
  <si>
    <t>Replaces INSTID</t>
  </si>
  <si>
    <t>HE_XINSTG01</t>
  </si>
  <si>
    <t>XINSTG01</t>
  </si>
  <si>
    <t>Government Office Region of provider Location</t>
  </si>
  <si>
    <t>HE_XINSTC01</t>
  </si>
  <si>
    <t>XINSTC01</t>
  </si>
  <si>
    <t>Country of provider</t>
  </si>
  <si>
    <t>Data populations</t>
  </si>
  <si>
    <t>HE_XPQUAL01</t>
  </si>
  <si>
    <t>XPQUAL01</t>
  </si>
  <si>
    <t>Qualifications Obtained Population</t>
  </si>
  <si>
    <t xml:space="preserve">Identifies those who have obtained a qualification in the applicable academic year. This is needed for any enquiries where you wish to restrict to those who obtained an HE qualification, or if you wish to look at the class of degree obtained. </t>
  </si>
  <si>
    <t>(It is worth noting that as students are only included if there is a link between NPD or ILR to HESA then it is unlikely that these populations will ever match any other HESA output)</t>
  </si>
  <si>
    <t>HE_XPSES01</t>
  </si>
  <si>
    <t>XPSES01</t>
  </si>
  <si>
    <t>Session Population</t>
  </si>
  <si>
    <t>Session population marker</t>
  </si>
  <si>
    <t>HE_XPSR01</t>
  </si>
  <si>
    <t>XPSR01</t>
  </si>
  <si>
    <t>Standard Registration Population</t>
  </si>
  <si>
    <t>Standard registration population marker</t>
  </si>
  <si>
    <t>HE_XPDEC01</t>
  </si>
  <si>
    <t>XPDEC01</t>
  </si>
  <si>
    <t>Population at 1 December</t>
  </si>
  <si>
    <t>1st December population marker</t>
  </si>
  <si>
    <t>Year of study/course markers, date fields</t>
  </si>
  <si>
    <t>HE_XFYEAR01</t>
  </si>
  <si>
    <t>XFYEAR01</t>
  </si>
  <si>
    <t>First Year within 1 December population</t>
  </si>
  <si>
    <t>First year identifier (to be used with XPDEC01 only)</t>
  </si>
  <si>
    <t>HE_XFYRSR01</t>
  </si>
  <si>
    <t>XFYRSR01</t>
  </si>
  <si>
    <t>First Year within Standard Registration population</t>
  </si>
  <si>
    <t>First year identifier (to be used with XPSR01 only)</t>
  </si>
  <si>
    <t>2005/2006 - 2019/2020</t>
  </si>
  <si>
    <t>HE_XELSP01</t>
  </si>
  <si>
    <t>XELSP01</t>
  </si>
  <si>
    <t>Expected Length of Study Programme</t>
  </si>
  <si>
    <t>Derived expected length of study. This uses the SPLENGTH and UNITLENGTH fields to group the expected length of study into the following bands: &lt;5 weeks / =&gt;5 weeks and &lt;24 weeks / =&gt;24 weeks and &lt;=1 year / &gt;1 year and &lt;=2 years / &gt;2 years and &lt;=3 years / &gt;3 years and &lt;=4 years / &gt;4 years and &lt;=5 years / &gt;5 years and &lt;=6 years / &gt;6 years and &lt;20 years / Not known or expected length of study programme is greater or equal to 20 years</t>
  </si>
  <si>
    <t>HE_YEARSTU</t>
  </si>
  <si>
    <t>YEARSTU</t>
  </si>
  <si>
    <t>Year of student on this programme</t>
  </si>
  <si>
    <t xml:space="preserve">This is the year number that the student is in since enrolling for a course leding to the student's qualification aim (whether or not the intended subject of class has changed). This may be different to the year of course if the student has changed course or retaken a year. </t>
  </si>
  <si>
    <t>HE_YEARPRG</t>
  </si>
  <si>
    <t>YEARPRG</t>
  </si>
  <si>
    <t>Year of programme</t>
  </si>
  <si>
    <t>This field indicates the year number of the course that the student is currently studying. This could be different from the year of student if the student has changed course or re-taken a year.</t>
  </si>
  <si>
    <t>HE_COMDATE</t>
  </si>
  <si>
    <t>COMDATE</t>
  </si>
  <si>
    <t>Date of Commencement of Programme mm/dd/yyyy</t>
  </si>
  <si>
    <t>Start date of instance</t>
  </si>
  <si>
    <t>HE_DATELEFT</t>
  </si>
  <si>
    <t>DATELEFT</t>
  </si>
  <si>
    <t>Date left provider or completed the programme of study</t>
  </si>
  <si>
    <t>Replaced by ENDDATE</t>
  </si>
  <si>
    <t>HE_ENDDATE</t>
  </si>
  <si>
    <t>ENDDATE</t>
  </si>
  <si>
    <t>End date of instance</t>
  </si>
  <si>
    <t>Replaces DATELEFT</t>
  </si>
  <si>
    <t>HE_TYPEYR</t>
  </si>
  <si>
    <t>TYPEYR</t>
  </si>
  <si>
    <t>Type of programme year</t>
  </si>
  <si>
    <t>This field identifies which of the basic types academic year is applicable to the instance (e.g. whether the course academic year is contained within the HESA reporting year, or runs across HESA reporting years).</t>
  </si>
  <si>
    <t>HE_PHDSUB</t>
  </si>
  <si>
    <t>PHDSUB</t>
  </si>
  <si>
    <t>PhD submission date</t>
  </si>
  <si>
    <t>2007/2008 - 2013/2014</t>
  </si>
  <si>
    <t>This field holds the date of first submission of thesis.</t>
  </si>
  <si>
    <t>Mode and level of study</t>
  </si>
  <si>
    <t>HE_XMODE01</t>
  </si>
  <si>
    <t>XMODE01</t>
  </si>
  <si>
    <t>Mode of study</t>
  </si>
  <si>
    <t>Grouped mode of study - use this to identify full-time/sandwich/part-time students (not MODE).</t>
  </si>
  <si>
    <t>2005/06-2019/2020</t>
  </si>
  <si>
    <t>HE_MODE</t>
  </si>
  <si>
    <t>For 2 way full-time/part-time split use XMODE01</t>
  </si>
  <si>
    <t>HE_XQMODE01</t>
  </si>
  <si>
    <t>XQMODE01</t>
  </si>
  <si>
    <t>Qualifications Obtained mode of study</t>
  </si>
  <si>
    <t>Qualifiers mode of study - to be used if you are looking at the numbers of qualifications obtained</t>
  </si>
  <si>
    <t>HE_QUALAIM</t>
  </si>
  <si>
    <t>QUALAIM</t>
  </si>
  <si>
    <t>General qualification aim of student</t>
  </si>
  <si>
    <t>Replaced by COURSEAIM</t>
  </si>
  <si>
    <t>HE_COURSEAIM</t>
  </si>
  <si>
    <t>COURSEAIM</t>
  </si>
  <si>
    <t>General qualification aim of course</t>
  </si>
  <si>
    <t>Replaces QUALAIM. For the most recent detail of this field please see: https://www.hesa.ac.uk/component/studrec/show_file/12051/a%5E_%5ECOURSEAIM.html</t>
  </si>
  <si>
    <t>HE_XLEV301</t>
  </si>
  <si>
    <t>XLEV301</t>
  </si>
  <si>
    <t>Level of study - 3 way split</t>
  </si>
  <si>
    <t>Groups QUALAIM/COURSEAIM into postgraduate/undergraduate</t>
  </si>
  <si>
    <t>HE_XLEV501</t>
  </si>
  <si>
    <t>XLEV501</t>
  </si>
  <si>
    <t>Level of study - 5 way split</t>
  </si>
  <si>
    <t>Groups QUALAIM/COURSEAIM into postgraduate research/postgraduate taught/first degree/other undergraduate</t>
  </si>
  <si>
    <t>HE_XLEV601</t>
  </si>
  <si>
    <t>XLEV601</t>
  </si>
  <si>
    <t>Level of study - 6 way split</t>
  </si>
  <si>
    <t>Groups QUALAIM/COURSEAIM into higher degree research/higher degree taught/other postgraduate/first degree/other undergraduate</t>
  </si>
  <si>
    <t>HE_ELQ</t>
  </si>
  <si>
    <t>ELQ</t>
  </si>
  <si>
    <t>Aiming for an Equivalent or Lower Qualification</t>
  </si>
  <si>
    <t>New for 2013/14 (This field captures whether a student is aiming for an Equivalent or Lower Qualification than one already achieved.)</t>
  </si>
  <si>
    <t>HE_INTERCALATE</t>
  </si>
  <si>
    <t>INTERCALATE</t>
  </si>
  <si>
    <t>This field indicates whether a students is on an intercalating course</t>
  </si>
  <si>
    <t>New for 2013/14 previously identified within Courseaim (This field indicates whether a student is on an intercalating course.)</t>
  </si>
  <si>
    <t>Qualifications obtained</t>
  </si>
  <si>
    <t>HE_XQOBTN01</t>
  </si>
  <si>
    <t>XQOBTN01</t>
  </si>
  <si>
    <t>Highest Qualification Obtained</t>
  </si>
  <si>
    <t>Highest qualification obtained - to be used with the qualifications obtained population only.</t>
  </si>
  <si>
    <t>(These fields should be restricted to the HE_XPQUAL01='1' population for analysis)</t>
  </si>
  <si>
    <t>HE_XQLEV301</t>
  </si>
  <si>
    <t>XQLEV301</t>
  </si>
  <si>
    <t>Level of qualification obtained - 3 way split</t>
  </si>
  <si>
    <t>Groups XQOBTN01 into postgraduate/undergraduate</t>
  </si>
  <si>
    <t>HE_XQLEV501</t>
  </si>
  <si>
    <t>XQLEV501</t>
  </si>
  <si>
    <t>Level of qualification obtained - 5 way split</t>
  </si>
  <si>
    <t>Groups XQOBTN01 into postgraduate research/postgraduate taught/first degree/other undergraduate</t>
  </si>
  <si>
    <t>HE_XQLEV601</t>
  </si>
  <si>
    <t>XQLEV601</t>
  </si>
  <si>
    <t>Level of qualification obtained - 6 way split</t>
  </si>
  <si>
    <t>Groups XQOBTN01 into higher degree research/higher degree taught/other postgraduate/first degree/other undergraduate</t>
  </si>
  <si>
    <t>HE_XQLEV901</t>
  </si>
  <si>
    <t>XQLEV901</t>
  </si>
  <si>
    <t>Level of qualification obtained - 9 way split</t>
  </si>
  <si>
    <t>2004/2005 - 2007/2008</t>
  </si>
  <si>
    <t>HE_XQLEV1003</t>
  </si>
  <si>
    <t>XQLEV1003</t>
  </si>
  <si>
    <t>Level of qualification awarded - 10 way split</t>
  </si>
  <si>
    <t>2008/2009 - 2019/2020</t>
  </si>
  <si>
    <t>HE_XCLASS01</t>
  </si>
  <si>
    <t>XCLASS01</t>
  </si>
  <si>
    <t>Classification</t>
  </si>
  <si>
    <t>Classification of degree - applicable to first degree qualifiers only. This breaks the classification of first degree into First class honours, Upper second class honours, Lower second class honours, Third class honours/Pass, Unclassified, FE level qualification and Classification not applicable.</t>
  </si>
  <si>
    <t>2006.2007-2019/2020</t>
  </si>
  <si>
    <t>Subject of study and course title</t>
  </si>
  <si>
    <t>HE_SBJQA1</t>
  </si>
  <si>
    <t>SBJQA1</t>
  </si>
  <si>
    <t>Subject(s) of qualification aim</t>
  </si>
  <si>
    <t>Replaced by XJACS fields and FPE</t>
  </si>
  <si>
    <t>HE_SBJQA2</t>
  </si>
  <si>
    <t>SBJQA2</t>
  </si>
  <si>
    <t>Subject of qualification aim 2</t>
  </si>
  <si>
    <t>HE_SBJQA3</t>
  </si>
  <si>
    <t>SBJQA3</t>
  </si>
  <si>
    <t>Subject of qualification aim 3</t>
  </si>
  <si>
    <t>HE_SBJBID</t>
  </si>
  <si>
    <t>SBJBID</t>
  </si>
  <si>
    <t>Proportion indicator</t>
  </si>
  <si>
    <t>(Please consider which level of subject is appropriate for your analysis. A description of the Subject levels can be found here: https://www.hesa.ac.uk/support/documentation/jacs/jacs3-principal. 
Please note the JACS subject coding has changed between 2006/07 and 2007/08 and 2011/12 and 2012/13. You will always require HE_XFPE01 with which ever level you choose.)</t>
  </si>
  <si>
    <t>HE_XJACS01_1</t>
  </si>
  <si>
    <t>XJACS01_1</t>
  </si>
  <si>
    <t>Subject of study 1 - 4 digit JACS code</t>
  </si>
  <si>
    <t>Replaces SBJQA1</t>
  </si>
  <si>
    <t>HE_XJACSA01_1</t>
  </si>
  <si>
    <t>XJACSA01_1</t>
  </si>
  <si>
    <t>Subject of study 1 - subject group</t>
  </si>
  <si>
    <t>HE_XJACS201_1</t>
  </si>
  <si>
    <t>XJACS201_1</t>
  </si>
  <si>
    <t>Subject of study 1 - subject line</t>
  </si>
  <si>
    <t>HE_XFPE01_1</t>
  </si>
  <si>
    <t>XFPE01_1</t>
  </si>
  <si>
    <t>Subject of study 1 - proportion of time studying subject</t>
  </si>
  <si>
    <t>Proporation of time studying subject</t>
  </si>
  <si>
    <t>HE_XJACS01_2</t>
  </si>
  <si>
    <t>XJACS01_2</t>
  </si>
  <si>
    <t>Subject of study 2 - JACS code of subject</t>
  </si>
  <si>
    <t>Replaces SBJQA2</t>
  </si>
  <si>
    <t>HE_XJACSA01_2</t>
  </si>
  <si>
    <t>XJACSA01_2</t>
  </si>
  <si>
    <t>Subject of study 2 - subject group</t>
  </si>
  <si>
    <t>HE_XJACS201_2</t>
  </si>
  <si>
    <t>XJACS201_2</t>
  </si>
  <si>
    <t>Subject of study 2 - subject line</t>
  </si>
  <si>
    <t>HE_XFPE01_2</t>
  </si>
  <si>
    <t>XFPE01_2</t>
  </si>
  <si>
    <t>Subject of study 2 - proportion of time studying subject</t>
  </si>
  <si>
    <t>HE_XJACS01_3</t>
  </si>
  <si>
    <t>XJACS01_3</t>
  </si>
  <si>
    <t>Subject of study 3 - JACS code of subject</t>
  </si>
  <si>
    <t>Replaces SBJQA3</t>
  </si>
  <si>
    <t>HE_XJACSA01_3</t>
  </si>
  <si>
    <t>XJACSA01_3</t>
  </si>
  <si>
    <t>Subject of study 3 - subject group</t>
  </si>
  <si>
    <t>HE_XJACS201_3</t>
  </si>
  <si>
    <t>XJACS201_3</t>
  </si>
  <si>
    <t>Subject of study 3 - subject line</t>
  </si>
  <si>
    <t>HE_XFPE01_3</t>
  </si>
  <si>
    <t>XFPE01_3</t>
  </si>
  <si>
    <t>Subject of study 3 - proportion of time studying subject</t>
  </si>
  <si>
    <t>HE_XJACS01_4</t>
  </si>
  <si>
    <t>XJACS01_4</t>
  </si>
  <si>
    <t>Subject of study 4 - JACS code of subject</t>
  </si>
  <si>
    <t>Not available for earlier years</t>
  </si>
  <si>
    <t>HE_XJACSA01_4</t>
  </si>
  <si>
    <t>XJACSA01_4</t>
  </si>
  <si>
    <t>Subject of study 4 - subject group</t>
  </si>
  <si>
    <t>HE_XJACS201_4</t>
  </si>
  <si>
    <t>XJACS201_4</t>
  </si>
  <si>
    <t>Subject of study 4 - subject line</t>
  </si>
  <si>
    <t>HE_XFPE01_4</t>
  </si>
  <si>
    <t>XFPE01_4</t>
  </si>
  <si>
    <t>Subject of study 4 - proportion of time studying subject</t>
  </si>
  <si>
    <t>XHECOS_1</t>
  </si>
  <si>
    <t>Subject of study 1 - 4 digit HECOS code</t>
  </si>
  <si>
    <t xml:space="preserve">2019/2020 - </t>
  </si>
  <si>
    <t>2019/2020 - 2020/2021</t>
  </si>
  <si>
    <t>XCAH01_1</t>
  </si>
  <si>
    <t>XCAH02_1</t>
  </si>
  <si>
    <t>XCAH03_1</t>
  </si>
  <si>
    <t>Subject of study 1 - third level grouping</t>
  </si>
  <si>
    <t>XHECOS_2</t>
  </si>
  <si>
    <t>Subject of study 2 - 6 digit HECOS code</t>
  </si>
  <si>
    <t>XCAH01_2</t>
  </si>
  <si>
    <t>XCAH02_2</t>
  </si>
  <si>
    <t>XCAH03_2</t>
  </si>
  <si>
    <t>Subject of study 2 - third level grouping</t>
  </si>
  <si>
    <t>XHECOS_3</t>
  </si>
  <si>
    <t>Subject of study 3 - 6 digit HECOS code</t>
  </si>
  <si>
    <t>XCAH01_3</t>
  </si>
  <si>
    <t>XCAH02_3</t>
  </si>
  <si>
    <t>XCAH03_3</t>
  </si>
  <si>
    <t>Subject of study 3 - third level grouping</t>
  </si>
  <si>
    <t>XHECOS_4</t>
  </si>
  <si>
    <t>Subject of study 4 - 6 digit HECOS code</t>
  </si>
  <si>
    <t>XCAH01_4</t>
  </si>
  <si>
    <t>XCAH02_4</t>
  </si>
  <si>
    <t>XCAH03_4</t>
  </si>
  <si>
    <t>Subject of study 4 - third level grouping</t>
  </si>
  <si>
    <t>XHECOS_5</t>
  </si>
  <si>
    <t>Subject of study 5 - 6 digit HECOS code</t>
  </si>
  <si>
    <t>XCAH01_5</t>
  </si>
  <si>
    <t>Subject of study 5 - subject group</t>
  </si>
  <si>
    <t>XCAH02_5</t>
  </si>
  <si>
    <t>Subject of study 5 - subject line</t>
  </si>
  <si>
    <t>XCAH03_5</t>
  </si>
  <si>
    <t>Subject of study 5 - third level grouping</t>
  </si>
  <si>
    <t>XFPE01_5</t>
  </si>
  <si>
    <t>Subject of study 5 - proportion of time studying subject</t>
  </si>
  <si>
    <t>Student characteristics</t>
  </si>
  <si>
    <t>HE_GENDER</t>
  </si>
  <si>
    <t>2004/2005 - 2011/2012</t>
  </si>
  <si>
    <t xml:space="preserve">The gender of the student. Replaced in 2012/13 by SEXID. </t>
  </si>
  <si>
    <t>2006/2007- 2011/2012</t>
  </si>
  <si>
    <t>HE_SEXID</t>
  </si>
  <si>
    <t>SEXID</t>
  </si>
  <si>
    <t>Sex identifier</t>
  </si>
  <si>
    <t>2012/2013 - 2019/2020</t>
  </si>
  <si>
    <t>The sex of the student. Replaces GENDER.</t>
  </si>
  <si>
    <t>HE_NATION</t>
  </si>
  <si>
    <t>NATION</t>
  </si>
  <si>
    <t>Nationality</t>
  </si>
  <si>
    <t xml:space="preserve">The legal nationality of students. </t>
  </si>
  <si>
    <t>HE_XNATGR01</t>
  </si>
  <si>
    <t>XNATGR01</t>
  </si>
  <si>
    <t>Geographic region of student nationality</t>
  </si>
  <si>
    <t>2010/2011 - 2019/2020</t>
  </si>
  <si>
    <t>Nationality grouping</t>
  </si>
  <si>
    <t>HE_OCCCODE</t>
  </si>
  <si>
    <t>OCCCODE</t>
  </si>
  <si>
    <t>Occupation Code</t>
  </si>
  <si>
    <t>OCCCODE was replaced by SOC2000, and is only available up to 2006/07. For 2004/05, OCCCODE had data returned for non-first year students, for 2005/06 for those who were not first years in either 2004/05 or 2005/06, and for 2006/07 for those who not were first years in either 2004/05, 2005/06 or 2006/07. OCCCODE is a 4-digit field - the first digit gives the old social class (which was replaced by the socio-economic classification), and the 2nd, 3rd and 4th digits combine to give the 3-digit OCCCODE.</t>
  </si>
  <si>
    <t>HE_SOC2000</t>
  </si>
  <si>
    <t>SOC2000</t>
  </si>
  <si>
    <t>SOC2000 replaced OCCCODE, and is available for 2004/05 onwards. For 2004/05, SOC2000 had data returned for first year students, for 2005/06 for those who were first years in either 2004/05 or 2005/06, and for 2006/07 for those who were first years in either 2004/05, 2005/06 or 2006/07. Other years of students would still have had the data held in OCCCODE.</t>
  </si>
  <si>
    <t>HE_SOC2010</t>
  </si>
  <si>
    <t>SOC2010</t>
  </si>
  <si>
    <t>2014/2015 - 2019/2020</t>
  </si>
  <si>
    <t>SOC2010 is the new version of SOC2000, updated for the 2010 coding, and is available for 2014/15 onwards. For 2014/15, SOC2010 had data returned for first year students, for 2015/16 for those who were first years in either 2014/15 or 2015/16. Other years of students would still have had the data held in SOC2000.</t>
  </si>
  <si>
    <t>HE_SEC</t>
  </si>
  <si>
    <t>SEC</t>
  </si>
  <si>
    <t>Socio-economic classification</t>
  </si>
  <si>
    <t xml:space="preserve">SEC replaced the old social class (which was the first digit of OCCCODE). As with SOC2000, SEC has data for first years for 2004/05 etc. </t>
  </si>
  <si>
    <t>2006/2007-2019/2020</t>
  </si>
  <si>
    <t>HE_PARED</t>
  </si>
  <si>
    <t>PARED</t>
  </si>
  <si>
    <t>Parental education</t>
  </si>
  <si>
    <t xml:space="preserve">Only for provider in England and Scotland for 2007/08, with NI and Wales coming in for 2008/09. </t>
  </si>
  <si>
    <t>HE_XAGEA01</t>
  </si>
  <si>
    <t>XAGEA01</t>
  </si>
  <si>
    <t>Age as at 31 August in reporting year</t>
  </si>
  <si>
    <t>To be used for student data</t>
  </si>
  <si>
    <t>HE_XAGEJ01</t>
  </si>
  <si>
    <t>XAGEJ01</t>
  </si>
  <si>
    <t>Age as at 31 July in reporting year</t>
  </si>
  <si>
    <t>To be used for qualifiers data</t>
  </si>
  <si>
    <t>HE_XAGRP601</t>
  </si>
  <si>
    <t>XAGRP601</t>
  </si>
  <si>
    <t>Age grouping as at 31 August - 6 way split</t>
  </si>
  <si>
    <t>HE_XAGRPA01</t>
  </si>
  <si>
    <t>XAGRPA01</t>
  </si>
  <si>
    <t>Age grouping as at 31 August in reporting period</t>
  </si>
  <si>
    <t>HE_XAGRPJ01</t>
  </si>
  <si>
    <t>XAGRPJ01</t>
  </si>
  <si>
    <t>Age grouping as at 31 July in reporting period</t>
  </si>
  <si>
    <t>HE_DISALL</t>
  </si>
  <si>
    <t>DISALL</t>
  </si>
  <si>
    <t>Disability Student Allowance</t>
  </si>
  <si>
    <t>Sensitive personal data - may only be used for equal opportunities research and monitoring.</t>
  </si>
  <si>
    <t>HE_DISABLE</t>
  </si>
  <si>
    <t>DISABLE</t>
  </si>
  <si>
    <t xml:space="preserve">Disability </t>
  </si>
  <si>
    <t>HE_XSTUDIS01</t>
  </si>
  <si>
    <t>XSTUDIS01</t>
  </si>
  <si>
    <t>Student disability</t>
  </si>
  <si>
    <t>2010/2011-2019/2020</t>
  </si>
  <si>
    <t>HE_ETHNIC</t>
  </si>
  <si>
    <t>Sensitive personal data - may only be used for equal opportunities research and monitoring. Derived field XETHNIC01 provides grouped ethnicity data.</t>
  </si>
  <si>
    <t>HE_XETHNIC01</t>
  </si>
  <si>
    <t>XETHNIC01</t>
  </si>
  <si>
    <t>Analytical protocol ethnicity</t>
  </si>
  <si>
    <t>2008/2009-2019/2020</t>
  </si>
  <si>
    <t>HE_CARELEAVER</t>
  </si>
  <si>
    <t>CARELEAVER</t>
  </si>
  <si>
    <t>Care leaver marker</t>
  </si>
  <si>
    <t>2013/2014 - 2019/2020</t>
  </si>
  <si>
    <t>c</t>
  </si>
  <si>
    <t>2013/2014-2019/2020</t>
  </si>
  <si>
    <t>Domicile</t>
  </si>
  <si>
    <t>HE_XDOMUC01</t>
  </si>
  <si>
    <t>XDOMUC01</t>
  </si>
  <si>
    <t>Domicile (UK County/Non-UK Country)</t>
  </si>
  <si>
    <t>HE_XDOMGR01</t>
  </si>
  <si>
    <t>XDOMGR01</t>
  </si>
  <si>
    <t>Domicile - Government Office Region of the UK/Region of the the world</t>
  </si>
  <si>
    <t>HE_XHOOS01</t>
  </si>
  <si>
    <t>XHOOS01</t>
  </si>
  <si>
    <t>Domicile - Home / overseas marker</t>
  </si>
  <si>
    <t>Domicile group of UK/Non-UK</t>
  </si>
  <si>
    <t>HE_XDOMREG01</t>
  </si>
  <si>
    <t>XDOMREG01</t>
  </si>
  <si>
    <t>Domicile - UK Country/Non-UK region</t>
  </si>
  <si>
    <t>Entry data</t>
  </si>
  <si>
    <t>HE_QUALENT2</t>
  </si>
  <si>
    <t>QUALENT2</t>
  </si>
  <si>
    <t>Highest Qualification on Entry</t>
  </si>
  <si>
    <t>2004/2005 - 2013/2014</t>
  </si>
  <si>
    <t>The highest qualification on entry. The coding frame for highest qualification changed in 2009/10, and for this year onwards QUALENT2 was used for returning students only. QUALENT2 was discontinued after 2013/14.</t>
  </si>
  <si>
    <t>2006/2007-2013/2014</t>
  </si>
  <si>
    <t>HE_QUALENT3</t>
  </si>
  <si>
    <t>QUALENT3</t>
  </si>
  <si>
    <t xml:space="preserve">The highest qualification on entry. This field was for the new coding frame that came in in 2010/11. For 2010/11, only first year students have QUALENT3 data. For 2011/12, QUALENT3 is used for first year, and those who were first years in 2010/11 etc. </t>
  </si>
  <si>
    <t>HE_XHQUAL01</t>
  </si>
  <si>
    <t>XHQUAL01</t>
  </si>
  <si>
    <t>Highest qualification on entry</t>
  </si>
  <si>
    <t>2004/2005 - 2009/2010</t>
  </si>
  <si>
    <t>Highest qualification on entry - grouped version of QUALENT2</t>
  </si>
  <si>
    <t>2006/2007-2009/2010</t>
  </si>
  <si>
    <t>HE_XQUALENT01</t>
  </si>
  <si>
    <t>XQUALENT01</t>
  </si>
  <si>
    <t>Highest qualification on entry - grouped version of QUALENT2 and QUALENT3 (just groups QUALENT3 for 2014/15 onwards)</t>
  </si>
  <si>
    <t>HE_TOTALTS</t>
  </si>
  <si>
    <t>TOTALTS</t>
  </si>
  <si>
    <t>Total Tariff score</t>
  </si>
  <si>
    <t xml:space="preserve">NOTE - tariff data is not directly comparable between 2006/07 and later years, as the coding frame for this changed in 2007/08. </t>
  </si>
  <si>
    <t>2006-2007</t>
  </si>
  <si>
    <t>HE_XTARIFF01</t>
  </si>
  <si>
    <t>XTARIFF01</t>
  </si>
  <si>
    <t>Total Tariff Score 2006</t>
  </si>
  <si>
    <t>HE_XTARIFF03</t>
  </si>
  <si>
    <t>XTARIFF03</t>
  </si>
  <si>
    <t>Teaching quality information tariff</t>
  </si>
  <si>
    <t>HE_XTARIFF04</t>
  </si>
  <si>
    <t>XTARIFF04</t>
  </si>
  <si>
    <t>2009/2010- 2010/2011</t>
  </si>
  <si>
    <t>HE_XTARIFF</t>
  </si>
  <si>
    <t>XTARIFF</t>
  </si>
  <si>
    <t>2011/2012 - 2016/2017</t>
  </si>
  <si>
    <t>2011/2012- 2016/2017</t>
  </si>
  <si>
    <t>Leaving data</t>
  </si>
  <si>
    <t>HE_RSNLEAVE</t>
  </si>
  <si>
    <t>RSNLEAVE</t>
  </si>
  <si>
    <t>Reason for leaving provider/completing programme</t>
  </si>
  <si>
    <t>Replaced by RSNEND</t>
  </si>
  <si>
    <t>HE_RSNEND</t>
  </si>
  <si>
    <t>RSNEND</t>
  </si>
  <si>
    <t>Reason for ending instance</t>
  </si>
  <si>
    <t>Replaces RSNLEAVE</t>
  </si>
  <si>
    <t>HE_NOTACT</t>
  </si>
  <si>
    <t>NOTACT</t>
  </si>
  <si>
    <t>Suspension of active studies</t>
  </si>
  <si>
    <t>This field indicates whether a student has suspended study and is no longer actively studying on this student instance. In these cases RSNEND and ENDDATE would not be completed.</t>
  </si>
  <si>
    <t>Funding/schemes</t>
  </si>
  <si>
    <t>HE_FEEELIG</t>
  </si>
  <si>
    <t>FEEELIG</t>
  </si>
  <si>
    <t>Fee eligibility</t>
  </si>
  <si>
    <t>This field is to distinguish those students who are eligible to pay home fees from those who are not, in cases where there are separate levels of fees for 'home' students and for others.</t>
  </si>
  <si>
    <t>HE_MSFUND</t>
  </si>
  <si>
    <t>MSFUND</t>
  </si>
  <si>
    <t>Major source of funding</t>
  </si>
  <si>
    <t>The primary source of funding for the course (not necessarily the main source of finance as it excludes the tuition fee element).</t>
  </si>
  <si>
    <t>HE_XMSFUND01</t>
  </si>
  <si>
    <t>XMSFUND01</t>
  </si>
  <si>
    <t>Analytical protocol major source of funding</t>
  </si>
  <si>
    <t>Grouped major source of funding</t>
  </si>
  <si>
    <t>HE_MSTUFEE</t>
  </si>
  <si>
    <t>MSTUFEE</t>
  </si>
  <si>
    <t>Major source of tuition fees</t>
  </si>
  <si>
    <t>The predominant source of tuition fees where this is known.</t>
  </si>
  <si>
    <t>HE_XMSTUFEE01</t>
  </si>
  <si>
    <t>XMSTUFEE01</t>
  </si>
  <si>
    <t>Analytical protocol major source of tuition fees</t>
  </si>
  <si>
    <t>Grouped major source of tuition fees</t>
  </si>
  <si>
    <t>HE_SPECFEE</t>
  </si>
  <si>
    <t>SPECFEE</t>
  </si>
  <si>
    <t>Special fee indicator</t>
  </si>
  <si>
    <t>This field records where a special or 'non-standard' fee is due - in line with the student support regulations.</t>
  </si>
  <si>
    <t>2007/2008- 2019/2020</t>
  </si>
  <si>
    <t>HE_FUNDCODE</t>
  </si>
  <si>
    <t>FUNDCODE</t>
  </si>
  <si>
    <t>Fundability code</t>
  </si>
  <si>
    <t>This field indicates whether the student is counted as 'fundable', ie. 'eligible for funding' for the course by the appropriate funding council/body. The definition therefore may vary between England, Scotland, Northern Ireland and Wales, in line with their funding methods.</t>
  </si>
  <si>
    <t>HE_FUNDCOMP</t>
  </si>
  <si>
    <t>FUNDCOMP</t>
  </si>
  <si>
    <t>Completion of Year of programme of study</t>
  </si>
  <si>
    <t xml:space="preserve"> 
This field refers to the year of instance being funded. The field records the student's completion status with respect to that year. </t>
  </si>
  <si>
    <t>HE_DHFUND</t>
  </si>
  <si>
    <t>DHFUND</t>
  </si>
  <si>
    <t>Department of Health funding body</t>
  </si>
  <si>
    <t>This field describes the Strategic Health Authority (SHA). For earlier years, this described the Workforce Development Confederations (WDCs)</t>
  </si>
  <si>
    <t>HE_RCSTDNT</t>
  </si>
  <si>
    <t>RCSTDNT</t>
  </si>
  <si>
    <t>Research council student</t>
  </si>
  <si>
    <t>This field indicates whether a student has at any point during this instance been funded in whole or part by a Research Council</t>
  </si>
  <si>
    <t>HE_FEEBAND</t>
  </si>
  <si>
    <t>FEEBAND</t>
  </si>
  <si>
    <t>Fee band</t>
  </si>
  <si>
    <t>No equivalent available for later years</t>
  </si>
  <si>
    <t>HE_BRIDGE</t>
  </si>
  <si>
    <t>BRIDGE</t>
  </si>
  <si>
    <t>Foundation degree to degree bridging course</t>
  </si>
  <si>
    <t>This field identifies instances where any part of the instance involves a foundation degree to degree bridging course</t>
  </si>
  <si>
    <t>HE_LOCSDY</t>
  </si>
  <si>
    <t>LOCSDY</t>
  </si>
  <si>
    <t>Location of study</t>
  </si>
  <si>
    <t>Identifies distance learning students and students on year abroad/placements</t>
  </si>
  <si>
    <t>20062007 - 2019/2020</t>
  </si>
  <si>
    <t>HE_EXCHANGE</t>
  </si>
  <si>
    <t>EXCHANGE</t>
  </si>
  <si>
    <t>Exchange programmes</t>
  </si>
  <si>
    <t>Identifies students on an exchange programme (e.g. Erasmus)</t>
  </si>
  <si>
    <t>HE_TTACCOM</t>
  </si>
  <si>
    <t>TTACCOM</t>
  </si>
  <si>
    <t>Term time accommodation</t>
  </si>
  <si>
    <t>Shows the type of accommodation students are living in, e.g. provider maintained property, parental/guardian home etc. Please note that the coding for this changed in 2007/08.</t>
  </si>
  <si>
    <t>HE_SPCSTU</t>
  </si>
  <si>
    <t>SPCSTU</t>
  </si>
  <si>
    <t>Special students</t>
  </si>
  <si>
    <t>2004/05 - 2006/07 ONLY - From 2007/08 detail collected in Exchange and SPECFEE</t>
  </si>
  <si>
    <t>HE_INITIATIVES1</t>
  </si>
  <si>
    <t>INITIATIVES1</t>
  </si>
  <si>
    <t>This field identifies students who are part of a specific scheme that is to be monitored independently.</t>
  </si>
  <si>
    <t>2009/2010 - 2019/2020</t>
  </si>
  <si>
    <t>This field identifies students who are part of a specific scheme that is to be monitored independently. The schemes here are not really comparable over time, as they will change year on year to reflect the current position.</t>
  </si>
  <si>
    <t>HE_INITIATIVES2</t>
  </si>
  <si>
    <t>INITIATIVES2</t>
  </si>
  <si>
    <t>HE_INITIATIVES3</t>
  </si>
  <si>
    <t>INITIATIVES3</t>
  </si>
  <si>
    <t>2019/2020 -</t>
  </si>
  <si>
    <t>2019/2020 -2020/2021</t>
  </si>
  <si>
    <t>HE_XAPP01</t>
  </si>
  <si>
    <t>XAPP01</t>
  </si>
  <si>
    <t>This field identifies apprenticeship students</t>
  </si>
  <si>
    <t>2016/2017 - 2019/2020</t>
  </si>
  <si>
    <t>This field identifies apprenticeship students and the different types of programmes and funding they have. To identify all apprenticeships this should be used in conjunction with K Higher Apprenticeship in the initiatives fields.</t>
  </si>
  <si>
    <t>HE_STULOAD</t>
  </si>
  <si>
    <t>STULOAD</t>
  </si>
  <si>
    <t>Student FTE</t>
  </si>
  <si>
    <t xml:space="preserve">This is the student Full-Time Equivalent (FTE), which represents tHE provider's best academic judgement on the full-time equivalence of the student (for this instance) during the reporting year 1 August - 31 July. The value can be recorded to one decimal place and must be between 0 and 300. A full-time full year student would normally be returned as 100, and part-time students returned as a proportion. </t>
  </si>
  <si>
    <t>HE_DESTOCM1</t>
  </si>
  <si>
    <t>DESTOCM1</t>
  </si>
  <si>
    <t>Destination of outward credit mobile students</t>
  </si>
  <si>
    <t>2007/2008 - 2012/2013</t>
  </si>
  <si>
    <t>This field identifies the country or countries where either the instance is an outwards credit mobile student undertaking a credit-bearing part of their course at one or more providers overseas; or is a student is studying outside of the UK (Instance.LOCSDY = S).</t>
  </si>
  <si>
    <t>HE_DESTOCM2</t>
  </si>
  <si>
    <t>DESTOCM2</t>
  </si>
  <si>
    <t>HE_DESTOCM3</t>
  </si>
  <si>
    <t>DESTOCM3</t>
  </si>
  <si>
    <t>HE_ACCESS</t>
  </si>
  <si>
    <t>ACCESS</t>
  </si>
  <si>
    <t>Access programmes</t>
  </si>
  <si>
    <t xml:space="preserve"> This field records whether entrants have entered HE via SWAP courses.</t>
  </si>
  <si>
    <t>HE_ARTICLN</t>
  </si>
  <si>
    <t>ARTICLN</t>
  </si>
  <si>
    <t>Articulation</t>
  </si>
  <si>
    <t>This field identifies whether a student has been admitted to the current instance with advanced standing; the advanced standing having been awarded on the basis of an HND/HNC qualification and the student has not previously studied at degree or post-graduate level. Only for HE providers in Scotland</t>
  </si>
  <si>
    <t>HE_REDUCEDI</t>
  </si>
  <si>
    <t>REDUCEDI</t>
  </si>
  <si>
    <t>Reduced instance return indicator</t>
  </si>
  <si>
    <t>Indicates whether a reduced return is being sent for this instance and if so which type</t>
  </si>
  <si>
    <t>HE_LOADYRA</t>
  </si>
  <si>
    <t>LOADYRA</t>
  </si>
  <si>
    <t>FTE in year A</t>
  </si>
  <si>
    <t>Describes the split of student FTE (as reported in STULOAD) between years of instance, in cases where two years of instance are contained within a reporting period.</t>
  </si>
  <si>
    <t>HE_LOADYRB</t>
  </si>
  <si>
    <t>LOADYRB</t>
  </si>
  <si>
    <t>FTE in year B</t>
  </si>
  <si>
    <t>Teacher training data</t>
  </si>
  <si>
    <t>HE_SASDAYS</t>
  </si>
  <si>
    <t>SASDAYS</t>
  </si>
  <si>
    <t>Number of SAS days completed</t>
  </si>
  <si>
    <t>(These fields only relate to teacher training students/courses)</t>
  </si>
  <si>
    <t>HE_SASSCHL</t>
  </si>
  <si>
    <t>SASSCHL</t>
  </si>
  <si>
    <t>SAS placement</t>
  </si>
  <si>
    <t>HE_SKEITT</t>
  </si>
  <si>
    <t>SKEITT</t>
  </si>
  <si>
    <t>Subject knowledge enhancement provider</t>
  </si>
  <si>
    <t>2009/2010 - 2013/2014</t>
  </si>
  <si>
    <t>HE_TTCID</t>
  </si>
  <si>
    <t>TTCID</t>
  </si>
  <si>
    <t>Teacher training course identifier</t>
  </si>
  <si>
    <t>HE_ITTPHSC</t>
  </si>
  <si>
    <t>ITTPHSC</t>
  </si>
  <si>
    <t>ITT phase/scope</t>
  </si>
  <si>
    <t>HE_ITTSCHMS</t>
  </si>
  <si>
    <t>ITTSCHMS</t>
  </si>
  <si>
    <t>ITT schemes</t>
  </si>
  <si>
    <t>HE_PGCESBJ</t>
  </si>
  <si>
    <t>PGCESBJ</t>
  </si>
  <si>
    <t>PGCE subject of undergraduate degree</t>
  </si>
  <si>
    <t>HE_PGCECLSS</t>
  </si>
  <si>
    <t>PGCECLSS</t>
  </si>
  <si>
    <t>PGCE class of undergraduate degree</t>
  </si>
  <si>
    <t>HE_OUTCOME</t>
  </si>
  <si>
    <t>OUTCOME</t>
  </si>
  <si>
    <t>Outcome of ITT programme</t>
  </si>
  <si>
    <t>HE_BITTM</t>
  </si>
  <si>
    <t>BITTM</t>
  </si>
  <si>
    <t>Bilingual ITT marker</t>
  </si>
  <si>
    <t>HE_TQSSEC</t>
  </si>
  <si>
    <t>TQSSEC</t>
  </si>
  <si>
    <t>Teaching qualification sought sector</t>
  </si>
  <si>
    <t>HE_TQSSUB1</t>
  </si>
  <si>
    <t>TQSSUB1</t>
  </si>
  <si>
    <t>Teaching qual sought subject 1</t>
  </si>
  <si>
    <t>HE_TQSSUB2</t>
  </si>
  <si>
    <t>TQSSUB2</t>
  </si>
  <si>
    <t>Teaching qual sought subject 2</t>
  </si>
  <si>
    <t>HE_TQSSUB3</t>
  </si>
  <si>
    <t>TQSSUB3</t>
  </si>
  <si>
    <t>Teaching qual sought subject 3</t>
  </si>
  <si>
    <t>HE_TQGSEC</t>
  </si>
  <si>
    <t>TQGSEC</t>
  </si>
  <si>
    <t>Teaching qualification gained sector</t>
  </si>
  <si>
    <t>HE_TQGSUB1</t>
  </si>
  <si>
    <t>TQGSUB1</t>
  </si>
  <si>
    <t>Teaching qual gained subject 1</t>
  </si>
  <si>
    <t>HE_TQGSUB2</t>
  </si>
  <si>
    <t>TQGSUB2</t>
  </si>
  <si>
    <t>Teaching qual gained subject 2</t>
  </si>
  <si>
    <t>HE_TQGSUB3</t>
  </si>
  <si>
    <t>TQGSUB3</t>
  </si>
  <si>
    <t>Teaching qual gained subject 3</t>
  </si>
  <si>
    <t>HE_PGCESBJ1</t>
  </si>
  <si>
    <t>PGCESBJ1</t>
  </si>
  <si>
    <t>HE_PGCESBJ2</t>
  </si>
  <si>
    <t>PGCESBJ2</t>
  </si>
  <si>
    <t>HE_PGCESBJ3</t>
  </si>
  <si>
    <t>PGCESBJ3</t>
  </si>
  <si>
    <t>HE_PGCESBJ4</t>
  </si>
  <si>
    <t>PGCESBJ4</t>
  </si>
  <si>
    <t>HE_PGCESBJ5</t>
  </si>
  <si>
    <t>PGCESBJ5</t>
  </si>
  <si>
    <t>HE_QTS</t>
  </si>
  <si>
    <t>QTS</t>
  </si>
  <si>
    <t>Qualified Teacher Status</t>
  </si>
  <si>
    <t xml:space="preserve">Geography </t>
  </si>
  <si>
    <t>HE_OA</t>
  </si>
  <si>
    <t>OA</t>
  </si>
  <si>
    <t>Output Area</t>
  </si>
  <si>
    <t>POSTCODE variable will be used to map on Output Area information. Postcode will then be removed from the extract.</t>
  </si>
  <si>
    <t>HE_OA01</t>
  </si>
  <si>
    <t>2012/2013 - 2013/2014</t>
  </si>
  <si>
    <t>HE_OA11</t>
  </si>
  <si>
    <t>HE_LSOA</t>
  </si>
  <si>
    <t>Lower Super Output Area</t>
  </si>
  <si>
    <t>POSTCODE variable will be used to map on Lower Super Output Area information. Postcode will then be removed from the extract.</t>
  </si>
  <si>
    <t>HE_LSOA01</t>
  </si>
  <si>
    <t>HE_LSOA11</t>
  </si>
  <si>
    <t>HE_MSOA01</t>
  </si>
  <si>
    <t>MSOA</t>
  </si>
  <si>
    <t>Middle layer Super Output Area</t>
  </si>
  <si>
    <t>POSTCODE variable will be used to map on Middle layer Super Output Area information. Postcode will then be removed from the extract.</t>
  </si>
  <si>
    <t>HE_MSOA11</t>
  </si>
  <si>
    <t>HE_LA_ANON</t>
  </si>
  <si>
    <t>LA_ANON</t>
  </si>
  <si>
    <t>Local Authority</t>
  </si>
  <si>
    <t>POSTCODE variable will be used to map on Local Authority information. Postcode will then be removed from the extract.</t>
  </si>
  <si>
    <t>2005/2006-2019/2020</t>
  </si>
  <si>
    <t>University College Admission System (UCAS) data table</t>
  </si>
  <si>
    <t xml:space="preserve">Overview </t>
  </si>
  <si>
    <t>The UCAS individual level data includes information on applicants, applications, offers and acceptances for the 2007 to 2021 UCAS application cycles. There is also information on applicant personal characteristics, their achieved and predicted grades, as well as course entry requirements and information on provider and subject choices. Data is available for English applicants age 18 only.</t>
  </si>
  <si>
    <t>Table Fields</t>
  </si>
  <si>
    <t xml:space="preserve">Years populated </t>
  </si>
  <si>
    <t>PupilMatchingRefAnonymous (PMR)</t>
  </si>
  <si>
    <t>NPD identifier - based on UCAS matching of 18YOs - links the UCAS record back to the LEO Lookup/linking tables.</t>
  </si>
  <si>
    <t>2007/08 to 2020/21</t>
  </si>
  <si>
    <t>unique_id_cycle</t>
  </si>
  <si>
    <t>Applicant identifier that is unique to each applicant in each cycle. </t>
  </si>
  <si>
    <t>applicant_id</t>
  </si>
  <si>
    <t>Applicant identifier that is unique to each applicant (can be used to link between cycles). </t>
  </si>
  <si>
    <t>application_cycle</t>
  </si>
  <si>
    <t>Cycle in which the applicant made their application. </t>
  </si>
  <si>
    <t>qualification_status</t>
  </si>
  <si>
    <t>Status of the qualification as declared by the applicant during application. For example ‘Pending’, ‘Gained’. </t>
  </si>
  <si>
    <t>qualification_description</t>
  </si>
  <si>
    <t>Description of the type of qualification as declared by applicant during application. For example ‘GCE Advanced Level’. If no qualification description is provided during application, the value will be missing. </t>
  </si>
  <si>
    <t>subject_title</t>
  </si>
  <si>
    <t>Subject of the qualification as declared by applicant during application. If no subject title is provided during application, the value will be missing. </t>
  </si>
  <si>
    <t>Grade as declared by applicant during application. If no grade is provided during application, the value will be missing. </t>
  </si>
  <si>
    <t>qualification_year</t>
  </si>
  <si>
    <t>Year in which the applicant took the qualification. </t>
  </si>
  <si>
    <t>applicant_domicile_code</t>
  </si>
  <si>
    <t>Three-digit code specifying an applicant’s area of permanent residence. </t>
  </si>
  <si>
    <t>applicant_uk_region_code</t>
  </si>
  <si>
    <t>One-character code specifying an applicant’s UK region, linked by UCAS onto the home postcode declared by each applicant.  </t>
  </si>
  <si>
    <t>applicant_gender_code</t>
  </si>
  <si>
    <t>One-character code specifying gender as declared by the applicant.  </t>
  </si>
  <si>
    <t>applicant_ethnic_group_code</t>
  </si>
  <si>
    <t>Two-digit code specifying ethnic origin as declared by the applicant.  </t>
  </si>
  <si>
    <t>applicant_socioecon2000_code</t>
  </si>
  <si>
    <t>One-digit code specifying socio-economic group 2000 as declared by the applicant.  </t>
  </si>
  <si>
    <t>applicant_socioecon2010_code</t>
  </si>
  <si>
    <t>One-digit code specifying socio-economic group 2010 as declared by the applicant.  </t>
  </si>
  <si>
    <t>applicant_polar3_code</t>
  </si>
  <si>
    <t>One-digit code specifying POLAR3 Quintile.  </t>
  </si>
  <si>
    <t>applicant_polar4_code</t>
  </si>
  <si>
    <t>One-digit code specifying POLAR4 Quintile.  </t>
  </si>
  <si>
    <t>applicant_imd_code</t>
  </si>
  <si>
    <t>One-digit code specifying Indices of multiple deprivation quintile.  </t>
  </si>
  <si>
    <t>applicant_age</t>
  </si>
  <si>
    <t>Derived from date of birth declared by the applicant, age is aligned with the cut off points for school/college cohorts within the different administrations of the UK. For England and Wales ages are defined on the 31 August, for Northern Ireland on the 1 July and for Scotland on the 28 February the following year. Defining ages in this way matches the assignment of children to school cohorts. For applicants outside of the UK the cohort cut off for England and Wales has been used. Please note: some applicants have listed their age as 0 or similar.  </t>
  </si>
  <si>
    <t>applicant_disability_code</t>
  </si>
  <si>
    <t>One-character code specifying disability as declared by the applicant.  </t>
  </si>
  <si>
    <t>application_date</t>
  </si>
  <si>
    <t>The date at which the applicant first applied in the application cycle. </t>
  </si>
  <si>
    <t>acceptance_route_code</t>
  </si>
  <si>
    <t>One-digit code specifying the route through which an applicant was accepted onto a course.  </t>
  </si>
  <si>
    <t>applicant_flag</t>
  </si>
  <si>
    <t>Flag set to 1 for each applicant. </t>
  </si>
  <si>
    <t>accept_flag</t>
  </si>
  <si>
    <t>Flag indicating whether applicant was accepted on any of their applications in an application cycle. </t>
  </si>
  <si>
    <t>applicant_domicile_named_country</t>
  </si>
  <si>
    <t>Applicant’s area of permanent residence. This variable is derived from domicile as declared by the applicant on application. Split by individual country. Please note: The Channel Islands and the Isle of Man are considered outside the UK, and are therefore classified separately. </t>
  </si>
  <si>
    <t>higher_level_applicant_domicile</t>
  </si>
  <si>
    <t>Applicant’s area of permanent residence summarised to UK and global regions. This variable is derived from domicile as declared by the applicant on application. Split by the following values if domiciled in the UK: ‘England’, ‘Northern Ireland’, ‘Scotland’, ‘Wales’. Split by the following regions if Non UK: ‘EU (excluding UK)’, ‘Not EU’. Please note: The Channel Islands and the Isle of Man are assigned as ‘Not EU’. </t>
  </si>
  <si>
    <t>applicant_region</t>
  </si>
  <si>
    <t>Applicant’s UK region. This variable is linked by home postcode as declared by the applicant on application. Split by the following values if domiciled in the UK: values if domiciled in the UK: ‘North East’, ‘Yorkshire and The Humber’, ‘North West’, ‘East Midlands’, ‘West Midlands’, ‘East of England’, ‘London’, ‘South East’, ‘South West’, ‘Wales’, ‘Northern Ireland’, ‘Scotland’, ‘Unknown’. Classified as ‘Overseas’ otherwise. </t>
  </si>
  <si>
    <t>applicant_domicile</t>
  </si>
  <si>
    <t>Applicant’s area of permanent residence summarised to UK and global regions. This variable is derived from domicile as declared by the applicant on application. Split by the following values if domiciled in the UK: ‘England’, ‘Northern Ireland’, ‘Scotland’, ‘Wales’. Classified as ‘Overseas’ otherwise. </t>
  </si>
  <si>
    <t>Gender as declared by the applicant. </t>
  </si>
  <si>
    <t>ethnic_group_summary</t>
  </si>
  <si>
    <t>High level grouping of ethnic origin as declared by the applicant: ‘White’, ‘Black’, ‘Asian’, ‘Mixed’, ‘Other’, ‘Unknown or Prefer Not To Say’. Please note: Ethnic origin is captured for UK domiciled applicants only, therefore all non UK domiciled applicants are assigned as ‘Unknown or Prefer Not To Say’. </t>
  </si>
  <si>
    <t>ethnic_group_detailed</t>
  </si>
  <si>
    <t>Low level grouping of ethnic origin as declared by the applicant: ‘White’, ‘Black – Caribbean’, ‘Black – African’, ‘Black - Other Black background’, ‘Asian – Indian’, ‘Asian – Pakistani’, ‘Asian – Bangladeshi’, ‘Asian – Chinese’,  ‘Asian - Other Asian background’,  ‘Mixed - White and Black Caribbean’, ‘Mixed - White and Black African’, ‘Mixed - White and Asian’, ‘Mixed - Other mixed background’,  ‘Other ethnic background’, ‘Unknown or Prefer Not To Say. Please note: Ethnic origin is captured for UK domiciled applicants only, therefore all non UK domiciled applicants are assigned as ‘Unknown or Prefer Not To Say’. </t>
  </si>
  <si>
    <t>disability</t>
  </si>
  <si>
    <t>Disability as declared by the applicant by selecting from a list of available options.  </t>
  </si>
  <si>
    <t>dis_ord</t>
  </si>
  <si>
    <t>socioecon_group2000</t>
  </si>
  <si>
    <t>The National Statistics Socio-economic Classification (NS-SEC) is an occupationally based system used to classify the adult population. Conditions such as pay and seniority of position are used to determine class. This is declared by the applicant, however please note a change in question in 2008. 2008 question: ‘If you are in full-time education, please state the occupation of the highest-earning family member of the household in which you live. If he or she is retired or unemployed, give their most recent occupation. If you are not in full-time education, please state just your own occupation’. Pre-2008 question: ‘If you are under 21, please state the occupation of the highest-earning family member of the household in which you live. If he or she is retired or unemployed, give their most recent occupation. If you are 21 or over, please state just your own occupation’. The response is captured for UK domiciled applicants only, therefore all non UK domiciled applicants are assigned as ‘Not classified / unknown’. </t>
  </si>
  <si>
    <t>socioecon_group2010</t>
  </si>
  <si>
    <t>The National Statistics Socio-economic Classification (NS-SEC) is an occupationally based system used to classify the adult population. The applicant is asked: ‘If you are in full-time education, please state the occupation of the highest-earning family member of the household in which you live. If he or she is retired or unemployed, give their most recent occupation. If you are not in full-time education, please state just your own occupation’.  The applicant may then choose from 28,000 ONS job descriptions. These job descriptions are then mapped to 8 Socio-Economic Group codes via a lower level set of around 380 ‘2010 SOC Codes’. The response is captured for UK domiciled applicants only, therefore all non UK domiciled applicants are assigned as ‘Not classified / unknown’. Please note that, although the same 8 Socio-Economic Group codes are displayed in the Socio-economic group 2000 variable available from 2004-2014, occupations are mapped via a different set of ‘2000 SOC Codes’. Therefore, some job descriptions are mapped to different Socio-Economic Group values. </t>
  </si>
  <si>
    <t>polar3_quintile</t>
  </si>
  <si>
    <t>Developed by HEFCE, POLAR3 classifies small areas across the UK into five groups according to their level of young participation in Higher Education. Each of these groups represents around 20 per cent of young people and is ranked from Quintile 1 (areas with the lowest young participation rates, considered as the most disadvantaged) to Quintile 5 (highest young participation rates, considered most advantaged). POLAR3 is based on the participation rates of young people between 2005 and 2009, who entered HE between 2005-06 and 2010-11 academic years. These groups are assigned using the postcode declared by the applicant. If a postcode is invalid, considered unsafe for measurement or there is no link to Census geography possible then the applicant is classified as ‘Unknown’. Please note: POLAR3 is only available for applicants domiciled in the UK, therefore any applicants domiciled outside of the UK are classified as ‘Unknown’. Also, although POLAR3 is available for applicants of all ages, it is recommended/most suitable for analysis of applicants aged 19 and under. </t>
  </si>
  <si>
    <t>polar4_quintile</t>
  </si>
  <si>
    <t>Developed by HEFCE, POLAR4 classifies small areas across the UK into five groups according to their level of young participation in Higher Education. Each of these groups represents around 20 per cent of young people and is ranked from Quintile 1 (areas with the lowest young participation rates, considered as the most disadvantaged) to Quintile 5 (highest young participation rates, considered most advantaged). POLAR4 is based on the participation rates of young people between 2009 and 2014, who entered HE between 2009-10 and 2014-15 academic years. These groups are assigned using the postcode declared by the applicant. If a postcode is invalid, considered unsafe for measurement or there is no link to Census geography possible then the applicant is classified as ‘Unknown’. Please note: POLAR4 is only relevant for applicants domiciled in the UK, therefore any applicants outside of this cohort are classified as ‘Unknown’. Also, although POLAR4 is available for applicants of all ages, it is recommended/most suitable for analysis of applicants aged 19 and under. </t>
  </si>
  <si>
    <t>imd</t>
  </si>
  <si>
    <t>The IMD variable differs depending on the applicant domicile: For England domiciled applicants, IMD relates to Index of Multiple Deprivation 2019. 
For Northern Irish domiciled applicants, IMD relates to the Northern Irish Multiple Deprivation Measure 2017. For Scottish domiciled applicants, IMD relates to Scottish Index of Multiple Deprivation 2012/2016. For Welsh domiciled applicants, IMD relates to Welsh Index of Multiple Deprivation 2014. </t>
  </si>
  <si>
    <t>grouped_school_aligned_age</t>
  </si>
  <si>
    <t>School aligned age grouped into the following: ’17 and under’, ‘18’, ‘19’, ‘20’, ’20-24’, ’25-29’, ’30-34’, ’35 and over’. </t>
  </si>
  <si>
    <t>apply_centre_type</t>
  </si>
  <si>
    <t>The type of the school or centre through which the application was submitted, giving an indication of the type of educational establishment attended by the applicant. The most recent school or centre type for each school code held by UCAS is displayed across the time series, regardless of the school or centre type at the time of the application. For example, academies were introduced 2012. When an Apply Centre Type is not found, it is classified as ‘Other’. </t>
  </si>
  <si>
    <t>acceptance_route</t>
  </si>
  <si>
    <t>The acceptance route with the following values attached to placed applications. Firm Choice: where the applicant has been accepted to their first choice. Insurance choice: where the applicant has been accepted to their second choice.  Main Scheme Clearing: where an applicant was unsuccessful in the main scheme (i.e. applied before 30 June) and subsequently found a place using Clearing. Direct Clearing: where the applicant has applied via Clearing without an initial application through the main scheme. Adjustment: where applicants who have met and exceeded the conditions of their firm choice choose to take up an alternative offer - introduced in 2009. Extra: where applicants who held no offers after using all of their main scheme choices, make additional choices. RPA: where an application is submitted to UCAS by an institution when an unconditional firm has already been offered and accepted by the applicant. Please note: ‘Insurance choice’ and ‘Firm choice’ values are based on the applicant’s response to an offer as-at June deadline. There are 10,000 to 20,000 acceptances to a main scheme choice each year where the applicant has not responded, or is awaiting an offer, by June deadline. These acceptances are classified as ‘Other Main Scheme Choice’. </t>
  </si>
  <si>
    <t>unique_application_id_cycle</t>
  </si>
  <si>
    <t>Application identifier that is unique to each application made by an applicant. </t>
  </si>
  <si>
    <t>entry_year_code</t>
  </si>
  <si>
    <t>Academic year in which course selected by applicant starts.  </t>
  </si>
  <si>
    <t>course_identifier</t>
  </si>
  <si>
    <t>A combination of provider and course code. </t>
  </si>
  <si>
    <t>jacs3_sub_line_code</t>
  </si>
  <si>
    <t>Two character code that classifies courses into a detailed level of 215 subjects. Each course is assigned up to three valid JACS3 subject codes (e.g. G100 – Mathematics) and a course balance indicator by UCAS, which are available for review by the provider. The course is assigned a subject based on these JACS3 subject codes and balance indicator, it largely correlates to the first two characters of the subject codes. Where there are more than one JACS3 subject codes for a given course, and the balance indicator is dual or triple, the first two characters of each subject code are reported in combination to a relevant category (e.g. Course with dual balance indicator with JACS3 subject codes L370 = Social Theory and M900 = Others in Law is assigned a subject ‘Y Combs of soc studies/law’). Please note: Between 2007 and 2011 the subject codes assigned to each course were from the JACS2.0 classification, therefore JACS3 versions of the subject categories have been approximated for 2007 to 2011 to allow a consistent time series. Also, since the 2019 application cycle, JACS3 versions of the subject categories have been approximated, after the discontinuation of the JACS subject grouping system </t>
  </si>
  <si>
    <t>application_route_code</t>
  </si>
  <si>
    <t>One-digit code specifying route of application.  </t>
  </si>
  <si>
    <t>june30_hep_decision_code</t>
  </si>
  <si>
    <t>Code specifying decision made by Higher Education Provider in response to an application. Decisions reported as they appeared on the application at the June 30 deadline.  </t>
  </si>
  <si>
    <t>june30_app_response_code</t>
  </si>
  <si>
    <t>Code specifying applicant response to decision made by a Higher Education Provider. Responses reported as they appeared on the application at the June 30 deadline.. </t>
  </si>
  <si>
    <t>course_identifier_june30_deadline</t>
  </si>
  <si>
    <t>A combination of provider and course code. Reported as it appeared on the application at the June 30 deadline. </t>
  </si>
  <si>
    <t>jacs3_sub_line_june30_code</t>
  </si>
  <si>
    <t>Two character code that classifies courses into a detailed level of 215 subjects. Each course is assigned up to three valid JACS3 subject codes (e.g. G100 – Mathematics) and a course balance indicator by UCAS, which are available for review by the provider. The course is assigned a subject based on these JACS3 subject codes and balance indicator, it largely correlates to the first two characters of the subject codes. Where there are more than one JACS3 subject codes for a given course, and the balance indicator is dual or triple, the first two characters of each subject code are reported in combination to a relevant category (e.g. Course with dual balance indicator with JACS3 subject codes L370 = Social Theory and M900 = Others in Law is assigned a subject ‘Y Combs of soc studies/law’). Please note: Between 2007 and 2011 the subject codes assigned to each course were from the JACS2.0 classification, therefore JACS3 versions of the subject categories have been approximated for 2007 to 2011 to allow a consistent time series. Also, since the 2019 application cycle, JACS3 versions of the subject categories have been approximated, after the discontinuation of the JACS subject grouping system. Reported as it appeared on the application at the June 30 deadline </t>
  </si>
  <si>
    <t>main_scheme_application_flag</t>
  </si>
  <si>
    <t>Flag indicating whether the application was made before the June 30 application deadline. This is the final date by which an applicant can submit up to five applications to study on a course of higher education. Applicants who apply after this date go directly into Clearing. Please note that some applicants may apply and have their application withdrawn prior to the June 30 deadline, before having their application reinstated. These applications are considered as main scheme applications, but variables reported at the June 30 deadline will not be present (eg. June 30 Higher Education Provider code). </t>
  </si>
  <si>
    <t>application_flag</t>
  </si>
  <si>
    <t>Flag set to 1 for each application. </t>
  </si>
  <si>
    <t>ucas_unconditional_offer_flag</t>
  </si>
  <si>
    <t>Flag indicating whether an application was used as part of UCAS’ 2019 end of cycle unconditional offer making analysis (only applications in the mainscheme made by English, Northern Irish and Welsh 18-year olds since the 2013 application cycle were considered). </t>
  </si>
  <si>
    <t>conditional_unconditional_offer_flag</t>
  </si>
  <si>
    <t>Flag indicating whether application received a conditional unconditional offer. Conditional unconditional offers are offers which are conditional at the point of offer, and adjusted by the provider from conditional to unconditional if selected as an applicant’s firm choice. These are identified in the admissions system through free text fields providers can use to communicate any additional information to applicants. Only calculated for applications considered in UCAS’ 2019 unconditional offer making analysis. </t>
  </si>
  <si>
    <t>direct_unconditional_offer_flag</t>
  </si>
  <si>
    <t>Flag indicating whether application received a direct unconditional offer. Direct unconditional offers are offers which are unconditional at the point of offer. Only calculated for applications considered in UCAS’ 2019 unconditional offer making analysis. </t>
  </si>
  <si>
    <t>other_unconditional_offer_flag</t>
  </si>
  <si>
    <t>Flag indicating whether application received an other unconditional offer. Other unconditional offers are offers which are conditional at the point of offer and become unconditional on or before June 30 – the final date on which main scheme applications can be submitted, and are not identified as a conditional unconditional offer. Only calculated for applications considered in UCAS’ 2019 unconditional offer making analysis. </t>
  </si>
  <si>
    <t>unconditional_component_flag</t>
  </si>
  <si>
    <t>Flag indicating whether application received a an offer with an unconditional component. An offer with an unconditional component is any offer identified as an other unconditional offer, a conditional unconditional offer, or a direct unconditional offer. Only calculated for applications considered in UCAS’ 2019 unconditional offer making analysis. </t>
  </si>
  <si>
    <t>entry_year</t>
  </si>
  <si>
    <t>The academic year in which the course selected by the applicant starts. For courses starting between August and December the academic year is defined as starting in that year (I.e. for courses starting in August 2013 the entry year will be 2013.) For any courses starting earlier than September the academic year is defined as starting in the previous year. (I.e. for courses starting in January 2013 the entry year will be 2012 despite the course starting during the 2013 application cycle.) Please note: In each application cycle there are a small number of applications that are deferred for two years. </t>
  </si>
  <si>
    <t>detailed_subject_group_name</t>
  </si>
  <si>
    <t>Name of detailed subject group. </t>
  </si>
  <si>
    <t>subject_group_name</t>
  </si>
  <si>
    <t>Name of subject group. </t>
  </si>
  <si>
    <t>he_provider_tariff_group</t>
  </si>
  <si>
    <t>The grouping of HE providers based on the average levels of attainment of their accepted applicants (summarised through UCAS Tariff points) in a period of application cycles spanning from 2004 to 2011. Each group of providers accounted for around a third of all UK 18 year old acceptances in these cycles. Split by the following values: ‘Highe tariff’, ‘Medium tariff’, ‘Lower tariff’. </t>
  </si>
  <si>
    <t>he_provider_uk_region</t>
  </si>
  <si>
    <t>The UK region in which the provider is situated. Split by the following values: ‘North East’, ‘Yorkshire and The Humber’, ‘North West’, ‘East Midlands’, ‘West Midlands’, ‘East of England’, ‘London’, ‘South East’, ‘South West’, ‘Wales’, ‘Northern Ireland’, ‘Scotland’, ‘Overseas’. If the region of a provider has changed, the most recent region is reported. </t>
  </si>
  <si>
    <t>application_route</t>
  </si>
  <si>
    <t>The route through which an application was made. Main scheme: where the application was made before the June 30 deadline. Adjustment: where applicants who have met and exceeded the conditions of their firm choice choose to take up an alternative offer. Clearing: where an applicant either applied through main scheme clearing, after an applicant was unsuccessful in the main scheme, or direct to clearing, where the applicant has applied via Clearing without an initial application through the main scheme. Extra: where applicants who held no offers after using all of their main scheme choices, make additional choices. RPA: where an application is submitted to UCAS by an institution when an unconditional firm has already been offered and accepted by the applicant. </t>
  </si>
  <si>
    <t>provider_decision_june30</t>
  </si>
  <si>
    <t>The provider decision at the June 30 deadline with the following values attached to applications: Conditional offer, Invited for interview, Decision pending, Unconditional offer, Unconditional course change, Rejected, Rejected by default, Course full, Application withdrawn, Provider yet to receive application (new application). Where no decision has been made for an application, the decision will be reported as missing. </t>
  </si>
  <si>
    <t>app_response_june30</t>
  </si>
  <si>
    <t>The applicant response at the June 30 deadline with the following values attached to applications: Firm, Insurance, Declined by default, Declined, Cancelled. Where no reply has been made for an application, the applicant reply will be reported as missing. </t>
  </si>
  <si>
    <t>Education Records Lookup Table</t>
  </si>
  <si>
    <t>Overview</t>
  </si>
  <si>
    <t>This table contains one record for each education record used as part of the matching process - used to link to non-NPD datasets</t>
  </si>
  <si>
    <t>Data Source</t>
  </si>
  <si>
    <t>See 'SOURCE' field</t>
  </si>
  <si>
    <t>Known Issues</t>
  </si>
  <si>
    <t>-</t>
  </si>
  <si>
    <t>What can I do with this table?</t>
  </si>
  <si>
    <t>Use this table to link education records sent for matching and IDs resolved as part of the SVOTT process</t>
  </si>
  <si>
    <t>Field Name</t>
  </si>
  <si>
    <t>Source Dataset</t>
  </si>
  <si>
    <t>LINK.EDUCATION_RECORDS_LOOKUP</t>
  </si>
  <si>
    <t>Varies across each of the source datasets</t>
  </si>
  <si>
    <t>Unique record identifier</t>
  </si>
  <si>
    <t>AE_ID</t>
  </si>
  <si>
    <t>Unique person identifier created following single person resolution processing at DfE and used to link to resolved EDUKEY and PUPILMATCHINGREFANONYMOUS lookup tables</t>
  </si>
  <si>
    <t>This table contains one record for each resolved Edukey identifier</t>
  </si>
  <si>
    <t>Education Records Lookup</t>
  </si>
  <si>
    <t>Use this table to link resolved Edukeys to education records in order to link learners to DWP / HMRC outcomes</t>
  </si>
  <si>
    <t>LINK.LEARNER_AE_ID_TO_EDUKEY_LOOKUP</t>
  </si>
  <si>
    <t>EDUKEY</t>
  </si>
  <si>
    <t>varchar(14)</t>
  </si>
  <si>
    <t>Unique person identifier used to link to learner outcomes tables</t>
  </si>
  <si>
    <t>Resolved Learner AE_ID To PMR Lookup</t>
  </si>
  <si>
    <t>This table contains one record for each resolved PMR identifier</t>
  </si>
  <si>
    <t>Use this table to link resolved PMRs to education records in order to identify unique NPD learners in the LEO data</t>
  </si>
  <si>
    <t>LINK.LEARNER_AE_ID_TO_PMR_LOOKUP</t>
  </si>
  <si>
    <t>varchar(18)</t>
  </si>
  <si>
    <t>Unique person identifier used to link to NPD learners</t>
  </si>
  <si>
    <t>LEO Benefit Spells Table</t>
  </si>
  <si>
    <t>This table contains one record for each spell on benefits per person - and therefore shows their total available benefit history. 
- Individual level information – Edukey
- One line per benefit spell
- Cumulative dataset</t>
  </si>
  <si>
    <t xml:space="preserve">Information contained within this table comes from the combined DWP NBD, JTA and UC datasets. The NBD is taken from the underlying benefit payment systems and is supplemented by information entered by Jobcentre advisers. It provides a complete record for claimants of out-of-work benefit. The data therefore captures basic information accurately, but non-compulsory fields in either the labour market system or the payment system may be incomplete. Due to the size and technical complexity, these systems are not accessed directly, but at regular interval scans are taken that build up a longitudinal picture from repeated snapshots of the data.  Start dates are entered on to the system and are accurate dates of benefit payment, thus provide certain timing and duration of benefit claim. </t>
  </si>
  <si>
    <t>Information within this table allows the user to analyse spells on benefits across time for learners which have been successfully matched to the LEO data. This allows investigation of the impact of learning and any resulting benefit uptake.</t>
  </si>
  <si>
    <t>Years Populated (tax years)</t>
  </si>
  <si>
    <t>LEO.Benefits</t>
  </si>
  <si>
    <t>EduKey</t>
  </si>
  <si>
    <t>1999/00 - 2020/21</t>
  </si>
  <si>
    <t>LEOs unique pupil identifier</t>
  </si>
  <si>
    <t>DWP Lookup Dataset</t>
  </si>
  <si>
    <t xml:space="preserve">For all learners in the DWP benefits data.
Use this identifier to link between the other LEO tables.  </t>
  </si>
  <si>
    <t>Start date of benefit spell</t>
  </si>
  <si>
    <t>DWP NBD, JTA, PIP &amp; UC Datasets</t>
  </si>
  <si>
    <t>Overalapping or abutting benefit spells of the same type have been merged.</t>
  </si>
  <si>
    <t>EndDate</t>
  </si>
  <si>
    <t>End date of benefit spell</t>
  </si>
  <si>
    <t>Benefit_type</t>
  </si>
  <si>
    <t>varchar(3)</t>
  </si>
  <si>
    <t>Type of benefit claimed</t>
  </si>
  <si>
    <t>valid benefit type</t>
  </si>
  <si>
    <t>Out_of_work_benefit</t>
  </si>
  <si>
    <t>Flag to identify if the benefit claimed is categorised as out of work benefit</t>
  </si>
  <si>
    <t>LEO_Employment Spells Table</t>
  </si>
  <si>
    <t>This table contains one record for each spell of employment per person - and therefore shows their total available employment history. 
- Individual level information – Edukey
- One line per employment spell
- Cumulative dataset</t>
  </si>
  <si>
    <t>Information contained within this table comes from the HMRC P45 dataset. The P45 employment dataset contains start dates and end dates of employment spells and covers employees eligible for pay-as-you-earn (PAYE) tax. These figures have been derived from administrative IT systems which, as with any large scale recording system, are subject to possible errors with data entry and processing. While some data cleaning was necessary the resulting data looks to provide a good reflection of an individuals employment and earnings for the year.</t>
  </si>
  <si>
    <t>The PAYE system does not collect information on the numbers of hours worked, therefore whether an individual is working full-time or part-time cannot be ascertained.
No robust information relating to the type of job worked is currently available on the HMRC P45 feed, further work is ongoing to see if this information could be sourced from elsewhere.
Low-income individuals who earn below the minimum tax threshold may not be included if they work for a small employer.
A number of returns are found to have missing start dates due to the employer not forwarding a timely P45. The default dates recorded in the dataset are either 6 April (the first day of the financial year), or where only an end date is known as the day before that end date. Similarly for records where the employment is known to have come to an end within a financial year but the end date is not known the record is given a default 5 April end date, the last day of the financial year. 
Employment information in this table does not include those who  are self-employed, see the LEO_Self_assessment table.</t>
  </si>
  <si>
    <t>Information within this table allows the user to analyse spells of employment across time for learners which have been successfully matched to the LEO data. This allows investigation of the impact of learning and any resulting employment.</t>
  </si>
  <si>
    <t>LEO.Employment</t>
  </si>
  <si>
    <t>1997/98 - 2020/21</t>
  </si>
  <si>
    <t xml:space="preserve">For all learners in the employment spells data.
Use this identifier to link between the other LEO tables.  </t>
  </si>
  <si>
    <t>Start date of employment spell</t>
  </si>
  <si>
    <t>HMRC P45 Dataset</t>
  </si>
  <si>
    <t>Overalapping or abutting employment spells have been merged.</t>
  </si>
  <si>
    <t>End date of employment spell</t>
  </si>
  <si>
    <t>UncertainStartDate</t>
  </si>
  <si>
    <t>bit</t>
  </si>
  <si>
    <t>Flag to identify if the employment spell has a start date which is classed as uncertain</t>
  </si>
  <si>
    <t>UncertainEndDate</t>
  </si>
  <si>
    <t>Flag to identify if the employment spell has a end date which is classed as uncertain</t>
  </si>
  <si>
    <t>LEO Earnings Table</t>
  </si>
  <si>
    <t>This table contains one record for each available tax year of earnings per person - and therefore shows the total of their earnings over the tax year
- Individual level information – Edukey
- One line per tax year earnings
- Cumulative dataset</t>
  </si>
  <si>
    <t>Information contained within this table comes from the HMRC P14 dataset. These figures have been derived from administrative IT systems which, as with any large scale recording system, are subject to possible errors with data entry and processing. While some data cleaning was necessary the resulting data looks to provide a good reflection of an individuals earnings for the year.
Total pay is made up of base salary and other allowances e.g. overtime, on call etc. minus deductions taken at source such as pension, medical cover etc.. IDBR data is linked to P14 via PAYE reference.</t>
  </si>
  <si>
    <t>For the purposes of collecting taxes, accurate start dates are not required by HMRC, just the financial year and earnings, so the data feed provided which is used to construct this table does not contain accurate start/end dates and therefore only shows the tax year any earnings were recorded against. 
The earnings information in this table may not include those who earn below the tax threshold, any periods of self-employment or who are overseas. Please note: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
During the most recent LEO update, DWP notified us the P14 earnings data erroneosuly included some benefit records this affects the tax years i.e. from 2004 to 2017 tax years.. We carried out an investigation to evaluate the impact this would have on counts and we concluded that it impacted a negliblge number of records.
The IDBR data included in the standard extract gives the primary industry of the enterprise in question and does not tell us about the learner’s occupation within that enterprise. The IDBR data included is from datasets owned by the Office of National Statistics (ONS). The ONS does not accept responsibility for any inferences or conclusions derived from the IDBR data by third parties.</t>
  </si>
  <si>
    <t>Information within this table allows the user to analyse earnings of learners which have been successfully matched to the LEO data. This allows investigation of earnings split by tax year and pupil characteristics (using EDUKEY in order to link to variables of interest in other datasets).
the IDBR data gives the primary industry of the enterprise lniked to the indivudals earnings records.</t>
  </si>
  <si>
    <t>LEO.Earnings</t>
  </si>
  <si>
    <t>Edukey</t>
  </si>
  <si>
    <t>2003/04 - 2020/21</t>
  </si>
  <si>
    <t xml:space="preserve">For all learners in the earnings data.
Use this identifier to link between the other LEO tables.  </t>
  </si>
  <si>
    <t>TaxYear</t>
  </si>
  <si>
    <t>Year in which earnings amount relates to</t>
  </si>
  <si>
    <t>200304 - 201819</t>
  </si>
  <si>
    <t>HMRC P14 Dataset</t>
  </si>
  <si>
    <t>Years populated relates to the year in which the tax years start and end e.g. 200405 refers to the tax year starting 6 April 2004 and ending 5 April 2005.</t>
  </si>
  <si>
    <t>Earnings</t>
  </si>
  <si>
    <t>Summed earnings (per person) for each available tax year</t>
  </si>
  <si>
    <t>£</t>
  </si>
  <si>
    <t>Negative total earnings are set to 0.</t>
  </si>
  <si>
    <t>main_enterprise</t>
  </si>
  <si>
    <t>For tax years 2016/17 and earlier, earnings data has been linked to the January 2018 extract of IDBR data (source year = 2019 in the IDBR lookup) whereas for tax years 2017/18 onwards, the September 2020 extract of IDBR data (source year = 2020 in the IDBR lookup) has been linked to the earnings data</t>
  </si>
  <si>
    <t>the entkey of the enterprise where the individual earned the most money within the tax year</t>
  </si>
  <si>
    <t>if there is a tie, we choose the enterprise which is alphabetically first based on entkey but will flag that there is a tie at enterprise level</t>
  </si>
  <si>
    <t>enterprise_earnings</t>
  </si>
  <si>
    <t>earnings within the main_enterprise</t>
  </si>
  <si>
    <t>tied_main_record_enterprise_sic_fg</t>
  </si>
  <si>
    <t>flag to show if there is an alternative enterprise that could have been picked due to tied earnings</t>
  </si>
  <si>
    <t>Num_Employments</t>
  </si>
  <si>
    <t>number of distinct enterprises the individual worked in within a tax year</t>
  </si>
  <si>
    <t>HMRC P14 Dataset &amp; IDBR</t>
  </si>
  <si>
    <t>NULLs or missing ENTKEYs are not counted</t>
  </si>
  <si>
    <t>Main_Section</t>
  </si>
  <si>
    <t>the sectionname where the individual earned the most money within the tax year</t>
  </si>
  <si>
    <t>*NOTE* - this is not always the same as the sectionname associated with the main enterprise or the main SIC2007 - the main_section is chosen after aggregating earnings up to sectionname level and so it is possible for this to not be the same as main_enterprise_linked_section or the main_sic2007_linked_section</t>
  </si>
  <si>
    <t>Section_Earnings</t>
  </si>
  <si>
    <t>earnings within the main_section</t>
  </si>
  <si>
    <t>this involves aggregating earnings by sectionname and is not necessarily the same as enterprise_earnings</t>
  </si>
  <si>
    <t>Tied_Main_Section_Flag</t>
  </si>
  <si>
    <t>flag to show if there is an alternative section that could have been picked due to tied earnings</t>
  </si>
  <si>
    <t>Num_Sections</t>
  </si>
  <si>
    <t>number of distinct sections the individual can be linked to within the tax year</t>
  </si>
  <si>
    <t>Main_SIC2007</t>
  </si>
  <si>
    <t>the SIC2007 where the individual earned the most money within the tax year</t>
  </si>
  <si>
    <t>*NOTE* - this is not always the same as the SIC2007 associated with the main enterprise - the main_sic2007 is chosen after aggregating earnings up to SIC2007 level and so it is possible for this to not be the same as main_enterprise_linked_sic2007</t>
  </si>
  <si>
    <t>SIC_Earnings</t>
  </si>
  <si>
    <t>earnings within the main_sic2007</t>
  </si>
  <si>
    <r>
      <t xml:space="preserve">this involves aggregating earnings by SIC2007 and is not necessarily the same as enterprise_earnings. </t>
    </r>
    <r>
      <rPr>
        <b/>
        <sz val="8"/>
        <color rgb="FF000000"/>
        <rFont val="Arial"/>
        <family val="2"/>
      </rPr>
      <t>The SIC code given in 'main_sic2007' can be used to report different levels of the SIC hierarchy - e.g. division (3-digit SIC). However the earnings will relate only to the full SIC, earnings from other SICs that may be grouped in the same division</t>
    </r>
    <r>
      <rPr>
        <sz val="8"/>
        <color rgb="FF000000"/>
        <rFont val="Arial"/>
        <family val="2"/>
      </rPr>
      <t xml:space="preserve"> </t>
    </r>
    <r>
      <rPr>
        <b/>
        <sz val="8"/>
        <color rgb="FF000000"/>
        <rFont val="Arial"/>
        <family val="2"/>
      </rPr>
      <t>have not been captured as the earnings aggregation is based on the full code</t>
    </r>
  </si>
  <si>
    <t>Tied_Main_SIC_Flag</t>
  </si>
  <si>
    <t>flag to show if there is an alternative sic2007 that could have been picked due to tied earnings</t>
  </si>
  <si>
    <t>Num_SIC</t>
  </si>
  <si>
    <t>number of distinct SIC2007 the individual can be linked to within a tax year</t>
  </si>
  <si>
    <t>NULLs or missing SIC2007s are not counted</t>
  </si>
  <si>
    <t>main_enterprise_linked_sic2007</t>
  </si>
  <si>
    <t>the SIC2007 associated with the main enterprise</t>
  </si>
  <si>
    <t>*NOTE* - this is not always the same as main_sic2007 as a result of aggregating earnings to sic2007 separately of enterprise</t>
  </si>
  <si>
    <t>main_enterprise_linked_section</t>
  </si>
  <si>
    <t>the sectionname associated with the main enterprise</t>
  </si>
  <si>
    <t>*NOTE* - this is not always the same as main_section as a result of aggregating earnings to sectionname separately of enterprise</t>
  </si>
  <si>
    <t>IDBR Lookup Table</t>
  </si>
  <si>
    <t>the IDBR is the comprehensive list of UK businesses that is used by government for statistical purposes. It provides the main sampling frame for surveys of businesses carried out by the ONS and by other government departments. It is also a key data source for analyses of business activity.</t>
  </si>
  <si>
    <t>Where "source_year" = 2019  data relates to the Jan 2018 ingest and for any historic enterprises (which died prior to this date) information associated with this enterprise is as at Jan 2018, so may not be reliable for employee numbers.
Where "source_year" = 2020 (for p14 tax years 2017/18 onwards) the employee numbers are more up-to-date.</t>
  </si>
  <si>
    <t>This table allows information about enterprises to be linked with earnings data. The entkey and source year fields should be used when linking this table to the earnings table.</t>
  </si>
  <si>
    <t>LEO.IDBR_LOOKUP</t>
  </si>
  <si>
    <t>ENTKEY</t>
  </si>
  <si>
    <t>Char</t>
  </si>
  <si>
    <t xml:space="preserve">Tax years 2016/17 and earlier are joined to the source year 2019 records in IDBR, and 2017/18 onwards are joined to the 2020 source year </t>
  </si>
  <si>
    <t>A unique enterprise level identifier for linking between P14 and IDBR lookup</t>
  </si>
  <si>
    <t>IDBR</t>
  </si>
  <si>
    <t>SIC2007</t>
  </si>
  <si>
    <t>Code denoting the standard industry classification of the employer</t>
  </si>
  <si>
    <t>Govt_Region</t>
  </si>
  <si>
    <t>Region an enterprise belongs to</t>
  </si>
  <si>
    <t>legalstatus</t>
  </si>
  <si>
    <t>A one digit code representing the Legal Status given to a business</t>
  </si>
  <si>
    <t>Employees</t>
  </si>
  <si>
    <t>No. employees at enterprise level - banded</t>
  </si>
  <si>
    <t>Birth_month</t>
  </si>
  <si>
    <t>DATE9.</t>
  </si>
  <si>
    <t>Month the enterprise commenced from</t>
  </si>
  <si>
    <t>Death_month</t>
  </si>
  <si>
    <t>Month the enterprise was live to</t>
  </si>
  <si>
    <t>SECTIONNAME</t>
  </si>
  <si>
    <t>A SIC hierarchical level</t>
  </si>
  <si>
    <t>SourceYear</t>
  </si>
  <si>
    <t>A reference to when this data was loaded. Some data in 2019 will still be current as at 2020 but will contain entries for both source years to allow for accurate assignment of P14 tax years</t>
  </si>
  <si>
    <t>2019, 2020</t>
  </si>
  <si>
    <t>LEO Self-assessment Table</t>
  </si>
  <si>
    <t>This table contains data for the tax years 2013/14 to 2020/21, one record per self-employed person. 
A learner is defined as being self_employed if they appear in the Self Assessment data for the tax year with an entry which is marked as being income from self-employment.  Other types of income included in self assessment tax returns are not included here.</t>
  </si>
  <si>
    <t>Information contained within this table comes from the HMRC SA dataset. These figures have been derived from administrative IT systems which, as with any large scale recording system, are subject to possible errors with data entry and processing.</t>
  </si>
  <si>
    <t>Robust data is only available from 2013/14</t>
  </si>
  <si>
    <t>Information within this table allows the user to analyse self-employment of learners which have been successfully matched to the LEO data. This allows investigation of self-employment and pupil characteristics (using EDUKEY/PMR in order to link to variables of interest in other datasets).</t>
  </si>
  <si>
    <t>LEO.SA</t>
  </si>
  <si>
    <t>2013/14 - 2020/21</t>
  </si>
  <si>
    <t xml:space="preserve">For all learners in the self employment data.
Use this identifier to link between the other LEO tables.  </t>
  </si>
  <si>
    <t>Tax year of self-assessment tax return</t>
  </si>
  <si>
    <t>201314 - 201819</t>
  </si>
  <si>
    <t>HMRC SA Dataset</t>
  </si>
  <si>
    <t>Years populated relates to the year in which the tax years start and end e.g. 201314 refers to the tax year starting 6 April 2013 and ending 5 April 2014.</t>
  </si>
  <si>
    <t>Self_Employed</t>
  </si>
  <si>
    <t>Self-employed indicator</t>
  </si>
  <si>
    <t>1 - self_employed in this tax year</t>
  </si>
  <si>
    <t>EARNINGS_PTR</t>
  </si>
  <si>
    <t>Total partnership earnings in the tax year</t>
  </si>
  <si>
    <t>Earnings rounded to the nearest pound
NULL = No earnings for the tax year</t>
  </si>
  <si>
    <t>EARNINGS_SOLE</t>
  </si>
  <si>
    <t>Total sole trader earnings in the tax year</t>
  </si>
  <si>
    <t>EARNINGS_SELF_EMPLOYMENT</t>
  </si>
  <si>
    <t>Total partnerships and sole trader earnings in the tax year</t>
  </si>
  <si>
    <t>Coronavirus Job Retention Scheme (CJRS) fields we link to via DWPs Registration and Population Interaction Database (RAPID) dataset</t>
  </si>
  <si>
    <t>RAPID</t>
  </si>
  <si>
    <t xml:space="preserve">Understand time spent in receipt of the Coronavirus Job Retention Scheme </t>
  </si>
  <si>
    <t>LEO.CJRS</t>
  </si>
  <si>
    <t>A unique individual person identifier created for this project</t>
  </si>
  <si>
    <t>RAPID - the data is sourced from HMRC CJRS and SEISS datasets but is accessed for LEO purposes via DWP’s Registration and Population Interaction Database (RAPID)</t>
  </si>
  <si>
    <t>Unique identifier</t>
  </si>
  <si>
    <t>TAXYEAR</t>
  </si>
  <si>
    <t>Num</t>
  </si>
  <si>
    <t>Tax year</t>
  </si>
  <si>
    <t>201920 - 202021</t>
  </si>
  <si>
    <t>Years populated relates to the year in which the tax years start and end e.g. 201920 refers to the tax year starting 6 April 2019 and ending 5 April 2020.</t>
  </si>
  <si>
    <t>CJRS_EOM_IND</t>
  </si>
  <si>
    <t>CJRS End of Month indicator. Derived from raw CJRS data by DWP. Example ’110011111010’</t>
  </si>
  <si>
    <t>Only populated for 2019/20 &amp; 2020/21 
NOTE: Can only be published in consultation with HMRC</t>
  </si>
  <si>
    <t>CJRS_DTM_IND</t>
  </si>
  <si>
    <t>CJRS During the Month indicator. Derived from raw CJRS data by DWP. Example ’110011111010’</t>
  </si>
  <si>
    <t>CJRS_WKS_CAPPED</t>
  </si>
  <si>
    <t>CJRS weeks capped at the DTM max. Derived from raw CJRS data by DWP. 1 = duration capped at the DTM max</t>
  </si>
  <si>
    <t>CJRS_TOT_WKS</t>
  </si>
  <si>
    <t>Total weeks of furlough. Derived from raw CJRS data by DWP</t>
  </si>
  <si>
    <t>Self-Employment Income Support Scheme (SEISS) fields we link to via DWPs Registration and Population Interaction Database (RAPID) dataset</t>
  </si>
  <si>
    <t>Understand time spent in receipt of the Self-Employment Income Support Scheme (SEISS)</t>
  </si>
  <si>
    <t>202021 refers to the tax year starting 6 April 2020 and ending 5 April 2021.</t>
  </si>
  <si>
    <t>SEISS_TOT_WKS</t>
  </si>
  <si>
    <t>Total number of weeks covered by the SEISS Grants. Derived from raw SEISS data by DWP</t>
  </si>
  <si>
    <t>Only populated for 2020/21
NOTE: Can only be published in consultation with HMRC</t>
  </si>
  <si>
    <t>SEISS_TOT_AMT</t>
  </si>
  <si>
    <t>Total amount of SEISS Grant paid. Derived from raw SEISS data by DWP</t>
  </si>
  <si>
    <t>SEISS_EOM_IND</t>
  </si>
  <si>
    <t>SEISS End of Month indicator. Derived from raw SEISS data by DWP. Example ’110011111010’</t>
  </si>
  <si>
    <t>SEISS_DTM_IND</t>
  </si>
  <si>
    <t>SEISS During the Month indicator. Derived from raw SEISS data by DWP. Example ’110011111010’</t>
  </si>
  <si>
    <t>LEO Geography Table</t>
  </si>
  <si>
    <t xml:space="preserve">This dataset assigns one residential address per individual per tax year based on the maximum duration spent at an address in the tax year. Where an individual has multiple identical maximum durations the latter of the maximum durations is applied
</t>
  </si>
  <si>
    <t>This information has been derived  from DWP's Customer Information System (CIS) dataset which has been mapped onto ONS' National Statistics Postcode Lookup (NSPL) on Census Output Area (COA). These figures have been derived from administrative IT systems which, as with any large scale recording system, are subject to possible errors with data entry and processing.</t>
  </si>
  <si>
    <t xml:space="preserve">Some geographies for the tax year 2012/13 and sooner have been reassigned based on their 2001 Census Output Area - COA an individual belonged to was not tracked accurately on CIS until its bulk load on 12 October 2012 (we have used the pre 12 October 2012 mappings for the 2012/13 tax year as this account for the majority of that tax year)
Some individuals have gaps in their allocation to a financial year - this is an issue carried over from the geography spells dataset which itself is reflective of what is held on the CIS system. No fix has been applied as these could be genuine spells where an individual is without residence
Directly related to the issue above - where an individual subsequently has address information following a gap this can result in a short maximum address duration for the next tax year recorded
Around a thousand individuals do not make it into this dataset that are on the geography spells dataset - these individuals all fall into the 'unknown' classification but are unique in that they do not have any address start dates and therefore they fall out of the process to assign to tax years
</t>
  </si>
  <si>
    <t>Information within this table allows the user to analyse region of residence of learners which have been successfully matched to the LEO data. This allows investigation of region split by tax year and pupil characteristics (using EDUKEY in order to link to variables of interest in other datasets).</t>
  </si>
  <si>
    <t>LEO.Geography</t>
  </si>
  <si>
    <t>2004/05 - 2020/21</t>
  </si>
  <si>
    <t>Year in which geography relates to</t>
  </si>
  <si>
    <t>200405 - 202021</t>
  </si>
  <si>
    <t>DWP Geography Datasets</t>
  </si>
  <si>
    <t>COA_2011</t>
  </si>
  <si>
    <t>varchar(9)</t>
  </si>
  <si>
    <t>Code for the census output area the learner resides in</t>
  </si>
  <si>
    <t>LAUA_anon</t>
  </si>
  <si>
    <t>Local authority code the learner resides in. This variable has been pseudonymised in line with the impact of COVID19 on DfE data sharing (See COVID19 Impact worksheet) and/or the requirements of Digital Economy Act in relation to a body corporate.</t>
  </si>
  <si>
    <t>PCON</t>
  </si>
  <si>
    <t>Parliamentary constituency code the learner resides in</t>
  </si>
  <si>
    <t>PCONNM</t>
  </si>
  <si>
    <t>varchar(43)</t>
  </si>
  <si>
    <t>Parliamentary constituency name</t>
  </si>
  <si>
    <t>Region code the learner resides in</t>
  </si>
  <si>
    <t>GORNM</t>
  </si>
  <si>
    <t>varchar(24)</t>
  </si>
  <si>
    <t>Region name the learner resides in</t>
  </si>
  <si>
    <t>CTRY</t>
  </si>
  <si>
    <t>Code for the country the learner resides in</t>
  </si>
  <si>
    <t>CTRYNM</t>
  </si>
  <si>
    <t>varchar(16)</t>
  </si>
  <si>
    <t>Country name</t>
  </si>
  <si>
    <t>Abroad, England, Northern Ireland, Scotland, Unknown,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</si>
</sst>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quot; &quot;[$£-809]#,##0.00&quot; &quot;;&quot;-&quot;[$£-809]#,##0.00&quot; &quot;;&quot; &quot;[$£-809]&quot;-&quot;00&quot; &quot;;&quot; &quot;@&quot; &quot;"/>
  </numFmts>
  <fonts count="60">
    <font>
      <sz val="11"/>
      <color theme="1"/>
      <name val="Calibri"/>
      <family val="2"/>
      <scheme val="minor"/>
    </font>
    <font>
      <b/>
      <sz val="10"/>
      <color rgb="FF000000"/>
      <name val="Arial"/>
      <family val="2"/>
    </font>
    <font>
      <b/>
      <sz val="10"/>
      <color rgb="FFFF0000"/>
      <name val="Arial"/>
      <family val="2"/>
    </font>
    <font>
      <b/>
      <sz val="26"/>
      <color rgb="FF000000"/>
      <name val="Arial"/>
      <family val="2"/>
    </font>
    <font>
      <sz val="10"/>
      <color rgb="FF000000"/>
      <name val="Arial"/>
      <family val="2"/>
    </font>
    <font>
      <b/>
      <sz val="20"/>
      <color rgb="FF000000"/>
      <name val="Arial"/>
      <family val="2"/>
    </font>
    <font>
      <sz val="20"/>
      <color rgb="FF000000"/>
      <name val="Arial"/>
      <family val="2"/>
    </font>
    <font>
      <sz val="8"/>
      <color rgb="FF000000"/>
      <name val="Arial"/>
      <family val="2"/>
    </font>
    <font>
      <b/>
      <sz val="8"/>
      <color rgb="FF000000"/>
      <name val="Arial"/>
      <family val="2"/>
    </font>
    <font>
      <sz val="8"/>
      <name val="Arial"/>
      <family val="2"/>
    </font>
    <font>
      <b/>
      <sz val="8"/>
      <name val="Arial"/>
      <family val="2"/>
    </font>
    <font>
      <u/>
      <sz val="11"/>
      <color theme="10"/>
      <name val="Calibri"/>
      <family val="2"/>
      <scheme val="minor"/>
    </font>
    <font>
      <sz val="11"/>
      <color theme="1"/>
      <name val="Calibri"/>
      <family val="2"/>
      <scheme val="minor"/>
    </font>
    <font>
      <sz val="9"/>
      <color indexed="81"/>
      <name val="Tahoma"/>
      <family val="2"/>
    </font>
    <font>
      <u/>
      <sz val="10"/>
      <color rgb="FF0000FF"/>
      <name val="Arial"/>
      <family val="2"/>
    </font>
    <font>
      <sz val="8"/>
      <color rgb="FFFF0000"/>
      <name val="Arial"/>
      <family val="2"/>
    </font>
    <font>
      <strike/>
      <sz val="8"/>
      <color rgb="FF000000"/>
      <name val="Arial"/>
      <family val="2"/>
    </font>
    <font>
      <sz val="10"/>
      <color rgb="FFFF0000"/>
      <name val="Arial"/>
      <family val="2"/>
    </font>
    <font>
      <sz val="10"/>
      <name val="Arial"/>
      <family val="2"/>
    </font>
    <font>
      <b/>
      <sz val="10"/>
      <name val="Arial"/>
      <family val="2"/>
    </font>
    <font>
      <strike/>
      <sz val="8"/>
      <name val="Arial"/>
      <family val="2"/>
    </font>
    <font>
      <sz val="8"/>
      <color indexed="8"/>
      <name val="Arial"/>
      <family val="2"/>
    </font>
    <font>
      <sz val="8"/>
      <color theme="1"/>
      <name val="Arial"/>
      <family val="2"/>
    </font>
    <font>
      <sz val="11"/>
      <color indexed="8"/>
      <name val="Calibri"/>
      <family val="2"/>
      <charset val="1"/>
    </font>
    <font>
      <sz val="10"/>
      <name val="Arial Unicode MS"/>
      <family val="2"/>
    </font>
    <font>
      <sz val="12"/>
      <color indexed="19"/>
      <name val="Arial"/>
      <family val="2"/>
      <charset val="1"/>
    </font>
    <font>
      <sz val="12"/>
      <name val="Arial"/>
      <family val="2"/>
      <charset val="1"/>
    </font>
    <font>
      <sz val="12"/>
      <color indexed="8"/>
      <name val="Arial"/>
      <family val="2"/>
      <charset val="1"/>
    </font>
    <font>
      <sz val="10"/>
      <name val="Arial"/>
      <family val="2"/>
      <charset val="1"/>
    </font>
    <font>
      <sz val="12"/>
      <color theme="1"/>
      <name val="Arial"/>
      <family val="2"/>
    </font>
    <font>
      <b/>
      <u/>
      <sz val="8"/>
      <color rgb="FF000000"/>
      <name val="Arial"/>
      <family val="2"/>
    </font>
    <font>
      <b/>
      <sz val="9"/>
      <color indexed="81"/>
      <name val="Tahoma"/>
      <family val="2"/>
    </font>
    <font>
      <b/>
      <sz val="8"/>
      <color theme="1"/>
      <name val="Arial"/>
      <family val="2"/>
    </font>
    <font>
      <b/>
      <sz val="8"/>
      <color rgb="FF000000"/>
      <name val="Arial Black"/>
      <family val="2"/>
    </font>
    <font>
      <sz val="8"/>
      <color theme="1"/>
      <name val="Arial Black"/>
      <family val="2"/>
    </font>
    <font>
      <b/>
      <u/>
      <sz val="8"/>
      <color theme="1"/>
      <name val="Arial Black"/>
      <family val="2"/>
    </font>
    <font>
      <sz val="11"/>
      <name val="Calibri"/>
      <family val="2"/>
    </font>
    <font>
      <b/>
      <sz val="11"/>
      <name val="Calibri"/>
      <family val="2"/>
    </font>
    <font>
      <sz val="10"/>
      <color theme="1"/>
      <name val="Arial"/>
      <family val="2"/>
    </font>
    <font>
      <sz val="8"/>
      <name val="Calibri"/>
      <family val="2"/>
      <scheme val="minor"/>
    </font>
    <font>
      <b/>
      <sz val="22"/>
      <color rgb="FF000000"/>
      <name val="Arial"/>
      <family val="2"/>
    </font>
    <font>
      <sz val="10"/>
      <color theme="1"/>
      <name val="Calibri"/>
      <family val="2"/>
      <scheme val="minor"/>
    </font>
    <font>
      <u/>
      <sz val="10"/>
      <color theme="10"/>
      <name val="Arial"/>
      <family val="2"/>
    </font>
    <font>
      <b/>
      <sz val="10"/>
      <color theme="1"/>
      <name val="Arial"/>
      <family val="2"/>
    </font>
    <font>
      <sz val="10"/>
      <color theme="0"/>
      <name val="Arial"/>
      <family val="2"/>
    </font>
    <font>
      <sz val="11"/>
      <color theme="1"/>
      <name val="Calibri"/>
      <family val="2"/>
      <charset val="1"/>
    </font>
    <font>
      <vertAlign val="superscript"/>
      <sz val="10"/>
      <color rgb="FF000000"/>
      <name val="Arial"/>
      <family val="2"/>
    </font>
    <font>
      <vertAlign val="superscript"/>
      <sz val="10"/>
      <name val="Arial"/>
      <family val="2"/>
    </font>
    <font>
      <b/>
      <sz val="18"/>
      <color rgb="FF000000"/>
      <name val="Arial"/>
      <family val="2"/>
    </font>
    <font>
      <b/>
      <sz val="11"/>
      <color rgb="FF000000"/>
      <name val="Arial"/>
      <family val="2"/>
    </font>
    <font>
      <b/>
      <sz val="8"/>
      <color theme="1"/>
      <name val="Arial Black"/>
      <family val="2"/>
    </font>
    <font>
      <sz val="8"/>
      <color theme="1"/>
      <name val="Calibri"/>
      <family val="2"/>
      <scheme val="minor"/>
    </font>
    <font>
      <b/>
      <sz val="11"/>
      <color theme="1"/>
      <name val="Calibri"/>
      <family val="2"/>
      <scheme val="minor"/>
    </font>
    <font>
      <b/>
      <sz val="9"/>
      <color theme="1"/>
      <name val="Arial"/>
      <family val="2"/>
    </font>
    <font>
      <b/>
      <sz val="26"/>
      <color theme="1"/>
      <name val="Calibri"/>
      <family val="2"/>
      <scheme val="minor"/>
    </font>
    <font>
      <b/>
      <sz val="11"/>
      <color theme="1"/>
      <name val="Arial"/>
      <family val="2"/>
    </font>
    <font>
      <b/>
      <sz val="8"/>
      <color rgb="FF000000"/>
      <name val="Arial"/>
      <charset val="1"/>
    </font>
    <font>
      <b/>
      <u/>
      <sz val="10"/>
      <color rgb="FF000000"/>
      <name val="Arial"/>
    </font>
    <font>
      <sz val="10"/>
      <color rgb="FF000000"/>
      <name val="Arial"/>
    </font>
    <font>
      <b/>
      <sz val="10"/>
      <color rgb="FF000000"/>
      <name val="Arial"/>
    </font>
  </fonts>
  <fills count="26">
    <fill>
      <patternFill patternType="none"/>
    </fill>
    <fill>
      <patternFill patternType="gray125"/>
    </fill>
    <fill>
      <patternFill patternType="solid">
        <fgColor rgb="FFC0C0C0"/>
        <bgColor rgb="FFC0C0C0"/>
      </patternFill>
    </fill>
    <fill>
      <patternFill patternType="solid">
        <fgColor rgb="FFBFBFBF"/>
        <bgColor rgb="FFBFBFBF"/>
      </patternFill>
    </fill>
    <fill>
      <patternFill patternType="solid">
        <fgColor rgb="FFFFFF99"/>
        <bgColor indexed="64"/>
      </patternFill>
    </fill>
    <fill>
      <patternFill patternType="solid">
        <fgColor rgb="FFFFFF00"/>
        <bgColor indexed="64"/>
      </patternFill>
    </fill>
    <fill>
      <patternFill patternType="solid">
        <fgColor rgb="FFFFFFFF"/>
        <bgColor rgb="FFFFFFFF"/>
      </patternFill>
    </fill>
    <fill>
      <patternFill patternType="solid">
        <fgColor rgb="FFCCFFCC"/>
        <bgColor rgb="FFCCFFCC"/>
      </patternFill>
    </fill>
    <fill>
      <patternFill patternType="solid">
        <fgColor indexed="9"/>
        <bgColor indexed="64"/>
      </patternFill>
    </fill>
    <fill>
      <patternFill patternType="solid">
        <fgColor indexed="26"/>
        <bgColor indexed="42"/>
      </patternFill>
    </fill>
    <fill>
      <patternFill patternType="solid">
        <fgColor indexed="43"/>
        <bgColor indexed="47"/>
      </patternFill>
    </fill>
    <fill>
      <patternFill patternType="solid">
        <fgColor indexed="41"/>
        <bgColor indexed="24"/>
      </patternFill>
    </fill>
    <fill>
      <patternFill patternType="solid">
        <fgColor indexed="24"/>
        <bgColor indexed="41"/>
      </patternFill>
    </fill>
    <fill>
      <patternFill patternType="solid">
        <fgColor indexed="45"/>
        <bgColor indexed="24"/>
      </patternFill>
    </fill>
    <fill>
      <patternFill patternType="solid">
        <fgColor indexed="42"/>
        <bgColor indexed="47"/>
      </patternFill>
    </fill>
    <fill>
      <patternFill patternType="solid">
        <fgColor indexed="47"/>
        <bgColor indexed="42"/>
      </patternFill>
    </fill>
    <fill>
      <patternFill patternType="solid">
        <fgColor indexed="31"/>
        <bgColor indexed="22"/>
      </patternFill>
    </fill>
    <fill>
      <patternFill patternType="solid">
        <fgColor indexed="46"/>
        <bgColor indexed="24"/>
      </patternFill>
    </fill>
    <fill>
      <patternFill patternType="solid">
        <fgColor rgb="FFFFFF99"/>
        <bgColor rgb="FFFFFFFF"/>
      </patternFill>
    </fill>
    <fill>
      <patternFill patternType="solid">
        <fgColor theme="0"/>
        <bgColor indexed="64"/>
      </patternFill>
    </fill>
    <fill>
      <patternFill patternType="solid">
        <fgColor rgb="FFFFFF66"/>
        <bgColor indexed="64"/>
      </patternFill>
    </fill>
    <fill>
      <patternFill patternType="solid">
        <fgColor rgb="FF00B0F0"/>
        <bgColor indexed="64"/>
      </patternFill>
    </fill>
    <fill>
      <patternFill patternType="solid">
        <fgColor rgb="FFFF0000"/>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8" tint="0.59999389629810485"/>
        <bgColor indexed="64"/>
      </patternFill>
    </fill>
  </fills>
  <borders count="77">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C0C0C0"/>
      </left>
      <right style="thin">
        <color rgb="FFC0C0C0"/>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0C0C0"/>
      </left>
      <right style="thin">
        <color rgb="FFC0C0C0"/>
      </right>
      <top style="thin">
        <color rgb="FFC0C0C0"/>
      </top>
      <bottom/>
      <diagonal/>
    </border>
    <border>
      <left/>
      <right style="thin">
        <color rgb="FF000000"/>
      </right>
      <top style="thin">
        <color rgb="FF000000"/>
      </top>
      <bottom style="thin">
        <color rgb="FF000000"/>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thin">
        <color rgb="FF000000"/>
      </left>
      <right style="thin">
        <color rgb="FFC0C0C0"/>
      </right>
      <top/>
      <bottom/>
      <diagonal/>
    </border>
    <border>
      <left style="thin">
        <color rgb="FFC0C0C0"/>
      </left>
      <right style="thin">
        <color rgb="FFC0C0C0"/>
      </right>
      <top/>
      <bottom/>
      <diagonal/>
    </border>
    <border>
      <left style="thin">
        <color rgb="FFC0C0C0"/>
      </left>
      <right/>
      <top/>
      <bottom style="thin">
        <color rgb="FFC0C0C0"/>
      </bottom>
      <diagonal/>
    </border>
    <border>
      <left style="thin">
        <color rgb="FF000000"/>
      </left>
      <right/>
      <top/>
      <bottom/>
      <diagonal/>
    </border>
    <border>
      <left style="thin">
        <color rgb="FF000000"/>
      </left>
      <right style="thin">
        <color indexed="64"/>
      </right>
      <top style="thin">
        <color rgb="FF000000"/>
      </top>
      <bottom style="thin">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rgb="FF000000"/>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rgb="FF000000"/>
      </top>
      <bottom style="thin">
        <color indexed="64"/>
      </bottom>
      <diagonal/>
    </border>
    <border>
      <left style="thin">
        <color indexed="64"/>
      </left>
      <right style="thin">
        <color rgb="FF000000"/>
      </right>
      <top style="thin">
        <color rgb="FF000000"/>
      </top>
      <bottom style="thin">
        <color indexed="64"/>
      </bottom>
      <diagonal/>
    </border>
    <border>
      <left/>
      <right style="thin">
        <color indexed="64"/>
      </right>
      <top/>
      <bottom/>
      <diagonal/>
    </border>
    <border>
      <left style="thin">
        <color rgb="FF000000"/>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style="thin">
        <color indexed="64"/>
      </top>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diagonal/>
    </border>
    <border>
      <left/>
      <right style="thin">
        <color indexed="64"/>
      </right>
      <top style="thin">
        <color indexed="64"/>
      </top>
      <bottom style="thin">
        <color indexed="64"/>
      </bottom>
      <diagonal/>
    </border>
    <border>
      <left style="thin">
        <color rgb="FF000000"/>
      </left>
      <right style="thin">
        <color rgb="FF000000"/>
      </right>
      <top/>
      <bottom style="thin">
        <color indexed="64"/>
      </bottom>
      <diagonal/>
    </border>
    <border>
      <left style="thin">
        <color rgb="FFC0C0C0"/>
      </left>
      <right style="thin">
        <color rgb="FFC0C0C0"/>
      </right>
      <top style="thin">
        <color rgb="FF000000"/>
      </top>
      <bottom style="thin">
        <color indexed="64"/>
      </bottom>
      <diagonal/>
    </border>
    <border>
      <left style="thin">
        <color rgb="FFC0C0C0"/>
      </left>
      <right/>
      <top style="thin">
        <color rgb="FFC0C0C0"/>
      </top>
      <bottom/>
      <diagonal/>
    </border>
    <border>
      <left/>
      <right style="thin">
        <color rgb="FF000000"/>
      </right>
      <top style="thin">
        <color rgb="FF000000"/>
      </top>
      <bottom style="thin">
        <color indexed="64"/>
      </bottom>
      <diagonal/>
    </border>
    <border>
      <left style="thin">
        <color indexed="64"/>
      </left>
      <right style="thin">
        <color rgb="FF000000"/>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diagonal/>
    </border>
    <border>
      <left style="medium">
        <color indexed="64"/>
      </left>
      <right/>
      <top/>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style="thin">
        <color indexed="64"/>
      </right>
      <top/>
      <bottom/>
      <diagonal/>
    </border>
    <border>
      <left style="thin">
        <color indexed="64"/>
      </left>
      <right/>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rgb="FF000000"/>
      </top>
      <bottom style="thin">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rgb="FFC0C0C0"/>
      </right>
      <top style="thin">
        <color rgb="FFC0C0C0"/>
      </top>
      <bottom style="thin">
        <color rgb="FFC0C0C0"/>
      </bottom>
      <diagonal/>
    </border>
    <border>
      <left/>
      <right style="thin">
        <color rgb="FFC0C0C0"/>
      </right>
      <top style="thin">
        <color rgb="FFC0C0C0"/>
      </top>
      <bottom/>
      <diagonal/>
    </border>
    <border>
      <left/>
      <right style="thin">
        <color rgb="FFC0C0C0"/>
      </right>
      <top/>
      <bottom style="thin">
        <color rgb="FFC0C0C0"/>
      </bottom>
      <diagonal/>
    </border>
    <border>
      <left/>
      <right style="thin">
        <color rgb="FFC0C0C0"/>
      </right>
      <top/>
      <bottom/>
      <diagonal/>
    </border>
    <border>
      <left/>
      <right/>
      <top style="thin">
        <color indexed="64"/>
      </top>
      <bottom/>
      <diagonal/>
    </border>
    <border>
      <left/>
      <right style="thin">
        <color rgb="FF000000"/>
      </right>
      <top style="thin">
        <color rgb="FF000000"/>
      </top>
      <bottom/>
      <diagonal/>
    </border>
    <border>
      <left/>
      <right style="thin">
        <color rgb="FF000000"/>
      </right>
      <top/>
      <bottom style="thin">
        <color rgb="FF000000"/>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right style="thin">
        <color indexed="64"/>
      </right>
      <top style="medium">
        <color indexed="64"/>
      </top>
      <bottom style="medium">
        <color indexed="64"/>
      </bottom>
      <diagonal/>
    </border>
    <border>
      <left style="thin">
        <color rgb="FF000000"/>
      </left>
      <right style="thin">
        <color indexed="64"/>
      </right>
      <top/>
      <bottom style="thin">
        <color rgb="FF000000"/>
      </bottom>
      <diagonal/>
    </border>
    <border>
      <left style="medium">
        <color indexed="64"/>
      </left>
      <right style="thin">
        <color indexed="64"/>
      </right>
      <top/>
      <bottom style="thin">
        <color indexed="64"/>
      </bottom>
      <diagonal/>
    </border>
  </borders>
  <cellStyleXfs count="3157">
    <xf numFmtId="0" fontId="0" fillId="0" borderId="0"/>
    <xf numFmtId="0" fontId="4" fillId="0" borderId="0" applyNumberFormat="0" applyFont="0" applyBorder="0" applyProtection="0"/>
    <xf numFmtId="0" fontId="11" fillId="0" borderId="0" applyNumberFormat="0" applyFill="0" applyBorder="0" applyAlignment="0" applyProtection="0"/>
    <xf numFmtId="0" fontId="4" fillId="0" borderId="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4" fillId="0" borderId="0" applyNumberFormat="0" applyFill="0" applyBorder="0" applyAlignment="0" applyProtection="0"/>
    <xf numFmtId="0" fontId="14" fillId="0" borderId="0" applyNumberFormat="0" applyFill="0" applyBorder="0" applyAlignment="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4" fillId="0" borderId="0" applyNumberFormat="0" applyFont="0" applyBorder="0" applyProtection="0"/>
    <xf numFmtId="0" fontId="7" fillId="0" borderId="0" applyNumberFormat="0" applyBorder="0" applyProtection="0"/>
    <xf numFmtId="0" fontId="18" fillId="0" borderId="0"/>
    <xf numFmtId="0" fontId="24" fillId="9" borderId="0" applyNumberFormat="0" applyBorder="0" applyAlignment="0" applyProtection="0"/>
    <xf numFmtId="0" fontId="25" fillId="10" borderId="0" applyNumberFormat="0" applyBorder="0" applyAlignment="0" applyProtection="0"/>
    <xf numFmtId="0" fontId="26" fillId="0" borderId="0"/>
    <xf numFmtId="0" fontId="27" fillId="11" borderId="0" applyNumberFormat="0" applyBorder="0" applyAlignment="0" applyProtection="0"/>
    <xf numFmtId="0" fontId="27" fillId="12" borderId="0" applyNumberFormat="0" applyBorder="0" applyAlignment="0" applyProtection="0"/>
    <xf numFmtId="0" fontId="24" fillId="9" borderId="0" applyNumberFormat="0" applyBorder="0" applyAlignment="0" applyProtection="0"/>
    <xf numFmtId="0" fontId="28" fillId="0" borderId="0"/>
    <xf numFmtId="0" fontId="23" fillId="11"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8" fillId="0" borderId="0"/>
    <xf numFmtId="0" fontId="12" fillId="0" borderId="0"/>
    <xf numFmtId="0" fontId="18" fillId="0" borderId="0"/>
    <xf numFmtId="0" fontId="18" fillId="0" borderId="0"/>
    <xf numFmtId="0" fontId="18" fillId="0" borderId="0"/>
    <xf numFmtId="0" fontId="28" fillId="0" borderId="0"/>
    <xf numFmtId="0" fontId="12" fillId="0" borderId="0"/>
    <xf numFmtId="0" fontId="18" fillId="0" borderId="0"/>
    <xf numFmtId="0" fontId="12" fillId="0" borderId="0"/>
    <xf numFmtId="0" fontId="12" fillId="0" borderId="0"/>
    <xf numFmtId="0" fontId="18"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28" fillId="0" borderId="0"/>
    <xf numFmtId="0" fontId="12" fillId="0" borderId="0"/>
    <xf numFmtId="0" fontId="29" fillId="0" borderId="0"/>
    <xf numFmtId="9" fontId="29" fillId="0" borderId="0" applyFont="0" applyFill="0" applyBorder="0" applyAlignment="0" applyProtection="0"/>
    <xf numFmtId="0" fontId="29" fillId="0" borderId="0"/>
    <xf numFmtId="9" fontId="12" fillId="0" borderId="0" applyFont="0" applyFill="0" applyBorder="0" applyAlignment="0" applyProtection="0"/>
    <xf numFmtId="0" fontId="12" fillId="0" borderId="0"/>
    <xf numFmtId="9" fontId="29" fillId="0" borderId="0" applyFont="0" applyFill="0" applyBorder="0" applyAlignment="0" applyProtection="0"/>
    <xf numFmtId="0" fontId="12" fillId="0" borderId="0"/>
    <xf numFmtId="0" fontId="12" fillId="0" borderId="0"/>
    <xf numFmtId="0" fontId="12" fillId="0" borderId="0"/>
    <xf numFmtId="0" fontId="18" fillId="0" borderId="0"/>
    <xf numFmtId="0" fontId="12" fillId="0" borderId="0"/>
    <xf numFmtId="0" fontId="18"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8" fillId="0" borderId="0"/>
    <xf numFmtId="0" fontId="12" fillId="0" borderId="0"/>
    <xf numFmtId="0" fontId="29"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29" fillId="0" borderId="0" applyFont="0" applyFill="0" applyBorder="0" applyAlignment="0" applyProtection="0"/>
    <xf numFmtId="9" fontId="29"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0" fontId="18"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2" fillId="0" borderId="0"/>
    <xf numFmtId="0" fontId="12" fillId="0" borderId="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8"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9" fontId="12" fillId="0" borderId="0" applyFont="0" applyFill="0" applyBorder="0" applyAlignment="0" applyProtection="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4" fontId="18" fillId="0" borderId="0" applyFont="0" applyFill="0" applyBorder="0" applyAlignment="0" applyProtection="0"/>
    <xf numFmtId="0" fontId="12" fillId="0" borderId="0"/>
    <xf numFmtId="0" fontId="12" fillId="0" borderId="0"/>
    <xf numFmtId="0" fontId="12" fillId="0" borderId="0"/>
    <xf numFmtId="0" fontId="18"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4" fontId="18" fillId="0" borderId="0" applyFont="0" applyFill="0" applyBorder="0" applyAlignment="0" applyProtection="0"/>
  </cellStyleXfs>
  <cellXfs count="813">
    <xf numFmtId="0" fontId="0" fillId="0" borderId="0" xfId="0"/>
    <xf numFmtId="0" fontId="6" fillId="0" borderId="0" xfId="0" applyFont="1"/>
    <xf numFmtId="0" fontId="2" fillId="0" borderId="0" xfId="0" applyFont="1"/>
    <xf numFmtId="0" fontId="9" fillId="0" borderId="2" xfId="0" applyFont="1" applyBorder="1" applyAlignment="1">
      <alignment wrapText="1"/>
    </xf>
    <xf numFmtId="0" fontId="10" fillId="0" borderId="30" xfId="0" applyFont="1" applyBorder="1" applyAlignment="1">
      <alignment horizontal="left" vertical="top" wrapText="1"/>
    </xf>
    <xf numFmtId="0" fontId="19" fillId="0" borderId="0" xfId="0" applyFont="1"/>
    <xf numFmtId="0" fontId="22" fillId="0" borderId="38" xfId="0" applyFont="1" applyBorder="1" applyAlignment="1">
      <alignment horizontal="left" vertical="top"/>
    </xf>
    <xf numFmtId="0" fontId="22" fillId="0" borderId="2" xfId="0" applyFont="1" applyBorder="1" applyAlignment="1">
      <alignment vertical="top" wrapText="1"/>
    </xf>
    <xf numFmtId="0" fontId="22" fillId="0" borderId="2" xfId="0" applyFont="1" applyBorder="1" applyAlignment="1">
      <alignment horizontal="left" vertical="top"/>
    </xf>
    <xf numFmtId="0" fontId="22" fillId="0" borderId="2" xfId="0" applyFont="1" applyBorder="1" applyAlignment="1">
      <alignment horizontal="left" vertical="top" wrapText="1"/>
    </xf>
    <xf numFmtId="0" fontId="22" fillId="0" borderId="0" xfId="0" applyFont="1" applyAlignment="1">
      <alignment horizontal="left" vertical="top"/>
    </xf>
    <xf numFmtId="0" fontId="9" fillId="0" borderId="53" xfId="0" applyFont="1" applyBorder="1" applyAlignment="1">
      <alignment wrapText="1"/>
    </xf>
    <xf numFmtId="0" fontId="0" fillId="0" borderId="27" xfId="0" applyBorder="1" applyAlignment="1">
      <alignment horizontal="center"/>
    </xf>
    <xf numFmtId="0" fontId="18" fillId="0" borderId="0" xfId="3" applyFont="1" applyAlignment="1">
      <alignment horizontal="left" vertical="top" wrapText="1"/>
    </xf>
    <xf numFmtId="0" fontId="36" fillId="0" borderId="2" xfId="0" applyFont="1" applyBorder="1"/>
    <xf numFmtId="0" fontId="34" fillId="0" borderId="0" xfId="0" applyFont="1" applyAlignment="1">
      <alignment horizontal="left" vertical="top"/>
    </xf>
    <xf numFmtId="0" fontId="0" fillId="0" borderId="0" xfId="0" applyAlignment="1">
      <alignment horizontal="center"/>
    </xf>
    <xf numFmtId="0" fontId="10" fillId="0" borderId="44" xfId="0" applyFont="1" applyBorder="1" applyAlignment="1">
      <alignment horizontal="left" vertical="top" wrapText="1"/>
    </xf>
    <xf numFmtId="0" fontId="11" fillId="0" borderId="0" xfId="2" applyAlignment="1"/>
    <xf numFmtId="0" fontId="22" fillId="0" borderId="2" xfId="0" applyFont="1" applyBorder="1" applyAlignment="1">
      <alignment vertical="top"/>
    </xf>
    <xf numFmtId="0" fontId="15" fillId="0" borderId="0" xfId="0" applyFont="1" applyAlignment="1">
      <alignment vertical="top" wrapText="1"/>
    </xf>
    <xf numFmtId="0" fontId="22" fillId="0" borderId="0" xfId="0" applyFont="1" applyAlignment="1">
      <alignment horizontal="left" vertical="top" wrapText="1"/>
    </xf>
    <xf numFmtId="0" fontId="9" fillId="0" borderId="53" xfId="0" applyFont="1" applyBorder="1"/>
    <xf numFmtId="0" fontId="9" fillId="0" borderId="57" xfId="0" applyFont="1" applyBorder="1" applyAlignment="1">
      <alignment wrapText="1"/>
    </xf>
    <xf numFmtId="0" fontId="36" fillId="0" borderId="58" xfId="0" applyFont="1" applyBorder="1"/>
    <xf numFmtId="0" fontId="33" fillId="2" borderId="2" xfId="0" applyFont="1" applyFill="1" applyBorder="1" applyAlignment="1">
      <alignment horizontal="center" vertical="center" wrapText="1"/>
    </xf>
    <xf numFmtId="0" fontId="9" fillId="0" borderId="0" xfId="0" applyFont="1" applyAlignment="1">
      <alignment wrapText="1"/>
    </xf>
    <xf numFmtId="0" fontId="10" fillId="0" borderId="44" xfId="0" applyFont="1" applyBorder="1" applyAlignment="1">
      <alignment horizontal="left" vertical="top"/>
    </xf>
    <xf numFmtId="0" fontId="34" fillId="0" borderId="0" xfId="0" applyFont="1" applyAlignment="1">
      <alignment horizontal="left" vertical="top" wrapText="1"/>
    </xf>
    <xf numFmtId="0" fontId="9" fillId="0" borderId="2" xfId="0" applyFont="1" applyBorder="1" applyAlignment="1">
      <alignment horizontal="left" vertical="top"/>
    </xf>
    <xf numFmtId="0" fontId="22" fillId="0" borderId="0" xfId="0" applyFont="1"/>
    <xf numFmtId="0" fontId="9" fillId="0" borderId="45" xfId="0" applyFont="1" applyBorder="1" applyAlignment="1">
      <alignment horizontal="center" vertical="center" wrapText="1"/>
    </xf>
    <xf numFmtId="0" fontId="36" fillId="0" borderId="57" xfId="0" applyFont="1" applyBorder="1"/>
    <xf numFmtId="0" fontId="36" fillId="0" borderId="0" xfId="0" applyFont="1"/>
    <xf numFmtId="0" fontId="11" fillId="0" borderId="0" xfId="2" applyFill="1"/>
    <xf numFmtId="0" fontId="35" fillId="0" borderId="0" xfId="0" applyFont="1" applyAlignment="1">
      <alignment horizontal="left" vertical="top"/>
    </xf>
    <xf numFmtId="0" fontId="9" fillId="0" borderId="2" xfId="0" applyFont="1" applyBorder="1" applyAlignment="1">
      <alignment horizontal="left" vertical="top" wrapText="1"/>
    </xf>
    <xf numFmtId="0" fontId="22" fillId="0" borderId="0" xfId="0" applyFont="1" applyAlignment="1">
      <alignment vertical="top" wrapText="1"/>
    </xf>
    <xf numFmtId="0" fontId="0" fillId="0" borderId="56" xfId="0" applyBorder="1" applyAlignment="1">
      <alignment horizontal="center"/>
    </xf>
    <xf numFmtId="0" fontId="4" fillId="0" borderId="0" xfId="3"/>
    <xf numFmtId="0" fontId="1" fillId="0" borderId="0" xfId="3" applyFont="1"/>
    <xf numFmtId="0" fontId="4" fillId="0" borderId="1" xfId="3" applyBorder="1"/>
    <xf numFmtId="0" fontId="4" fillId="0" borderId="0" xfId="3" applyAlignment="1">
      <alignment wrapText="1"/>
    </xf>
    <xf numFmtId="0" fontId="7" fillId="0" borderId="1" xfId="3" applyFont="1" applyBorder="1" applyAlignment="1">
      <alignment horizontal="left" vertical="top" wrapText="1"/>
    </xf>
    <xf numFmtId="0" fontId="7" fillId="0" borderId="0" xfId="3" applyFont="1" applyAlignment="1">
      <alignment horizontal="left" vertical="top" wrapText="1"/>
    </xf>
    <xf numFmtId="0" fontId="7" fillId="0" borderId="0" xfId="3" applyFont="1" applyAlignment="1">
      <alignment vertical="top" wrapText="1"/>
    </xf>
    <xf numFmtId="0" fontId="18" fillId="0" borderId="0" xfId="3" applyFont="1"/>
    <xf numFmtId="0" fontId="7" fillId="0" borderId="0" xfId="3" applyFont="1" applyProtection="1">
      <protection locked="0"/>
    </xf>
    <xf numFmtId="0" fontId="7" fillId="0" borderId="0" xfId="3" applyFont="1" applyAlignment="1" applyProtection="1">
      <alignment wrapText="1"/>
      <protection locked="0"/>
    </xf>
    <xf numFmtId="0" fontId="7" fillId="0" borderId="0" xfId="3" applyFont="1" applyAlignment="1" applyProtection="1">
      <alignment horizontal="center" vertical="top"/>
      <protection locked="0"/>
    </xf>
    <xf numFmtId="0" fontId="4" fillId="0" borderId="0" xfId="3" applyProtection="1">
      <protection locked="0"/>
    </xf>
    <xf numFmtId="0" fontId="8" fillId="3" borderId="1" xfId="3" applyFont="1" applyFill="1" applyBorder="1" applyAlignment="1" applyProtection="1">
      <alignment horizontal="center" vertical="top" wrapText="1"/>
      <protection locked="0"/>
    </xf>
    <xf numFmtId="0" fontId="7" fillId="0" borderId="1" xfId="3" applyFont="1" applyBorder="1" applyAlignment="1" applyProtection="1">
      <alignment horizontal="center" vertical="top"/>
      <protection locked="0"/>
    </xf>
    <xf numFmtId="0" fontId="15" fillId="0" borderId="0" xfId="3" applyFont="1" applyProtection="1">
      <protection locked="0"/>
    </xf>
    <xf numFmtId="0" fontId="7" fillId="0" borderId="0" xfId="3" applyFont="1"/>
    <xf numFmtId="0" fontId="8" fillId="0" borderId="0" xfId="3" applyFont="1"/>
    <xf numFmtId="0" fontId="7" fillId="0" borderId="0" xfId="3" applyFont="1" applyAlignment="1">
      <alignment wrapText="1"/>
    </xf>
    <xf numFmtId="0" fontId="7" fillId="0" borderId="0" xfId="3" applyFont="1" applyAlignment="1">
      <alignment horizontal="center" vertical="top" wrapText="1"/>
    </xf>
    <xf numFmtId="0" fontId="8" fillId="2" borderId="3" xfId="3" applyFont="1" applyFill="1" applyBorder="1" applyAlignment="1">
      <alignment vertical="top" wrapText="1"/>
    </xf>
    <xf numFmtId="0" fontId="8" fillId="3" borderId="1" xfId="3" applyFont="1" applyFill="1" applyBorder="1" applyAlignment="1">
      <alignment vertical="top" wrapText="1"/>
    </xf>
    <xf numFmtId="0" fontId="8" fillId="3" borderId="1" xfId="3" applyFont="1" applyFill="1" applyBorder="1" applyAlignment="1">
      <alignment horizontal="center" vertical="top" wrapText="1"/>
    </xf>
    <xf numFmtId="0" fontId="7" fillId="0" borderId="1" xfId="3" applyFont="1" applyBorder="1" applyAlignment="1">
      <alignment vertical="top"/>
    </xf>
    <xf numFmtId="0" fontId="8" fillId="0" borderId="1" xfId="3" applyFont="1" applyBorder="1" applyAlignment="1">
      <alignment vertical="top" wrapText="1"/>
    </xf>
    <xf numFmtId="0" fontId="7" fillId="0" borderId="1" xfId="3" applyFont="1" applyBorder="1" applyAlignment="1">
      <alignment vertical="top" wrapText="1"/>
    </xf>
    <xf numFmtId="0" fontId="8" fillId="0" borderId="1" xfId="3" applyFont="1" applyBorder="1" applyAlignment="1">
      <alignment horizontal="center" vertical="top"/>
    </xf>
    <xf numFmtId="0" fontId="7" fillId="0" borderId="1" xfId="3" applyFont="1" applyBorder="1" applyAlignment="1">
      <alignment horizontal="center" vertical="top" wrapText="1"/>
    </xf>
    <xf numFmtId="0" fontId="7" fillId="0" borderId="1" xfId="3" applyFont="1" applyBorder="1" applyAlignment="1">
      <alignment horizontal="justify" vertical="top"/>
    </xf>
    <xf numFmtId="0" fontId="9" fillId="0" borderId="1" xfId="3" applyFont="1" applyBorder="1" applyAlignment="1">
      <alignment vertical="top"/>
    </xf>
    <xf numFmtId="0" fontId="9" fillId="0" borderId="1" xfId="3" applyFont="1" applyBorder="1" applyAlignment="1">
      <alignment vertical="top" wrapText="1"/>
    </xf>
    <xf numFmtId="0" fontId="9" fillId="0" borderId="2" xfId="3" applyFont="1" applyBorder="1" applyAlignment="1">
      <alignment horizontal="left" vertical="top" wrapText="1"/>
    </xf>
    <xf numFmtId="0" fontId="8" fillId="0" borderId="1" xfId="3" applyFont="1" applyBorder="1" applyAlignment="1">
      <alignment horizontal="center"/>
    </xf>
    <xf numFmtId="0" fontId="8" fillId="0" borderId="1" xfId="3" applyFont="1" applyBorder="1" applyAlignment="1">
      <alignment vertical="top"/>
    </xf>
    <xf numFmtId="0" fontId="7" fillId="0" borderId="0" xfId="3" applyFont="1" applyAlignment="1">
      <alignment horizontal="center" vertical="top"/>
    </xf>
    <xf numFmtId="0" fontId="7" fillId="0" borderId="2" xfId="3" applyFont="1" applyBorder="1" applyAlignment="1">
      <alignment horizontal="center" vertical="top"/>
    </xf>
    <xf numFmtId="0" fontId="7" fillId="0" borderId="26" xfId="3" applyFont="1" applyBorder="1" applyAlignment="1">
      <alignment horizontal="center" vertical="top"/>
    </xf>
    <xf numFmtId="0" fontId="7" fillId="0" borderId="21" xfId="3" applyFont="1" applyBorder="1" applyAlignment="1">
      <alignment horizontal="center" vertical="top"/>
    </xf>
    <xf numFmtId="0" fontId="8" fillId="2" borderId="3" xfId="3" applyFont="1" applyFill="1" applyBorder="1" applyAlignment="1">
      <alignment vertical="top"/>
    </xf>
    <xf numFmtId="0" fontId="8" fillId="2" borderId="3" xfId="3" applyFont="1" applyFill="1" applyBorder="1" applyAlignment="1">
      <alignment horizontal="left" vertical="top" wrapText="1"/>
    </xf>
    <xf numFmtId="0" fontId="7" fillId="0" borderId="2" xfId="3" applyFont="1" applyBorder="1" applyAlignment="1">
      <alignment horizontal="center" vertical="top" wrapText="1"/>
    </xf>
    <xf numFmtId="0" fontId="8" fillId="2" borderId="1" xfId="3" applyFont="1" applyFill="1" applyBorder="1" applyAlignment="1">
      <alignment vertical="top"/>
    </xf>
    <xf numFmtId="0" fontId="8" fillId="2" borderId="1" xfId="3" applyFont="1" applyFill="1" applyBorder="1" applyAlignment="1">
      <alignment horizontal="left" vertical="top"/>
    </xf>
    <xf numFmtId="0" fontId="8" fillId="2" borderId="1" xfId="3" applyFont="1" applyFill="1" applyBorder="1" applyAlignment="1">
      <alignment vertical="top" wrapText="1"/>
    </xf>
    <xf numFmtId="0" fontId="8" fillId="2" borderId="1" xfId="3" applyFont="1" applyFill="1" applyBorder="1" applyAlignment="1">
      <alignment horizontal="left" vertical="top" wrapText="1"/>
    </xf>
    <xf numFmtId="0" fontId="8" fillId="2" borderId="3" xfId="3" applyFont="1" applyFill="1" applyBorder="1" applyAlignment="1">
      <alignment horizontal="left" vertical="top"/>
    </xf>
    <xf numFmtId="0" fontId="7" fillId="0" borderId="0" xfId="3" applyFont="1" applyAlignment="1" applyProtection="1">
      <alignment vertical="top"/>
      <protection locked="0"/>
    </xf>
    <xf numFmtId="0" fontId="7" fillId="0" borderId="0" xfId="3" applyFont="1" applyAlignment="1">
      <alignment vertical="top"/>
    </xf>
    <xf numFmtId="0" fontId="8" fillId="0" borderId="0" xfId="3" applyFont="1" applyAlignment="1">
      <alignment horizontal="center"/>
    </xf>
    <xf numFmtId="0" fontId="7" fillId="0" borderId="1" xfId="3" applyFont="1" applyBorder="1" applyAlignment="1">
      <alignment horizontal="left" vertical="top"/>
    </xf>
    <xf numFmtId="0" fontId="8" fillId="0" borderId="1" xfId="3" applyFont="1" applyBorder="1" applyAlignment="1">
      <alignment horizontal="left" vertical="top"/>
    </xf>
    <xf numFmtId="0" fontId="7" fillId="0" borderId="5" xfId="3" applyFont="1" applyBorder="1" applyAlignment="1">
      <alignment horizontal="left" vertical="top"/>
    </xf>
    <xf numFmtId="0" fontId="7" fillId="0" borderId="5" xfId="3" applyFont="1" applyBorder="1" applyAlignment="1">
      <alignment horizontal="left" vertical="top" wrapText="1"/>
    </xf>
    <xf numFmtId="0" fontId="7" fillId="0" borderId="5" xfId="3" applyFont="1" applyBorder="1" applyAlignment="1">
      <alignment vertical="top" wrapText="1"/>
    </xf>
    <xf numFmtId="0" fontId="7" fillId="0" borderId="0" xfId="3" applyFont="1" applyAlignment="1" applyProtection="1">
      <alignment horizontal="left" vertical="top" wrapText="1"/>
      <protection locked="0"/>
    </xf>
    <xf numFmtId="0" fontId="15" fillId="0" borderId="0" xfId="3" applyFont="1" applyAlignment="1" applyProtection="1">
      <alignment horizontal="left" vertical="top" wrapText="1"/>
      <protection locked="0"/>
    </xf>
    <xf numFmtId="0" fontId="8" fillId="0" borderId="0" xfId="3" applyFont="1" applyAlignment="1">
      <alignment horizontal="center" vertical="top" wrapText="1"/>
    </xf>
    <xf numFmtId="0" fontId="8" fillId="0" borderId="3" xfId="3" applyFont="1" applyBorder="1" applyAlignment="1">
      <alignment horizontal="left" vertical="top" wrapText="1"/>
    </xf>
    <xf numFmtId="0" fontId="8" fillId="0" borderId="3" xfId="3" applyFont="1" applyBorder="1" applyAlignment="1">
      <alignment vertical="top" wrapText="1"/>
    </xf>
    <xf numFmtId="0" fontId="7" fillId="0" borderId="21" xfId="3" applyFont="1" applyBorder="1" applyAlignment="1">
      <alignment horizontal="center" vertical="top" wrapText="1"/>
    </xf>
    <xf numFmtId="0" fontId="8" fillId="0" borderId="1" xfId="3" applyFont="1" applyBorder="1" applyAlignment="1">
      <alignment horizontal="left" vertical="top" wrapText="1"/>
    </xf>
    <xf numFmtId="0" fontId="8" fillId="0" borderId="0" xfId="3" applyFont="1" applyAlignment="1">
      <alignment horizontal="left" vertical="top" wrapText="1"/>
    </xf>
    <xf numFmtId="0" fontId="1" fillId="0" borderId="0" xfId="3" applyFont="1" applyAlignment="1">
      <alignment vertical="top"/>
    </xf>
    <xf numFmtId="0" fontId="8" fillId="0" borderId="0" xfId="3" applyFont="1" applyAlignment="1">
      <alignment horizontal="center" vertical="top"/>
    </xf>
    <xf numFmtId="0" fontId="8" fillId="0" borderId="0" xfId="3" applyFont="1" applyAlignment="1">
      <alignment vertical="top"/>
    </xf>
    <xf numFmtId="0" fontId="9" fillId="0" borderId="1" xfId="3" applyFont="1" applyBorder="1" applyAlignment="1">
      <alignment horizontal="left" vertical="top" wrapText="1"/>
    </xf>
    <xf numFmtId="0" fontId="9" fillId="0" borderId="1" xfId="3" applyFont="1" applyBorder="1" applyAlignment="1">
      <alignment horizontal="center" vertical="top"/>
    </xf>
    <xf numFmtId="0" fontId="17" fillId="0" borderId="0" xfId="3" applyFont="1" applyProtection="1">
      <protection locked="0"/>
    </xf>
    <xf numFmtId="0" fontId="9" fillId="0" borderId="0" xfId="3" applyFont="1" applyAlignment="1">
      <alignment horizontal="center" vertical="top"/>
    </xf>
    <xf numFmtId="0" fontId="9" fillId="0" borderId="2" xfId="3" applyFont="1" applyBorder="1" applyAlignment="1">
      <alignment horizontal="center" vertical="top"/>
    </xf>
    <xf numFmtId="0" fontId="7" fillId="6" borderId="1" xfId="3" applyFont="1" applyFill="1" applyBorder="1" applyAlignment="1">
      <alignment horizontal="left" vertical="top" wrapText="1"/>
    </xf>
    <xf numFmtId="0" fontId="8" fillId="0" borderId="0" xfId="3" applyFont="1" applyAlignment="1">
      <alignment horizontal="left"/>
    </xf>
    <xf numFmtId="49" fontId="9" fillId="0" borderId="2" xfId="3" applyNumberFormat="1" applyFont="1" applyBorder="1" applyAlignment="1">
      <alignment vertical="top"/>
    </xf>
    <xf numFmtId="49" fontId="9" fillId="0" borderId="21" xfId="3" applyNumberFormat="1" applyFont="1" applyBorder="1" applyAlignment="1">
      <alignment vertical="top"/>
    </xf>
    <xf numFmtId="49" fontId="9" fillId="0" borderId="22" xfId="3" applyNumberFormat="1" applyFont="1" applyBorder="1" applyAlignment="1">
      <alignment vertical="top"/>
    </xf>
    <xf numFmtId="49" fontId="9" fillId="0" borderId="20" xfId="3" applyNumberFormat="1" applyFont="1" applyBorder="1" applyAlignment="1">
      <alignment vertical="top"/>
    </xf>
    <xf numFmtId="0" fontId="8" fillId="2" borderId="1" xfId="3" applyFont="1" applyFill="1" applyBorder="1" applyAlignment="1">
      <alignment horizontal="center" vertical="top"/>
    </xf>
    <xf numFmtId="0" fontId="15" fillId="0" borderId="1" xfId="3" applyFont="1" applyBorder="1" applyAlignment="1">
      <alignment vertical="top"/>
    </xf>
    <xf numFmtId="0" fontId="15" fillId="0" borderId="1" xfId="3" applyFont="1" applyBorder="1" applyAlignment="1">
      <alignment vertical="top" wrapText="1"/>
    </xf>
    <xf numFmtId="0" fontId="4" fillId="7" borderId="0" xfId="3" applyFill="1" applyProtection="1">
      <protection locked="0"/>
    </xf>
    <xf numFmtId="0" fontId="7" fillId="0" borderId="1" xfId="19" applyFont="1" applyBorder="1" applyAlignment="1">
      <alignment horizontal="left" vertical="top" wrapText="1"/>
    </xf>
    <xf numFmtId="0" fontId="7" fillId="0" borderId="0" xfId="3" applyFont="1" applyAlignment="1" applyProtection="1">
      <alignment horizontal="left" vertical="top"/>
      <protection locked="0"/>
    </xf>
    <xf numFmtId="0" fontId="1" fillId="0" borderId="0" xfId="3" applyFont="1" applyAlignment="1">
      <alignment horizontal="left" vertical="top"/>
    </xf>
    <xf numFmtId="0" fontId="7" fillId="0" borderId="0" xfId="3" applyFont="1" applyAlignment="1">
      <alignment horizontal="left" vertical="top"/>
    </xf>
    <xf numFmtId="0" fontId="8" fillId="0" borderId="0" xfId="3" applyFont="1" applyAlignment="1">
      <alignment horizontal="left" vertical="top"/>
    </xf>
    <xf numFmtId="0" fontId="30" fillId="0" borderId="1" xfId="3" applyFont="1" applyBorder="1" applyAlignment="1">
      <alignment horizontal="left" vertical="top"/>
    </xf>
    <xf numFmtId="0" fontId="7" fillId="0" borderId="8" xfId="3" applyFont="1" applyBorder="1" applyAlignment="1">
      <alignment horizontal="left" vertical="top" wrapText="1"/>
    </xf>
    <xf numFmtId="0" fontId="9" fillId="0" borderId="24" xfId="3" applyFont="1" applyBorder="1" applyAlignment="1">
      <alignment horizontal="left" vertical="top" wrapText="1"/>
    </xf>
    <xf numFmtId="0" fontId="8" fillId="0" borderId="2" xfId="3" applyFont="1" applyBorder="1" applyAlignment="1">
      <alignment horizontal="center" vertical="top"/>
    </xf>
    <xf numFmtId="0" fontId="9" fillId="8" borderId="24" xfId="3" applyFont="1" applyFill="1" applyBorder="1" applyAlignment="1">
      <alignment horizontal="left" vertical="top" wrapText="1"/>
    </xf>
    <xf numFmtId="0" fontId="20" fillId="0" borderId="24" xfId="3" applyFont="1" applyBorder="1" applyAlignment="1">
      <alignment horizontal="left" vertical="top" wrapText="1"/>
    </xf>
    <xf numFmtId="0" fontId="2" fillId="0" borderId="0" xfId="3" applyFont="1"/>
    <xf numFmtId="0" fontId="8" fillId="3" borderId="15" xfId="3" applyFont="1" applyFill="1" applyBorder="1" applyAlignment="1">
      <alignment horizontal="center" vertical="top" wrapText="1"/>
    </xf>
    <xf numFmtId="0" fontId="7" fillId="0" borderId="28" xfId="3" applyFont="1" applyBorder="1" applyAlignment="1">
      <alignment vertical="top" wrapText="1"/>
    </xf>
    <xf numFmtId="0" fontId="7" fillId="0" borderId="28" xfId="3" applyFont="1" applyBorder="1" applyAlignment="1">
      <alignment vertical="top"/>
    </xf>
    <xf numFmtId="0" fontId="8" fillId="0" borderId="28" xfId="3" applyFont="1" applyBorder="1" applyAlignment="1">
      <alignment horizontal="center" vertical="top"/>
    </xf>
    <xf numFmtId="0" fontId="7" fillId="0" borderId="30" xfId="3" applyFont="1" applyBorder="1" applyAlignment="1">
      <alignment horizontal="left" vertical="top" wrapText="1"/>
    </xf>
    <xf numFmtId="0" fontId="8" fillId="0" borderId="31" xfId="3" applyFont="1" applyBorder="1" applyAlignment="1">
      <alignment vertical="top"/>
    </xf>
    <xf numFmtId="0" fontId="7" fillId="0" borderId="32" xfId="3" applyFont="1" applyBorder="1" applyAlignment="1">
      <alignment vertical="top"/>
    </xf>
    <xf numFmtId="0" fontId="8" fillId="3" borderId="3" xfId="3" applyFont="1" applyFill="1" applyBorder="1" applyAlignment="1">
      <alignment vertical="top" wrapText="1"/>
    </xf>
    <xf numFmtId="0" fontId="8" fillId="0" borderId="0" xfId="3" applyFont="1" applyAlignment="1">
      <alignment vertical="top" wrapText="1"/>
    </xf>
    <xf numFmtId="0" fontId="1" fillId="0" borderId="0" xfId="3" quotePrefix="1" applyFont="1"/>
    <xf numFmtId="0" fontId="7" fillId="4" borderId="1" xfId="3" applyFont="1" applyFill="1" applyBorder="1" applyAlignment="1">
      <alignment vertical="top"/>
    </xf>
    <xf numFmtId="0" fontId="8" fillId="4" borderId="1" xfId="3" applyFont="1" applyFill="1" applyBorder="1" applyAlignment="1">
      <alignment vertical="top" wrapText="1"/>
    </xf>
    <xf numFmtId="0" fontId="7" fillId="4" borderId="1" xfId="3" applyFont="1" applyFill="1" applyBorder="1" applyAlignment="1">
      <alignment vertical="top" wrapText="1"/>
    </xf>
    <xf numFmtId="0" fontId="8" fillId="4" borderId="1" xfId="3" applyFont="1" applyFill="1" applyBorder="1" applyAlignment="1">
      <alignment horizontal="center" vertical="top"/>
    </xf>
    <xf numFmtId="0" fontId="7" fillId="4" borderId="1" xfId="3" applyFont="1" applyFill="1" applyBorder="1" applyAlignment="1">
      <alignment horizontal="center" vertical="top" wrapText="1"/>
    </xf>
    <xf numFmtId="0" fontId="7" fillId="4" borderId="1" xfId="3" applyFont="1" applyFill="1" applyBorder="1" applyAlignment="1">
      <alignment horizontal="left" vertical="top" wrapText="1"/>
    </xf>
    <xf numFmtId="0" fontId="9" fillId="4" borderId="2" xfId="3" applyFont="1" applyFill="1" applyBorder="1" applyAlignment="1">
      <alignment horizontal="left" vertical="top" wrapText="1"/>
    </xf>
    <xf numFmtId="0" fontId="8" fillId="4" borderId="1" xfId="3" applyFont="1" applyFill="1" applyBorder="1" applyAlignment="1">
      <alignment vertical="top"/>
    </xf>
    <xf numFmtId="0" fontId="7" fillId="4" borderId="2" xfId="3" applyFont="1" applyFill="1" applyBorder="1" applyAlignment="1">
      <alignment horizontal="center" vertical="top"/>
    </xf>
    <xf numFmtId="0" fontId="7" fillId="4" borderId="25" xfId="3" applyFont="1" applyFill="1" applyBorder="1" applyAlignment="1">
      <alignment horizontal="center" vertical="top"/>
    </xf>
    <xf numFmtId="0" fontId="9" fillId="4" borderId="2" xfId="3" applyFont="1" applyFill="1" applyBorder="1" applyAlignment="1">
      <alignment vertical="top" wrapText="1"/>
    </xf>
    <xf numFmtId="0" fontId="7" fillId="4" borderId="2" xfId="3" applyFont="1" applyFill="1" applyBorder="1" applyAlignment="1">
      <alignment horizontal="center" vertical="top" wrapText="1"/>
    </xf>
    <xf numFmtId="0" fontId="7" fillId="4" borderId="1" xfId="3" applyFont="1" applyFill="1" applyBorder="1" applyAlignment="1">
      <alignment horizontal="left" vertical="top"/>
    </xf>
    <xf numFmtId="0" fontId="8" fillId="4" borderId="1" xfId="3" applyFont="1" applyFill="1" applyBorder="1" applyAlignment="1">
      <alignment horizontal="left" vertical="top"/>
    </xf>
    <xf numFmtId="0" fontId="7" fillId="4" borderId="5" xfId="3" applyFont="1" applyFill="1" applyBorder="1" applyAlignment="1">
      <alignment horizontal="left" vertical="top"/>
    </xf>
    <xf numFmtId="0" fontId="7" fillId="4" borderId="5" xfId="3" applyFont="1" applyFill="1" applyBorder="1" applyAlignment="1">
      <alignment horizontal="left" vertical="top" wrapText="1"/>
    </xf>
    <xf numFmtId="0" fontId="7" fillId="4" borderId="5" xfId="3" applyFont="1" applyFill="1" applyBorder="1" applyAlignment="1">
      <alignment vertical="top" wrapText="1"/>
    </xf>
    <xf numFmtId="0" fontId="7" fillId="4" borderId="1" xfId="3" applyFont="1" applyFill="1" applyBorder="1"/>
    <xf numFmtId="0" fontId="7" fillId="18" borderId="1" xfId="3" applyFont="1" applyFill="1" applyBorder="1" applyAlignment="1">
      <alignment vertical="top"/>
    </xf>
    <xf numFmtId="0" fontId="7" fillId="4" borderId="3" xfId="3" applyFont="1" applyFill="1" applyBorder="1" applyAlignment="1">
      <alignment vertical="top"/>
    </xf>
    <xf numFmtId="0" fontId="7" fillId="4" borderId="3" xfId="3" applyFont="1" applyFill="1" applyBorder="1" applyAlignment="1">
      <alignment vertical="top" wrapText="1"/>
    </xf>
    <xf numFmtId="0" fontId="7" fillId="4" borderId="6" xfId="3" applyFont="1" applyFill="1" applyBorder="1" applyAlignment="1">
      <alignment vertical="top"/>
    </xf>
    <xf numFmtId="0" fontId="7" fillId="4" borderId="6" xfId="3" applyFont="1" applyFill="1" applyBorder="1" applyAlignment="1">
      <alignment vertical="top" wrapText="1"/>
    </xf>
    <xf numFmtId="0" fontId="4" fillId="4" borderId="0" xfId="3" applyFill="1"/>
    <xf numFmtId="0" fontId="7" fillId="4" borderId="0" xfId="3" applyFont="1" applyFill="1" applyAlignment="1">
      <alignment horizontal="left" vertical="top" wrapText="1"/>
    </xf>
    <xf numFmtId="0" fontId="8" fillId="4" borderId="0" xfId="3" applyFont="1" applyFill="1" applyAlignment="1">
      <alignment horizontal="left" vertical="top" wrapText="1"/>
    </xf>
    <xf numFmtId="0" fontId="7" fillId="4" borderId="0" xfId="3" applyFont="1" applyFill="1" applyAlignment="1">
      <alignment horizontal="center" vertical="top" wrapText="1"/>
    </xf>
    <xf numFmtId="0" fontId="7" fillId="4" borderId="4" xfId="3" applyFont="1" applyFill="1" applyBorder="1" applyAlignment="1">
      <alignment vertical="top" wrapText="1"/>
    </xf>
    <xf numFmtId="0" fontId="7" fillId="4" borderId="7" xfId="3" applyFont="1" applyFill="1" applyBorder="1" applyAlignment="1">
      <alignment vertical="top" wrapText="1"/>
    </xf>
    <xf numFmtId="0" fontId="7" fillId="4" borderId="8" xfId="3" applyFont="1" applyFill="1" applyBorder="1" applyAlignment="1">
      <alignment vertical="top"/>
    </xf>
    <xf numFmtId="0" fontId="7" fillId="4" borderId="0" xfId="3" applyFont="1" applyFill="1" applyAlignment="1">
      <alignment vertical="top"/>
    </xf>
    <xf numFmtId="0" fontId="8" fillId="4" borderId="1" xfId="3" applyFont="1" applyFill="1" applyBorder="1" applyAlignment="1">
      <alignment horizontal="left" vertical="top" wrapText="1"/>
    </xf>
    <xf numFmtId="0" fontId="7" fillId="4" borderId="9" xfId="3" applyFont="1" applyFill="1" applyBorder="1" applyAlignment="1">
      <alignment vertical="top" wrapText="1"/>
    </xf>
    <xf numFmtId="0" fontId="7" fillId="4" borderId="0" xfId="3" applyFont="1" applyFill="1" applyAlignment="1">
      <alignment vertical="top" wrapText="1"/>
    </xf>
    <xf numFmtId="0" fontId="7" fillId="4" borderId="11" xfId="3" applyFont="1" applyFill="1" applyBorder="1" applyAlignment="1">
      <alignment vertical="top" wrapText="1"/>
    </xf>
    <xf numFmtId="0" fontId="7" fillId="4" borderId="13" xfId="3" applyFont="1" applyFill="1" applyBorder="1" applyAlignment="1">
      <alignment horizontal="left" vertical="top" wrapText="1"/>
    </xf>
    <xf numFmtId="0" fontId="8" fillId="4" borderId="3" xfId="3" applyFont="1" applyFill="1" applyBorder="1" applyAlignment="1">
      <alignment vertical="top" wrapText="1"/>
    </xf>
    <xf numFmtId="0" fontId="8" fillId="4" borderId="3" xfId="3" applyFont="1" applyFill="1" applyBorder="1" applyAlignment="1">
      <alignment horizontal="left" vertical="top" wrapText="1"/>
    </xf>
    <xf numFmtId="0" fontId="7" fillId="4" borderId="28" xfId="3" applyFont="1" applyFill="1" applyBorder="1" applyAlignment="1">
      <alignment vertical="top"/>
    </xf>
    <xf numFmtId="0" fontId="8" fillId="4" borderId="28" xfId="3" applyFont="1" applyFill="1" applyBorder="1" applyAlignment="1">
      <alignment vertical="top"/>
    </xf>
    <xf numFmtId="0" fontId="7" fillId="4" borderId="28" xfId="3" applyFont="1" applyFill="1" applyBorder="1" applyAlignment="1">
      <alignment vertical="top" wrapText="1"/>
    </xf>
    <xf numFmtId="0" fontId="7" fillId="4" borderId="28" xfId="3" applyFont="1" applyFill="1" applyBorder="1" applyAlignment="1">
      <alignment horizontal="left" vertical="top" wrapText="1"/>
    </xf>
    <xf numFmtId="0" fontId="8" fillId="4" borderId="28" xfId="3" applyFont="1" applyFill="1" applyBorder="1" applyAlignment="1">
      <alignment horizontal="center" vertical="top"/>
    </xf>
    <xf numFmtId="0" fontId="8" fillId="4" borderId="0" xfId="3" applyFont="1" applyFill="1" applyAlignment="1">
      <alignment vertical="top"/>
    </xf>
    <xf numFmtId="0" fontId="8" fillId="4" borderId="0" xfId="3" applyFont="1" applyFill="1" applyAlignment="1">
      <alignment horizontal="center" vertical="top"/>
    </xf>
    <xf numFmtId="0" fontId="7" fillId="4" borderId="0" xfId="3" applyFont="1" applyFill="1" applyAlignment="1">
      <alignment horizontal="center" vertical="top"/>
    </xf>
    <xf numFmtId="0" fontId="7" fillId="4" borderId="27" xfId="3" applyFont="1" applyFill="1" applyBorder="1" applyAlignment="1">
      <alignment horizontal="center" vertical="top"/>
    </xf>
    <xf numFmtId="0" fontId="7" fillId="4" borderId="32" xfId="3" applyFont="1" applyFill="1" applyBorder="1" applyAlignment="1">
      <alignment vertical="top"/>
    </xf>
    <xf numFmtId="0" fontId="8" fillId="4" borderId="32" xfId="3" applyFont="1" applyFill="1" applyBorder="1" applyAlignment="1">
      <alignment vertical="top"/>
    </xf>
    <xf numFmtId="0" fontId="7" fillId="4" borderId="32" xfId="3" applyFont="1" applyFill="1" applyBorder="1" applyAlignment="1">
      <alignment vertical="top" wrapText="1"/>
    </xf>
    <xf numFmtId="0" fontId="8" fillId="4" borderId="32" xfId="3" applyFont="1" applyFill="1" applyBorder="1" applyAlignment="1">
      <alignment horizontal="center" vertical="top"/>
    </xf>
    <xf numFmtId="0" fontId="7" fillId="4" borderId="1" xfId="3" applyFont="1" applyFill="1" applyBorder="1" applyAlignment="1">
      <alignment wrapText="1"/>
    </xf>
    <xf numFmtId="0" fontId="8" fillId="4" borderId="28" xfId="3" applyFont="1" applyFill="1" applyBorder="1" applyAlignment="1">
      <alignment horizontal="left" vertical="top"/>
    </xf>
    <xf numFmtId="0" fontId="8" fillId="4" borderId="0" xfId="3" applyFont="1" applyFill="1" applyAlignment="1">
      <alignment horizontal="left" vertical="top"/>
    </xf>
    <xf numFmtId="0" fontId="7" fillId="4" borderId="32" xfId="3" applyFont="1" applyFill="1" applyBorder="1" applyAlignment="1">
      <alignment horizontal="left" vertical="top"/>
    </xf>
    <xf numFmtId="3" fontId="7" fillId="4" borderId="1" xfId="3" applyNumberFormat="1" applyFont="1" applyFill="1" applyBorder="1" applyAlignment="1">
      <alignment horizontal="left" vertical="top" wrapText="1"/>
    </xf>
    <xf numFmtId="0" fontId="9" fillId="4" borderId="0" xfId="3" applyFont="1" applyFill="1" applyAlignment="1">
      <alignment horizontal="left" vertical="top" wrapText="1"/>
    </xf>
    <xf numFmtId="0" fontId="7" fillId="4" borderId="1" xfId="18" applyFont="1" applyFill="1" applyBorder="1" applyAlignment="1">
      <alignment vertical="top" wrapText="1"/>
    </xf>
    <xf numFmtId="0" fontId="16" fillId="4" borderId="1" xfId="3" applyFont="1" applyFill="1" applyBorder="1" applyAlignment="1">
      <alignment vertical="top" wrapText="1"/>
    </xf>
    <xf numFmtId="0" fontId="7" fillId="4" borderId="1" xfId="19" applyFont="1" applyFill="1" applyBorder="1" applyAlignment="1">
      <alignment horizontal="left" vertical="top" wrapText="1"/>
    </xf>
    <xf numFmtId="49" fontId="7" fillId="4" borderId="1" xfId="3" applyNumberFormat="1" applyFont="1" applyFill="1" applyBorder="1" applyAlignment="1">
      <alignment vertical="top"/>
    </xf>
    <xf numFmtId="0" fontId="30" fillId="4" borderId="1" xfId="3" applyFont="1" applyFill="1" applyBorder="1" applyAlignment="1">
      <alignment horizontal="left" vertical="top"/>
    </xf>
    <xf numFmtId="0" fontId="7" fillId="4" borderId="0" xfId="3" applyFont="1" applyFill="1" applyAlignment="1">
      <alignment horizontal="left" vertical="top"/>
    </xf>
    <xf numFmtId="0" fontId="30" fillId="4" borderId="0" xfId="3" applyFont="1" applyFill="1" applyAlignment="1">
      <alignment horizontal="left" vertical="top"/>
    </xf>
    <xf numFmtId="0" fontId="9" fillId="4" borderId="24" xfId="3" applyFont="1" applyFill="1" applyBorder="1" applyAlignment="1">
      <alignment horizontal="left" vertical="top" wrapText="1"/>
    </xf>
    <xf numFmtId="0" fontId="8" fillId="4" borderId="2" xfId="3" applyFont="1" applyFill="1" applyBorder="1" applyAlignment="1">
      <alignment horizontal="center" vertical="top"/>
    </xf>
    <xf numFmtId="0" fontId="15" fillId="4" borderId="24" xfId="3" applyFont="1" applyFill="1" applyBorder="1" applyAlignment="1">
      <alignment horizontal="left" vertical="top" wrapText="1"/>
    </xf>
    <xf numFmtId="0" fontId="18" fillId="4" borderId="24" xfId="3" applyFont="1" applyFill="1" applyBorder="1" applyAlignment="1">
      <alignment horizontal="left" vertical="top" wrapText="1"/>
    </xf>
    <xf numFmtId="0" fontId="7" fillId="19" borderId="1" xfId="3" applyFont="1" applyFill="1" applyBorder="1" applyAlignment="1">
      <alignment vertical="top"/>
    </xf>
    <xf numFmtId="0" fontId="7" fillId="19" borderId="1" xfId="3" applyFont="1" applyFill="1" applyBorder="1" applyAlignment="1">
      <alignment vertical="top" wrapText="1"/>
    </xf>
    <xf numFmtId="0" fontId="8" fillId="19" borderId="1" xfId="3" applyFont="1" applyFill="1" applyBorder="1" applyAlignment="1">
      <alignment horizontal="center" vertical="top"/>
    </xf>
    <xf numFmtId="0" fontId="7" fillId="19" borderId="0" xfId="3" applyFont="1" applyFill="1" applyProtection="1">
      <protection locked="0"/>
    </xf>
    <xf numFmtId="0" fontId="7" fillId="19" borderId="1" xfId="3" applyFont="1" applyFill="1" applyBorder="1" applyAlignment="1">
      <alignment horizontal="left" vertical="top" wrapText="1"/>
    </xf>
    <xf numFmtId="0" fontId="7" fillId="19" borderId="2" xfId="3" applyFont="1" applyFill="1" applyBorder="1" applyAlignment="1">
      <alignment horizontal="center" vertical="top"/>
    </xf>
    <xf numFmtId="0" fontId="2" fillId="0" borderId="0" xfId="3" quotePrefix="1" applyFont="1"/>
    <xf numFmtId="0" fontId="7" fillId="0" borderId="15" xfId="3" applyFont="1" applyBorder="1" applyAlignment="1">
      <alignment horizontal="center" vertical="top" wrapText="1"/>
    </xf>
    <xf numFmtId="0" fontId="15" fillId="0" borderId="0" xfId="3" applyFont="1"/>
    <xf numFmtId="0" fontId="7" fillId="0" borderId="2" xfId="3" applyFont="1" applyBorder="1" applyAlignment="1">
      <alignment vertical="top" wrapText="1"/>
    </xf>
    <xf numFmtId="0" fontId="7" fillId="0" borderId="2" xfId="3" applyFont="1" applyBorder="1" applyAlignment="1">
      <alignment vertical="top"/>
    </xf>
    <xf numFmtId="0" fontId="7" fillId="0" borderId="2" xfId="3" applyFont="1" applyBorder="1" applyAlignment="1">
      <alignment horizontal="left" vertical="top" wrapText="1"/>
    </xf>
    <xf numFmtId="0" fontId="7" fillId="5" borderId="1" xfId="3" applyFont="1" applyFill="1" applyBorder="1" applyAlignment="1">
      <alignment vertical="top"/>
    </xf>
    <xf numFmtId="0" fontId="7" fillId="0" borderId="2" xfId="3" applyFont="1" applyBorder="1" applyAlignment="1">
      <alignment horizontal="left" vertical="top"/>
    </xf>
    <xf numFmtId="0" fontId="8" fillId="0" borderId="8" xfId="3" applyFont="1" applyBorder="1" applyAlignment="1">
      <alignment vertical="top"/>
    </xf>
    <xf numFmtId="0" fontId="7" fillId="0" borderId="3" xfId="3" applyFont="1" applyBorder="1" applyAlignment="1">
      <alignment vertical="top"/>
    </xf>
    <xf numFmtId="0" fontId="7" fillId="0" borderId="6" xfId="3" applyFont="1" applyBorder="1" applyAlignment="1">
      <alignment vertical="top"/>
    </xf>
    <xf numFmtId="0" fontId="7" fillId="5" borderId="1" xfId="3" applyFont="1" applyFill="1" applyBorder="1" applyAlignment="1">
      <alignment vertical="top" wrapText="1"/>
    </xf>
    <xf numFmtId="0" fontId="7" fillId="5" borderId="1" xfId="3" applyFont="1" applyFill="1" applyBorder="1" applyAlignment="1">
      <alignment wrapText="1"/>
    </xf>
    <xf numFmtId="0" fontId="7" fillId="4" borderId="2" xfId="3" applyFont="1" applyFill="1" applyBorder="1" applyAlignment="1">
      <alignment horizontal="left" vertical="top" wrapText="1"/>
    </xf>
    <xf numFmtId="0" fontId="7" fillId="0" borderId="5" xfId="3" applyFont="1" applyBorder="1" applyAlignment="1">
      <alignment vertical="top"/>
    </xf>
    <xf numFmtId="0" fontId="7" fillId="4" borderId="5" xfId="3" applyFont="1" applyFill="1" applyBorder="1" applyAlignment="1">
      <alignment vertical="top"/>
    </xf>
    <xf numFmtId="0" fontId="7" fillId="4" borderId="35" xfId="3" applyFont="1" applyFill="1" applyBorder="1" applyAlignment="1">
      <alignment vertical="top" wrapText="1"/>
    </xf>
    <xf numFmtId="0" fontId="9" fillId="8" borderId="2" xfId="3" applyFont="1" applyFill="1" applyBorder="1" applyAlignment="1">
      <alignment horizontal="left" vertical="top" wrapText="1"/>
    </xf>
    <xf numFmtId="0" fontId="20" fillId="0" borderId="2" xfId="3" applyFont="1" applyBorder="1" applyAlignment="1">
      <alignment horizontal="left" vertical="top" wrapText="1"/>
    </xf>
    <xf numFmtId="0" fontId="8" fillId="3" borderId="1" xfId="3" applyFont="1" applyFill="1" applyBorder="1" applyAlignment="1" applyProtection="1">
      <alignment vertical="top" wrapText="1"/>
      <protection locked="0"/>
    </xf>
    <xf numFmtId="0" fontId="7" fillId="0" borderId="0" xfId="3" applyFont="1" applyAlignment="1" applyProtection="1">
      <alignment vertical="top" wrapText="1"/>
      <protection locked="0"/>
    </xf>
    <xf numFmtId="0" fontId="8" fillId="4" borderId="37" xfId="3" applyFont="1" applyFill="1" applyBorder="1" applyAlignment="1">
      <alignment horizontal="left" vertical="top"/>
    </xf>
    <xf numFmtId="0" fontId="8" fillId="2" borderId="28" xfId="3" applyFont="1" applyFill="1" applyBorder="1" applyAlignment="1">
      <alignment vertical="top" wrapText="1"/>
    </xf>
    <xf numFmtId="0" fontId="8" fillId="3" borderId="28" xfId="3" applyFont="1" applyFill="1" applyBorder="1" applyAlignment="1">
      <alignment vertical="top" wrapText="1"/>
    </xf>
    <xf numFmtId="0" fontId="7" fillId="0" borderId="2" xfId="3" applyFont="1" applyBorder="1" applyAlignment="1" applyProtection="1">
      <alignment horizontal="center" vertical="top"/>
      <protection locked="0"/>
    </xf>
    <xf numFmtId="0" fontId="7" fillId="0" borderId="19" xfId="3" applyFont="1" applyBorder="1" applyAlignment="1">
      <alignment horizontal="center" vertical="top"/>
    </xf>
    <xf numFmtId="0" fontId="7" fillId="5" borderId="5" xfId="3" applyFont="1" applyFill="1" applyBorder="1" applyAlignment="1">
      <alignment horizontal="left" vertical="top" wrapText="1"/>
    </xf>
    <xf numFmtId="0" fontId="7" fillId="4" borderId="39" xfId="3" applyFont="1" applyFill="1" applyBorder="1" applyAlignment="1">
      <alignment vertical="top" wrapText="1"/>
    </xf>
    <xf numFmtId="0" fontId="7" fillId="4" borderId="40" xfId="3" applyFont="1" applyFill="1" applyBorder="1" applyAlignment="1">
      <alignment vertical="top" wrapText="1"/>
    </xf>
    <xf numFmtId="0" fontId="7" fillId="5" borderId="1" xfId="3" applyFont="1" applyFill="1" applyBorder="1" applyAlignment="1">
      <alignment horizontal="left" vertical="top" wrapText="1"/>
    </xf>
    <xf numFmtId="0" fontId="7" fillId="5" borderId="6" xfId="3" applyFont="1" applyFill="1" applyBorder="1" applyAlignment="1">
      <alignment horizontal="left" vertical="top" wrapText="1"/>
    </xf>
    <xf numFmtId="0" fontId="7" fillId="5" borderId="2" xfId="3" applyFont="1" applyFill="1" applyBorder="1" applyAlignment="1">
      <alignment horizontal="left" vertical="top" wrapText="1"/>
    </xf>
    <xf numFmtId="0" fontId="7" fillId="4" borderId="8" xfId="3" applyFont="1" applyFill="1" applyBorder="1" applyAlignment="1">
      <alignment horizontal="left" vertical="top"/>
    </xf>
    <xf numFmtId="0" fontId="7" fillId="4" borderId="2" xfId="3" applyFont="1" applyFill="1" applyBorder="1" applyAlignment="1">
      <alignment horizontal="left" vertical="top"/>
    </xf>
    <xf numFmtId="0" fontId="15" fillId="4" borderId="2" xfId="3" applyFont="1" applyFill="1" applyBorder="1" applyAlignment="1">
      <alignment horizontal="left" vertical="top" wrapText="1"/>
    </xf>
    <xf numFmtId="0" fontId="18" fillId="4" borderId="2" xfId="3" applyFont="1" applyFill="1" applyBorder="1" applyAlignment="1">
      <alignment horizontal="left" vertical="top" wrapText="1"/>
    </xf>
    <xf numFmtId="0" fontId="8" fillId="4" borderId="5" xfId="3" applyFont="1" applyFill="1" applyBorder="1" applyAlignment="1">
      <alignment horizontal="center" vertical="top"/>
    </xf>
    <xf numFmtId="0" fontId="7" fillId="0" borderId="43" xfId="3" applyFont="1" applyBorder="1" applyAlignment="1">
      <alignment horizontal="center" vertical="top"/>
    </xf>
    <xf numFmtId="0" fontId="7" fillId="0" borderId="38" xfId="3" applyFont="1" applyBorder="1" applyAlignment="1">
      <alignment horizontal="left" vertical="top" wrapText="1"/>
    </xf>
    <xf numFmtId="0" fontId="7" fillId="0" borderId="8" xfId="3" applyFont="1" applyBorder="1" applyAlignment="1">
      <alignment vertical="top" wrapText="1"/>
    </xf>
    <xf numFmtId="0" fontId="8" fillId="0" borderId="1" xfId="3" applyFont="1" applyBorder="1" applyAlignment="1" applyProtection="1">
      <alignment horizontal="center" vertical="top"/>
      <protection locked="0"/>
    </xf>
    <xf numFmtId="0" fontId="4" fillId="0" borderId="0" xfId="3" applyAlignment="1" applyProtection="1">
      <alignment horizontal="center"/>
      <protection locked="0"/>
    </xf>
    <xf numFmtId="0" fontId="8" fillId="0" borderId="1" xfId="3" applyFont="1" applyBorder="1" applyAlignment="1">
      <alignment horizontal="center" vertical="top" wrapText="1"/>
    </xf>
    <xf numFmtId="0" fontId="7" fillId="0" borderId="2" xfId="3" applyFont="1" applyBorder="1" applyAlignment="1" applyProtection="1">
      <alignment horizontal="center" vertical="top" wrapText="1"/>
      <protection locked="0"/>
    </xf>
    <xf numFmtId="0" fontId="8" fillId="0" borderId="2" xfId="3" applyFont="1" applyBorder="1" applyAlignment="1">
      <alignment horizontal="left" vertical="top"/>
    </xf>
    <xf numFmtId="0" fontId="22" fillId="19" borderId="0" xfId="0" applyFont="1" applyFill="1"/>
    <xf numFmtId="0" fontId="22" fillId="0" borderId="0" xfId="0" applyFont="1" applyAlignment="1">
      <alignment wrapText="1"/>
    </xf>
    <xf numFmtId="0" fontId="22" fillId="19" borderId="0" xfId="0" applyFont="1" applyFill="1" applyAlignment="1">
      <alignment wrapText="1"/>
    </xf>
    <xf numFmtId="0" fontId="32" fillId="19" borderId="0" xfId="0" applyFont="1" applyFill="1"/>
    <xf numFmtId="0" fontId="32" fillId="0" borderId="0" xfId="0" applyFont="1"/>
    <xf numFmtId="0" fontId="8" fillId="3" borderId="1" xfId="0" applyFont="1" applyFill="1" applyBorder="1" applyAlignment="1" applyProtection="1">
      <alignment horizontal="center" vertical="top" wrapText="1"/>
      <protection locked="0"/>
    </xf>
    <xf numFmtId="0" fontId="38" fillId="0" borderId="0" xfId="0" applyFont="1" applyAlignment="1">
      <alignment vertical="center" wrapText="1"/>
    </xf>
    <xf numFmtId="0" fontId="8" fillId="0" borderId="2" xfId="3" applyFont="1" applyBorder="1" applyAlignment="1" applyProtection="1">
      <alignment horizontal="left" vertical="top"/>
      <protection locked="0"/>
    </xf>
    <xf numFmtId="0" fontId="8" fillId="0" borderId="8" xfId="3" applyFont="1" applyBorder="1" applyAlignment="1">
      <alignment horizontal="left" vertical="top" wrapText="1"/>
    </xf>
    <xf numFmtId="0" fontId="0" fillId="0" borderId="0" xfId="0" applyProtection="1">
      <protection locked="0"/>
    </xf>
    <xf numFmtId="0" fontId="8" fillId="0" borderId="1" xfId="0" applyFont="1" applyBorder="1" applyAlignment="1" applyProtection="1">
      <alignment horizontal="center" vertical="top"/>
      <protection locked="0"/>
    </xf>
    <xf numFmtId="0" fontId="7" fillId="0" borderId="1" xfId="3" applyFont="1" applyBorder="1" applyAlignment="1" applyProtection="1">
      <alignment horizontal="left" vertical="top"/>
      <protection locked="0"/>
    </xf>
    <xf numFmtId="0" fontId="8" fillId="0" borderId="1" xfId="3" applyFont="1" applyBorder="1" applyAlignment="1" applyProtection="1">
      <alignment horizontal="left" vertical="top"/>
      <protection locked="0"/>
    </xf>
    <xf numFmtId="0" fontId="8" fillId="0" borderId="0" xfId="3" applyFont="1" applyAlignment="1" applyProtection="1">
      <alignment vertical="top"/>
      <protection locked="0"/>
    </xf>
    <xf numFmtId="0" fontId="8" fillId="0" borderId="1" xfId="3" applyFont="1" applyBorder="1" applyAlignment="1" applyProtection="1">
      <alignment vertical="top"/>
      <protection locked="0"/>
    </xf>
    <xf numFmtId="0" fontId="38" fillId="0" borderId="47" xfId="0" applyFont="1" applyBorder="1" applyAlignment="1">
      <alignment vertical="center" wrapText="1"/>
    </xf>
    <xf numFmtId="0" fontId="38" fillId="0" borderId="18" xfId="0" applyFont="1" applyBorder="1" applyAlignment="1">
      <alignment vertical="center" wrapText="1"/>
    </xf>
    <xf numFmtId="0" fontId="19" fillId="0" borderId="16" xfId="0" applyFont="1" applyBorder="1" applyAlignment="1">
      <alignment vertical="center" wrapText="1"/>
    </xf>
    <xf numFmtId="0" fontId="19" fillId="0" borderId="17" xfId="0" applyFont="1" applyBorder="1" applyAlignment="1">
      <alignment vertical="center" wrapText="1"/>
    </xf>
    <xf numFmtId="0" fontId="38" fillId="0" borderId="49" xfId="0" applyFont="1" applyBorder="1" applyAlignment="1">
      <alignment vertical="center" wrapText="1"/>
    </xf>
    <xf numFmtId="0" fontId="7" fillId="0" borderId="5" xfId="3" applyFont="1" applyBorder="1" applyAlignment="1" applyProtection="1">
      <alignment horizontal="center" vertical="top"/>
      <protection locked="0"/>
    </xf>
    <xf numFmtId="0" fontId="33" fillId="0" borderId="0" xfId="0" applyFont="1" applyAlignment="1">
      <alignment horizontal="center" vertical="center" wrapText="1"/>
    </xf>
    <xf numFmtId="0" fontId="19" fillId="0" borderId="0" xfId="3" applyFont="1" applyAlignment="1">
      <alignment wrapText="1"/>
    </xf>
    <xf numFmtId="0" fontId="9" fillId="0" borderId="0" xfId="3" applyFont="1" applyAlignment="1">
      <alignment wrapText="1"/>
    </xf>
    <xf numFmtId="0" fontId="10" fillId="0" borderId="0" xfId="3" applyFont="1" applyAlignment="1">
      <alignment horizontal="center" wrapText="1"/>
    </xf>
    <xf numFmtId="0" fontId="9" fillId="0" borderId="0" xfId="3" applyFont="1" applyAlignment="1">
      <alignment horizontal="center" wrapText="1"/>
    </xf>
    <xf numFmtId="0" fontId="4" fillId="0" borderId="0" xfId="3" applyAlignment="1" applyProtection="1">
      <alignment wrapText="1"/>
      <protection locked="0"/>
    </xf>
    <xf numFmtId="0" fontId="2" fillId="0" borderId="0" xfId="3" applyFont="1" applyAlignment="1">
      <alignment wrapText="1"/>
    </xf>
    <xf numFmtId="0" fontId="1" fillId="0" borderId="0" xfId="3" quotePrefix="1" applyFont="1" applyAlignment="1">
      <alignment wrapText="1"/>
    </xf>
    <xf numFmtId="0" fontId="10" fillId="2" borderId="1" xfId="3" applyFont="1" applyFill="1" applyBorder="1" applyAlignment="1">
      <alignment vertical="top" wrapText="1"/>
    </xf>
    <xf numFmtId="0" fontId="10" fillId="3" borderId="1" xfId="3" applyFont="1" applyFill="1" applyBorder="1" applyAlignment="1">
      <alignment vertical="top" wrapText="1"/>
    </xf>
    <xf numFmtId="0" fontId="10" fillId="3" borderId="1" xfId="3" applyFont="1" applyFill="1" applyBorder="1" applyAlignment="1">
      <alignment horizontal="center" vertical="top" wrapText="1"/>
    </xf>
    <xf numFmtId="0" fontId="8" fillId="3" borderId="5" xfId="3" applyFont="1" applyFill="1" applyBorder="1" applyAlignment="1" applyProtection="1">
      <alignment horizontal="center" vertical="top" wrapText="1"/>
      <protection locked="0"/>
    </xf>
    <xf numFmtId="0" fontId="10" fillId="0" borderId="1" xfId="3" applyFont="1" applyBorder="1" applyAlignment="1">
      <alignment vertical="top" wrapText="1"/>
    </xf>
    <xf numFmtId="0" fontId="7" fillId="0" borderId="1" xfId="3" applyFont="1" applyBorder="1" applyAlignment="1" applyProtection="1">
      <alignment horizontal="center" vertical="top" wrapText="1"/>
      <protection locked="0"/>
    </xf>
    <xf numFmtId="0" fontId="10" fillId="0" borderId="1" xfId="3" applyFont="1" applyBorder="1" applyAlignment="1">
      <alignment horizontal="center" vertical="top" wrapText="1"/>
    </xf>
    <xf numFmtId="0" fontId="18" fillId="0" borderId="1" xfId="3" applyFont="1" applyBorder="1" applyAlignment="1">
      <alignment wrapText="1"/>
    </xf>
    <xf numFmtId="0" fontId="9" fillId="0" borderId="1" xfId="3" applyFont="1" applyBorder="1" applyAlignment="1">
      <alignment horizontal="center" vertical="top" wrapText="1"/>
    </xf>
    <xf numFmtId="0" fontId="7" fillId="0" borderId="26" xfId="3" applyFont="1" applyBorder="1" applyAlignment="1">
      <alignment horizontal="center" vertical="top" wrapText="1"/>
    </xf>
    <xf numFmtId="0" fontId="7" fillId="0" borderId="5" xfId="3" applyFont="1" applyBorder="1" applyAlignment="1" applyProtection="1">
      <alignment horizontal="center" vertical="top" wrapText="1"/>
      <protection locked="0"/>
    </xf>
    <xf numFmtId="0" fontId="9" fillId="0" borderId="5" xfId="3" applyFont="1" applyBorder="1" applyAlignment="1">
      <alignment horizontal="left" vertical="top" wrapText="1"/>
    </xf>
    <xf numFmtId="0" fontId="4" fillId="0" borderId="2" xfId="3" applyBorder="1" applyAlignment="1" applyProtection="1">
      <alignment wrapText="1"/>
      <protection locked="0"/>
    </xf>
    <xf numFmtId="0" fontId="9" fillId="0" borderId="8" xfId="3" applyFont="1" applyBorder="1" applyAlignment="1">
      <alignment horizontal="left" vertical="top" wrapText="1"/>
    </xf>
    <xf numFmtId="0" fontId="9" fillId="0" borderId="5" xfId="3" applyFont="1" applyBorder="1" applyAlignment="1">
      <alignment vertical="top" wrapText="1"/>
    </xf>
    <xf numFmtId="0" fontId="9" fillId="0" borderId="8" xfId="3" applyFont="1" applyBorder="1" applyAlignment="1">
      <alignment vertical="top" wrapText="1"/>
    </xf>
    <xf numFmtId="0" fontId="9" fillId="0" borderId="0" xfId="3" applyFont="1" applyAlignment="1">
      <alignment vertical="top" wrapText="1"/>
    </xf>
    <xf numFmtId="0" fontId="7" fillId="0" borderId="0" xfId="3" applyFont="1" applyAlignment="1" applyProtection="1">
      <alignment horizontal="center" vertical="top" wrapText="1"/>
      <protection locked="0"/>
    </xf>
    <xf numFmtId="0" fontId="10" fillId="0" borderId="0" xfId="3" applyFont="1" applyAlignment="1">
      <alignment horizontal="center" vertical="top" wrapText="1"/>
    </xf>
    <xf numFmtId="0" fontId="9" fillId="0" borderId="0" xfId="3" applyFont="1" applyAlignment="1">
      <alignment horizontal="center" vertical="top" wrapText="1"/>
    </xf>
    <xf numFmtId="0" fontId="10" fillId="0" borderId="0" xfId="3" applyFont="1" applyAlignment="1">
      <alignment vertical="top" wrapText="1"/>
    </xf>
    <xf numFmtId="0" fontId="9" fillId="0" borderId="0" xfId="3" applyFont="1" applyAlignment="1">
      <alignment horizontal="left" vertical="top" wrapText="1"/>
    </xf>
    <xf numFmtId="0" fontId="9" fillId="0" borderId="32" xfId="3" applyFont="1" applyBorder="1" applyAlignment="1">
      <alignment vertical="top" wrapText="1"/>
    </xf>
    <xf numFmtId="0" fontId="9" fillId="0" borderId="34" xfId="3" applyFont="1" applyBorder="1" applyAlignment="1">
      <alignment vertical="top" wrapText="1"/>
    </xf>
    <xf numFmtId="0" fontId="7" fillId="0" borderId="32" xfId="3" applyFont="1" applyBorder="1" applyAlignment="1" applyProtection="1">
      <alignment horizontal="center" vertical="top" wrapText="1"/>
      <protection locked="0"/>
    </xf>
    <xf numFmtId="0" fontId="10" fillId="0" borderId="32" xfId="3" applyFont="1" applyBorder="1" applyAlignment="1">
      <alignment horizontal="center" vertical="top" wrapText="1"/>
    </xf>
    <xf numFmtId="0" fontId="9" fillId="0" borderId="32" xfId="3" applyFont="1" applyBorder="1" applyAlignment="1">
      <alignment horizontal="center" vertical="top" wrapText="1"/>
    </xf>
    <xf numFmtId="0" fontId="2" fillId="0" borderId="0" xfId="3" applyFont="1" applyAlignment="1" applyProtection="1">
      <alignment wrapText="1"/>
      <protection locked="0"/>
    </xf>
    <xf numFmtId="0" fontId="1" fillId="0" borderId="0" xfId="3" applyFont="1" applyAlignment="1">
      <alignment wrapText="1"/>
    </xf>
    <xf numFmtId="0" fontId="18" fillId="0" borderId="0" xfId="3" applyFont="1" applyAlignment="1">
      <alignment wrapText="1"/>
    </xf>
    <xf numFmtId="0" fontId="10" fillId="4" borderId="1" xfId="3" applyFont="1" applyFill="1" applyBorder="1" applyAlignment="1">
      <alignment vertical="top" wrapText="1"/>
    </xf>
    <xf numFmtId="0" fontId="9" fillId="4" borderId="1" xfId="3" applyFont="1" applyFill="1" applyBorder="1" applyAlignment="1">
      <alignment vertical="top" wrapText="1"/>
    </xf>
    <xf numFmtId="0" fontId="10" fillId="4" borderId="1" xfId="3" applyFont="1" applyFill="1" applyBorder="1" applyAlignment="1">
      <alignment horizontal="center" vertical="top" wrapText="1"/>
    </xf>
    <xf numFmtId="0" fontId="18" fillId="4" borderId="1" xfId="3" applyFont="1" applyFill="1" applyBorder="1" applyAlignment="1">
      <alignment wrapText="1"/>
    </xf>
    <xf numFmtId="0" fontId="9" fillId="4" borderId="1" xfId="3" applyFont="1" applyFill="1" applyBorder="1" applyAlignment="1">
      <alignment horizontal="center" vertical="top" wrapText="1"/>
    </xf>
    <xf numFmtId="0" fontId="7" fillId="4" borderId="25" xfId="3" applyFont="1" applyFill="1" applyBorder="1" applyAlignment="1">
      <alignment horizontal="center" vertical="top" wrapText="1"/>
    </xf>
    <xf numFmtId="0" fontId="9" fillId="4" borderId="1" xfId="3" applyFont="1" applyFill="1" applyBorder="1" applyAlignment="1">
      <alignment horizontal="left" vertical="top" wrapText="1"/>
    </xf>
    <xf numFmtId="0" fontId="9" fillId="4" borderId="1" xfId="20" applyFont="1" applyFill="1" applyBorder="1" applyAlignment="1">
      <alignment horizontal="left" vertical="top" wrapText="1"/>
    </xf>
    <xf numFmtId="0" fontId="9" fillId="4" borderId="4" xfId="3" applyFont="1" applyFill="1" applyBorder="1" applyAlignment="1">
      <alignment horizontal="left" vertical="top" wrapText="1"/>
    </xf>
    <xf numFmtId="0" fontId="9" fillId="4" borderId="0" xfId="3" applyFont="1" applyFill="1" applyAlignment="1">
      <alignment vertical="top" wrapText="1"/>
    </xf>
    <xf numFmtId="0" fontId="9" fillId="5" borderId="1" xfId="3" applyFont="1" applyFill="1" applyBorder="1" applyAlignment="1">
      <alignment vertical="top" wrapText="1"/>
    </xf>
    <xf numFmtId="0" fontId="9" fillId="4" borderId="1" xfId="3" applyFont="1" applyFill="1" applyBorder="1" applyAlignment="1">
      <alignment wrapText="1"/>
    </xf>
    <xf numFmtId="0" fontId="9" fillId="4" borderId="1" xfId="20" applyFont="1" applyFill="1" applyBorder="1" applyAlignment="1">
      <alignment vertical="top" wrapText="1"/>
    </xf>
    <xf numFmtId="0" fontId="8" fillId="4" borderId="1" xfId="3" applyFont="1" applyFill="1" applyBorder="1" applyAlignment="1">
      <alignment horizontal="center" vertical="top" wrapText="1"/>
    </xf>
    <xf numFmtId="0" fontId="16" fillId="4" borderId="1" xfId="3" applyFont="1" applyFill="1" applyBorder="1" applyAlignment="1">
      <alignment horizontal="left" vertical="top" wrapText="1"/>
    </xf>
    <xf numFmtId="0" fontId="7" fillId="4" borderId="4" xfId="3" applyFont="1" applyFill="1" applyBorder="1" applyAlignment="1">
      <alignment horizontal="left" vertical="top" wrapText="1"/>
    </xf>
    <xf numFmtId="0" fontId="7" fillId="4" borderId="3" xfId="3" applyFont="1" applyFill="1" applyBorder="1" applyAlignment="1">
      <alignment horizontal="left" vertical="top" wrapText="1"/>
    </xf>
    <xf numFmtId="0" fontId="7" fillId="4" borderId="41" xfId="3" applyFont="1" applyFill="1" applyBorder="1" applyAlignment="1">
      <alignment horizontal="left" vertical="top" wrapText="1"/>
    </xf>
    <xf numFmtId="0" fontId="7" fillId="4" borderId="8" xfId="3" applyFont="1" applyFill="1" applyBorder="1" applyAlignment="1">
      <alignment horizontal="left" vertical="top" wrapText="1"/>
    </xf>
    <xf numFmtId="0" fontId="9" fillId="4" borderId="4" xfId="3" applyFont="1" applyFill="1" applyBorder="1" applyAlignment="1">
      <alignment vertical="top" wrapText="1"/>
    </xf>
    <xf numFmtId="0" fontId="9" fillId="4" borderId="3" xfId="3" applyFont="1" applyFill="1" applyBorder="1" applyAlignment="1">
      <alignment vertical="top" wrapText="1"/>
    </xf>
    <xf numFmtId="0" fontId="9" fillId="4" borderId="8" xfId="3" applyFont="1" applyFill="1" applyBorder="1" applyAlignment="1">
      <alignment horizontal="left" vertical="top" wrapText="1"/>
    </xf>
    <xf numFmtId="0" fontId="9" fillId="4" borderId="6" xfId="3" applyFont="1" applyFill="1" applyBorder="1" applyAlignment="1">
      <alignment horizontal="left" vertical="top" wrapText="1"/>
    </xf>
    <xf numFmtId="0" fontId="9" fillId="4" borderId="5" xfId="3" applyFont="1" applyFill="1" applyBorder="1" applyAlignment="1">
      <alignment vertical="top" wrapText="1"/>
    </xf>
    <xf numFmtId="0" fontId="9" fillId="4" borderId="12" xfId="3" applyFont="1" applyFill="1" applyBorder="1" applyAlignment="1">
      <alignment horizontal="left" vertical="top" wrapText="1"/>
    </xf>
    <xf numFmtId="0" fontId="9" fillId="4" borderId="3" xfId="3" applyFont="1" applyFill="1" applyBorder="1" applyAlignment="1">
      <alignment horizontal="left" vertical="top" wrapText="1"/>
    </xf>
    <xf numFmtId="0" fontId="10" fillId="4" borderId="5" xfId="3" applyFont="1" applyFill="1" applyBorder="1" applyAlignment="1">
      <alignment vertical="top" wrapText="1"/>
    </xf>
    <xf numFmtId="0" fontId="9" fillId="4" borderId="8" xfId="3" applyFont="1" applyFill="1" applyBorder="1" applyAlignment="1">
      <alignment vertical="top" wrapText="1"/>
    </xf>
    <xf numFmtId="0" fontId="9" fillId="4" borderId="7" xfId="3" applyFont="1" applyFill="1" applyBorder="1" applyAlignment="1">
      <alignment horizontal="left" vertical="top" wrapText="1"/>
    </xf>
    <xf numFmtId="0" fontId="9" fillId="4" borderId="10" xfId="3" applyFont="1" applyFill="1" applyBorder="1" applyAlignment="1">
      <alignment horizontal="left" vertical="top" wrapText="1"/>
    </xf>
    <xf numFmtId="0" fontId="10" fillId="4" borderId="3" xfId="3" applyFont="1" applyFill="1" applyBorder="1" applyAlignment="1">
      <alignment vertical="top" wrapText="1"/>
    </xf>
    <xf numFmtId="0" fontId="8" fillId="4" borderId="28" xfId="3" applyFont="1" applyFill="1" applyBorder="1" applyAlignment="1">
      <alignment vertical="top" wrapText="1"/>
    </xf>
    <xf numFmtId="0" fontId="9" fillId="4" borderId="28" xfId="3" applyFont="1" applyFill="1" applyBorder="1" applyAlignment="1">
      <alignment vertical="top" wrapText="1"/>
    </xf>
    <xf numFmtId="0" fontId="8" fillId="4" borderId="28" xfId="3" applyFont="1" applyFill="1" applyBorder="1" applyAlignment="1">
      <alignment horizontal="center" vertical="top" wrapText="1"/>
    </xf>
    <xf numFmtId="0" fontId="9" fillId="4" borderId="28" xfId="3" applyFont="1" applyFill="1" applyBorder="1" applyAlignment="1">
      <alignment horizontal="center" vertical="top" wrapText="1"/>
    </xf>
    <xf numFmtId="0" fontId="8" fillId="4" borderId="0" xfId="3" applyFont="1" applyFill="1" applyAlignment="1">
      <alignment vertical="top" wrapText="1"/>
    </xf>
    <xf numFmtId="0" fontId="9" fillId="4" borderId="0" xfId="3" applyFont="1" applyFill="1" applyAlignment="1">
      <alignment horizontal="center" vertical="top" wrapText="1"/>
    </xf>
    <xf numFmtId="0" fontId="10" fillId="4" borderId="0" xfId="3" applyFont="1" applyFill="1" applyAlignment="1">
      <alignment vertical="top" wrapText="1"/>
    </xf>
    <xf numFmtId="0" fontId="9" fillId="4" borderId="0" xfId="3" applyFont="1" applyFill="1" applyAlignment="1">
      <alignment wrapText="1"/>
    </xf>
    <xf numFmtId="0" fontId="9" fillId="4" borderId="32" xfId="3" applyFont="1" applyFill="1" applyBorder="1" applyAlignment="1">
      <alignment vertical="top" wrapText="1"/>
    </xf>
    <xf numFmtId="0" fontId="10" fillId="4" borderId="32" xfId="3" applyFont="1" applyFill="1" applyBorder="1" applyAlignment="1">
      <alignment vertical="top" wrapText="1"/>
    </xf>
    <xf numFmtId="0" fontId="9" fillId="4" borderId="32" xfId="3" applyFont="1" applyFill="1" applyBorder="1" applyAlignment="1">
      <alignment horizontal="left" vertical="top" wrapText="1"/>
    </xf>
    <xf numFmtId="0" fontId="10" fillId="4" borderId="32" xfId="3" applyFont="1" applyFill="1" applyBorder="1" applyAlignment="1">
      <alignment horizontal="center" vertical="top" wrapText="1"/>
    </xf>
    <xf numFmtId="0" fontId="9" fillId="4" borderId="32" xfId="3" applyFont="1" applyFill="1" applyBorder="1" applyAlignment="1">
      <alignment horizontal="center" vertical="top" wrapText="1"/>
    </xf>
    <xf numFmtId="0" fontId="10" fillId="4" borderId="15" xfId="3" applyFont="1" applyFill="1" applyBorder="1" applyAlignment="1">
      <alignment vertical="top" wrapText="1"/>
    </xf>
    <xf numFmtId="0" fontId="42" fillId="0" borderId="48" xfId="2" applyFont="1" applyFill="1" applyBorder="1" applyAlignment="1">
      <alignment horizontal="right" vertical="center"/>
    </xf>
    <xf numFmtId="0" fontId="42" fillId="0" borderId="0" xfId="2" applyFont="1" applyFill="1" applyBorder="1" applyAlignment="1">
      <alignment horizontal="right" vertical="center"/>
    </xf>
    <xf numFmtId="0" fontId="42" fillId="0" borderId="50" xfId="2" applyFont="1" applyFill="1" applyBorder="1" applyAlignment="1">
      <alignment horizontal="right" vertical="center"/>
    </xf>
    <xf numFmtId="0" fontId="38" fillId="0" borderId="48" xfId="0" applyFont="1" applyBorder="1" applyAlignment="1">
      <alignment vertical="center" wrapText="1"/>
    </xf>
    <xf numFmtId="0" fontId="7" fillId="4" borderId="19" xfId="3" applyFont="1" applyFill="1" applyBorder="1" applyAlignment="1">
      <alignment horizontal="center" vertical="top" wrapText="1"/>
    </xf>
    <xf numFmtId="0" fontId="7" fillId="4" borderId="19" xfId="3" applyFont="1" applyFill="1" applyBorder="1" applyAlignment="1">
      <alignment horizontal="center" vertical="top"/>
    </xf>
    <xf numFmtId="0" fontId="7" fillId="0" borderId="2" xfId="3" applyFont="1" applyBorder="1" applyAlignment="1" applyProtection="1">
      <alignment horizontal="left" vertical="top"/>
      <protection locked="0"/>
    </xf>
    <xf numFmtId="0" fontId="7" fillId="4" borderId="19" xfId="3" applyFont="1" applyFill="1" applyBorder="1" applyAlignment="1">
      <alignment horizontal="left" vertical="top"/>
    </xf>
    <xf numFmtId="0" fontId="8" fillId="0" borderId="2" xfId="3" applyFont="1" applyBorder="1" applyAlignment="1" applyProtection="1">
      <alignment horizontal="center" vertical="top"/>
      <protection locked="0"/>
    </xf>
    <xf numFmtId="0" fontId="0" fillId="0" borderId="2" xfId="0" applyBorder="1" applyAlignment="1">
      <alignment horizontal="center"/>
    </xf>
    <xf numFmtId="0" fontId="8" fillId="0" borderId="3" xfId="3" applyFont="1" applyBorder="1" applyAlignment="1">
      <alignment horizontal="left" vertical="top"/>
    </xf>
    <xf numFmtId="0" fontId="7" fillId="0" borderId="3" xfId="3" applyFont="1" applyBorder="1" applyAlignment="1">
      <alignment horizontal="left" vertical="top" wrapText="1"/>
    </xf>
    <xf numFmtId="0" fontId="7" fillId="0" borderId="46" xfId="3" applyFont="1" applyBorder="1" applyAlignment="1" applyProtection="1">
      <alignment vertical="top"/>
      <protection locked="0"/>
    </xf>
    <xf numFmtId="0" fontId="7" fillId="0" borderId="47" xfId="3" applyFont="1" applyBorder="1" applyAlignment="1" applyProtection="1">
      <alignment vertical="top"/>
      <protection locked="0"/>
    </xf>
    <xf numFmtId="0" fontId="38" fillId="0" borderId="0" xfId="0" applyFont="1"/>
    <xf numFmtId="0" fontId="38" fillId="0" borderId="0" xfId="0" applyFont="1" applyAlignment="1">
      <alignment wrapText="1"/>
    </xf>
    <xf numFmtId="0" fontId="8" fillId="3" borderId="2" xfId="3" applyFont="1" applyFill="1" applyBorder="1" applyAlignment="1" applyProtection="1">
      <alignment horizontal="center" vertical="top" wrapText="1"/>
      <protection locked="0"/>
    </xf>
    <xf numFmtId="0" fontId="8" fillId="0" borderId="2" xfId="3" applyFont="1" applyBorder="1" applyAlignment="1">
      <alignment vertical="top"/>
    </xf>
    <xf numFmtId="0" fontId="7" fillId="0" borderId="59" xfId="0" applyFont="1" applyBorder="1" applyAlignment="1">
      <alignment horizontal="center" vertical="top"/>
    </xf>
    <xf numFmtId="0" fontId="8" fillId="3" borderId="3" xfId="0" applyFont="1" applyFill="1" applyBorder="1" applyAlignment="1" applyProtection="1">
      <alignment horizontal="center" vertical="top" wrapText="1"/>
      <protection locked="0"/>
    </xf>
    <xf numFmtId="0" fontId="8" fillId="0" borderId="2" xfId="0" applyFont="1" applyBorder="1" applyAlignment="1" applyProtection="1">
      <alignment horizontal="center" vertical="top"/>
      <protection locked="0"/>
    </xf>
    <xf numFmtId="0" fontId="8" fillId="3" borderId="35" xfId="3" applyFont="1" applyFill="1" applyBorder="1" applyAlignment="1" applyProtection="1">
      <alignment horizontal="center" vertical="top" wrapText="1"/>
      <protection locked="0"/>
    </xf>
    <xf numFmtId="0" fontId="7" fillId="0" borderId="19" xfId="3" applyFont="1" applyBorder="1" applyAlignment="1" applyProtection="1">
      <alignment horizontal="center" vertical="top"/>
      <protection locked="0"/>
    </xf>
    <xf numFmtId="0" fontId="8" fillId="0" borderId="2" xfId="3" applyFont="1" applyBorder="1" applyAlignment="1">
      <alignment vertical="top" wrapText="1"/>
    </xf>
    <xf numFmtId="0" fontId="7" fillId="0" borderId="59" xfId="3" applyFont="1" applyBorder="1" applyAlignment="1">
      <alignment horizontal="center" vertical="top"/>
    </xf>
    <xf numFmtId="0" fontId="8" fillId="3" borderId="5" xfId="3" applyFont="1" applyFill="1" applyBorder="1" applyAlignment="1">
      <alignment horizontal="center" vertical="top" wrapText="1"/>
    </xf>
    <xf numFmtId="0" fontId="8" fillId="3" borderId="2" xfId="3" applyFont="1" applyFill="1" applyBorder="1" applyAlignment="1">
      <alignment horizontal="center" vertical="top" wrapText="1"/>
    </xf>
    <xf numFmtId="0" fontId="7" fillId="4" borderId="2" xfId="3" applyFont="1" applyFill="1" applyBorder="1"/>
    <xf numFmtId="0" fontId="8" fillId="0" borderId="2" xfId="3" applyFont="1" applyBorder="1" applyAlignment="1">
      <alignment horizontal="center" vertical="top" wrapText="1"/>
    </xf>
    <xf numFmtId="0" fontId="7" fillId="0" borderId="35" xfId="3" applyFont="1" applyBorder="1" applyAlignment="1" applyProtection="1">
      <alignment horizontal="center" vertical="top"/>
      <protection locked="0"/>
    </xf>
    <xf numFmtId="0" fontId="8" fillId="3" borderId="35" xfId="3" applyFont="1" applyFill="1" applyBorder="1" applyAlignment="1">
      <alignment horizontal="center" vertical="top" wrapText="1"/>
    </xf>
    <xf numFmtId="0" fontId="7" fillId="0" borderId="2" xfId="0" applyFont="1" applyBorder="1" applyAlignment="1" applyProtection="1">
      <alignment horizontal="center" vertical="top"/>
      <protection locked="0"/>
    </xf>
    <xf numFmtId="0" fontId="8" fillId="3" borderId="29" xfId="3" applyFont="1" applyFill="1" applyBorder="1" applyAlignment="1">
      <alignment vertical="top" wrapText="1"/>
    </xf>
    <xf numFmtId="0" fontId="8" fillId="3" borderId="2" xfId="3" applyFont="1" applyFill="1" applyBorder="1" applyAlignment="1">
      <alignment vertical="top" wrapText="1"/>
    </xf>
    <xf numFmtId="0" fontId="7" fillId="0" borderId="56" xfId="3" applyFont="1" applyBorder="1" applyAlignment="1" applyProtection="1">
      <alignment horizontal="center" vertical="top" wrapText="1"/>
      <protection locked="0"/>
    </xf>
    <xf numFmtId="0" fontId="38" fillId="0" borderId="0" xfId="0" applyFont="1" applyAlignment="1">
      <alignment horizontal="left" vertical="center" wrapText="1"/>
    </xf>
    <xf numFmtId="0" fontId="38" fillId="0" borderId="16" xfId="0" applyFont="1" applyBorder="1" applyAlignment="1">
      <alignment horizontal="center" vertical="center" wrapText="1"/>
    </xf>
    <xf numFmtId="0" fontId="8" fillId="0" borderId="56" xfId="3" applyFont="1" applyBorder="1" applyAlignment="1">
      <alignment horizontal="center" vertical="top"/>
    </xf>
    <xf numFmtId="0" fontId="19" fillId="0" borderId="16" xfId="0" applyFont="1" applyBorder="1" applyAlignment="1">
      <alignment horizontal="left" vertical="center" wrapText="1"/>
    </xf>
    <xf numFmtId="0" fontId="38" fillId="0" borderId="48" xfId="0" applyFont="1" applyBorder="1" applyAlignment="1">
      <alignment horizontal="center" vertical="center" wrapText="1"/>
    </xf>
    <xf numFmtId="0" fontId="44" fillId="0" borderId="48" xfId="0" applyFont="1" applyBorder="1" applyAlignment="1">
      <alignment vertical="center" wrapText="1"/>
    </xf>
    <xf numFmtId="0" fontId="38" fillId="0" borderId="0" xfId="0" applyFont="1" applyAlignment="1">
      <alignment horizontal="center" vertical="center" wrapText="1"/>
    </xf>
    <xf numFmtId="0" fontId="44" fillId="0" borderId="0" xfId="0" applyFont="1" applyAlignment="1">
      <alignment vertical="center" wrapText="1"/>
    </xf>
    <xf numFmtId="0" fontId="38" fillId="0" borderId="50" xfId="0" applyFont="1" applyBorder="1" applyAlignment="1">
      <alignment horizontal="center" vertical="center" wrapText="1"/>
    </xf>
    <xf numFmtId="0" fontId="44" fillId="0" borderId="50" xfId="0" applyFont="1" applyBorder="1" applyAlignment="1">
      <alignment vertical="center" wrapText="1"/>
    </xf>
    <xf numFmtId="0" fontId="44" fillId="0" borderId="16" xfId="0" applyFont="1" applyBorder="1" applyAlignment="1">
      <alignment vertical="center" wrapText="1"/>
    </xf>
    <xf numFmtId="0" fontId="8" fillId="0" borderId="0" xfId="3" applyFont="1" applyAlignment="1">
      <alignment horizontal="center" wrapText="1"/>
    </xf>
    <xf numFmtId="0" fontId="7" fillId="0" borderId="0" xfId="3" applyFont="1" applyAlignment="1">
      <alignment horizontal="center" wrapText="1"/>
    </xf>
    <xf numFmtId="0" fontId="7" fillId="0" borderId="5" xfId="3" applyFont="1" applyBorder="1" applyAlignment="1">
      <alignment horizontal="center" vertical="top" wrapText="1"/>
    </xf>
    <xf numFmtId="0" fontId="4" fillId="0" borderId="1" xfId="3" applyBorder="1" applyAlignment="1">
      <alignment wrapText="1"/>
    </xf>
    <xf numFmtId="0" fontId="7" fillId="0" borderId="2" xfId="3" applyFont="1" applyBorder="1" applyAlignment="1" applyProtection="1">
      <alignment wrapText="1"/>
      <protection locked="0"/>
    </xf>
    <xf numFmtId="0" fontId="7" fillId="0" borderId="25" xfId="3" applyFont="1" applyBorder="1" applyAlignment="1">
      <alignment horizontal="center" vertical="top" wrapText="1"/>
    </xf>
    <xf numFmtId="0" fontId="8" fillId="0" borderId="28" xfId="3" applyFont="1" applyBorder="1" applyAlignment="1">
      <alignment horizontal="left" vertical="top" wrapText="1"/>
    </xf>
    <xf numFmtId="0" fontId="8" fillId="19" borderId="1" xfId="3" applyFont="1" applyFill="1" applyBorder="1" applyAlignment="1">
      <alignment vertical="top" wrapText="1"/>
    </xf>
    <xf numFmtId="0" fontId="7" fillId="0" borderId="28" xfId="3" applyFont="1" applyBorder="1" applyAlignment="1">
      <alignment horizontal="left" vertical="top" wrapText="1"/>
    </xf>
    <xf numFmtId="0" fontId="7" fillId="0" borderId="29" xfId="3" applyFont="1" applyBorder="1" applyAlignment="1">
      <alignment horizontal="left" vertical="top" wrapText="1"/>
    </xf>
    <xf numFmtId="0" fontId="8" fillId="0" borderId="28" xfId="3" applyFont="1" applyBorder="1" applyAlignment="1">
      <alignment horizontal="center" vertical="top" wrapText="1"/>
    </xf>
    <xf numFmtId="0" fontId="7" fillId="0" borderId="28" xfId="3" applyFont="1" applyBorder="1" applyAlignment="1">
      <alignment horizontal="center" vertical="top" wrapText="1"/>
    </xf>
    <xf numFmtId="0" fontId="7" fillId="19" borderId="0" xfId="3" applyFont="1" applyFill="1" applyAlignment="1" applyProtection="1">
      <alignment wrapText="1"/>
      <protection locked="0"/>
    </xf>
    <xf numFmtId="0" fontId="8" fillId="0" borderId="0" xfId="3" applyFont="1" applyAlignment="1" applyProtection="1">
      <alignment wrapText="1"/>
      <protection locked="0"/>
    </xf>
    <xf numFmtId="0" fontId="7" fillId="4" borderId="0" xfId="3" applyFont="1" applyFill="1" applyAlignment="1">
      <alignment wrapText="1"/>
    </xf>
    <xf numFmtId="0" fontId="7" fillId="4" borderId="5" xfId="3" applyFont="1" applyFill="1" applyBorder="1" applyAlignment="1">
      <alignment horizontal="center" vertical="top" wrapText="1"/>
    </xf>
    <xf numFmtId="0" fontId="4" fillId="4" borderId="5" xfId="3" applyFill="1" applyBorder="1" applyAlignment="1">
      <alignment wrapText="1"/>
    </xf>
    <xf numFmtId="0" fontId="7" fillId="4" borderId="2" xfId="3" applyFont="1" applyFill="1" applyBorder="1" applyAlignment="1" applyProtection="1">
      <alignment wrapText="1"/>
      <protection locked="0"/>
    </xf>
    <xf numFmtId="0" fontId="7" fillId="5" borderId="5" xfId="3" applyFont="1" applyFill="1" applyBorder="1" applyAlignment="1">
      <alignment vertical="top" wrapText="1"/>
    </xf>
    <xf numFmtId="0" fontId="7" fillId="4" borderId="14" xfId="3" applyFont="1" applyFill="1" applyBorder="1" applyAlignment="1">
      <alignment horizontal="left" vertical="top" wrapText="1"/>
    </xf>
    <xf numFmtId="0" fontId="7" fillId="4" borderId="23" xfId="3" applyFont="1" applyFill="1" applyBorder="1" applyAlignment="1">
      <alignment horizontal="left" vertical="top" wrapText="1"/>
    </xf>
    <xf numFmtId="0" fontId="7" fillId="4" borderId="36" xfId="3" applyFont="1" applyFill="1" applyBorder="1" applyAlignment="1">
      <alignment horizontal="left" vertical="top" wrapText="1"/>
    </xf>
    <xf numFmtId="0" fontId="7" fillId="4" borderId="9" xfId="3" applyFont="1" applyFill="1" applyBorder="1" applyAlignment="1">
      <alignment horizontal="left" vertical="top" wrapText="1"/>
    </xf>
    <xf numFmtId="0" fontId="7" fillId="4" borderId="6" xfId="3" applyFont="1" applyFill="1" applyBorder="1" applyAlignment="1">
      <alignment horizontal="left" vertical="top" wrapText="1"/>
    </xf>
    <xf numFmtId="0" fontId="7" fillId="4" borderId="14" xfId="3" applyFont="1" applyFill="1" applyBorder="1" applyAlignment="1">
      <alignment vertical="top" wrapText="1"/>
    </xf>
    <xf numFmtId="0" fontId="7" fillId="4" borderId="2" xfId="3" applyFont="1" applyFill="1" applyBorder="1" applyAlignment="1">
      <alignment vertical="top" wrapText="1"/>
    </xf>
    <xf numFmtId="0" fontId="8" fillId="4" borderId="42" xfId="3" applyFont="1" applyFill="1" applyBorder="1" applyAlignment="1">
      <alignment vertical="top" wrapText="1"/>
    </xf>
    <xf numFmtId="0" fontId="7" fillId="4" borderId="29" xfId="3" applyFont="1" applyFill="1" applyBorder="1" applyAlignment="1">
      <alignment vertical="top" wrapText="1"/>
    </xf>
    <xf numFmtId="0" fontId="8" fillId="4" borderId="0" xfId="3" applyFont="1" applyFill="1" applyAlignment="1">
      <alignment horizontal="center" vertical="top" wrapText="1"/>
    </xf>
    <xf numFmtId="0" fontId="7" fillId="4" borderId="0" xfId="3" applyFont="1" applyFill="1" applyAlignment="1" applyProtection="1">
      <alignment wrapText="1"/>
      <protection locked="0"/>
    </xf>
    <xf numFmtId="0" fontId="4" fillId="4" borderId="0" xfId="3" applyFill="1" applyAlignment="1">
      <alignment wrapText="1"/>
    </xf>
    <xf numFmtId="0" fontId="8" fillId="4" borderId="32" xfId="3" applyFont="1" applyFill="1" applyBorder="1" applyAlignment="1">
      <alignment vertical="top" wrapText="1"/>
    </xf>
    <xf numFmtId="0" fontId="7" fillId="4" borderId="32" xfId="3" applyFont="1" applyFill="1" applyBorder="1" applyAlignment="1">
      <alignment horizontal="left" vertical="top" wrapText="1"/>
    </xf>
    <xf numFmtId="0" fontId="7" fillId="4" borderId="33" xfId="3" applyFont="1" applyFill="1" applyBorder="1" applyAlignment="1">
      <alignment horizontal="left" vertical="top" wrapText="1"/>
    </xf>
    <xf numFmtId="0" fontId="7" fillId="4" borderId="33" xfId="3" applyFont="1" applyFill="1" applyBorder="1" applyAlignment="1">
      <alignment vertical="top" wrapText="1"/>
    </xf>
    <xf numFmtId="0" fontId="8" fillId="4" borderId="32" xfId="3" applyFont="1" applyFill="1" applyBorder="1" applyAlignment="1">
      <alignment horizontal="center" vertical="top" wrapText="1"/>
    </xf>
    <xf numFmtId="0" fontId="9" fillId="4" borderId="5" xfId="3" applyFont="1" applyFill="1" applyBorder="1" applyAlignment="1">
      <alignment horizontal="left" vertical="top" wrapText="1"/>
    </xf>
    <xf numFmtId="0" fontId="7" fillId="20" borderId="5" xfId="3" applyFont="1" applyFill="1" applyBorder="1" applyAlignment="1">
      <alignment vertical="top" wrapText="1"/>
    </xf>
    <xf numFmtId="0" fontId="7" fillId="20" borderId="5" xfId="3" applyFont="1" applyFill="1" applyBorder="1" applyAlignment="1">
      <alignment horizontal="left" vertical="top" wrapText="1"/>
    </xf>
    <xf numFmtId="0" fontId="38" fillId="0" borderId="0" xfId="0" applyFont="1" applyAlignment="1">
      <alignment horizontal="left" vertical="top" wrapText="1"/>
    </xf>
    <xf numFmtId="0" fontId="43" fillId="0" borderId="0" xfId="0" applyFont="1" applyAlignment="1">
      <alignment horizontal="center" vertical="center"/>
    </xf>
    <xf numFmtId="0" fontId="43" fillId="0" borderId="0" xfId="0" applyFont="1" applyAlignment="1">
      <alignment horizontal="center" vertical="center" wrapText="1"/>
    </xf>
    <xf numFmtId="0" fontId="41" fillId="0" borderId="0" xfId="0" applyFont="1"/>
    <xf numFmtId="0" fontId="42" fillId="0" borderId="0" xfId="2" applyFont="1" applyBorder="1" applyAlignment="1">
      <alignment horizontal="right" vertical="center" wrapText="1"/>
    </xf>
    <xf numFmtId="0" fontId="8" fillId="0" borderId="0" xfId="3" applyFont="1" applyAlignment="1">
      <alignment wrapText="1"/>
    </xf>
    <xf numFmtId="0" fontId="8" fillId="0" borderId="0" xfId="3" applyFont="1" applyAlignment="1" applyProtection="1">
      <alignment horizontal="center" wrapText="1"/>
      <protection locked="0"/>
    </xf>
    <xf numFmtId="0" fontId="8" fillId="0" borderId="1" xfId="3" applyFont="1" applyBorder="1" applyAlignment="1" applyProtection="1">
      <alignment horizontal="center" vertical="top" wrapText="1"/>
      <protection locked="0"/>
    </xf>
    <xf numFmtId="0" fontId="8" fillId="0" borderId="2" xfId="3" applyFont="1" applyBorder="1" applyAlignment="1" applyProtection="1">
      <alignment horizontal="center" vertical="top" wrapText="1"/>
      <protection locked="0"/>
    </xf>
    <xf numFmtId="0" fontId="7" fillId="0" borderId="1" xfId="3" applyFont="1" applyBorder="1" applyAlignment="1">
      <alignment horizontal="justify" vertical="top" wrapText="1"/>
    </xf>
    <xf numFmtId="0" fontId="9" fillId="0" borderId="1" xfId="3" applyFont="1" applyBorder="1" applyAlignment="1">
      <alignment wrapText="1"/>
    </xf>
    <xf numFmtId="0" fontId="7" fillId="0" borderId="1" xfId="3" applyFont="1" applyBorder="1" applyAlignment="1">
      <alignment wrapText="1"/>
    </xf>
    <xf numFmtId="0" fontId="8" fillId="0" borderId="1" xfId="3" applyFont="1" applyBorder="1" applyAlignment="1">
      <alignment horizontal="center" wrapText="1"/>
    </xf>
    <xf numFmtId="0" fontId="7" fillId="4" borderId="15" xfId="3" applyFont="1" applyFill="1" applyBorder="1" applyAlignment="1">
      <alignment horizontal="center" vertical="top" wrapText="1"/>
    </xf>
    <xf numFmtId="0" fontId="7" fillId="4" borderId="8" xfId="3" applyFont="1" applyFill="1" applyBorder="1" applyAlignment="1">
      <alignment vertical="top" wrapText="1"/>
    </xf>
    <xf numFmtId="0" fontId="8" fillId="4" borderId="6" xfId="3" applyFont="1" applyFill="1" applyBorder="1" applyAlignment="1">
      <alignment vertical="top" wrapText="1"/>
    </xf>
    <xf numFmtId="0" fontId="9" fillId="4" borderId="38" xfId="3" applyFont="1" applyFill="1" applyBorder="1" applyAlignment="1">
      <alignment horizontal="left" vertical="top" wrapText="1"/>
    </xf>
    <xf numFmtId="0" fontId="8" fillId="4" borderId="2" xfId="3" applyFont="1" applyFill="1" applyBorder="1" applyAlignment="1" applyProtection="1">
      <alignment vertical="top" wrapText="1"/>
      <protection locked="0"/>
    </xf>
    <xf numFmtId="0" fontId="7" fillId="4" borderId="63" xfId="3" applyFont="1" applyFill="1" applyBorder="1" applyAlignment="1">
      <alignment vertical="top" wrapText="1"/>
    </xf>
    <xf numFmtId="0" fontId="7" fillId="4" borderId="64" xfId="3" applyFont="1" applyFill="1" applyBorder="1" applyAlignment="1">
      <alignment vertical="top" wrapText="1"/>
    </xf>
    <xf numFmtId="0" fontId="7" fillId="4" borderId="65" xfId="3" applyFont="1" applyFill="1" applyBorder="1" applyAlignment="1">
      <alignment vertical="top" wrapText="1"/>
    </xf>
    <xf numFmtId="0" fontId="7" fillId="4" borderId="66" xfId="3" applyFont="1" applyFill="1" applyBorder="1" applyAlignment="1">
      <alignment vertical="top" wrapText="1"/>
    </xf>
    <xf numFmtId="0" fontId="8" fillId="4" borderId="2" xfId="3" applyFont="1" applyFill="1" applyBorder="1" applyAlignment="1" applyProtection="1">
      <alignment horizontal="left" vertical="top" wrapText="1"/>
      <protection locked="0"/>
    </xf>
    <xf numFmtId="0" fontId="8" fillId="0" borderId="6" xfId="3" applyFont="1" applyBorder="1" applyAlignment="1" applyProtection="1">
      <alignment horizontal="left" vertical="top"/>
      <protection locked="0"/>
    </xf>
    <xf numFmtId="0" fontId="8" fillId="0" borderId="2" xfId="3" applyFont="1" applyBorder="1" applyProtection="1">
      <protection locked="0"/>
    </xf>
    <xf numFmtId="0" fontId="8" fillId="0" borderId="3" xfId="3" applyFont="1" applyBorder="1" applyAlignment="1" applyProtection="1">
      <alignment horizontal="left" vertical="top"/>
      <protection locked="0"/>
    </xf>
    <xf numFmtId="0" fontId="8" fillId="0" borderId="2" xfId="3" applyFont="1" applyBorder="1" applyAlignment="1" applyProtection="1">
      <alignment vertical="top"/>
      <protection locked="0"/>
    </xf>
    <xf numFmtId="0" fontId="8" fillId="4" borderId="3" xfId="3" applyFont="1" applyFill="1" applyBorder="1" applyAlignment="1">
      <alignment horizontal="left" vertical="top"/>
    </xf>
    <xf numFmtId="0" fontId="8" fillId="4" borderId="2" xfId="3" applyFont="1" applyFill="1" applyBorder="1" applyAlignment="1" applyProtection="1">
      <alignment vertical="top"/>
      <protection locked="0"/>
    </xf>
    <xf numFmtId="0" fontId="7" fillId="0" borderId="23" xfId="3" applyFont="1" applyBorder="1" applyAlignment="1">
      <alignment vertical="top"/>
    </xf>
    <xf numFmtId="0" fontId="8" fillId="2" borderId="3" xfId="3" applyFont="1" applyFill="1" applyBorder="1" applyAlignment="1">
      <alignment horizontal="center" vertical="top"/>
    </xf>
    <xf numFmtId="0" fontId="7" fillId="19" borderId="8" xfId="3" applyFont="1" applyFill="1" applyBorder="1" applyAlignment="1">
      <alignment vertical="top" wrapText="1"/>
    </xf>
    <xf numFmtId="0" fontId="8" fillId="0" borderId="2" xfId="3" applyFont="1" applyBorder="1" applyAlignment="1" applyProtection="1">
      <alignment horizontal="left"/>
      <protection locked="0"/>
    </xf>
    <xf numFmtId="0" fontId="7" fillId="4" borderId="35" xfId="3" applyFont="1" applyFill="1" applyBorder="1" applyAlignment="1">
      <alignment vertical="top"/>
    </xf>
    <xf numFmtId="0" fontId="7" fillId="4" borderId="30" xfId="3" applyFont="1" applyFill="1" applyBorder="1" applyAlignment="1">
      <alignment vertical="top"/>
    </xf>
    <xf numFmtId="0" fontId="8" fillId="4" borderId="44" xfId="3" applyFont="1" applyFill="1" applyBorder="1" applyAlignment="1" applyProtection="1">
      <alignment vertical="top"/>
      <protection locked="0"/>
    </xf>
    <xf numFmtId="0" fontId="7" fillId="4" borderId="36" xfId="3" applyFont="1" applyFill="1" applyBorder="1" applyAlignment="1">
      <alignment vertical="top"/>
    </xf>
    <xf numFmtId="0" fontId="8" fillId="4" borderId="56" xfId="3" applyFont="1" applyFill="1" applyBorder="1" applyAlignment="1" applyProtection="1">
      <alignment vertical="top"/>
      <protection locked="0"/>
    </xf>
    <xf numFmtId="0" fontId="7" fillId="4" borderId="67" xfId="3" applyFont="1" applyFill="1" applyBorder="1" applyAlignment="1">
      <alignment vertical="top"/>
    </xf>
    <xf numFmtId="0" fontId="7" fillId="4" borderId="61" xfId="3" applyFont="1" applyFill="1" applyBorder="1" applyAlignment="1">
      <alignment vertical="top"/>
    </xf>
    <xf numFmtId="0" fontId="7" fillId="4" borderId="62" xfId="3" applyFont="1" applyFill="1" applyBorder="1" applyAlignment="1">
      <alignment vertical="top"/>
    </xf>
    <xf numFmtId="0" fontId="7" fillId="4" borderId="68" xfId="3" applyFont="1" applyFill="1" applyBorder="1" applyAlignment="1">
      <alignment vertical="top" wrapText="1"/>
    </xf>
    <xf numFmtId="0" fontId="8" fillId="4" borderId="3" xfId="3" applyFont="1" applyFill="1" applyBorder="1" applyAlignment="1">
      <alignment horizontal="center" vertical="top"/>
    </xf>
    <xf numFmtId="0" fontId="7" fillId="4" borderId="30" xfId="3" applyFont="1" applyFill="1" applyBorder="1" applyAlignment="1">
      <alignment horizontal="center" vertical="top"/>
    </xf>
    <xf numFmtId="0" fontId="7" fillId="4" borderId="44" xfId="3" applyFont="1" applyFill="1" applyBorder="1" applyAlignment="1">
      <alignment horizontal="center" vertical="top"/>
    </xf>
    <xf numFmtId="0" fontId="7" fillId="4" borderId="69" xfId="3" applyFont="1" applyFill="1" applyBorder="1" applyAlignment="1">
      <alignment vertical="top" wrapText="1"/>
    </xf>
    <xf numFmtId="0" fontId="8" fillId="4" borderId="6" xfId="3" applyFont="1" applyFill="1" applyBorder="1" applyAlignment="1">
      <alignment horizontal="center" vertical="top"/>
    </xf>
    <xf numFmtId="0" fontId="7" fillId="4" borderId="61" xfId="3" applyFont="1" applyFill="1" applyBorder="1" applyAlignment="1">
      <alignment horizontal="center" vertical="top"/>
    </xf>
    <xf numFmtId="0" fontId="7" fillId="4" borderId="56" xfId="3" applyFont="1" applyFill="1" applyBorder="1" applyAlignment="1">
      <alignment horizontal="center" vertical="top"/>
    </xf>
    <xf numFmtId="0" fontId="8" fillId="4" borderId="67" xfId="3" applyFont="1" applyFill="1" applyBorder="1" applyAlignment="1" applyProtection="1">
      <alignment vertical="top"/>
      <protection locked="0"/>
    </xf>
    <xf numFmtId="0" fontId="7" fillId="4" borderId="67" xfId="3" applyFont="1" applyFill="1" applyBorder="1" applyAlignment="1">
      <alignment vertical="top" wrapText="1"/>
    </xf>
    <xf numFmtId="0" fontId="7" fillId="4" borderId="67" xfId="3" applyFont="1" applyFill="1" applyBorder="1" applyAlignment="1">
      <alignment horizontal="left" vertical="top" wrapText="1"/>
    </xf>
    <xf numFmtId="0" fontId="8" fillId="4" borderId="67" xfId="3" applyFont="1" applyFill="1" applyBorder="1" applyAlignment="1">
      <alignment horizontal="center" vertical="top"/>
    </xf>
    <xf numFmtId="0" fontId="7" fillId="4" borderId="67" xfId="3" applyFont="1" applyFill="1" applyBorder="1" applyAlignment="1">
      <alignment horizontal="center" vertical="top"/>
    </xf>
    <xf numFmtId="0" fontId="8" fillId="4" borderId="61" xfId="3" applyFont="1" applyFill="1" applyBorder="1" applyAlignment="1">
      <alignment vertical="top"/>
    </xf>
    <xf numFmtId="0" fontId="7" fillId="4" borderId="62" xfId="3" applyFont="1" applyFill="1" applyBorder="1" applyProtection="1">
      <protection locked="0"/>
    </xf>
    <xf numFmtId="0" fontId="8" fillId="4" borderId="62" xfId="3" applyFont="1" applyFill="1" applyBorder="1" applyAlignment="1" applyProtection="1">
      <alignment vertical="top"/>
      <protection locked="0"/>
    </xf>
    <xf numFmtId="0" fontId="7" fillId="4" borderId="62" xfId="3" applyFont="1" applyFill="1" applyBorder="1" applyAlignment="1">
      <alignment vertical="top" wrapText="1"/>
    </xf>
    <xf numFmtId="0" fontId="7" fillId="4" borderId="62" xfId="3" applyFont="1" applyFill="1" applyBorder="1" applyAlignment="1">
      <alignment horizontal="left" vertical="top" wrapText="1"/>
    </xf>
    <xf numFmtId="0" fontId="7" fillId="4" borderId="62" xfId="3" applyFont="1" applyFill="1" applyBorder="1"/>
    <xf numFmtId="0" fontId="7" fillId="4" borderId="62" xfId="3" applyFont="1" applyFill="1" applyBorder="1" applyAlignment="1">
      <alignment horizontal="center" vertical="top"/>
    </xf>
    <xf numFmtId="0" fontId="7" fillId="4" borderId="38" xfId="3" applyFont="1" applyFill="1" applyBorder="1" applyAlignment="1">
      <alignment horizontal="left" vertical="top" wrapText="1"/>
    </xf>
    <xf numFmtId="0" fontId="7" fillId="4" borderId="3" xfId="3" applyFont="1" applyFill="1" applyBorder="1" applyAlignment="1">
      <alignment horizontal="left" vertical="top"/>
    </xf>
    <xf numFmtId="0" fontId="8" fillId="4" borderId="2" xfId="3" applyFont="1" applyFill="1" applyBorder="1" applyAlignment="1">
      <alignment horizontal="left" vertical="top"/>
    </xf>
    <xf numFmtId="0" fontId="22" fillId="0" borderId="2" xfId="0" applyFont="1" applyBorder="1" applyAlignment="1">
      <alignment horizontal="left"/>
    </xf>
    <xf numFmtId="0" fontId="11" fillId="0" borderId="0" xfId="2" applyBorder="1" applyAlignment="1">
      <alignment horizontal="right" vertical="center" wrapText="1"/>
    </xf>
    <xf numFmtId="14" fontId="0" fillId="0" borderId="0" xfId="0" applyNumberFormat="1"/>
    <xf numFmtId="0" fontId="9" fillId="4" borderId="1" xfId="0" applyFont="1" applyFill="1" applyBorder="1" applyAlignment="1">
      <alignment vertical="top"/>
    </xf>
    <xf numFmtId="0" fontId="9" fillId="4" borderId="1" xfId="0" applyFont="1" applyFill="1" applyBorder="1" applyAlignment="1">
      <alignment vertical="top" wrapText="1"/>
    </xf>
    <xf numFmtId="0" fontId="10" fillId="4" borderId="1" xfId="0" applyFont="1" applyFill="1" applyBorder="1" applyAlignment="1">
      <alignment vertical="top"/>
    </xf>
    <xf numFmtId="0" fontId="9" fillId="4" borderId="1" xfId="0" applyFont="1" applyFill="1" applyBorder="1" applyAlignment="1">
      <alignment horizontal="left" vertical="top" wrapText="1"/>
    </xf>
    <xf numFmtId="0" fontId="10" fillId="4" borderId="1" xfId="0" applyFont="1" applyFill="1" applyBorder="1" applyAlignment="1">
      <alignment horizontal="center" vertical="top"/>
    </xf>
    <xf numFmtId="0" fontId="9" fillId="4" borderId="1" xfId="0" applyFont="1" applyFill="1" applyBorder="1" applyAlignment="1">
      <alignment horizontal="center" vertical="top" wrapText="1"/>
    </xf>
    <xf numFmtId="0" fontId="7" fillId="4" borderId="2" xfId="0" applyFont="1" applyFill="1" applyBorder="1" applyAlignment="1">
      <alignment horizontal="center" vertical="top"/>
    </xf>
    <xf numFmtId="0" fontId="7" fillId="21" borderId="0" xfId="0" applyFont="1" applyFill="1" applyProtection="1">
      <protection locked="0"/>
    </xf>
    <xf numFmtId="0" fontId="22" fillId="22" borderId="0" xfId="0" applyFont="1" applyFill="1"/>
    <xf numFmtId="0" fontId="11" fillId="0" borderId="48" xfId="2" applyBorder="1" applyAlignment="1">
      <alignment horizontal="right" vertical="center" wrapText="1"/>
    </xf>
    <xf numFmtId="0" fontId="11" fillId="0" borderId="50" xfId="2" applyBorder="1" applyAlignment="1">
      <alignment horizontal="right" vertical="center" wrapText="1"/>
    </xf>
    <xf numFmtId="0" fontId="11" fillId="0" borderId="16" xfId="2" applyBorder="1" applyAlignment="1">
      <alignment horizontal="right" vertical="center" wrapText="1"/>
    </xf>
    <xf numFmtId="0" fontId="45" fillId="0" borderId="0" xfId="0" applyFont="1"/>
    <xf numFmtId="0" fontId="22" fillId="21" borderId="0" xfId="0" applyFont="1" applyFill="1" applyAlignment="1">
      <alignment wrapText="1"/>
    </xf>
    <xf numFmtId="0" fontId="22" fillId="19" borderId="2" xfId="0" applyFont="1" applyFill="1" applyBorder="1" applyAlignment="1">
      <alignment horizontal="left"/>
    </xf>
    <xf numFmtId="0" fontId="29" fillId="0" borderId="0" xfId="55"/>
    <xf numFmtId="0" fontId="29" fillId="0" borderId="0" xfId="55" applyAlignment="1">
      <alignment wrapText="1"/>
    </xf>
    <xf numFmtId="0" fontId="0" fillId="19" borderId="0" xfId="0" applyFill="1"/>
    <xf numFmtId="0" fontId="7" fillId="23" borderId="1" xfId="3" applyFont="1" applyFill="1" applyBorder="1" applyAlignment="1">
      <alignment horizontal="left" vertical="top" wrapText="1"/>
    </xf>
    <xf numFmtId="0" fontId="7" fillId="23" borderId="5" xfId="3" applyFont="1" applyFill="1" applyBorder="1" applyAlignment="1">
      <alignment horizontal="left" vertical="top" wrapText="1"/>
    </xf>
    <xf numFmtId="0" fontId="7" fillId="23" borderId="1" xfId="3" applyFont="1" applyFill="1" applyBorder="1" applyAlignment="1">
      <alignment horizontal="center" vertical="top" wrapText="1"/>
    </xf>
    <xf numFmtId="0" fontId="7" fillId="23" borderId="2" xfId="3" applyFont="1" applyFill="1" applyBorder="1" applyAlignment="1">
      <alignment horizontal="center" vertical="top" wrapText="1"/>
    </xf>
    <xf numFmtId="0" fontId="7" fillId="23" borderId="1" xfId="3" applyFont="1" applyFill="1" applyBorder="1" applyAlignment="1">
      <alignment vertical="top" wrapText="1"/>
    </xf>
    <xf numFmtId="0" fontId="8" fillId="23" borderId="1" xfId="3" applyFont="1" applyFill="1" applyBorder="1" applyAlignment="1">
      <alignment vertical="top" wrapText="1"/>
    </xf>
    <xf numFmtId="0" fontId="7" fillId="23" borderId="5" xfId="3" applyFont="1" applyFill="1" applyBorder="1" applyAlignment="1">
      <alignment vertical="top" wrapText="1"/>
    </xf>
    <xf numFmtId="0" fontId="7" fillId="23" borderId="35" xfId="3" applyFont="1" applyFill="1" applyBorder="1" applyAlignment="1">
      <alignment vertical="top" wrapText="1"/>
    </xf>
    <xf numFmtId="0" fontId="8" fillId="23" borderId="28" xfId="3" applyFont="1" applyFill="1" applyBorder="1" applyAlignment="1">
      <alignment horizontal="center" vertical="top" wrapText="1"/>
    </xf>
    <xf numFmtId="0" fontId="7" fillId="23" borderId="1" xfId="3" applyFont="1" applyFill="1" applyBorder="1" applyAlignment="1" applyProtection="1">
      <alignment horizontal="center" vertical="top" wrapText="1"/>
      <protection locked="0"/>
    </xf>
    <xf numFmtId="0" fontId="7" fillId="23" borderId="0" xfId="3" applyFont="1" applyFill="1" applyAlignment="1" applyProtection="1">
      <alignment wrapText="1"/>
      <protection locked="0"/>
    </xf>
    <xf numFmtId="0" fontId="7" fillId="23" borderId="28" xfId="3" applyFont="1" applyFill="1" applyBorder="1" applyAlignment="1">
      <alignment horizontal="center" vertical="top" wrapText="1"/>
    </xf>
    <xf numFmtId="0" fontId="1" fillId="19" borderId="0" xfId="3" applyFont="1" applyFill="1"/>
    <xf numFmtId="0" fontId="0" fillId="4" borderId="0" xfId="0" applyFill="1" applyProtection="1">
      <protection locked="0"/>
    </xf>
    <xf numFmtId="0" fontId="9" fillId="4" borderId="3" xfId="0" applyFont="1" applyFill="1" applyBorder="1" applyAlignment="1">
      <alignment vertical="top"/>
    </xf>
    <xf numFmtId="0" fontId="9" fillId="4" borderId="3" xfId="0" applyFont="1" applyFill="1" applyBorder="1" applyAlignment="1">
      <alignment vertical="top" wrapText="1"/>
    </xf>
    <xf numFmtId="0" fontId="10" fillId="4" borderId="3" xfId="0" applyFont="1" applyFill="1" applyBorder="1" applyAlignment="1">
      <alignment vertical="top"/>
    </xf>
    <xf numFmtId="0" fontId="9" fillId="4" borderId="3" xfId="0" applyFont="1" applyFill="1" applyBorder="1" applyAlignment="1">
      <alignment horizontal="left" vertical="top" wrapText="1"/>
    </xf>
    <xf numFmtId="0" fontId="7" fillId="4" borderId="1" xfId="0" applyFont="1" applyFill="1" applyBorder="1" applyAlignment="1">
      <alignment vertical="top"/>
    </xf>
    <xf numFmtId="0" fontId="8" fillId="4" borderId="1" xfId="0" applyFont="1" applyFill="1" applyBorder="1" applyAlignment="1">
      <alignment vertical="top" wrapText="1"/>
    </xf>
    <xf numFmtId="0" fontId="7" fillId="4" borderId="1" xfId="0" applyFont="1" applyFill="1" applyBorder="1" applyAlignment="1">
      <alignment vertical="top" wrapText="1"/>
    </xf>
    <xf numFmtId="0" fontId="7" fillId="4" borderId="5" xfId="0" applyFont="1" applyFill="1" applyBorder="1" applyAlignment="1">
      <alignment vertical="top" wrapText="1"/>
    </xf>
    <xf numFmtId="0" fontId="7" fillId="4" borderId="5" xfId="0" applyFont="1" applyFill="1" applyBorder="1" applyAlignment="1">
      <alignment horizontal="left" vertical="top" wrapText="1"/>
    </xf>
    <xf numFmtId="0" fontId="8" fillId="4" borderId="1" xfId="0" applyFont="1" applyFill="1" applyBorder="1" applyAlignment="1">
      <alignment horizontal="center" vertical="top"/>
    </xf>
    <xf numFmtId="0" fontId="7" fillId="4" borderId="2" xfId="0" applyFont="1" applyFill="1" applyBorder="1" applyProtection="1">
      <protection locked="0"/>
    </xf>
    <xf numFmtId="0" fontId="7" fillId="4" borderId="0" xfId="0" applyFont="1" applyFill="1" applyProtection="1">
      <protection locked="0"/>
    </xf>
    <xf numFmtId="0" fontId="9" fillId="19" borderId="1" xfId="0" applyFont="1" applyFill="1" applyBorder="1" applyAlignment="1">
      <alignment vertical="top"/>
    </xf>
    <xf numFmtId="0" fontId="9" fillId="19" borderId="1" xfId="0" applyFont="1" applyFill="1" applyBorder="1" applyAlignment="1">
      <alignment vertical="top" wrapText="1"/>
    </xf>
    <xf numFmtId="0" fontId="10" fillId="19" borderId="1" xfId="0" applyFont="1" applyFill="1" applyBorder="1" applyAlignment="1">
      <alignment vertical="top"/>
    </xf>
    <xf numFmtId="0" fontId="10" fillId="19" borderId="1" xfId="0" applyFont="1" applyFill="1" applyBorder="1" applyAlignment="1">
      <alignment horizontal="center" vertical="top"/>
    </xf>
    <xf numFmtId="0" fontId="9" fillId="19" borderId="2" xfId="0" applyFont="1" applyFill="1" applyBorder="1" applyAlignment="1">
      <alignment horizontal="center" vertical="top"/>
    </xf>
    <xf numFmtId="0" fontId="9" fillId="19" borderId="1" xfId="0" applyFont="1" applyFill="1" applyBorder="1" applyAlignment="1">
      <alignment horizontal="center" vertical="top"/>
    </xf>
    <xf numFmtId="0" fontId="9" fillId="19" borderId="1" xfId="0" applyFont="1" applyFill="1" applyBorder="1" applyAlignment="1" applyProtection="1">
      <alignment horizontal="center" vertical="top"/>
      <protection locked="0"/>
    </xf>
    <xf numFmtId="0" fontId="18" fillId="19" borderId="0" xfId="0" applyFont="1" applyFill="1" applyProtection="1">
      <protection locked="0"/>
    </xf>
    <xf numFmtId="0" fontId="19" fillId="0" borderId="0" xfId="3" applyFont="1"/>
    <xf numFmtId="0" fontId="1" fillId="0" borderId="0" xfId="0" applyFont="1" applyAlignment="1">
      <alignment horizontal="left" vertical="top"/>
    </xf>
    <xf numFmtId="0" fontId="1" fillId="0" borderId="0" xfId="0" applyFont="1" applyAlignment="1">
      <alignment horizontal="left" vertical="top" wrapText="1"/>
    </xf>
    <xf numFmtId="0" fontId="4" fillId="0" borderId="0" xfId="0" applyFont="1" applyAlignment="1">
      <alignment horizontal="left" vertical="top" wrapText="1"/>
    </xf>
    <xf numFmtId="0" fontId="14" fillId="0" borderId="0" xfId="0" applyFont="1" applyAlignment="1">
      <alignment horizontal="left" vertical="top"/>
    </xf>
    <xf numFmtId="0" fontId="4" fillId="0" borderId="0" xfId="0" applyFont="1" applyAlignment="1">
      <alignment horizontal="left" vertical="top"/>
    </xf>
    <xf numFmtId="0" fontId="1" fillId="0" borderId="1" xfId="0" applyFont="1" applyBorder="1" applyAlignment="1">
      <alignment horizontal="left" vertical="top" wrapText="1"/>
    </xf>
    <xf numFmtId="0" fontId="4" fillId="0" borderId="1" xfId="0" applyFont="1" applyBorder="1" applyAlignment="1">
      <alignment horizontal="left" vertical="top"/>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37" xfId="0" applyFont="1" applyBorder="1" applyAlignment="1">
      <alignment horizontal="left" vertical="top" wrapText="1"/>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4" fillId="0" borderId="1" xfId="0" applyFont="1" applyBorder="1" applyAlignment="1">
      <alignment horizontal="left" vertical="top" wrapText="1"/>
    </xf>
    <xf numFmtId="0" fontId="18" fillId="0" borderId="1" xfId="0" applyFont="1" applyBorder="1" applyAlignment="1">
      <alignment horizontal="left" vertical="top"/>
    </xf>
    <xf numFmtId="0" fontId="18" fillId="0" borderId="1" xfId="0" applyFont="1" applyBorder="1" applyAlignment="1">
      <alignment horizontal="left" vertical="top" wrapText="1"/>
    </xf>
    <xf numFmtId="0" fontId="4" fillId="0" borderId="0" xfId="0" applyFont="1" applyAlignment="1">
      <alignment horizontal="left" vertical="top" wrapText="1" indent="1"/>
    </xf>
    <xf numFmtId="0" fontId="11" fillId="0" borderId="0" xfId="2" applyAlignment="1">
      <alignment horizontal="left" vertical="top" indent="2"/>
    </xf>
    <xf numFmtId="0" fontId="1" fillId="0" borderId="0" xfId="0" applyFont="1" applyAlignment="1">
      <alignment horizontal="left" vertical="top" indent="1"/>
    </xf>
    <xf numFmtId="0" fontId="1" fillId="0" borderId="0" xfId="0" applyFont="1" applyAlignment="1">
      <alignment horizontal="left" vertical="top" wrapText="1" indent="1"/>
    </xf>
    <xf numFmtId="0" fontId="4" fillId="0" borderId="0" xfId="0" applyFont="1" applyAlignment="1">
      <alignment horizontal="left" vertical="top" indent="1"/>
    </xf>
    <xf numFmtId="0" fontId="7" fillId="19" borderId="0" xfId="3" applyFont="1" applyFill="1"/>
    <xf numFmtId="0" fontId="19" fillId="0" borderId="60" xfId="0" applyFont="1" applyBorder="1" applyAlignment="1">
      <alignment vertical="center" wrapText="1"/>
    </xf>
    <xf numFmtId="0" fontId="19" fillId="0" borderId="70" xfId="0" applyFont="1" applyBorder="1" applyAlignment="1">
      <alignment vertical="center" wrapText="1"/>
    </xf>
    <xf numFmtId="0" fontId="19" fillId="0" borderId="71" xfId="0" applyFont="1" applyBorder="1" applyAlignment="1">
      <alignment vertical="center" wrapText="1"/>
    </xf>
    <xf numFmtId="0" fontId="38" fillId="0" borderId="52" xfId="0" applyFont="1" applyBorder="1" applyAlignment="1">
      <alignment horizontal="right" vertical="center" wrapText="1"/>
    </xf>
    <xf numFmtId="0" fontId="38" fillId="0" borderId="72" xfId="0" applyFont="1" applyBorder="1" applyAlignment="1">
      <alignment horizontal="right" vertical="center" wrapText="1"/>
    </xf>
    <xf numFmtId="0" fontId="38" fillId="0" borderId="31" xfId="0" applyFont="1" applyBorder="1" applyAlignment="1">
      <alignment horizontal="right" vertical="center" wrapText="1"/>
    </xf>
    <xf numFmtId="0" fontId="38" fillId="0" borderId="27" xfId="0" applyFont="1" applyBorder="1" applyAlignment="1">
      <alignment horizontal="right" vertical="center" wrapText="1"/>
    </xf>
    <xf numFmtId="0" fontId="38" fillId="0" borderId="54" xfId="0" applyFont="1" applyBorder="1" applyAlignment="1">
      <alignment horizontal="right" vertical="center" wrapText="1"/>
    </xf>
    <xf numFmtId="0" fontId="38" fillId="0" borderId="73" xfId="0" applyFont="1" applyBorder="1" applyAlignment="1">
      <alignment horizontal="right" vertical="center" wrapText="1"/>
    </xf>
    <xf numFmtId="0" fontId="38" fillId="0" borderId="51" xfId="0" applyFont="1" applyBorder="1" applyAlignment="1">
      <alignment horizontal="right" vertical="center" wrapText="1"/>
    </xf>
    <xf numFmtId="0" fontId="38" fillId="0" borderId="74" xfId="0" applyFont="1" applyBorder="1" applyAlignment="1">
      <alignment horizontal="right" vertical="center" wrapText="1"/>
    </xf>
    <xf numFmtId="0" fontId="38" fillId="0" borderId="61" xfId="0" applyFont="1" applyBorder="1" applyAlignment="1">
      <alignment horizontal="right" vertical="center" wrapText="1"/>
    </xf>
    <xf numFmtId="0" fontId="42" fillId="0" borderId="62" xfId="2" applyFont="1" applyFill="1" applyBorder="1" applyAlignment="1">
      <alignment horizontal="right" vertical="center"/>
    </xf>
    <xf numFmtId="0" fontId="38" fillId="0" borderId="55" xfId="0" applyFont="1" applyBorder="1" applyAlignment="1">
      <alignment horizontal="right" vertical="center" wrapText="1"/>
    </xf>
    <xf numFmtId="0" fontId="8" fillId="19" borderId="0" xfId="3" applyFont="1" applyFill="1" applyAlignment="1">
      <alignment horizontal="left"/>
    </xf>
    <xf numFmtId="0" fontId="7" fillId="19" borderId="0" xfId="3" applyFont="1" applyFill="1" applyAlignment="1">
      <alignment horizontal="left" vertical="top" wrapText="1"/>
    </xf>
    <xf numFmtId="0" fontId="2" fillId="19" borderId="0" xfId="3" applyFont="1" applyFill="1"/>
    <xf numFmtId="0" fontId="7" fillId="19" borderId="0" xfId="3" applyFont="1" applyFill="1" applyAlignment="1">
      <alignment horizontal="center" vertical="top"/>
    </xf>
    <xf numFmtId="0" fontId="49" fillId="19" borderId="0" xfId="3" applyFont="1" applyFill="1"/>
    <xf numFmtId="0" fontId="7" fillId="0" borderId="23" xfId="3" applyFont="1" applyBorder="1" applyAlignment="1" applyProtection="1">
      <alignment horizontal="center" vertical="top"/>
      <protection locked="0"/>
    </xf>
    <xf numFmtId="0" fontId="8" fillId="19" borderId="1" xfId="3" applyFont="1" applyFill="1" applyBorder="1" applyAlignment="1" applyProtection="1">
      <alignment horizontal="center" vertical="top" wrapText="1"/>
      <protection locked="0"/>
    </xf>
    <xf numFmtId="0" fontId="8" fillId="19" borderId="1" xfId="3" applyFont="1" applyFill="1" applyBorder="1" applyAlignment="1">
      <alignment horizontal="center" vertical="top" wrapText="1"/>
    </xf>
    <xf numFmtId="0" fontId="7" fillId="19" borderId="1" xfId="3" applyFont="1" applyFill="1" applyBorder="1" applyAlignment="1">
      <alignment horizontal="center" vertical="top" wrapText="1"/>
    </xf>
    <xf numFmtId="0" fontId="7" fillId="19" borderId="15" xfId="3" applyFont="1" applyFill="1" applyBorder="1" applyAlignment="1">
      <alignment horizontal="center" vertical="top" wrapText="1"/>
    </xf>
    <xf numFmtId="0" fontId="7" fillId="19" borderId="5" xfId="3" applyFont="1" applyFill="1" applyBorder="1" applyAlignment="1" applyProtection="1">
      <alignment horizontal="center" vertical="top" wrapText="1"/>
      <protection locked="0"/>
    </xf>
    <xf numFmtId="0" fontId="8" fillId="19" borderId="2" xfId="3" applyFont="1" applyFill="1" applyBorder="1" applyAlignment="1" applyProtection="1">
      <alignment horizontal="center" vertical="top" wrapText="1"/>
      <protection locked="0"/>
    </xf>
    <xf numFmtId="0" fontId="7" fillId="19" borderId="0" xfId="3" applyFont="1" applyFill="1" applyAlignment="1">
      <alignment vertical="top" wrapText="1"/>
    </xf>
    <xf numFmtId="0" fontId="10" fillId="19" borderId="1" xfId="0" applyFont="1" applyFill="1" applyBorder="1" applyAlignment="1">
      <alignment vertical="top" wrapText="1"/>
    </xf>
    <xf numFmtId="0" fontId="9" fillId="19" borderId="2" xfId="0" applyFont="1" applyFill="1" applyBorder="1" applyAlignment="1">
      <alignment horizontal="left" vertical="top" wrapText="1"/>
    </xf>
    <xf numFmtId="0" fontId="9" fillId="19" borderId="1" xfId="0" applyFont="1" applyFill="1" applyBorder="1" applyAlignment="1">
      <alignment horizontal="center" vertical="top" wrapText="1"/>
    </xf>
    <xf numFmtId="0" fontId="9" fillId="19" borderId="15" xfId="0" applyFont="1" applyFill="1" applyBorder="1" applyAlignment="1">
      <alignment horizontal="center" vertical="top" wrapText="1"/>
    </xf>
    <xf numFmtId="0" fontId="7" fillId="19" borderId="1" xfId="0" applyFont="1" applyFill="1" applyBorder="1" applyAlignment="1" applyProtection="1">
      <alignment horizontal="center" vertical="top"/>
      <protection locked="0"/>
    </xf>
    <xf numFmtId="0" fontId="7" fillId="19" borderId="0" xfId="3" applyFont="1" applyFill="1" applyAlignment="1">
      <alignment wrapText="1"/>
    </xf>
    <xf numFmtId="0" fontId="7" fillId="19" borderId="2" xfId="3" applyFont="1" applyFill="1" applyBorder="1" applyAlignment="1">
      <alignment vertical="top"/>
    </xf>
    <xf numFmtId="0" fontId="8" fillId="19" borderId="8" xfId="3" applyFont="1" applyFill="1" applyBorder="1" applyAlignment="1">
      <alignment vertical="top"/>
    </xf>
    <xf numFmtId="0" fontId="7" fillId="19" borderId="2" xfId="3" applyFont="1" applyFill="1" applyBorder="1" applyAlignment="1">
      <alignment vertical="top" wrapText="1"/>
    </xf>
    <xf numFmtId="0" fontId="7" fillId="19" borderId="2" xfId="3" applyFont="1" applyFill="1" applyBorder="1" applyAlignment="1">
      <alignment horizontal="left" vertical="top"/>
    </xf>
    <xf numFmtId="0" fontId="7" fillId="19" borderId="5" xfId="3" applyFont="1" applyFill="1" applyBorder="1" applyAlignment="1" applyProtection="1">
      <alignment horizontal="center" vertical="top"/>
      <protection locked="0"/>
    </xf>
    <xf numFmtId="0" fontId="8" fillId="19" borderId="1" xfId="0" applyFont="1" applyFill="1" applyBorder="1" applyAlignment="1" applyProtection="1">
      <alignment horizontal="center" vertical="top"/>
      <protection locked="0"/>
    </xf>
    <xf numFmtId="0" fontId="7" fillId="19" borderId="21" xfId="3" applyFont="1" applyFill="1" applyBorder="1" applyAlignment="1">
      <alignment horizontal="center" vertical="top"/>
    </xf>
    <xf numFmtId="0" fontId="4" fillId="19" borderId="0" xfId="3" applyFill="1" applyProtection="1">
      <protection locked="0"/>
    </xf>
    <xf numFmtId="0" fontId="7" fillId="19" borderId="2" xfId="3" applyFont="1" applyFill="1" applyBorder="1" applyAlignment="1">
      <alignment horizontal="left" vertical="top" wrapText="1"/>
    </xf>
    <xf numFmtId="0" fontId="8" fillId="19" borderId="2" xfId="3" applyFont="1" applyFill="1" applyBorder="1" applyAlignment="1" applyProtection="1">
      <alignment horizontal="left" vertical="top"/>
      <protection locked="0"/>
    </xf>
    <xf numFmtId="0" fontId="7" fillId="19" borderId="19" xfId="3" applyFont="1" applyFill="1" applyBorder="1" applyAlignment="1">
      <alignment horizontal="center" vertical="top"/>
    </xf>
    <xf numFmtId="0" fontId="8" fillId="19" borderId="2" xfId="3" applyFont="1" applyFill="1" applyBorder="1" applyAlignment="1" applyProtection="1">
      <alignment horizontal="center" vertical="top"/>
      <protection locked="0"/>
    </xf>
    <xf numFmtId="0" fontId="7" fillId="19" borderId="1" xfId="3" applyFont="1" applyFill="1" applyBorder="1" applyAlignment="1">
      <alignment horizontal="left" vertical="top"/>
    </xf>
    <xf numFmtId="0" fontId="8" fillId="19" borderId="1" xfId="3" applyFont="1" applyFill="1" applyBorder="1" applyAlignment="1" applyProtection="1">
      <alignment horizontal="center" vertical="top"/>
      <protection locked="0"/>
    </xf>
    <xf numFmtId="0" fontId="7" fillId="19" borderId="5" xfId="3" applyFont="1" applyFill="1" applyBorder="1" applyAlignment="1">
      <alignment vertical="top" wrapText="1"/>
    </xf>
    <xf numFmtId="0" fontId="7" fillId="19" borderId="5" xfId="3" applyFont="1" applyFill="1" applyBorder="1" applyAlignment="1">
      <alignment horizontal="left" vertical="top"/>
    </xf>
    <xf numFmtId="0" fontId="7" fillId="19" borderId="25" xfId="3" applyFont="1" applyFill="1" applyBorder="1" applyAlignment="1">
      <alignment horizontal="center" vertical="top"/>
    </xf>
    <xf numFmtId="0" fontId="7" fillId="19" borderId="5" xfId="3" applyFont="1" applyFill="1" applyBorder="1" applyAlignment="1">
      <alignment vertical="top"/>
    </xf>
    <xf numFmtId="0" fontId="8" fillId="19" borderId="1" xfId="3" applyFont="1" applyFill="1" applyBorder="1" applyAlignment="1">
      <alignment horizontal="left" vertical="top"/>
    </xf>
    <xf numFmtId="0" fontId="7" fillId="19" borderId="5" xfId="3" applyFont="1" applyFill="1" applyBorder="1" applyAlignment="1">
      <alignment horizontal="left" vertical="top" wrapText="1"/>
    </xf>
    <xf numFmtId="0" fontId="7" fillId="19" borderId="2" xfId="3" applyFont="1" applyFill="1" applyBorder="1" applyAlignment="1">
      <alignment horizontal="center" vertical="top" wrapText="1"/>
    </xf>
    <xf numFmtId="0" fontId="7" fillId="19" borderId="21" xfId="3" applyFont="1" applyFill="1" applyBorder="1" applyAlignment="1">
      <alignment horizontal="center" vertical="top" wrapText="1"/>
    </xf>
    <xf numFmtId="0" fontId="7" fillId="19" borderId="0" xfId="3" applyFont="1" applyFill="1" applyAlignment="1" applyProtection="1">
      <alignment horizontal="left" vertical="top" wrapText="1"/>
      <protection locked="0"/>
    </xf>
    <xf numFmtId="0" fontId="7" fillId="19" borderId="1" xfId="0" applyFont="1" applyFill="1" applyBorder="1" applyAlignment="1">
      <alignment horizontal="left" vertical="top" wrapText="1"/>
    </xf>
    <xf numFmtId="0" fontId="7" fillId="19" borderId="1" xfId="0" applyFont="1" applyFill="1" applyBorder="1" applyAlignment="1">
      <alignment horizontal="left" vertical="top"/>
    </xf>
    <xf numFmtId="0" fontId="8" fillId="19" borderId="1" xfId="0" applyFont="1" applyFill="1" applyBorder="1" applyAlignment="1">
      <alignment horizontal="left" vertical="top"/>
    </xf>
    <xf numFmtId="0" fontId="7" fillId="19" borderId="5" xfId="0" applyFont="1" applyFill="1" applyBorder="1" applyAlignment="1">
      <alignment horizontal="left" vertical="top" wrapText="1"/>
    </xf>
    <xf numFmtId="0" fontId="8" fillId="19" borderId="1" xfId="0" applyFont="1" applyFill="1" applyBorder="1" applyAlignment="1">
      <alignment horizontal="center" vertical="top"/>
    </xf>
    <xf numFmtId="0" fontId="7" fillId="19" borderId="1" xfId="0" applyFont="1" applyFill="1" applyBorder="1" applyAlignment="1">
      <alignment horizontal="center" vertical="top" wrapText="1"/>
    </xf>
    <xf numFmtId="0" fontId="7" fillId="19" borderId="2" xfId="0" applyFont="1" applyFill="1" applyBorder="1" applyAlignment="1">
      <alignment horizontal="center" vertical="top" wrapText="1"/>
    </xf>
    <xf numFmtId="0" fontId="7" fillId="19" borderId="21" xfId="0" applyFont="1" applyFill="1" applyBorder="1" applyAlignment="1">
      <alignment horizontal="center" vertical="top" wrapText="1"/>
    </xf>
    <xf numFmtId="0" fontId="7" fillId="19" borderId="0" xfId="0" applyFont="1" applyFill="1" applyAlignment="1" applyProtection="1">
      <alignment horizontal="left" vertical="top" wrapText="1"/>
      <protection locked="0"/>
    </xf>
    <xf numFmtId="0" fontId="7" fillId="19" borderId="1" xfId="0" applyFont="1" applyFill="1" applyBorder="1" applyAlignment="1">
      <alignment vertical="top" wrapText="1"/>
    </xf>
    <xf numFmtId="0" fontId="8" fillId="19" borderId="1" xfId="0" applyFont="1" applyFill="1" applyBorder="1" applyAlignment="1">
      <alignment vertical="top" wrapText="1"/>
    </xf>
    <xf numFmtId="0" fontId="7" fillId="19" borderId="5" xfId="0" applyFont="1" applyFill="1" applyBorder="1" applyAlignment="1">
      <alignment vertical="top" wrapText="1"/>
    </xf>
    <xf numFmtId="0" fontId="7" fillId="19" borderId="1" xfId="0" applyFont="1" applyFill="1" applyBorder="1" applyAlignment="1">
      <alignment vertical="top"/>
    </xf>
    <xf numFmtId="0" fontId="8" fillId="19" borderId="1" xfId="0" applyFont="1" applyFill="1" applyBorder="1" applyAlignment="1">
      <alignment horizontal="left" vertical="top" wrapText="1"/>
    </xf>
    <xf numFmtId="0" fontId="8" fillId="19" borderId="2" xfId="3" applyFont="1" applyFill="1" applyBorder="1" applyAlignment="1">
      <alignment horizontal="left" vertical="top"/>
    </xf>
    <xf numFmtId="0" fontId="7" fillId="19" borderId="28" xfId="3" applyFont="1" applyFill="1" applyBorder="1" applyAlignment="1">
      <alignment vertical="top"/>
    </xf>
    <xf numFmtId="0" fontId="7" fillId="19" borderId="3" xfId="3" applyFont="1" applyFill="1" applyBorder="1" applyAlignment="1">
      <alignment vertical="top"/>
    </xf>
    <xf numFmtId="0" fontId="7" fillId="19" borderId="28" xfId="3" applyFont="1" applyFill="1" applyBorder="1" applyAlignment="1">
      <alignment vertical="top" wrapText="1"/>
    </xf>
    <xf numFmtId="0" fontId="8" fillId="19" borderId="2" xfId="3" applyFont="1" applyFill="1" applyBorder="1" applyAlignment="1">
      <alignment horizontal="center" vertical="top"/>
    </xf>
    <xf numFmtId="0" fontId="7" fillId="19" borderId="0" xfId="3" applyFont="1" applyFill="1" applyAlignment="1" applyProtection="1">
      <alignment vertical="top"/>
      <protection locked="0"/>
    </xf>
    <xf numFmtId="0" fontId="9" fillId="19" borderId="1" xfId="0" applyFont="1" applyFill="1" applyBorder="1" applyAlignment="1">
      <alignment horizontal="left" vertical="top" wrapText="1"/>
    </xf>
    <xf numFmtId="0" fontId="7" fillId="19" borderId="2" xfId="0" applyFont="1" applyFill="1" applyBorder="1" applyAlignment="1">
      <alignment horizontal="center" vertical="top"/>
    </xf>
    <xf numFmtId="0" fontId="0" fillId="19" borderId="0" xfId="0" applyFill="1" applyProtection="1">
      <protection locked="0"/>
    </xf>
    <xf numFmtId="0" fontId="9" fillId="19" borderId="1" xfId="3" applyFont="1" applyFill="1" applyBorder="1" applyAlignment="1">
      <alignment vertical="top" wrapText="1"/>
    </xf>
    <xf numFmtId="0" fontId="9" fillId="19" borderId="6" xfId="3" applyFont="1" applyFill="1" applyBorder="1" applyAlignment="1">
      <alignment vertical="top" wrapText="1"/>
    </xf>
    <xf numFmtId="0" fontId="10" fillId="19" borderId="1" xfId="3" applyFont="1" applyFill="1" applyBorder="1" applyAlignment="1">
      <alignment vertical="top" wrapText="1"/>
    </xf>
    <xf numFmtId="0" fontId="10" fillId="19" borderId="1" xfId="3" applyFont="1" applyFill="1" applyBorder="1" applyAlignment="1">
      <alignment horizontal="center" vertical="top" wrapText="1"/>
    </xf>
    <xf numFmtId="0" fontId="9" fillId="19" borderId="1" xfId="3" applyFont="1" applyFill="1" applyBorder="1" applyAlignment="1">
      <alignment horizontal="center" vertical="top" wrapText="1"/>
    </xf>
    <xf numFmtId="0" fontId="4" fillId="19" borderId="0" xfId="3" applyFill="1" applyAlignment="1" applyProtection="1">
      <alignment wrapText="1"/>
      <protection locked="0"/>
    </xf>
    <xf numFmtId="0" fontId="9" fillId="19" borderId="1" xfId="3" applyFont="1" applyFill="1" applyBorder="1" applyAlignment="1">
      <alignment horizontal="left" vertical="top" wrapText="1"/>
    </xf>
    <xf numFmtId="0" fontId="22" fillId="19" borderId="2" xfId="0" applyFont="1" applyFill="1" applyBorder="1" applyAlignment="1">
      <alignment horizontal="left" vertical="top" wrapText="1"/>
    </xf>
    <xf numFmtId="0" fontId="29" fillId="19" borderId="0" xfId="55" applyFill="1"/>
    <xf numFmtId="0" fontId="0" fillId="19" borderId="0" xfId="0" applyFill="1" applyAlignment="1">
      <alignment wrapText="1"/>
    </xf>
    <xf numFmtId="0" fontId="22" fillId="19" borderId="2" xfId="0" applyFont="1" applyFill="1" applyBorder="1" applyAlignment="1">
      <alignment horizontal="left" vertical="top"/>
    </xf>
    <xf numFmtId="0" fontId="38" fillId="19" borderId="0" xfId="11" applyFont="1" applyFill="1"/>
    <xf numFmtId="0" fontId="22" fillId="19" borderId="2" xfId="0" applyFont="1" applyFill="1" applyBorder="1" applyAlignment="1">
      <alignment vertical="top"/>
    </xf>
    <xf numFmtId="0" fontId="22" fillId="19" borderId="38" xfId="0" applyFont="1" applyFill="1" applyBorder="1" applyAlignment="1">
      <alignment horizontal="left" vertical="top"/>
    </xf>
    <xf numFmtId="0" fontId="22" fillId="19" borderId="2" xfId="0" applyFont="1" applyFill="1" applyBorder="1" applyAlignment="1">
      <alignment vertical="top" wrapText="1"/>
    </xf>
    <xf numFmtId="0" fontId="15" fillId="19" borderId="2" xfId="0" applyFont="1" applyFill="1" applyBorder="1" applyAlignment="1">
      <alignment horizontal="left" vertical="top" wrapText="1"/>
    </xf>
    <xf numFmtId="0" fontId="35" fillId="0" borderId="0" xfId="0" applyFont="1"/>
    <xf numFmtId="0" fontId="50" fillId="0" borderId="0" xfId="0" applyFont="1"/>
    <xf numFmtId="0" fontId="34" fillId="0" borderId="0" xfId="0" applyFont="1"/>
    <xf numFmtId="0" fontId="50" fillId="24" borderId="2" xfId="0" applyFont="1" applyFill="1" applyBorder="1" applyAlignment="1">
      <alignment horizontal="center" vertical="center" wrapText="1"/>
    </xf>
    <xf numFmtId="0" fontId="34" fillId="24" borderId="0" xfId="0" applyFont="1" applyFill="1" applyAlignment="1">
      <alignment horizontal="center" vertical="center"/>
    </xf>
    <xf numFmtId="0" fontId="22" fillId="19" borderId="2" xfId="0" applyFont="1" applyFill="1" applyBorder="1" applyAlignment="1">
      <alignment horizontal="left" vertical="center" wrapText="1"/>
    </xf>
    <xf numFmtId="0" fontId="7" fillId="19" borderId="2" xfId="0" applyFont="1" applyFill="1" applyBorder="1" applyAlignment="1">
      <alignment horizontal="left" vertical="top" wrapText="1"/>
    </xf>
    <xf numFmtId="0" fontId="52" fillId="0" borderId="0" xfId="0" applyFont="1"/>
    <xf numFmtId="0" fontId="44" fillId="19" borderId="0" xfId="0" applyFont="1" applyFill="1" applyAlignment="1">
      <alignment vertical="center" wrapText="1"/>
    </xf>
    <xf numFmtId="0" fontId="7" fillId="0" borderId="15" xfId="3" applyFont="1" applyBorder="1" applyAlignment="1">
      <alignment horizontal="left" vertical="top" wrapText="1"/>
    </xf>
    <xf numFmtId="0" fontId="9" fillId="19" borderId="5" xfId="0" applyFont="1" applyFill="1" applyBorder="1" applyAlignment="1">
      <alignment vertical="top" wrapText="1"/>
    </xf>
    <xf numFmtId="0" fontId="7" fillId="19" borderId="2" xfId="3" applyFont="1" applyFill="1" applyBorder="1" applyAlignment="1">
      <alignment wrapText="1"/>
    </xf>
    <xf numFmtId="0" fontId="7" fillId="0" borderId="75" xfId="3" applyFont="1" applyBorder="1" applyAlignment="1">
      <alignment horizontal="left" vertical="top" wrapText="1"/>
    </xf>
    <xf numFmtId="0" fontId="8" fillId="0" borderId="15" xfId="3" applyFont="1" applyBorder="1" applyAlignment="1">
      <alignment horizontal="left" vertical="top" wrapText="1"/>
    </xf>
    <xf numFmtId="0" fontId="7" fillId="19" borderId="3" xfId="3" applyFont="1" applyFill="1" applyBorder="1" applyAlignment="1">
      <alignment horizontal="left" vertical="top"/>
    </xf>
    <xf numFmtId="0" fontId="8" fillId="19" borderId="3" xfId="3" applyFont="1" applyFill="1" applyBorder="1" applyAlignment="1">
      <alignment horizontal="left" vertical="top"/>
    </xf>
    <xf numFmtId="0" fontId="7" fillId="19" borderId="3" xfId="3" applyFont="1" applyFill="1" applyBorder="1" applyAlignment="1">
      <alignment horizontal="left" vertical="top" wrapText="1"/>
    </xf>
    <xf numFmtId="0" fontId="7" fillId="19" borderId="35" xfId="3" applyFont="1" applyFill="1" applyBorder="1" applyAlignment="1">
      <alignment horizontal="left" vertical="top" wrapText="1"/>
    </xf>
    <xf numFmtId="0" fontId="8" fillId="19" borderId="3" xfId="3" applyFont="1" applyFill="1" applyBorder="1" applyAlignment="1">
      <alignment horizontal="center" vertical="top"/>
    </xf>
    <xf numFmtId="0" fontId="7" fillId="19" borderId="3" xfId="3" applyFont="1" applyFill="1" applyBorder="1" applyAlignment="1">
      <alignment horizontal="center" vertical="top" wrapText="1"/>
    </xf>
    <xf numFmtId="0" fontId="7" fillId="19" borderId="44" xfId="3" applyFont="1" applyFill="1" applyBorder="1" applyAlignment="1">
      <alignment horizontal="center" vertical="top" wrapText="1"/>
    </xf>
    <xf numFmtId="0" fontId="7" fillId="0" borderId="6" xfId="3" applyFont="1" applyBorder="1" applyAlignment="1">
      <alignment vertical="top" wrapText="1"/>
    </xf>
    <xf numFmtId="0" fontId="8" fillId="0" borderId="56" xfId="0" applyFont="1" applyBorder="1" applyAlignment="1">
      <alignment horizontal="left" vertical="top"/>
    </xf>
    <xf numFmtId="0" fontId="7" fillId="0" borderId="36" xfId="3" applyFont="1" applyBorder="1" applyAlignment="1">
      <alignment vertical="top" wrapText="1"/>
    </xf>
    <xf numFmtId="0" fontId="7" fillId="0" borderId="36" xfId="3" applyFont="1" applyBorder="1" applyAlignment="1">
      <alignment horizontal="left" vertical="top" wrapText="1"/>
    </xf>
    <xf numFmtId="0" fontId="8" fillId="0" borderId="6" xfId="3" applyFont="1" applyBorder="1" applyAlignment="1">
      <alignment horizontal="center" vertical="top"/>
    </xf>
    <xf numFmtId="0" fontId="7" fillId="0" borderId="6" xfId="3" applyFont="1" applyBorder="1" applyAlignment="1">
      <alignment horizontal="center" vertical="top" wrapText="1"/>
    </xf>
    <xf numFmtId="0" fontId="7" fillId="0" borderId="56" xfId="3" applyFont="1" applyBorder="1" applyAlignment="1">
      <alignment horizontal="center" vertical="top" wrapText="1"/>
    </xf>
    <xf numFmtId="0" fontId="7" fillId="0" borderId="61" xfId="3" applyFont="1" applyBorder="1" applyAlignment="1">
      <alignment horizontal="center" vertical="top" wrapText="1"/>
    </xf>
    <xf numFmtId="0" fontId="4" fillId="0" borderId="2" xfId="3" applyBorder="1"/>
    <xf numFmtId="0" fontId="7" fillId="0" borderId="6" xfId="3" applyFont="1" applyBorder="1"/>
    <xf numFmtId="0" fontId="7" fillId="0" borderId="6" xfId="3" applyFont="1" applyBorder="1" applyAlignment="1">
      <alignment wrapText="1"/>
    </xf>
    <xf numFmtId="0" fontId="7" fillId="0" borderId="56" xfId="3" applyFont="1" applyBorder="1" applyAlignment="1">
      <alignment horizontal="center" vertical="top"/>
    </xf>
    <xf numFmtId="0" fontId="7" fillId="0" borderId="1" xfId="0" applyFont="1" applyBorder="1" applyAlignment="1">
      <alignment vertical="top"/>
    </xf>
    <xf numFmtId="0" fontId="8" fillId="0" borderId="1" xfId="0" applyFont="1" applyBorder="1" applyAlignment="1">
      <alignment horizontal="left" vertical="top" wrapText="1"/>
    </xf>
    <xf numFmtId="0" fontId="7" fillId="0" borderId="1" xfId="0" applyFont="1" applyBorder="1" applyAlignment="1">
      <alignment vertical="top" wrapText="1"/>
    </xf>
    <xf numFmtId="0" fontId="8" fillId="0" borderId="1" xfId="0" applyFont="1" applyBorder="1" applyAlignment="1">
      <alignment horizontal="center" vertical="top"/>
    </xf>
    <xf numFmtId="0" fontId="7" fillId="0" borderId="2" xfId="0" applyFont="1" applyBorder="1" applyAlignment="1">
      <alignment horizontal="center" vertical="top"/>
    </xf>
    <xf numFmtId="0" fontId="7" fillId="0" borderId="21" xfId="0" applyFont="1" applyBorder="1" applyAlignment="1">
      <alignment horizontal="center" vertical="top"/>
    </xf>
    <xf numFmtId="0" fontId="7" fillId="0" borderId="1" xfId="0" applyFont="1" applyBorder="1" applyAlignment="1" applyProtection="1">
      <alignment horizontal="center" vertical="top"/>
      <protection locked="0"/>
    </xf>
    <xf numFmtId="0" fontId="7" fillId="0" borderId="0" xfId="0" applyFont="1" applyProtection="1">
      <protection locked="0"/>
    </xf>
    <xf numFmtId="0" fontId="43" fillId="19" borderId="0" xfId="0" applyFont="1" applyFill="1" applyAlignment="1">
      <alignment wrapText="1"/>
    </xf>
    <xf numFmtId="0" fontId="22" fillId="0" borderId="2" xfId="0" applyFont="1" applyBorder="1" applyAlignment="1">
      <alignment wrapText="1"/>
    </xf>
    <xf numFmtId="0" fontId="22" fillId="0" borderId="2" xfId="0" applyFont="1" applyBorder="1"/>
    <xf numFmtId="0" fontId="22" fillId="0" borderId="2" xfId="0" applyFont="1" applyBorder="1" applyAlignment="1">
      <alignment horizontal="right"/>
    </xf>
    <xf numFmtId="0" fontId="22" fillId="22" borderId="2" xfId="0" applyFont="1" applyFill="1" applyBorder="1"/>
    <xf numFmtId="0" fontId="22" fillId="22" borderId="2" xfId="0" applyFont="1" applyFill="1" applyBorder="1" applyAlignment="1">
      <alignment horizontal="right"/>
    </xf>
    <xf numFmtId="0" fontId="22" fillId="22" borderId="2" xfId="0" applyFont="1" applyFill="1" applyBorder="1" applyAlignment="1">
      <alignment wrapText="1"/>
    </xf>
    <xf numFmtId="0" fontId="53" fillId="19" borderId="0" xfId="0" applyFont="1" applyFill="1"/>
    <xf numFmtId="0" fontId="7" fillId="0" borderId="8" xfId="3" applyFont="1" applyBorder="1" applyAlignment="1" applyProtection="1">
      <alignment horizontal="center" vertical="top"/>
      <protection locked="0"/>
    </xf>
    <xf numFmtId="0" fontId="19" fillId="0" borderId="0" xfId="0" applyFont="1" applyAlignment="1">
      <alignment wrapText="1"/>
    </xf>
    <xf numFmtId="0" fontId="8" fillId="0" borderId="35" xfId="0" applyFont="1" applyBorder="1" applyAlignment="1" applyProtection="1">
      <alignment horizontal="center" vertical="top" wrapText="1"/>
      <protection locked="0"/>
    </xf>
    <xf numFmtId="0" fontId="8" fillId="0" borderId="44" xfId="0" applyFont="1" applyBorder="1" applyAlignment="1" applyProtection="1">
      <alignment horizontal="center" vertical="top" wrapText="1"/>
      <protection locked="0"/>
    </xf>
    <xf numFmtId="0" fontId="37" fillId="0" borderId="76" xfId="0" applyFont="1" applyBorder="1"/>
    <xf numFmtId="0" fontId="36" fillId="0" borderId="56" xfId="0" applyFont="1" applyBorder="1"/>
    <xf numFmtId="0" fontId="9" fillId="0" borderId="56" xfId="0" applyFont="1" applyBorder="1" applyAlignment="1">
      <alignment wrapText="1"/>
    </xf>
    <xf numFmtId="0" fontId="10" fillId="0" borderId="2" xfId="0" applyFont="1" applyBorder="1"/>
    <xf numFmtId="0" fontId="9" fillId="0" borderId="2" xfId="0" applyFont="1" applyBorder="1"/>
    <xf numFmtId="0" fontId="9" fillId="0" borderId="2" xfId="0" applyFont="1" applyBorder="1" applyAlignment="1">
      <alignment horizontal="center" wrapText="1"/>
    </xf>
    <xf numFmtId="0" fontId="19" fillId="0" borderId="2" xfId="0" applyFont="1" applyBorder="1"/>
    <xf numFmtId="0" fontId="9" fillId="0" borderId="2" xfId="0" applyFont="1" applyBorder="1" applyAlignment="1">
      <alignment horizontal="center" vertical="center" wrapText="1"/>
    </xf>
    <xf numFmtId="0" fontId="9" fillId="19" borderId="2" xfId="0" applyFont="1" applyFill="1" applyBorder="1" applyAlignment="1">
      <alignment horizontal="center" vertical="center" wrapText="1"/>
    </xf>
    <xf numFmtId="0" fontId="9" fillId="19" borderId="2" xfId="0" applyFont="1" applyFill="1" applyBorder="1" applyAlignment="1">
      <alignment vertical="top"/>
    </xf>
    <xf numFmtId="0" fontId="9" fillId="19" borderId="2" xfId="0" applyFont="1" applyFill="1" applyBorder="1" applyAlignment="1">
      <alignment vertical="top" wrapText="1"/>
    </xf>
    <xf numFmtId="0" fontId="0" fillId="19" borderId="2" xfId="0" applyFill="1" applyBorder="1" applyAlignment="1">
      <alignment horizontal="center" vertical="top"/>
    </xf>
    <xf numFmtId="0" fontId="21" fillId="0" borderId="2" xfId="0" applyFont="1" applyBorder="1" applyAlignment="1">
      <alignment wrapText="1"/>
    </xf>
    <xf numFmtId="0" fontId="7" fillId="22" borderId="1" xfId="3" applyFont="1" applyFill="1" applyBorder="1" applyAlignment="1" applyProtection="1">
      <alignment horizontal="center" vertical="top"/>
      <protection locked="0"/>
    </xf>
    <xf numFmtId="0" fontId="7" fillId="0" borderId="1" xfId="3" applyFont="1" applyBorder="1" applyAlignment="1">
      <alignment horizontal="center" vertical="top"/>
    </xf>
    <xf numFmtId="0" fontId="7" fillId="0" borderId="3" xfId="3" applyFont="1" applyBorder="1" applyAlignment="1" applyProtection="1">
      <alignment horizontal="center" vertical="top"/>
      <protection locked="0"/>
    </xf>
    <xf numFmtId="0" fontId="8" fillId="0" borderId="56" xfId="0" applyFont="1" applyBorder="1" applyAlignment="1">
      <alignment horizontal="center" vertical="top"/>
    </xf>
    <xf numFmtId="0" fontId="10" fillId="0" borderId="2" xfId="3" applyFont="1" applyBorder="1" applyAlignment="1">
      <alignment horizontal="center" vertical="top" wrapText="1"/>
    </xf>
    <xf numFmtId="0" fontId="10" fillId="19" borderId="2" xfId="3" applyFont="1" applyFill="1" applyBorder="1" applyAlignment="1">
      <alignment horizontal="center" vertical="top" wrapText="1"/>
    </xf>
    <xf numFmtId="0" fontId="8" fillId="0" borderId="25" xfId="3" applyFont="1" applyBorder="1" applyAlignment="1">
      <alignment horizontal="center" vertical="top" wrapText="1"/>
    </xf>
    <xf numFmtId="0" fontId="8" fillId="23" borderId="1" xfId="3" applyFont="1" applyFill="1" applyBorder="1" applyAlignment="1">
      <alignment horizontal="center" vertical="top" wrapText="1"/>
    </xf>
    <xf numFmtId="0" fontId="52" fillId="0" borderId="2" xfId="0" applyFont="1" applyBorder="1"/>
    <xf numFmtId="0" fontId="17" fillId="5" borderId="47" xfId="0" applyFont="1" applyFill="1" applyBorder="1" applyAlignment="1">
      <alignment vertical="center" wrapText="1"/>
    </xf>
    <xf numFmtId="0" fontId="7" fillId="19" borderId="0" xfId="0" applyFont="1" applyFill="1" applyProtection="1">
      <protection locked="0"/>
    </xf>
    <xf numFmtId="0" fontId="56" fillId="0" borderId="0" xfId="0" applyFont="1" applyAlignment="1">
      <alignment horizontal="center" vertical="center"/>
    </xf>
    <xf numFmtId="0" fontId="10" fillId="19" borderId="2" xfId="0" applyFont="1" applyFill="1" applyBorder="1" applyAlignment="1">
      <alignment horizontal="center" vertical="top"/>
    </xf>
    <xf numFmtId="0" fontId="38" fillId="0" borderId="17" xfId="0" applyFont="1" applyBorder="1" applyAlignment="1">
      <alignment vertical="center" wrapText="1"/>
    </xf>
    <xf numFmtId="0" fontId="54" fillId="25" borderId="0" xfId="0" applyFont="1" applyFill="1" applyAlignment="1">
      <alignment horizontal="center"/>
    </xf>
    <xf numFmtId="0" fontId="3" fillId="0" borderId="0" xfId="0" applyFont="1" applyAlignment="1">
      <alignment horizontal="center"/>
    </xf>
    <xf numFmtId="0" fontId="40" fillId="0" borderId="0" xfId="1" applyFont="1" applyBorder="1" applyAlignment="1">
      <alignment horizontal="center" wrapText="1"/>
    </xf>
    <xf numFmtId="14" fontId="5" fillId="0" borderId="0" xfId="0" applyNumberFormat="1" applyFont="1" applyAlignment="1">
      <alignment horizontal="center"/>
    </xf>
    <xf numFmtId="0" fontId="5" fillId="0" borderId="0" xfId="0" applyFont="1" applyAlignment="1">
      <alignment horizontal="center"/>
    </xf>
    <xf numFmtId="0" fontId="48" fillId="0" borderId="0" xfId="1" applyFont="1" applyBorder="1" applyAlignment="1">
      <alignment horizontal="center" wrapText="1"/>
    </xf>
    <xf numFmtId="0" fontId="43" fillId="0" borderId="0" xfId="0" applyFont="1" applyAlignment="1">
      <alignment horizontal="left" vertical="center" wrapText="1"/>
    </xf>
    <xf numFmtId="0" fontId="43" fillId="0" borderId="0" xfId="0" applyFont="1" applyAlignment="1">
      <alignment horizontal="left" vertical="center"/>
    </xf>
    <xf numFmtId="0" fontId="58" fillId="0" borderId="0" xfId="0" applyFont="1" applyAlignment="1">
      <alignment horizontal="left" vertical="center" wrapText="1"/>
    </xf>
    <xf numFmtId="0" fontId="38" fillId="0" borderId="0" xfId="0" applyFont="1" applyAlignment="1">
      <alignment horizontal="left" vertical="center" wrapText="1"/>
    </xf>
    <xf numFmtId="0" fontId="55" fillId="25" borderId="0" xfId="0" applyFont="1" applyFill="1" applyAlignment="1">
      <alignment horizontal="left" vertical="center" wrapText="1"/>
    </xf>
    <xf numFmtId="0" fontId="43" fillId="0" borderId="0" xfId="0" applyFont="1" applyAlignment="1">
      <alignment horizontal="left" wrapText="1"/>
    </xf>
    <xf numFmtId="0" fontId="38" fillId="0" borderId="0" xfId="0" applyFont="1" applyAlignment="1">
      <alignment horizontal="left" vertical="top" wrapText="1"/>
    </xf>
    <xf numFmtId="0" fontId="38" fillId="0" borderId="0" xfId="0" applyFont="1" applyAlignment="1">
      <alignment horizontal="left"/>
    </xf>
    <xf numFmtId="0" fontId="38" fillId="0" borderId="0" xfId="0" applyFont="1" applyAlignment="1">
      <alignment horizontal="left" vertical="center"/>
    </xf>
    <xf numFmtId="0" fontId="4" fillId="0" borderId="0" xfId="0" applyFont="1" applyAlignment="1">
      <alignment horizontal="left" vertical="top" wrapText="1"/>
    </xf>
    <xf numFmtId="0" fontId="4" fillId="0" borderId="3" xfId="0" applyFont="1" applyBorder="1" applyAlignment="1">
      <alignment horizontal="left" vertical="top"/>
    </xf>
    <xf numFmtId="0" fontId="4" fillId="0" borderId="6" xfId="0" applyFont="1" applyBorder="1" applyAlignment="1">
      <alignment horizontal="left" vertical="top"/>
    </xf>
    <xf numFmtId="0" fontId="4" fillId="0" borderId="3" xfId="0" applyFont="1" applyBorder="1" applyAlignment="1">
      <alignment horizontal="left" vertical="top" wrapText="1"/>
    </xf>
    <xf numFmtId="0" fontId="4" fillId="0" borderId="6" xfId="0" applyFont="1" applyBorder="1" applyAlignment="1">
      <alignment horizontal="left" vertical="top" wrapText="1"/>
    </xf>
    <xf numFmtId="0" fontId="4" fillId="0" borderId="37" xfId="0" applyFont="1" applyBorder="1" applyAlignment="1">
      <alignment horizontal="left" vertical="top"/>
    </xf>
    <xf numFmtId="0" fontId="4" fillId="0" borderId="37" xfId="0" applyFont="1" applyBorder="1" applyAlignment="1">
      <alignment horizontal="left" vertical="top" wrapText="1"/>
    </xf>
    <xf numFmtId="0" fontId="18" fillId="0" borderId="3" xfId="0" applyFont="1" applyBorder="1" applyAlignment="1">
      <alignment horizontal="left" vertical="top"/>
    </xf>
    <xf numFmtId="0" fontId="18" fillId="0" borderId="6" xfId="0" applyFont="1" applyBorder="1" applyAlignment="1">
      <alignment horizontal="left" vertical="top"/>
    </xf>
    <xf numFmtId="0" fontId="18" fillId="0" borderId="3" xfId="0" applyFont="1" applyBorder="1" applyAlignment="1">
      <alignment horizontal="left" vertical="top" wrapText="1"/>
    </xf>
    <xf numFmtId="0" fontId="18" fillId="0" borderId="6" xfId="0" applyFont="1" applyBorder="1" applyAlignment="1">
      <alignment horizontal="left" vertical="top" wrapText="1"/>
    </xf>
    <xf numFmtId="0" fontId="4" fillId="0" borderId="0" xfId="0" applyFont="1" applyAlignment="1">
      <alignment horizontal="left" vertical="top" wrapText="1" indent="1"/>
    </xf>
    <xf numFmtId="0" fontId="1" fillId="0" borderId="0" xfId="3" applyFont="1" applyAlignment="1">
      <alignment horizontal="left" vertical="top" wrapText="1"/>
    </xf>
    <xf numFmtId="0" fontId="7" fillId="0" borderId="3" xfId="3" applyFont="1" applyBorder="1" applyAlignment="1">
      <alignment horizontal="left" vertical="top"/>
    </xf>
    <xf numFmtId="0" fontId="7" fillId="0" borderId="6" xfId="3" applyFont="1" applyBorder="1" applyAlignment="1">
      <alignment horizontal="left" vertical="top"/>
    </xf>
    <xf numFmtId="0" fontId="8" fillId="0" borderId="3" xfId="3" applyFont="1" applyBorder="1" applyAlignment="1">
      <alignment horizontal="left" vertical="top"/>
    </xf>
    <xf numFmtId="0" fontId="8" fillId="0" borderId="6" xfId="3" applyFont="1" applyBorder="1" applyAlignment="1">
      <alignment horizontal="left" vertical="top"/>
    </xf>
    <xf numFmtId="0" fontId="7" fillId="0" borderId="3" xfId="3" applyFont="1" applyBorder="1" applyAlignment="1">
      <alignment horizontal="left" vertical="top" wrapText="1"/>
    </xf>
    <xf numFmtId="0" fontId="7" fillId="0" borderId="6" xfId="3" applyFont="1" applyBorder="1" applyAlignment="1">
      <alignment horizontal="left" vertical="top" wrapText="1"/>
    </xf>
    <xf numFmtId="0" fontId="22" fillId="0" borderId="0" xfId="0" applyFont="1" applyAlignment="1">
      <alignment horizontal="justify" vertical="center"/>
    </xf>
    <xf numFmtId="0" fontId="22" fillId="0" borderId="31" xfId="0" applyFont="1" applyBorder="1" applyAlignment="1">
      <alignment horizontal="center" vertical="top"/>
    </xf>
    <xf numFmtId="0" fontId="9" fillId="0" borderId="0" xfId="0" applyFont="1" applyAlignment="1">
      <alignment horizontal="left" vertical="top" wrapText="1"/>
    </xf>
    <xf numFmtId="0" fontId="9" fillId="0" borderId="0" xfId="0" applyFont="1" applyAlignment="1">
      <alignment horizontal="left" vertical="top"/>
    </xf>
    <xf numFmtId="0" fontId="22" fillId="0" borderId="44" xfId="0" applyFont="1" applyBorder="1" applyAlignment="1">
      <alignment horizontal="center" vertical="top" wrapText="1"/>
    </xf>
    <xf numFmtId="0" fontId="22" fillId="0" borderId="53" xfId="0" applyFont="1" applyBorder="1" applyAlignment="1">
      <alignment horizontal="center" vertical="top" wrapText="1"/>
    </xf>
    <xf numFmtId="0" fontId="22" fillId="0" borderId="56" xfId="0" applyFont="1" applyBorder="1" applyAlignment="1">
      <alignment horizontal="center" vertical="top" wrapText="1"/>
    </xf>
    <xf numFmtId="0" fontId="22" fillId="0" borderId="0" xfId="0" applyFont="1" applyAlignment="1">
      <alignment horizontal="left" vertical="top" wrapText="1"/>
    </xf>
    <xf numFmtId="0" fontId="22" fillId="0" borderId="0" xfId="0" quotePrefix="1" applyFont="1" applyAlignment="1">
      <alignment horizontal="left" vertical="top" wrapText="1"/>
    </xf>
    <xf numFmtId="0" fontId="0" fillId="0" borderId="0" xfId="0" applyAlignment="1">
      <alignment horizontal="center" wrapText="1"/>
    </xf>
    <xf numFmtId="0" fontId="0" fillId="19" borderId="31" xfId="0" applyFill="1" applyBorder="1" applyAlignment="1">
      <alignment horizontal="center" vertical="center" textRotation="90" wrapText="1"/>
    </xf>
    <xf numFmtId="0" fontId="22" fillId="19" borderId="44" xfId="0" applyFont="1" applyFill="1" applyBorder="1" applyAlignment="1">
      <alignment horizontal="center" vertical="top" wrapText="1"/>
    </xf>
    <xf numFmtId="0" fontId="22" fillId="19" borderId="53" xfId="0" applyFont="1" applyFill="1" applyBorder="1" applyAlignment="1">
      <alignment horizontal="center" vertical="top" wrapText="1"/>
    </xf>
    <xf numFmtId="0" fontId="22" fillId="19" borderId="56" xfId="0" applyFont="1" applyFill="1" applyBorder="1" applyAlignment="1">
      <alignment horizontal="center" vertical="top" wrapText="1"/>
    </xf>
    <xf numFmtId="0" fontId="51" fillId="0" borderId="0" xfId="0" applyFont="1" applyAlignment="1"/>
  </cellXfs>
  <cellStyles count="3157">
    <cellStyle name="20% - Accent1 3" xfId="26" xr:uid="{00000000-0005-0000-0000-000000000000}"/>
    <cellStyle name="20% - Accent5 2" xfId="25" xr:uid="{00000000-0005-0000-0000-000001000000}"/>
    <cellStyle name="Comma 2" xfId="88" xr:uid="{00000000-0005-0000-0000-000002000000}"/>
    <cellStyle name="Comma 2 10" xfId="1271" xr:uid="{00000000-0005-0000-0000-000003000000}"/>
    <cellStyle name="Comma 2 10 2" xfId="3113" xr:uid="{6500AD74-7AE7-46A0-A787-D9F3DD92DE2E}"/>
    <cellStyle name="Comma 2 11" xfId="1705" xr:uid="{00000000-0005-0000-0000-000004000000}"/>
    <cellStyle name="Comma 2 11 2" xfId="3135" xr:uid="{4C24AC44-B8BB-4AEF-BFF6-DBA7AB2A73E8}"/>
    <cellStyle name="Comma 2 12" xfId="3069" xr:uid="{E242975C-2A06-45AA-8C42-9645653EE85A}"/>
    <cellStyle name="Comma 2 2" xfId="135" xr:uid="{00000000-0005-0000-0000-000005000000}"/>
    <cellStyle name="Comma 2 2 2" xfId="136" xr:uid="{00000000-0005-0000-0000-000006000000}"/>
    <cellStyle name="Comma 2 2 2 2" xfId="448" xr:uid="{00000000-0005-0000-0000-000007000000}"/>
    <cellStyle name="Comma 2 2 2 2 2" xfId="900" xr:uid="{00000000-0005-0000-0000-000008000000}"/>
    <cellStyle name="Comma 2 2 2 2 2 2" xfId="3108" xr:uid="{D7AEAA56-1DC5-4496-BC3C-5F0915AECEF8}"/>
    <cellStyle name="Comma 2 2 2 2 3" xfId="1624" xr:uid="{00000000-0005-0000-0000-000009000000}"/>
    <cellStyle name="Comma 2 2 2 2 3 2" xfId="3130" xr:uid="{7CBE9895-7988-4003-9CE8-1072CC741BA3}"/>
    <cellStyle name="Comma 2 2 2 2 4" xfId="2058" xr:uid="{00000000-0005-0000-0000-00000A000000}"/>
    <cellStyle name="Comma 2 2 2 2 4 2" xfId="3152" xr:uid="{C84551AA-0642-495C-937D-E8823CA84A01}"/>
    <cellStyle name="Comma 2 2 2 2 5" xfId="3086" xr:uid="{F0E84E80-8B52-4C44-A7AF-726306D3DCEA}"/>
    <cellStyle name="Comma 2 2 2 3" xfId="432" xr:uid="{00000000-0005-0000-0000-00000B000000}"/>
    <cellStyle name="Comma 2 2 2 3 2" xfId="884" xr:uid="{00000000-0005-0000-0000-00000C000000}"/>
    <cellStyle name="Comma 2 2 2 3 2 2" xfId="3102" xr:uid="{6741A79B-A6CA-458A-90F4-80B244A68077}"/>
    <cellStyle name="Comma 2 2 2 3 3" xfId="1608" xr:uid="{00000000-0005-0000-0000-00000D000000}"/>
    <cellStyle name="Comma 2 2 2 3 3 2" xfId="3124" xr:uid="{6653A93D-8B5E-4D8A-9BCE-EA84A05F7A77}"/>
    <cellStyle name="Comma 2 2 2 3 4" xfId="2042" xr:uid="{00000000-0005-0000-0000-00000E000000}"/>
    <cellStyle name="Comma 2 2 2 3 4 2" xfId="3146" xr:uid="{07DA8141-9FCF-4756-AAED-53EE299A85A6}"/>
    <cellStyle name="Comma 2 2 2 3 5" xfId="3080" xr:uid="{3DD3BC3F-0D6B-4433-82DE-DD13BD39B4F2}"/>
    <cellStyle name="Comma 2 2 2 4" xfId="594" xr:uid="{00000000-0005-0000-0000-00000F000000}"/>
    <cellStyle name="Comma 2 2 2 4 2" xfId="3096" xr:uid="{5208C4D7-AA6E-481E-B95D-82B1914EBDB3}"/>
    <cellStyle name="Comma 2 2 2 5" xfId="1319" xr:uid="{00000000-0005-0000-0000-000010000000}"/>
    <cellStyle name="Comma 2 2 2 5 2" xfId="3118" xr:uid="{8A3F2B5B-F490-4087-AD54-D6E7B19DB523}"/>
    <cellStyle name="Comma 2 2 2 6" xfId="1753" xr:uid="{00000000-0005-0000-0000-000011000000}"/>
    <cellStyle name="Comma 2 2 2 6 2" xfId="3140" xr:uid="{A444A9AF-1A7E-485E-8F0D-04393D23A3D9}"/>
    <cellStyle name="Comma 2 2 2 7" xfId="3074" xr:uid="{BA0E6835-D36C-4FF3-9D64-95CECA6F2A14}"/>
    <cellStyle name="Comma 2 2 3" xfId="447" xr:uid="{00000000-0005-0000-0000-000012000000}"/>
    <cellStyle name="Comma 2 2 3 2" xfId="899" xr:uid="{00000000-0005-0000-0000-000013000000}"/>
    <cellStyle name="Comma 2 2 3 2 2" xfId="3107" xr:uid="{D2ECACAB-4398-481C-B7C1-9EDBF6D8C8B1}"/>
    <cellStyle name="Comma 2 2 3 3" xfId="1623" xr:uid="{00000000-0005-0000-0000-000014000000}"/>
    <cellStyle name="Comma 2 2 3 3 2" xfId="3129" xr:uid="{57320BFD-C193-4FEC-B769-12DD4A8AB956}"/>
    <cellStyle name="Comma 2 2 3 4" xfId="2057" xr:uid="{00000000-0005-0000-0000-000015000000}"/>
    <cellStyle name="Comma 2 2 3 4 2" xfId="3151" xr:uid="{1F2ACCE6-3F5C-4914-A861-C557363C4472}"/>
    <cellStyle name="Comma 2 2 3 5" xfId="3085" xr:uid="{8FC29B53-868E-4392-BFE6-D2620EB4697C}"/>
    <cellStyle name="Comma 2 2 4" xfId="431" xr:uid="{00000000-0005-0000-0000-000016000000}"/>
    <cellStyle name="Comma 2 2 4 2" xfId="883" xr:uid="{00000000-0005-0000-0000-000017000000}"/>
    <cellStyle name="Comma 2 2 4 2 2" xfId="3101" xr:uid="{CD1BED0D-E878-40EB-8653-1475A8C6B854}"/>
    <cellStyle name="Comma 2 2 4 3" xfId="1607" xr:uid="{00000000-0005-0000-0000-000018000000}"/>
    <cellStyle name="Comma 2 2 4 3 2" xfId="3123" xr:uid="{65A0E98D-D748-4891-8A9E-FC0D419B7879}"/>
    <cellStyle name="Comma 2 2 4 4" xfId="2041" xr:uid="{00000000-0005-0000-0000-000019000000}"/>
    <cellStyle name="Comma 2 2 4 4 2" xfId="3145" xr:uid="{5AFA1391-9EF4-4771-9A9C-DE8A01DC4210}"/>
    <cellStyle name="Comma 2 2 4 5" xfId="3079" xr:uid="{5D5A8E5D-B60C-4115-88C7-777D2DF95B1C}"/>
    <cellStyle name="Comma 2 2 5" xfId="593" xr:uid="{00000000-0005-0000-0000-00001A000000}"/>
    <cellStyle name="Comma 2 2 5 2" xfId="3095" xr:uid="{40442B6B-6D2B-4821-AC79-5BB300B056E1}"/>
    <cellStyle name="Comma 2 2 6" xfId="1318" xr:uid="{00000000-0005-0000-0000-00001B000000}"/>
    <cellStyle name="Comma 2 2 6 2" xfId="3117" xr:uid="{DF4CE279-1D70-45E0-92C4-597F5DB5A7A3}"/>
    <cellStyle name="Comma 2 2 7" xfId="1752" xr:uid="{00000000-0005-0000-0000-00001C000000}"/>
    <cellStyle name="Comma 2 2 7 2" xfId="3139" xr:uid="{01ACC99A-F974-49DB-A465-2D5C130310CB}"/>
    <cellStyle name="Comma 2 2 8" xfId="3073" xr:uid="{0755AF8F-673F-460B-9642-8D87F40C47FC}"/>
    <cellStyle name="Comma 2 3" xfId="137" xr:uid="{00000000-0005-0000-0000-00001D000000}"/>
    <cellStyle name="Comma 2 3 2" xfId="138" xr:uid="{00000000-0005-0000-0000-00001E000000}"/>
    <cellStyle name="Comma 2 3 2 2" xfId="450" xr:uid="{00000000-0005-0000-0000-00001F000000}"/>
    <cellStyle name="Comma 2 3 2 2 2" xfId="902" xr:uid="{00000000-0005-0000-0000-000020000000}"/>
    <cellStyle name="Comma 2 3 2 2 2 2" xfId="3110" xr:uid="{CCDC4533-87AE-47CC-8234-D159493E2114}"/>
    <cellStyle name="Comma 2 3 2 2 3" xfId="1626" xr:uid="{00000000-0005-0000-0000-000021000000}"/>
    <cellStyle name="Comma 2 3 2 2 3 2" xfId="3132" xr:uid="{A80C4806-CAAE-4827-9D83-59011C9E2174}"/>
    <cellStyle name="Comma 2 3 2 2 4" xfId="2060" xr:uid="{00000000-0005-0000-0000-000022000000}"/>
    <cellStyle name="Comma 2 3 2 2 4 2" xfId="3154" xr:uid="{6432AF28-3961-4A1F-AB10-B7590B5E4652}"/>
    <cellStyle name="Comma 2 3 2 2 5" xfId="3088" xr:uid="{3CC8B5BA-0DB1-4879-AF7D-CEEC5FE8E8A1}"/>
    <cellStyle name="Comma 2 3 2 3" xfId="434" xr:uid="{00000000-0005-0000-0000-000023000000}"/>
    <cellStyle name="Comma 2 3 2 3 2" xfId="886" xr:uid="{00000000-0005-0000-0000-000024000000}"/>
    <cellStyle name="Comma 2 3 2 3 2 2" xfId="3104" xr:uid="{3DCA8FAC-AD46-4418-B84F-FC2DFD799B15}"/>
    <cellStyle name="Comma 2 3 2 3 3" xfId="1610" xr:uid="{00000000-0005-0000-0000-000025000000}"/>
    <cellStyle name="Comma 2 3 2 3 3 2" xfId="3126" xr:uid="{274804D9-E5F3-4B32-AC40-50575DBE4B18}"/>
    <cellStyle name="Comma 2 3 2 3 4" xfId="2044" xr:uid="{00000000-0005-0000-0000-000026000000}"/>
    <cellStyle name="Comma 2 3 2 3 4 2" xfId="3148" xr:uid="{C760FD56-AB73-4CFC-9C14-3CD1473A6F9D}"/>
    <cellStyle name="Comma 2 3 2 3 5" xfId="3082" xr:uid="{255AD9B2-7E6F-48BF-AE7F-213D55B73921}"/>
    <cellStyle name="Comma 2 3 2 4" xfId="596" xr:uid="{00000000-0005-0000-0000-000027000000}"/>
    <cellStyle name="Comma 2 3 2 4 2" xfId="3098" xr:uid="{FA5F8B03-AA53-42D5-8158-9018863237F0}"/>
    <cellStyle name="Comma 2 3 2 5" xfId="1321" xr:uid="{00000000-0005-0000-0000-000028000000}"/>
    <cellStyle name="Comma 2 3 2 5 2" xfId="3120" xr:uid="{8091EEE2-33E1-4302-845E-E25F04D9E1BA}"/>
    <cellStyle name="Comma 2 3 2 6" xfId="1755" xr:uid="{00000000-0005-0000-0000-000029000000}"/>
    <cellStyle name="Comma 2 3 2 6 2" xfId="3142" xr:uid="{352DA47F-1BAF-4F11-A14B-AA95DD4B4A38}"/>
    <cellStyle name="Comma 2 3 2 7" xfId="3076" xr:uid="{DEE003F9-2EFA-47C6-B3C5-A28938B9E368}"/>
    <cellStyle name="Comma 2 3 3" xfId="449" xr:uid="{00000000-0005-0000-0000-00002A000000}"/>
    <cellStyle name="Comma 2 3 3 2" xfId="901" xr:uid="{00000000-0005-0000-0000-00002B000000}"/>
    <cellStyle name="Comma 2 3 3 2 2" xfId="3109" xr:uid="{BA455348-BE3B-4FF3-B508-B991734D5CF1}"/>
    <cellStyle name="Comma 2 3 3 3" xfId="1625" xr:uid="{00000000-0005-0000-0000-00002C000000}"/>
    <cellStyle name="Comma 2 3 3 3 2" xfId="3131" xr:uid="{5E14782A-4D71-42F8-9F87-6095B311B62A}"/>
    <cellStyle name="Comma 2 3 3 4" xfId="2059" xr:uid="{00000000-0005-0000-0000-00002D000000}"/>
    <cellStyle name="Comma 2 3 3 4 2" xfId="3153" xr:uid="{AE5F21EF-804D-4141-9149-D2FB32101547}"/>
    <cellStyle name="Comma 2 3 3 5" xfId="3087" xr:uid="{8A1D1758-AFB3-406D-888B-EA7AE39B4558}"/>
    <cellStyle name="Comma 2 3 4" xfId="433" xr:uid="{00000000-0005-0000-0000-00002E000000}"/>
    <cellStyle name="Comma 2 3 4 2" xfId="885" xr:uid="{00000000-0005-0000-0000-00002F000000}"/>
    <cellStyle name="Comma 2 3 4 2 2" xfId="3103" xr:uid="{5EB94CA2-106A-43B5-B7DC-21F8320ACD70}"/>
    <cellStyle name="Comma 2 3 4 3" xfId="1609" xr:uid="{00000000-0005-0000-0000-000030000000}"/>
    <cellStyle name="Comma 2 3 4 3 2" xfId="3125" xr:uid="{130ED4CB-2046-48FE-85E9-ABED0889E2EC}"/>
    <cellStyle name="Comma 2 3 4 4" xfId="2043" xr:uid="{00000000-0005-0000-0000-000031000000}"/>
    <cellStyle name="Comma 2 3 4 4 2" xfId="3147" xr:uid="{7274ADC8-DEEC-4AC5-BA43-9EB178012091}"/>
    <cellStyle name="Comma 2 3 4 5" xfId="3081" xr:uid="{3E268A6C-570E-479A-A106-63D82D95811C}"/>
    <cellStyle name="Comma 2 3 5" xfId="595" xr:uid="{00000000-0005-0000-0000-000032000000}"/>
    <cellStyle name="Comma 2 3 5 2" xfId="3097" xr:uid="{6791054D-00F6-4454-9875-F7D2DC360383}"/>
    <cellStyle name="Comma 2 3 6" xfId="1320" xr:uid="{00000000-0005-0000-0000-000033000000}"/>
    <cellStyle name="Comma 2 3 6 2" xfId="3119" xr:uid="{1A7AB299-8AB1-4573-BA51-A9E6987C9AC4}"/>
    <cellStyle name="Comma 2 3 7" xfId="1754" xr:uid="{00000000-0005-0000-0000-000034000000}"/>
    <cellStyle name="Comma 2 3 7 2" xfId="3141" xr:uid="{9233C5A7-8DB4-41DB-9057-CC6B307A772B}"/>
    <cellStyle name="Comma 2 3 8" xfId="3075" xr:uid="{004FCD56-8ACF-4911-BB7C-E5A52AF3E3BA}"/>
    <cellStyle name="Comma 2 4" xfId="139" xr:uid="{00000000-0005-0000-0000-000035000000}"/>
    <cellStyle name="Comma 2 4 2" xfId="451" xr:uid="{00000000-0005-0000-0000-000036000000}"/>
    <cellStyle name="Comma 2 4 2 2" xfId="903" xr:uid="{00000000-0005-0000-0000-000037000000}"/>
    <cellStyle name="Comma 2 4 2 2 2" xfId="3111" xr:uid="{F2CBF591-736A-4D11-920E-976EFC11F3DE}"/>
    <cellStyle name="Comma 2 4 2 3" xfId="1627" xr:uid="{00000000-0005-0000-0000-000038000000}"/>
    <cellStyle name="Comma 2 4 2 3 2" xfId="3133" xr:uid="{D4E7FCF9-990D-4E36-A437-0BF690FFE046}"/>
    <cellStyle name="Comma 2 4 2 4" xfId="2061" xr:uid="{00000000-0005-0000-0000-000039000000}"/>
    <cellStyle name="Comma 2 4 2 4 2" xfId="3155" xr:uid="{D6195868-B75C-4D9E-AC63-5D1FB1C8A342}"/>
    <cellStyle name="Comma 2 4 2 5" xfId="3089" xr:uid="{87EF4393-A1C0-43E5-B7F1-B26B11EE4263}"/>
    <cellStyle name="Comma 2 4 3" xfId="435" xr:uid="{00000000-0005-0000-0000-00003A000000}"/>
    <cellStyle name="Comma 2 4 3 2" xfId="887" xr:uid="{00000000-0005-0000-0000-00003B000000}"/>
    <cellStyle name="Comma 2 4 3 2 2" xfId="3105" xr:uid="{A3C75BE9-F2A1-4189-8975-668C5B5BF87E}"/>
    <cellStyle name="Comma 2 4 3 3" xfId="1611" xr:uid="{00000000-0005-0000-0000-00003C000000}"/>
    <cellStyle name="Comma 2 4 3 3 2" xfId="3127" xr:uid="{4B3CA11C-0CE1-4A60-9B56-234AF3D0DF78}"/>
    <cellStyle name="Comma 2 4 3 4" xfId="2045" xr:uid="{00000000-0005-0000-0000-00003D000000}"/>
    <cellStyle name="Comma 2 4 3 4 2" xfId="3149" xr:uid="{4E568C50-8ED9-4A5C-AEFE-441C70E884B1}"/>
    <cellStyle name="Comma 2 4 3 5" xfId="3083" xr:uid="{F594D10B-B946-4B4A-9840-6762DD960ED9}"/>
    <cellStyle name="Comma 2 4 4" xfId="597" xr:uid="{00000000-0005-0000-0000-00003E000000}"/>
    <cellStyle name="Comma 2 4 4 2" xfId="3099" xr:uid="{D7DAC9EC-D114-4428-954B-E3CEFC119070}"/>
    <cellStyle name="Comma 2 4 5" xfId="1322" xr:uid="{00000000-0005-0000-0000-00003F000000}"/>
    <cellStyle name="Comma 2 4 5 2" xfId="3121" xr:uid="{B63B0D04-F19F-4D76-B9F1-F4BC60882054}"/>
    <cellStyle name="Comma 2 4 6" xfId="1756" xr:uid="{00000000-0005-0000-0000-000040000000}"/>
    <cellStyle name="Comma 2 4 6 2" xfId="3143" xr:uid="{B6224BE7-BEAD-49F7-81DC-45F2072613CD}"/>
    <cellStyle name="Comma 2 4 7" xfId="3077" xr:uid="{9F0044FD-1B29-46FF-B877-49A0ABE9D6A9}"/>
    <cellStyle name="Comma 2 5" xfId="446" xr:uid="{00000000-0005-0000-0000-000041000000}"/>
    <cellStyle name="Comma 2 5 2" xfId="898" xr:uid="{00000000-0005-0000-0000-000042000000}"/>
    <cellStyle name="Comma 2 5 2 2" xfId="3106" xr:uid="{5FA7E7D9-8430-49BD-B305-954F2022DF92}"/>
    <cellStyle name="Comma 2 5 3" xfId="1622" xr:uid="{00000000-0005-0000-0000-000043000000}"/>
    <cellStyle name="Comma 2 5 3 2" xfId="3128" xr:uid="{6D0C3A8D-FC67-48AF-B892-F28096CFD5F8}"/>
    <cellStyle name="Comma 2 5 4" xfId="2056" xr:uid="{00000000-0005-0000-0000-000044000000}"/>
    <cellStyle name="Comma 2 5 4 2" xfId="3150" xr:uid="{454D631A-5136-4233-B1C8-E59B30A7DE79}"/>
    <cellStyle name="Comma 2 5 5" xfId="3084" xr:uid="{DACF64B4-92B8-4C8A-885C-FF3385419DC8}"/>
    <cellStyle name="Comma 2 6" xfId="430" xr:uid="{00000000-0005-0000-0000-000045000000}"/>
    <cellStyle name="Comma 2 6 2" xfId="882" xr:uid="{00000000-0005-0000-0000-000046000000}"/>
    <cellStyle name="Comma 2 6 2 2" xfId="3100" xr:uid="{7178A79E-7B3F-4CD7-9002-666B4E6DD511}"/>
    <cellStyle name="Comma 2 6 3" xfId="1606" xr:uid="{00000000-0005-0000-0000-000047000000}"/>
    <cellStyle name="Comma 2 6 3 2" xfId="3122" xr:uid="{2896669C-D915-46F4-8E42-F230031B6E36}"/>
    <cellStyle name="Comma 2 6 4" xfId="2040" xr:uid="{00000000-0005-0000-0000-000048000000}"/>
    <cellStyle name="Comma 2 6 4 2" xfId="3144" xr:uid="{D3971706-8CE4-4E15-B780-10DE00CF4DA9}"/>
    <cellStyle name="Comma 2 6 5" xfId="3078" xr:uid="{B0E392ED-EC7C-48EC-B4B1-03CF5F3B6FEC}"/>
    <cellStyle name="Comma 2 7" xfId="134" xr:uid="{00000000-0005-0000-0000-000049000000}"/>
    <cellStyle name="Comma 2 7 2" xfId="592" xr:uid="{00000000-0005-0000-0000-00004A000000}"/>
    <cellStyle name="Comma 2 7 2 2" xfId="3094" xr:uid="{B179E565-3871-478B-A65F-6635CE2C7F1D}"/>
    <cellStyle name="Comma 2 7 3" xfId="1317" xr:uid="{00000000-0005-0000-0000-00004B000000}"/>
    <cellStyle name="Comma 2 7 3 2" xfId="3116" xr:uid="{C971F93E-D32B-4444-8C1D-3CCC276DAAFA}"/>
    <cellStyle name="Comma 2 7 4" xfId="1751" xr:uid="{00000000-0005-0000-0000-00004C000000}"/>
    <cellStyle name="Comma 2 7 4 2" xfId="3138" xr:uid="{51DEE154-3D13-4D69-ADE4-38A1DACF2DD8}"/>
    <cellStyle name="Comma 2 7 5" xfId="3072" xr:uid="{F3B94D96-0527-40F3-88E4-2B485B3BE1CA}"/>
    <cellStyle name="Comma 2 8" xfId="125" xr:uid="{00000000-0005-0000-0000-00004D000000}"/>
    <cellStyle name="Comma 2 8 2" xfId="583" xr:uid="{00000000-0005-0000-0000-00004E000000}"/>
    <cellStyle name="Comma 2 8 2 2" xfId="3093" xr:uid="{D6CE00A4-481B-45A0-9D39-73B6B7BEC263}"/>
    <cellStyle name="Comma 2 8 3" xfId="1308" xr:uid="{00000000-0005-0000-0000-00004F000000}"/>
    <cellStyle name="Comma 2 8 3 2" xfId="3115" xr:uid="{CA8D4067-D952-4BF0-9285-9769A283906D}"/>
    <cellStyle name="Comma 2 8 4" xfId="1742" xr:uid="{00000000-0005-0000-0000-000050000000}"/>
    <cellStyle name="Comma 2 8 4 2" xfId="3137" xr:uid="{28CDB090-EB8D-4D10-ADEF-EFD798EBAF31}"/>
    <cellStyle name="Comma 2 8 5" xfId="3071" xr:uid="{AC783F76-2675-4D77-8346-49B83B5FB99C}"/>
    <cellStyle name="Comma 2 9" xfId="546" xr:uid="{00000000-0005-0000-0000-000051000000}"/>
    <cellStyle name="Comma 2 9 2" xfId="3091" xr:uid="{3F2CEB43-669C-4A82-BFB8-01EEEA1858C5}"/>
    <cellStyle name="Comma 3" xfId="87" xr:uid="{00000000-0005-0000-0000-000052000000}"/>
    <cellStyle name="Comma 3 2" xfId="124" xr:uid="{00000000-0005-0000-0000-000053000000}"/>
    <cellStyle name="Comma 3 2 2" xfId="582" xr:uid="{00000000-0005-0000-0000-000054000000}"/>
    <cellStyle name="Comma 3 2 2 2" xfId="3092" xr:uid="{0D542079-2A89-4F42-9C6E-EE54025212F5}"/>
    <cellStyle name="Comma 3 2 3" xfId="1307" xr:uid="{00000000-0005-0000-0000-000055000000}"/>
    <cellStyle name="Comma 3 2 3 2" xfId="3114" xr:uid="{31B2EEF4-B50C-42A0-A866-72D256721402}"/>
    <cellStyle name="Comma 3 2 4" xfId="1741" xr:uid="{00000000-0005-0000-0000-000056000000}"/>
    <cellStyle name="Comma 3 2 4 2" xfId="3136" xr:uid="{6642AB61-328D-40CB-A96B-EBC2779A0948}"/>
    <cellStyle name="Comma 3 2 5" xfId="3070" xr:uid="{9F1BD5CF-E12B-4C93-BC34-E391DEA6FD32}"/>
    <cellStyle name="Comma 3 3" xfId="545" xr:uid="{00000000-0005-0000-0000-000057000000}"/>
    <cellStyle name="Comma 3 3 2" xfId="3090" xr:uid="{908B968D-F00A-49C0-90AB-8B9A57476977}"/>
    <cellStyle name="Comma 3 4" xfId="1270" xr:uid="{00000000-0005-0000-0000-000058000000}"/>
    <cellStyle name="Comma 3 4 2" xfId="3112" xr:uid="{386334D3-1BFE-4E65-8C32-D8460F1E0EB5}"/>
    <cellStyle name="Comma 3 5" xfId="1704" xr:uid="{00000000-0005-0000-0000-000059000000}"/>
    <cellStyle name="Comma 3 5 2" xfId="3134" xr:uid="{226FB811-19EE-4942-B765-248500C9E845}"/>
    <cellStyle name="Comma 3 6" xfId="3068" xr:uid="{CBBD2101-F666-4FBA-8D7C-4395AA3B9383}"/>
    <cellStyle name="Currency 2" xfId="5" xr:uid="{00000000-0005-0000-0000-00005A000000}"/>
    <cellStyle name="Currency 2 2" xfId="6" xr:uid="{00000000-0005-0000-0000-00005B000000}"/>
    <cellStyle name="Currency 2 3" xfId="2567" xr:uid="{00000000-0005-0000-0000-00005C000000}"/>
    <cellStyle name="Currency 2 3 2" xfId="3156" xr:uid="{8AB2A01D-B870-43BE-A62C-EC86479C16C6}"/>
    <cellStyle name="Currency 3" xfId="7" xr:uid="{00000000-0005-0000-0000-00005D000000}"/>
    <cellStyle name="Currency 4" xfId="4" xr:uid="{00000000-0005-0000-0000-00005E000000}"/>
    <cellStyle name="Excel Built-in 20% - Accent3" xfId="31" xr:uid="{00000000-0005-0000-0000-00005F000000}"/>
    <cellStyle name="Excel Built-in 20% - Accent4" xfId="30" xr:uid="{00000000-0005-0000-0000-000060000000}"/>
    <cellStyle name="Excel Built-in 20% - Accent5" xfId="29" xr:uid="{00000000-0005-0000-0000-000061000000}"/>
    <cellStyle name="Excel Built-in 20% - Accent6" xfId="32" xr:uid="{00000000-0005-0000-0000-000062000000}"/>
    <cellStyle name="Excel Built-in 40% - Accent4" xfId="33" xr:uid="{00000000-0005-0000-0000-000063000000}"/>
    <cellStyle name="Excel Built-in 40% - Accent5" xfId="34" xr:uid="{00000000-0005-0000-0000-000064000000}"/>
    <cellStyle name="Excel Built-in Normal" xfId="35" xr:uid="{00000000-0005-0000-0000-000065000000}"/>
    <cellStyle name="Hyperlink" xfId="2" builtinId="8"/>
    <cellStyle name="Hyperlink 2" xfId="9" xr:uid="{00000000-0005-0000-0000-000067000000}"/>
    <cellStyle name="Hyperlink 3" xfId="8" xr:uid="{00000000-0005-0000-0000-000068000000}"/>
    <cellStyle name="Neutral 2" xfId="23" xr:uid="{00000000-0005-0000-0000-000069000000}"/>
    <cellStyle name="Normal" xfId="0" builtinId="0"/>
    <cellStyle name="Normal 10" xfId="51" xr:uid="{00000000-0005-0000-0000-00006B000000}"/>
    <cellStyle name="Normal 10 10" xfId="515" xr:uid="{00000000-0005-0000-0000-00006C000000}"/>
    <cellStyle name="Normal 10 10 2 3" xfId="436" xr:uid="{00000000-0005-0000-0000-00006D000000}"/>
    <cellStyle name="Normal 10 10 2 3 2" xfId="888" xr:uid="{00000000-0005-0000-0000-00006E000000}"/>
    <cellStyle name="Normal 10 10 2 3 3" xfId="1612" xr:uid="{00000000-0005-0000-0000-00006F000000}"/>
    <cellStyle name="Normal 10 10 2 3 4" xfId="2046" xr:uid="{00000000-0005-0000-0000-000070000000}"/>
    <cellStyle name="Normal 10 11" xfId="1243" xr:uid="{00000000-0005-0000-0000-000071000000}"/>
    <cellStyle name="Normal 10 12" xfId="1677" xr:uid="{00000000-0005-0000-0000-000072000000}"/>
    <cellStyle name="Normal 10 13" xfId="2074" xr:uid="{00000000-0005-0000-0000-000073000000}"/>
    <cellStyle name="Normal 10 2" xfId="76" xr:uid="{00000000-0005-0000-0000-000074000000}"/>
    <cellStyle name="Normal 10 2 10" xfId="1694" xr:uid="{00000000-0005-0000-0000-000075000000}"/>
    <cellStyle name="Normal 10 2 11" xfId="2095" xr:uid="{00000000-0005-0000-0000-000076000000}"/>
    <cellStyle name="Normal 10 2 2" xfId="142" xr:uid="{00000000-0005-0000-0000-000077000000}"/>
    <cellStyle name="Normal 10 2 2 2" xfId="143" xr:uid="{00000000-0005-0000-0000-000078000000}"/>
    <cellStyle name="Normal 10 2 2 2 2" xfId="601" xr:uid="{00000000-0005-0000-0000-000079000000}"/>
    <cellStyle name="Normal 10 2 2 2 2 2" xfId="1227" xr:uid="{00000000-0005-0000-0000-00007A000000}"/>
    <cellStyle name="Normal 10 2 2 2 2 2 2" xfId="3062" xr:uid="{00000000-0005-0000-0000-00007B000000}"/>
    <cellStyle name="Normal 10 2 2 2 2 2 3" xfId="2561" xr:uid="{00000000-0005-0000-0000-00007C000000}"/>
    <cellStyle name="Normal 10 2 2 2 2 3" xfId="2764" xr:uid="{00000000-0005-0000-0000-00007D000000}"/>
    <cellStyle name="Normal 10 2 2 2 2 4" xfId="2263" xr:uid="{00000000-0005-0000-0000-00007E000000}"/>
    <cellStyle name="Normal 10 2 2 2 3" xfId="1064" xr:uid="{00000000-0005-0000-0000-00007F000000}"/>
    <cellStyle name="Normal 10 2 2 2 3 2" xfId="2863" xr:uid="{00000000-0005-0000-0000-000080000000}"/>
    <cellStyle name="Normal 10 2 2 2 3 3" xfId="2362" xr:uid="{00000000-0005-0000-0000-000081000000}"/>
    <cellStyle name="Normal 10 2 2 2 4" xfId="1086" xr:uid="{00000000-0005-0000-0000-000082000000}"/>
    <cellStyle name="Normal 10 2 2 2 4 2" xfId="2962" xr:uid="{00000000-0005-0000-0000-000083000000}"/>
    <cellStyle name="Normal 10 2 2 2 4 3" xfId="2461" xr:uid="{00000000-0005-0000-0000-000084000000}"/>
    <cellStyle name="Normal 10 2 2 2 5" xfId="1326" xr:uid="{00000000-0005-0000-0000-000085000000}"/>
    <cellStyle name="Normal 10 2 2 2 5 2" xfId="2664" xr:uid="{00000000-0005-0000-0000-000086000000}"/>
    <cellStyle name="Normal 10 2 2 2 6" xfId="1760" xr:uid="{00000000-0005-0000-0000-000087000000}"/>
    <cellStyle name="Normal 10 2 2 2 7" xfId="2163" xr:uid="{00000000-0005-0000-0000-000088000000}"/>
    <cellStyle name="Normal 10 2 2 3" xfId="600" xr:uid="{00000000-0005-0000-0000-000089000000}"/>
    <cellStyle name="Normal 10 2 2 3 2" xfId="970" xr:uid="{00000000-0005-0000-0000-00008A000000}"/>
    <cellStyle name="Normal 10 2 2 3 2 2" xfId="3016" xr:uid="{00000000-0005-0000-0000-00008B000000}"/>
    <cellStyle name="Normal 10 2 2 3 2 3" xfId="2515" xr:uid="{00000000-0005-0000-0000-00008C000000}"/>
    <cellStyle name="Normal 10 2 2 3 3" xfId="2718" xr:uid="{00000000-0005-0000-0000-00008D000000}"/>
    <cellStyle name="Normal 10 2 2 3 4" xfId="2217" xr:uid="{00000000-0005-0000-0000-00008E000000}"/>
    <cellStyle name="Normal 10 2 2 4" xfId="961" xr:uid="{00000000-0005-0000-0000-00008F000000}"/>
    <cellStyle name="Normal 10 2 2 4 2" xfId="2817" xr:uid="{00000000-0005-0000-0000-000090000000}"/>
    <cellStyle name="Normal 10 2 2 4 3" xfId="2316" xr:uid="{00000000-0005-0000-0000-000091000000}"/>
    <cellStyle name="Normal 10 2 2 5" xfId="1163" xr:uid="{00000000-0005-0000-0000-000092000000}"/>
    <cellStyle name="Normal 10 2 2 5 2" xfId="2916" xr:uid="{00000000-0005-0000-0000-000093000000}"/>
    <cellStyle name="Normal 10 2 2 5 3" xfId="2415" xr:uid="{00000000-0005-0000-0000-000094000000}"/>
    <cellStyle name="Normal 10 2 2 6" xfId="1325" xr:uid="{00000000-0005-0000-0000-000095000000}"/>
    <cellStyle name="Normal 10 2 2 6 2" xfId="2618" xr:uid="{00000000-0005-0000-0000-000096000000}"/>
    <cellStyle name="Normal 10 2 2 7" xfId="1759" xr:uid="{00000000-0005-0000-0000-000097000000}"/>
    <cellStyle name="Normal 10 2 2 8" xfId="2117" xr:uid="{00000000-0005-0000-0000-000098000000}"/>
    <cellStyle name="Normal 10 2 3" xfId="144" xr:uid="{00000000-0005-0000-0000-000099000000}"/>
    <cellStyle name="Normal 10 2 3 2" xfId="145" xr:uid="{00000000-0005-0000-0000-00009A000000}"/>
    <cellStyle name="Normal 10 2 3 2 2" xfId="603" xr:uid="{00000000-0005-0000-0000-00009B000000}"/>
    <cellStyle name="Normal 10 2 3 2 2 2" xfId="3039" xr:uid="{00000000-0005-0000-0000-00009C000000}"/>
    <cellStyle name="Normal 10 2 3 2 2 3" xfId="2538" xr:uid="{00000000-0005-0000-0000-00009D000000}"/>
    <cellStyle name="Normal 10 2 3 2 3" xfId="1328" xr:uid="{00000000-0005-0000-0000-00009E000000}"/>
    <cellStyle name="Normal 10 2 3 2 3 2" xfId="2741" xr:uid="{00000000-0005-0000-0000-00009F000000}"/>
    <cellStyle name="Normal 10 2 3 2 4" xfId="1762" xr:uid="{00000000-0005-0000-0000-0000A0000000}"/>
    <cellStyle name="Normal 10 2 3 2 5" xfId="2240" xr:uid="{00000000-0005-0000-0000-0000A1000000}"/>
    <cellStyle name="Normal 10 2 3 3" xfId="602" xr:uid="{00000000-0005-0000-0000-0000A2000000}"/>
    <cellStyle name="Normal 10 2 3 3 2" xfId="2840" xr:uid="{00000000-0005-0000-0000-0000A3000000}"/>
    <cellStyle name="Normal 10 2 3 3 3" xfId="2339" xr:uid="{00000000-0005-0000-0000-0000A4000000}"/>
    <cellStyle name="Normal 10 2 3 4" xfId="1120" xr:uid="{00000000-0005-0000-0000-0000A5000000}"/>
    <cellStyle name="Normal 10 2 3 4 2" xfId="2939" xr:uid="{00000000-0005-0000-0000-0000A6000000}"/>
    <cellStyle name="Normal 10 2 3 4 3" xfId="2438" xr:uid="{00000000-0005-0000-0000-0000A7000000}"/>
    <cellStyle name="Normal 10 2 3 5" xfId="1327" xr:uid="{00000000-0005-0000-0000-0000A8000000}"/>
    <cellStyle name="Normal 10 2 3 5 2" xfId="2641" xr:uid="{00000000-0005-0000-0000-0000A9000000}"/>
    <cellStyle name="Normal 10 2 3 6" xfId="1761" xr:uid="{00000000-0005-0000-0000-0000AA000000}"/>
    <cellStyle name="Normal 10 2 3 7" xfId="2140" xr:uid="{00000000-0005-0000-0000-0000AB000000}"/>
    <cellStyle name="Normal 10 2 4" xfId="146" xr:uid="{00000000-0005-0000-0000-0000AC000000}"/>
    <cellStyle name="Normal 10 2 4 2" xfId="604" xr:uid="{00000000-0005-0000-0000-0000AD000000}"/>
    <cellStyle name="Normal 10 2 4 2 2" xfId="2994" xr:uid="{00000000-0005-0000-0000-0000AE000000}"/>
    <cellStyle name="Normal 10 2 4 2 3" xfId="2493" xr:uid="{00000000-0005-0000-0000-0000AF000000}"/>
    <cellStyle name="Normal 10 2 4 3" xfId="1329" xr:uid="{00000000-0005-0000-0000-0000B0000000}"/>
    <cellStyle name="Normal 10 2 4 3 2" xfId="2696" xr:uid="{00000000-0005-0000-0000-0000B1000000}"/>
    <cellStyle name="Normal 10 2 4 4" xfId="1763" xr:uid="{00000000-0005-0000-0000-0000B2000000}"/>
    <cellStyle name="Normal 10 2 4 5" xfId="2195" xr:uid="{00000000-0005-0000-0000-0000B3000000}"/>
    <cellStyle name="Normal 10 2 5" xfId="141" xr:uid="{00000000-0005-0000-0000-0000B4000000}"/>
    <cellStyle name="Normal 10 2 5 2" xfId="599" xr:uid="{00000000-0005-0000-0000-0000B5000000}"/>
    <cellStyle name="Normal 10 2 5 2 2" xfId="2795" xr:uid="{00000000-0005-0000-0000-0000B6000000}"/>
    <cellStyle name="Normal 10 2 5 3" xfId="1324" xr:uid="{00000000-0005-0000-0000-0000B7000000}"/>
    <cellStyle name="Normal 10 2 5 4" xfId="1758" xr:uid="{00000000-0005-0000-0000-0000B8000000}"/>
    <cellStyle name="Normal 10 2 5 5" xfId="2294" xr:uid="{00000000-0005-0000-0000-0000B9000000}"/>
    <cellStyle name="Normal 10 2 6" xfId="114" xr:uid="{00000000-0005-0000-0000-0000BA000000}"/>
    <cellStyle name="Normal 10 2 6 2" xfId="572" xr:uid="{00000000-0005-0000-0000-0000BB000000}"/>
    <cellStyle name="Normal 10 2 6 2 2" xfId="2894" xr:uid="{00000000-0005-0000-0000-0000BC000000}"/>
    <cellStyle name="Normal 10 2 6 3" xfId="1297" xr:uid="{00000000-0005-0000-0000-0000BD000000}"/>
    <cellStyle name="Normal 10 2 6 4" xfId="1731" xr:uid="{00000000-0005-0000-0000-0000BE000000}"/>
    <cellStyle name="Normal 10 2 6 5" xfId="2393" xr:uid="{00000000-0005-0000-0000-0000BF000000}"/>
    <cellStyle name="Normal 10 2 7" xfId="484" xr:uid="{00000000-0005-0000-0000-0000C0000000}"/>
    <cellStyle name="Normal 10 2 7 2" xfId="936" xr:uid="{00000000-0005-0000-0000-0000C1000000}"/>
    <cellStyle name="Normal 10 2 7 3" xfId="1660" xr:uid="{00000000-0005-0000-0000-0000C2000000}"/>
    <cellStyle name="Normal 10 2 7 4" xfId="2596" xr:uid="{00000000-0005-0000-0000-0000C3000000}"/>
    <cellStyle name="Normal 10 2 8" xfId="535" xr:uid="{00000000-0005-0000-0000-0000C4000000}"/>
    <cellStyle name="Normal 10 2 9" xfId="1260" xr:uid="{00000000-0005-0000-0000-0000C5000000}"/>
    <cellStyle name="Normal 10 3" xfId="147" xr:uid="{00000000-0005-0000-0000-0000C6000000}"/>
    <cellStyle name="Normal 10 3 2" xfId="148" xr:uid="{00000000-0005-0000-0000-0000C7000000}"/>
    <cellStyle name="Normal 10 3 2 2" xfId="606" xr:uid="{00000000-0005-0000-0000-0000C8000000}"/>
    <cellStyle name="Normal 10 3 2 2 2" xfId="1218" xr:uid="{00000000-0005-0000-0000-0000C9000000}"/>
    <cellStyle name="Normal 10 3 2 2 2 2" xfId="3051" xr:uid="{00000000-0005-0000-0000-0000CA000000}"/>
    <cellStyle name="Normal 10 3 2 2 2 3" xfId="2550" xr:uid="{00000000-0005-0000-0000-0000CB000000}"/>
    <cellStyle name="Normal 10 3 2 2 3" xfId="2753" xr:uid="{00000000-0005-0000-0000-0000CC000000}"/>
    <cellStyle name="Normal 10 3 2 2 4" xfId="2252" xr:uid="{00000000-0005-0000-0000-0000CD000000}"/>
    <cellStyle name="Normal 10 3 2 3" xfId="1174" xr:uid="{00000000-0005-0000-0000-0000CE000000}"/>
    <cellStyle name="Normal 10 3 2 3 2" xfId="2852" xr:uid="{00000000-0005-0000-0000-0000CF000000}"/>
    <cellStyle name="Normal 10 3 2 3 3" xfId="2351" xr:uid="{00000000-0005-0000-0000-0000D0000000}"/>
    <cellStyle name="Normal 10 3 2 4" xfId="519" xr:uid="{00000000-0005-0000-0000-0000D1000000}"/>
    <cellStyle name="Normal 10 3 2 4 2" xfId="2951" xr:uid="{00000000-0005-0000-0000-0000D2000000}"/>
    <cellStyle name="Normal 10 3 2 4 3" xfId="2450" xr:uid="{00000000-0005-0000-0000-0000D3000000}"/>
    <cellStyle name="Normal 10 3 2 5" xfId="1331" xr:uid="{00000000-0005-0000-0000-0000D4000000}"/>
    <cellStyle name="Normal 10 3 2 5 2" xfId="2653" xr:uid="{00000000-0005-0000-0000-0000D5000000}"/>
    <cellStyle name="Normal 10 3 2 6" xfId="1765" xr:uid="{00000000-0005-0000-0000-0000D6000000}"/>
    <cellStyle name="Normal 10 3 2 7" xfId="2152" xr:uid="{00000000-0005-0000-0000-0000D7000000}"/>
    <cellStyle name="Normal 10 3 3" xfId="605" xr:uid="{00000000-0005-0000-0000-0000D8000000}"/>
    <cellStyle name="Normal 10 3 3 2" xfId="1098" xr:uid="{00000000-0005-0000-0000-0000D9000000}"/>
    <cellStyle name="Normal 10 3 3 2 2" xfId="3005" xr:uid="{00000000-0005-0000-0000-0000DA000000}"/>
    <cellStyle name="Normal 10 3 3 2 3" xfId="2504" xr:uid="{00000000-0005-0000-0000-0000DB000000}"/>
    <cellStyle name="Normal 10 3 3 3" xfId="2707" xr:uid="{00000000-0005-0000-0000-0000DC000000}"/>
    <cellStyle name="Normal 10 3 3 4" xfId="2206" xr:uid="{00000000-0005-0000-0000-0000DD000000}"/>
    <cellStyle name="Normal 10 3 4" xfId="1039" xr:uid="{00000000-0005-0000-0000-0000DE000000}"/>
    <cellStyle name="Normal 10 3 4 2" xfId="2806" xr:uid="{00000000-0005-0000-0000-0000DF000000}"/>
    <cellStyle name="Normal 10 3 4 3" xfId="2305" xr:uid="{00000000-0005-0000-0000-0000E0000000}"/>
    <cellStyle name="Normal 10 3 5" xfId="1182" xr:uid="{00000000-0005-0000-0000-0000E1000000}"/>
    <cellStyle name="Normal 10 3 5 2" xfId="2905" xr:uid="{00000000-0005-0000-0000-0000E2000000}"/>
    <cellStyle name="Normal 10 3 5 3" xfId="2404" xr:uid="{00000000-0005-0000-0000-0000E3000000}"/>
    <cellStyle name="Normal 10 3 6" xfId="1330" xr:uid="{00000000-0005-0000-0000-0000E4000000}"/>
    <cellStyle name="Normal 10 3 6 2" xfId="2607" xr:uid="{00000000-0005-0000-0000-0000E5000000}"/>
    <cellStyle name="Normal 10 3 7" xfId="1764" xr:uid="{00000000-0005-0000-0000-0000E6000000}"/>
    <cellStyle name="Normal 10 3 8" xfId="2106" xr:uid="{00000000-0005-0000-0000-0000E7000000}"/>
    <cellStyle name="Normal 10 4" xfId="149" xr:uid="{00000000-0005-0000-0000-0000E8000000}"/>
    <cellStyle name="Normal 10 4 2" xfId="150" xr:uid="{00000000-0005-0000-0000-0000E9000000}"/>
    <cellStyle name="Normal 10 4 2 2" xfId="608" xr:uid="{00000000-0005-0000-0000-0000EA000000}"/>
    <cellStyle name="Normal 10 4 2 2 2" xfId="3028" xr:uid="{00000000-0005-0000-0000-0000EB000000}"/>
    <cellStyle name="Normal 10 4 2 2 3" xfId="2527" xr:uid="{00000000-0005-0000-0000-0000EC000000}"/>
    <cellStyle name="Normal 10 4 2 3" xfId="1333" xr:uid="{00000000-0005-0000-0000-0000ED000000}"/>
    <cellStyle name="Normal 10 4 2 3 2" xfId="2730" xr:uid="{00000000-0005-0000-0000-0000EE000000}"/>
    <cellStyle name="Normal 10 4 2 4" xfId="1767" xr:uid="{00000000-0005-0000-0000-0000EF000000}"/>
    <cellStyle name="Normal 10 4 2 5" xfId="2229" xr:uid="{00000000-0005-0000-0000-0000F0000000}"/>
    <cellStyle name="Normal 10 4 3" xfId="607" xr:uid="{00000000-0005-0000-0000-0000F1000000}"/>
    <cellStyle name="Normal 10 4 3 2" xfId="2829" xr:uid="{00000000-0005-0000-0000-0000F2000000}"/>
    <cellStyle name="Normal 10 4 3 3" xfId="2328" xr:uid="{00000000-0005-0000-0000-0000F3000000}"/>
    <cellStyle name="Normal 10 4 4" xfId="1078" xr:uid="{00000000-0005-0000-0000-0000F4000000}"/>
    <cellStyle name="Normal 10 4 4 2" xfId="2928" xr:uid="{00000000-0005-0000-0000-0000F5000000}"/>
    <cellStyle name="Normal 10 4 4 3" xfId="2427" xr:uid="{00000000-0005-0000-0000-0000F6000000}"/>
    <cellStyle name="Normal 10 4 5" xfId="1332" xr:uid="{00000000-0005-0000-0000-0000F7000000}"/>
    <cellStyle name="Normal 10 4 5 2" xfId="2630" xr:uid="{00000000-0005-0000-0000-0000F8000000}"/>
    <cellStyle name="Normal 10 4 6" xfId="1766" xr:uid="{00000000-0005-0000-0000-0000F9000000}"/>
    <cellStyle name="Normal 10 4 7" xfId="2129" xr:uid="{00000000-0005-0000-0000-0000FA000000}"/>
    <cellStyle name="Normal 10 5" xfId="151" xr:uid="{00000000-0005-0000-0000-0000FB000000}"/>
    <cellStyle name="Normal 10 5 2" xfId="609" xr:uid="{00000000-0005-0000-0000-0000FC000000}"/>
    <cellStyle name="Normal 10 5 2 2" xfId="1112" xr:uid="{00000000-0005-0000-0000-0000FD000000}"/>
    <cellStyle name="Normal 10 5 2 2 2" xfId="2983" xr:uid="{00000000-0005-0000-0000-0000FE000000}"/>
    <cellStyle name="Normal 10 5 2 2 3" xfId="2482" xr:uid="{00000000-0005-0000-0000-0000FF000000}"/>
    <cellStyle name="Normal 10 5 2 3" xfId="2685" xr:uid="{00000000-0005-0000-0000-000000010000}"/>
    <cellStyle name="Normal 10 5 2 4" xfId="2184" xr:uid="{00000000-0005-0000-0000-000001010000}"/>
    <cellStyle name="Normal 10 5 3" xfId="1160" xr:uid="{00000000-0005-0000-0000-000002010000}"/>
    <cellStyle name="Normal 10 5 3 2" xfId="2784" xr:uid="{00000000-0005-0000-0000-000003010000}"/>
    <cellStyle name="Normal 10 5 3 3" xfId="2283" xr:uid="{00000000-0005-0000-0000-000004010000}"/>
    <cellStyle name="Normal 10 5 4" xfId="1065" xr:uid="{00000000-0005-0000-0000-000005010000}"/>
    <cellStyle name="Normal 10 5 4 2" xfId="2883" xr:uid="{00000000-0005-0000-0000-000006010000}"/>
    <cellStyle name="Normal 10 5 4 3" xfId="2382" xr:uid="{00000000-0005-0000-0000-000007010000}"/>
    <cellStyle name="Normal 10 5 5" xfId="1334" xr:uid="{00000000-0005-0000-0000-000008010000}"/>
    <cellStyle name="Normal 10 5 5 2" xfId="2585" xr:uid="{00000000-0005-0000-0000-000009010000}"/>
    <cellStyle name="Normal 10 5 6" xfId="1768" xr:uid="{00000000-0005-0000-0000-00000A010000}"/>
    <cellStyle name="Normal 10 5 7" xfId="2084" xr:uid="{00000000-0005-0000-0000-00000B010000}"/>
    <cellStyle name="Normal 10 6" xfId="452" xr:uid="{00000000-0005-0000-0000-00000C010000}"/>
    <cellStyle name="Normal 10 6 2" xfId="904" xr:uid="{00000000-0005-0000-0000-00000D010000}"/>
    <cellStyle name="Normal 10 6 2 2" xfId="2973" xr:uid="{00000000-0005-0000-0000-00000E010000}"/>
    <cellStyle name="Normal 10 6 2 3" xfId="2472" xr:uid="{00000000-0005-0000-0000-00000F010000}"/>
    <cellStyle name="Normal 10 6 3" xfId="1628" xr:uid="{00000000-0005-0000-0000-000010010000}"/>
    <cellStyle name="Normal 10 6 3 2" xfId="2675" xr:uid="{00000000-0005-0000-0000-000011010000}"/>
    <cellStyle name="Normal 10 6 4" xfId="2062" xr:uid="{00000000-0005-0000-0000-000012010000}"/>
    <cellStyle name="Normal 10 6 5" xfId="2174" xr:uid="{00000000-0005-0000-0000-000013010000}"/>
    <cellStyle name="Normal 10 7" xfId="140" xr:uid="{00000000-0005-0000-0000-000014010000}"/>
    <cellStyle name="Normal 10 7 2" xfId="598" xr:uid="{00000000-0005-0000-0000-000015010000}"/>
    <cellStyle name="Normal 10 7 2 2" xfId="2774" xr:uid="{00000000-0005-0000-0000-000016010000}"/>
    <cellStyle name="Normal 10 7 3" xfId="1323" xr:uid="{00000000-0005-0000-0000-000017010000}"/>
    <cellStyle name="Normal 10 7 4" xfId="1757" xr:uid="{00000000-0005-0000-0000-000018010000}"/>
    <cellStyle name="Normal 10 7 5" xfId="2273" xr:uid="{00000000-0005-0000-0000-000019010000}"/>
    <cellStyle name="Normal 10 8" xfId="97" xr:uid="{00000000-0005-0000-0000-00001A010000}"/>
    <cellStyle name="Normal 10 8 2" xfId="555" xr:uid="{00000000-0005-0000-0000-00001B010000}"/>
    <cellStyle name="Normal 10 8 2 2" xfId="2873" xr:uid="{00000000-0005-0000-0000-00001C010000}"/>
    <cellStyle name="Normal 10 8 3" xfId="1280" xr:uid="{00000000-0005-0000-0000-00001D010000}"/>
    <cellStyle name="Normal 10 8 4" xfId="1714" xr:uid="{00000000-0005-0000-0000-00001E010000}"/>
    <cellStyle name="Normal 10 8 5" xfId="2372" xr:uid="{00000000-0005-0000-0000-00001F010000}"/>
    <cellStyle name="Normal 10 9" xfId="467" xr:uid="{00000000-0005-0000-0000-000020010000}"/>
    <cellStyle name="Normal 10 9 2" xfId="919" xr:uid="{00000000-0005-0000-0000-000021010000}"/>
    <cellStyle name="Normal 10 9 3" xfId="1643" xr:uid="{00000000-0005-0000-0000-000022010000}"/>
    <cellStyle name="Normal 10 9 4" xfId="2575" xr:uid="{00000000-0005-0000-0000-000023010000}"/>
    <cellStyle name="Normal 11" xfId="39" xr:uid="{00000000-0005-0000-0000-000024010000}"/>
    <cellStyle name="Normal 11 10" xfId="2079" xr:uid="{00000000-0005-0000-0000-000025010000}"/>
    <cellStyle name="Normal 11 2" xfId="68" xr:uid="{00000000-0005-0000-0000-000026010000}"/>
    <cellStyle name="Normal 11 2 2" xfId="1008" xr:uid="{00000000-0005-0000-0000-000027010000}"/>
    <cellStyle name="Normal 11 2 2 2" xfId="1016" xr:uid="{00000000-0005-0000-0000-000028010000}"/>
    <cellStyle name="Normal 11 2 2 2 2" xfId="1036" xr:uid="{00000000-0005-0000-0000-000029010000}"/>
    <cellStyle name="Normal 11 2 2 2 2 2" xfId="1231" xr:uid="{00000000-0005-0000-0000-00002A010000}"/>
    <cellStyle name="Normal 11 2 2 2 2 2 2" xfId="3067" xr:uid="{00000000-0005-0000-0000-00002B010000}"/>
    <cellStyle name="Normal 11 2 2 2 2 2 3" xfId="2566" xr:uid="{00000000-0005-0000-0000-00002C010000}"/>
    <cellStyle name="Normal 11 2 2 2 2 3" xfId="2769" xr:uid="{00000000-0005-0000-0000-00002D010000}"/>
    <cellStyle name="Normal 11 2 2 2 2 4" xfId="2268" xr:uid="{00000000-0005-0000-0000-00002E010000}"/>
    <cellStyle name="Normal 11 2 2 2 3" xfId="1178" xr:uid="{00000000-0005-0000-0000-00002F010000}"/>
    <cellStyle name="Normal 11 2 2 2 3 2" xfId="2868" xr:uid="{00000000-0005-0000-0000-000030010000}"/>
    <cellStyle name="Normal 11 2 2 2 3 3" xfId="2367" xr:uid="{00000000-0005-0000-0000-000031010000}"/>
    <cellStyle name="Normal 11 2 2 2 4" xfId="1089" xr:uid="{00000000-0005-0000-0000-000032010000}"/>
    <cellStyle name="Normal 11 2 2 2 4 2" xfId="2967" xr:uid="{00000000-0005-0000-0000-000033010000}"/>
    <cellStyle name="Normal 11 2 2 2 4 3" xfId="2466" xr:uid="{00000000-0005-0000-0000-000034010000}"/>
    <cellStyle name="Normal 11 2 2 2 5" xfId="2669" xr:uid="{00000000-0005-0000-0000-000035010000}"/>
    <cellStyle name="Normal 11 2 2 2 6" xfId="2168" xr:uid="{00000000-0005-0000-0000-000036010000}"/>
    <cellStyle name="Normal 11 2 2 3" xfId="1181" xr:uid="{00000000-0005-0000-0000-000037010000}"/>
    <cellStyle name="Normal 11 2 2 3 2" xfId="1195" xr:uid="{00000000-0005-0000-0000-000038010000}"/>
    <cellStyle name="Normal 11 2 2 3 2 2" xfId="3021" xr:uid="{00000000-0005-0000-0000-000039010000}"/>
    <cellStyle name="Normal 11 2 2 3 2 3" xfId="2520" xr:uid="{00000000-0005-0000-0000-00003A010000}"/>
    <cellStyle name="Normal 11 2 2 3 3" xfId="2723" xr:uid="{00000000-0005-0000-0000-00003B010000}"/>
    <cellStyle name="Normal 11 2 2 3 4" xfId="2222" xr:uid="{00000000-0005-0000-0000-00003C010000}"/>
    <cellStyle name="Normal 11 2 2 4" xfId="1052" xr:uid="{00000000-0005-0000-0000-00003D010000}"/>
    <cellStyle name="Normal 11 2 2 4 2" xfId="2822" xr:uid="{00000000-0005-0000-0000-00003E010000}"/>
    <cellStyle name="Normal 11 2 2 4 3" xfId="2321" xr:uid="{00000000-0005-0000-0000-00003F010000}"/>
    <cellStyle name="Normal 11 2 2 5" xfId="1075" xr:uid="{00000000-0005-0000-0000-000040010000}"/>
    <cellStyle name="Normal 11 2 2 5 2" xfId="2921" xr:uid="{00000000-0005-0000-0000-000041010000}"/>
    <cellStyle name="Normal 11 2 2 5 3" xfId="2420" xr:uid="{00000000-0005-0000-0000-000042010000}"/>
    <cellStyle name="Normal 11 2 2 6" xfId="2623" xr:uid="{00000000-0005-0000-0000-000043010000}"/>
    <cellStyle name="Normal 11 2 2 7" xfId="2122" xr:uid="{00000000-0005-0000-0000-000044010000}"/>
    <cellStyle name="Normal 11 2 3" xfId="1136" xr:uid="{00000000-0005-0000-0000-000045010000}"/>
    <cellStyle name="Normal 11 2 3 2" xfId="522" xr:uid="{00000000-0005-0000-0000-000046010000}"/>
    <cellStyle name="Normal 11 2 3 2 2" xfId="1213" xr:uid="{00000000-0005-0000-0000-000047010000}"/>
    <cellStyle name="Normal 11 2 3 2 2 2" xfId="3044" xr:uid="{00000000-0005-0000-0000-000048010000}"/>
    <cellStyle name="Normal 11 2 3 2 2 3" xfId="2543" xr:uid="{00000000-0005-0000-0000-000049010000}"/>
    <cellStyle name="Normal 11 2 3 2 3" xfId="2746" xr:uid="{00000000-0005-0000-0000-00004A010000}"/>
    <cellStyle name="Normal 11 2 3 2 4" xfId="2245" xr:uid="{00000000-0005-0000-0000-00004B010000}"/>
    <cellStyle name="Normal 11 2 3 3" xfId="1057" xr:uid="{00000000-0005-0000-0000-00004C010000}"/>
    <cellStyle name="Normal 11 2 3 3 2" xfId="2845" xr:uid="{00000000-0005-0000-0000-00004D010000}"/>
    <cellStyle name="Normal 11 2 3 3 3" xfId="2344" xr:uid="{00000000-0005-0000-0000-00004E010000}"/>
    <cellStyle name="Normal 11 2 3 4" xfId="1081" xr:uid="{00000000-0005-0000-0000-00004F010000}"/>
    <cellStyle name="Normal 11 2 3 4 2" xfId="2944" xr:uid="{00000000-0005-0000-0000-000050010000}"/>
    <cellStyle name="Normal 11 2 3 4 3" xfId="2443" xr:uid="{00000000-0005-0000-0000-000051010000}"/>
    <cellStyle name="Normal 11 2 3 5" xfId="2646" xr:uid="{00000000-0005-0000-0000-000052010000}"/>
    <cellStyle name="Normal 11 2 3 6" xfId="2145" xr:uid="{00000000-0005-0000-0000-000053010000}"/>
    <cellStyle name="Normal 11 2 4" xfId="1180" xr:uid="{00000000-0005-0000-0000-000054010000}"/>
    <cellStyle name="Normal 11 2 4 2" xfId="1154" xr:uid="{00000000-0005-0000-0000-000055010000}"/>
    <cellStyle name="Normal 11 2 4 2 2" xfId="2999" xr:uid="{00000000-0005-0000-0000-000056010000}"/>
    <cellStyle name="Normal 11 2 4 2 3" xfId="2498" xr:uid="{00000000-0005-0000-0000-000057010000}"/>
    <cellStyle name="Normal 11 2 4 3" xfId="2701" xr:uid="{00000000-0005-0000-0000-000058010000}"/>
    <cellStyle name="Normal 11 2 4 4" xfId="2200" xr:uid="{00000000-0005-0000-0000-000059010000}"/>
    <cellStyle name="Normal 11 2 5" xfId="1046" xr:uid="{00000000-0005-0000-0000-00005A010000}"/>
    <cellStyle name="Normal 11 2 5 2" xfId="2800" xr:uid="{00000000-0005-0000-0000-00005B010000}"/>
    <cellStyle name="Normal 11 2 5 3" xfId="2299" xr:uid="{00000000-0005-0000-0000-00005C010000}"/>
    <cellStyle name="Normal 11 2 6" xfId="1099" xr:uid="{00000000-0005-0000-0000-00005D010000}"/>
    <cellStyle name="Normal 11 2 6 2" xfId="2899" xr:uid="{00000000-0005-0000-0000-00005E010000}"/>
    <cellStyle name="Normal 11 2 6 3" xfId="2398" xr:uid="{00000000-0005-0000-0000-00005F010000}"/>
    <cellStyle name="Normal 11 2 7" xfId="957" xr:uid="{00000000-0005-0000-0000-000060010000}"/>
    <cellStyle name="Normal 11 2 7 2" xfId="2601" xr:uid="{00000000-0005-0000-0000-000061010000}"/>
    <cellStyle name="Normal 11 2 8" xfId="2100" xr:uid="{00000000-0005-0000-0000-000062010000}"/>
    <cellStyle name="Normal 11 3" xfId="1129" xr:uid="{00000000-0005-0000-0000-000063010000}"/>
    <cellStyle name="Normal 11 3 2" xfId="1012" xr:uid="{00000000-0005-0000-0000-000064010000}"/>
    <cellStyle name="Normal 11 3 2 2" xfId="980" xr:uid="{00000000-0005-0000-0000-000065010000}"/>
    <cellStyle name="Normal 11 3 2 2 2" xfId="1222" xr:uid="{00000000-0005-0000-0000-000066010000}"/>
    <cellStyle name="Normal 11 3 2 2 2 2" xfId="3056" xr:uid="{00000000-0005-0000-0000-000067010000}"/>
    <cellStyle name="Normal 11 3 2 2 2 3" xfId="2555" xr:uid="{00000000-0005-0000-0000-000068010000}"/>
    <cellStyle name="Normal 11 3 2 2 3" xfId="2758" xr:uid="{00000000-0005-0000-0000-000069010000}"/>
    <cellStyle name="Normal 11 3 2 2 4" xfId="2257" xr:uid="{00000000-0005-0000-0000-00006A010000}"/>
    <cellStyle name="Normal 11 3 2 3" xfId="1055" xr:uid="{00000000-0005-0000-0000-00006B010000}"/>
    <cellStyle name="Normal 11 3 2 3 2" xfId="2857" xr:uid="{00000000-0005-0000-0000-00006C010000}"/>
    <cellStyle name="Normal 11 3 2 3 3" xfId="2356" xr:uid="{00000000-0005-0000-0000-00006D010000}"/>
    <cellStyle name="Normal 11 3 2 4" xfId="1106" xr:uid="{00000000-0005-0000-0000-00006E010000}"/>
    <cellStyle name="Normal 11 3 2 4 2" xfId="2956" xr:uid="{00000000-0005-0000-0000-00006F010000}"/>
    <cellStyle name="Normal 11 3 2 4 3" xfId="2455" xr:uid="{00000000-0005-0000-0000-000070010000}"/>
    <cellStyle name="Normal 11 3 2 5" xfId="2658" xr:uid="{00000000-0005-0000-0000-000071010000}"/>
    <cellStyle name="Normal 11 3 2 6" xfId="2157" xr:uid="{00000000-0005-0000-0000-000072010000}"/>
    <cellStyle name="Normal 11 3 3" xfId="962" xr:uid="{00000000-0005-0000-0000-000073010000}"/>
    <cellStyle name="Normal 11 3 3 2" xfId="1097" xr:uid="{00000000-0005-0000-0000-000074010000}"/>
    <cellStyle name="Normal 11 3 3 2 2" xfId="3010" xr:uid="{00000000-0005-0000-0000-000075010000}"/>
    <cellStyle name="Normal 11 3 3 2 3" xfId="2509" xr:uid="{00000000-0005-0000-0000-000076010000}"/>
    <cellStyle name="Normal 11 3 3 3" xfId="2712" xr:uid="{00000000-0005-0000-0000-000077010000}"/>
    <cellStyle name="Normal 11 3 3 4" xfId="2211" xr:uid="{00000000-0005-0000-0000-000078010000}"/>
    <cellStyle name="Normal 11 3 4" xfId="1158" xr:uid="{00000000-0005-0000-0000-000079010000}"/>
    <cellStyle name="Normal 11 3 4 2" xfId="2811" xr:uid="{00000000-0005-0000-0000-00007A010000}"/>
    <cellStyle name="Normal 11 3 4 3" xfId="2310" xr:uid="{00000000-0005-0000-0000-00007B010000}"/>
    <cellStyle name="Normal 11 3 5" xfId="1188" xr:uid="{00000000-0005-0000-0000-00007C010000}"/>
    <cellStyle name="Normal 11 3 5 2" xfId="2910" xr:uid="{00000000-0005-0000-0000-00007D010000}"/>
    <cellStyle name="Normal 11 3 5 3" xfId="2409" xr:uid="{00000000-0005-0000-0000-00007E010000}"/>
    <cellStyle name="Normal 11 3 6" xfId="2612" xr:uid="{00000000-0005-0000-0000-00007F010000}"/>
    <cellStyle name="Normal 11 3 7" xfId="2111" xr:uid="{00000000-0005-0000-0000-000080010000}"/>
    <cellStyle name="Normal 11 4" xfId="955" xr:uid="{00000000-0005-0000-0000-000081010000}"/>
    <cellStyle name="Normal 11 4 2" xfId="975" xr:uid="{00000000-0005-0000-0000-000082010000}"/>
    <cellStyle name="Normal 11 4 2 2" xfId="1205" xr:uid="{00000000-0005-0000-0000-000083010000}"/>
    <cellStyle name="Normal 11 4 2 2 2" xfId="3033" xr:uid="{00000000-0005-0000-0000-000084010000}"/>
    <cellStyle name="Normal 11 4 2 2 3" xfId="2532" xr:uid="{00000000-0005-0000-0000-000085010000}"/>
    <cellStyle name="Normal 11 4 2 3" xfId="2735" xr:uid="{00000000-0005-0000-0000-000086010000}"/>
    <cellStyle name="Normal 11 4 2 4" xfId="2234" xr:uid="{00000000-0005-0000-0000-000087010000}"/>
    <cellStyle name="Normal 11 4 3" xfId="1100" xr:uid="{00000000-0005-0000-0000-000088010000}"/>
    <cellStyle name="Normal 11 4 3 2" xfId="2834" xr:uid="{00000000-0005-0000-0000-000089010000}"/>
    <cellStyle name="Normal 11 4 3 3" xfId="2333" xr:uid="{00000000-0005-0000-0000-00008A010000}"/>
    <cellStyle name="Normal 11 4 4" xfId="1137" xr:uid="{00000000-0005-0000-0000-00008B010000}"/>
    <cellStyle name="Normal 11 4 4 2" xfId="2933" xr:uid="{00000000-0005-0000-0000-00008C010000}"/>
    <cellStyle name="Normal 11 4 4 3" xfId="2432" xr:uid="{00000000-0005-0000-0000-00008D010000}"/>
    <cellStyle name="Normal 11 4 5" xfId="2635" xr:uid="{00000000-0005-0000-0000-00008E010000}"/>
    <cellStyle name="Normal 11 4 6" xfId="2134" xr:uid="{00000000-0005-0000-0000-00008F010000}"/>
    <cellStyle name="Normal 11 5" xfId="1196" xr:uid="{00000000-0005-0000-0000-000090010000}"/>
    <cellStyle name="Normal 11 5 2" xfId="1190" xr:uid="{00000000-0005-0000-0000-000091010000}"/>
    <cellStyle name="Normal 11 5 2 2" xfId="1095" xr:uid="{00000000-0005-0000-0000-000092010000}"/>
    <cellStyle name="Normal 11 5 2 2 2" xfId="2988" xr:uid="{00000000-0005-0000-0000-000093010000}"/>
    <cellStyle name="Normal 11 5 2 2 3" xfId="2487" xr:uid="{00000000-0005-0000-0000-000094010000}"/>
    <cellStyle name="Normal 11 5 2 3" xfId="2690" xr:uid="{00000000-0005-0000-0000-000095010000}"/>
    <cellStyle name="Normal 11 5 2 4" xfId="2189" xr:uid="{00000000-0005-0000-0000-000096010000}"/>
    <cellStyle name="Normal 11 5 3" xfId="1043" xr:uid="{00000000-0005-0000-0000-000097010000}"/>
    <cellStyle name="Normal 11 5 3 2" xfId="2789" xr:uid="{00000000-0005-0000-0000-000098010000}"/>
    <cellStyle name="Normal 11 5 3 3" xfId="2288" xr:uid="{00000000-0005-0000-0000-000099010000}"/>
    <cellStyle name="Normal 11 5 4" xfId="1171" xr:uid="{00000000-0005-0000-0000-00009A010000}"/>
    <cellStyle name="Normal 11 5 4 2" xfId="2888" xr:uid="{00000000-0005-0000-0000-00009B010000}"/>
    <cellStyle name="Normal 11 5 4 3" xfId="2387" xr:uid="{00000000-0005-0000-0000-00009C010000}"/>
    <cellStyle name="Normal 11 5 5" xfId="2590" xr:uid="{00000000-0005-0000-0000-00009D010000}"/>
    <cellStyle name="Normal 11 5 6" xfId="2089" xr:uid="{00000000-0005-0000-0000-00009E010000}"/>
    <cellStyle name="Normal 11 6" xfId="1020" xr:uid="{00000000-0005-0000-0000-00009F010000}"/>
    <cellStyle name="Normal 11 6 2" xfId="952" xr:uid="{00000000-0005-0000-0000-0000A0010000}"/>
    <cellStyle name="Normal 11 6 2 2" xfId="2978" xr:uid="{00000000-0005-0000-0000-0000A1010000}"/>
    <cellStyle name="Normal 11 6 2 3" xfId="2477" xr:uid="{00000000-0005-0000-0000-0000A2010000}"/>
    <cellStyle name="Normal 11 6 3" xfId="2680" xr:uid="{00000000-0005-0000-0000-0000A3010000}"/>
    <cellStyle name="Normal 11 6 4" xfId="2179" xr:uid="{00000000-0005-0000-0000-0000A4010000}"/>
    <cellStyle name="Normal 11 7" xfId="981" xr:uid="{00000000-0005-0000-0000-0000A5010000}"/>
    <cellStyle name="Normal 11 7 2" xfId="2779" xr:uid="{00000000-0005-0000-0000-0000A6010000}"/>
    <cellStyle name="Normal 11 7 3" xfId="2278" xr:uid="{00000000-0005-0000-0000-0000A7010000}"/>
    <cellStyle name="Normal 11 8" xfId="1143" xr:uid="{00000000-0005-0000-0000-0000A8010000}"/>
    <cellStyle name="Normal 11 8 2" xfId="2878" xr:uid="{00000000-0005-0000-0000-0000A9010000}"/>
    <cellStyle name="Normal 11 8 3" xfId="2377" xr:uid="{00000000-0005-0000-0000-0000AA010000}"/>
    <cellStyle name="Normal 11 9" xfId="496" xr:uid="{00000000-0005-0000-0000-0000AB010000}"/>
    <cellStyle name="Normal 11 9 2" xfId="2580" xr:uid="{00000000-0005-0000-0000-0000AC010000}"/>
    <cellStyle name="Normal 12" xfId="66" xr:uid="{00000000-0005-0000-0000-0000AD010000}"/>
    <cellStyle name="Normal 12 2" xfId="21" xr:uid="{00000000-0005-0000-0000-0000AE010000}"/>
    <cellStyle name="Normal 12 2 2" xfId="154" xr:uid="{00000000-0005-0000-0000-0000AF010000}"/>
    <cellStyle name="Normal 12 2 2 2" xfId="612" xr:uid="{00000000-0005-0000-0000-0000B0010000}"/>
    <cellStyle name="Normal 12 2 2 3" xfId="1019" xr:uid="{00000000-0005-0000-0000-0000B1010000}"/>
    <cellStyle name="Normal 12 2 2 4" xfId="1337" xr:uid="{00000000-0005-0000-0000-0000B2010000}"/>
    <cellStyle name="Normal 12 2 2 5" xfId="1771" xr:uid="{00000000-0005-0000-0000-0000B3010000}"/>
    <cellStyle name="Normal 12 2 3" xfId="611" xr:uid="{00000000-0005-0000-0000-0000B4010000}"/>
    <cellStyle name="Normal 12 2 4" xfId="1005" xr:uid="{00000000-0005-0000-0000-0000B5010000}"/>
    <cellStyle name="Normal 12 2 5" xfId="1336" xr:uid="{00000000-0005-0000-0000-0000B6010000}"/>
    <cellStyle name="Normal 12 2 6" xfId="1770" xr:uid="{00000000-0005-0000-0000-0000B7010000}"/>
    <cellStyle name="Normal 12 2 7" xfId="153" xr:uid="{00000000-0005-0000-0000-0000B8010000}"/>
    <cellStyle name="Normal 12 3" xfId="155" xr:uid="{00000000-0005-0000-0000-0000B9010000}"/>
    <cellStyle name="Normal 12 3 2" xfId="156" xr:uid="{00000000-0005-0000-0000-0000BA010000}"/>
    <cellStyle name="Normal 12 3 2 2" xfId="614" xr:uid="{00000000-0005-0000-0000-0000BB010000}"/>
    <cellStyle name="Normal 12 3 2 3" xfId="1339" xr:uid="{00000000-0005-0000-0000-0000BC010000}"/>
    <cellStyle name="Normal 12 3 2 4" xfId="1773" xr:uid="{00000000-0005-0000-0000-0000BD010000}"/>
    <cellStyle name="Normal 12 3 3" xfId="613" xr:uid="{00000000-0005-0000-0000-0000BE010000}"/>
    <cellStyle name="Normal 12 3 4" xfId="1338" xr:uid="{00000000-0005-0000-0000-0000BF010000}"/>
    <cellStyle name="Normal 12 3 5" xfId="1772" xr:uid="{00000000-0005-0000-0000-0000C0010000}"/>
    <cellStyle name="Normal 12 4" xfId="157" xr:uid="{00000000-0005-0000-0000-0000C1010000}"/>
    <cellStyle name="Normal 12 4 2" xfId="615" xr:uid="{00000000-0005-0000-0000-0000C2010000}"/>
    <cellStyle name="Normal 12 4 3" xfId="1340" xr:uid="{00000000-0005-0000-0000-0000C3010000}"/>
    <cellStyle name="Normal 12 4 4" xfId="1774" xr:uid="{00000000-0005-0000-0000-0000C4010000}"/>
    <cellStyle name="Normal 12 5" xfId="152" xr:uid="{00000000-0005-0000-0000-0000C5010000}"/>
    <cellStyle name="Normal 12 5 2" xfId="610" xr:uid="{00000000-0005-0000-0000-0000C6010000}"/>
    <cellStyle name="Normal 12 5 3" xfId="1335" xr:uid="{00000000-0005-0000-0000-0000C7010000}"/>
    <cellStyle name="Normal 12 5 4" xfId="1769" xr:uid="{00000000-0005-0000-0000-0000C8010000}"/>
    <cellStyle name="Normal 13" xfId="65" xr:uid="{00000000-0005-0000-0000-0000C9010000}"/>
    <cellStyle name="Normal 13 2" xfId="158" xr:uid="{00000000-0005-0000-0000-0000CA010000}"/>
    <cellStyle name="Normal 13 2 2" xfId="1013" xr:uid="{00000000-0005-0000-0000-0000CB010000}"/>
    <cellStyle name="Normal 13 2 2 2" xfId="1184" xr:uid="{00000000-0005-0000-0000-0000CC010000}"/>
    <cellStyle name="Normal 13 2 2 2 2" xfId="1223" xr:uid="{00000000-0005-0000-0000-0000CD010000}"/>
    <cellStyle name="Normal 13 2 2 2 2 2" xfId="3057" xr:uid="{00000000-0005-0000-0000-0000CE010000}"/>
    <cellStyle name="Normal 13 2 2 2 2 3" xfId="2556" xr:uid="{00000000-0005-0000-0000-0000CF010000}"/>
    <cellStyle name="Normal 13 2 2 2 3" xfId="2759" xr:uid="{00000000-0005-0000-0000-0000D0010000}"/>
    <cellStyle name="Normal 13 2 2 2 4" xfId="2258" xr:uid="{00000000-0005-0000-0000-0000D1010000}"/>
    <cellStyle name="Normal 13 2 2 3" xfId="976" xr:uid="{00000000-0005-0000-0000-0000D2010000}"/>
    <cellStyle name="Normal 13 2 2 3 2" xfId="2858" xr:uid="{00000000-0005-0000-0000-0000D3010000}"/>
    <cellStyle name="Normal 13 2 2 3 3" xfId="2357" xr:uid="{00000000-0005-0000-0000-0000D4010000}"/>
    <cellStyle name="Normal 13 2 2 4" xfId="1085" xr:uid="{00000000-0005-0000-0000-0000D5010000}"/>
    <cellStyle name="Normal 13 2 2 4 2" xfId="2957" xr:uid="{00000000-0005-0000-0000-0000D6010000}"/>
    <cellStyle name="Normal 13 2 2 4 3" xfId="2456" xr:uid="{00000000-0005-0000-0000-0000D7010000}"/>
    <cellStyle name="Normal 13 2 2 5" xfId="2659" xr:uid="{00000000-0005-0000-0000-0000D8010000}"/>
    <cellStyle name="Normal 13 2 2 6" xfId="2158" xr:uid="{00000000-0005-0000-0000-0000D9010000}"/>
    <cellStyle name="Normal 13 2 3" xfId="1128" xr:uid="{00000000-0005-0000-0000-0000DA010000}"/>
    <cellStyle name="Normal 13 2 3 2" xfId="1000" xr:uid="{00000000-0005-0000-0000-0000DB010000}"/>
    <cellStyle name="Normal 13 2 3 2 2" xfId="3011" xr:uid="{00000000-0005-0000-0000-0000DC010000}"/>
    <cellStyle name="Normal 13 2 3 2 3" xfId="2510" xr:uid="{00000000-0005-0000-0000-0000DD010000}"/>
    <cellStyle name="Normal 13 2 3 3" xfId="2713" xr:uid="{00000000-0005-0000-0000-0000DE010000}"/>
    <cellStyle name="Normal 13 2 3 4" xfId="2212" xr:uid="{00000000-0005-0000-0000-0000DF010000}"/>
    <cellStyle name="Normal 13 2 4" xfId="953" xr:uid="{00000000-0005-0000-0000-0000E0010000}"/>
    <cellStyle name="Normal 13 2 4 2" xfId="2812" xr:uid="{00000000-0005-0000-0000-0000E1010000}"/>
    <cellStyle name="Normal 13 2 4 3" xfId="2311" xr:uid="{00000000-0005-0000-0000-0000E2010000}"/>
    <cellStyle name="Normal 13 2 5" xfId="956" xr:uid="{00000000-0005-0000-0000-0000E3010000}"/>
    <cellStyle name="Normal 13 2 5 2" xfId="2911" xr:uid="{00000000-0005-0000-0000-0000E4010000}"/>
    <cellStyle name="Normal 13 2 5 3" xfId="2410" xr:uid="{00000000-0005-0000-0000-0000E5010000}"/>
    <cellStyle name="Normal 13 2 6" xfId="1004" xr:uid="{00000000-0005-0000-0000-0000E6010000}"/>
    <cellStyle name="Normal 13 2 6 2" xfId="2613" xr:uid="{00000000-0005-0000-0000-0000E7010000}"/>
    <cellStyle name="Normal 13 2 7" xfId="2112" xr:uid="{00000000-0005-0000-0000-0000E8010000}"/>
    <cellStyle name="Normal 13 3" xfId="105" xr:uid="{00000000-0005-0000-0000-0000E9010000}"/>
    <cellStyle name="Normal 13 3 2" xfId="563" xr:uid="{00000000-0005-0000-0000-0000EA010000}"/>
    <cellStyle name="Normal 13 3 2 2" xfId="1206" xr:uid="{00000000-0005-0000-0000-0000EB010000}"/>
    <cellStyle name="Normal 13 3 2 2 2" xfId="3034" xr:uid="{00000000-0005-0000-0000-0000EC010000}"/>
    <cellStyle name="Normal 13 3 2 2 3" xfId="2533" xr:uid="{00000000-0005-0000-0000-0000ED010000}"/>
    <cellStyle name="Normal 13 3 2 3" xfId="2736" xr:uid="{00000000-0005-0000-0000-0000EE010000}"/>
    <cellStyle name="Normal 13 3 2 4" xfId="2235" xr:uid="{00000000-0005-0000-0000-0000EF010000}"/>
    <cellStyle name="Normal 13 3 3" xfId="1187" xr:uid="{00000000-0005-0000-0000-0000F0010000}"/>
    <cellStyle name="Normal 13 3 3 2" xfId="2835" xr:uid="{00000000-0005-0000-0000-0000F1010000}"/>
    <cellStyle name="Normal 13 3 3 3" xfId="2334" xr:uid="{00000000-0005-0000-0000-0000F2010000}"/>
    <cellStyle name="Normal 13 3 4" xfId="1166" xr:uid="{00000000-0005-0000-0000-0000F3010000}"/>
    <cellStyle name="Normal 13 3 4 2" xfId="2934" xr:uid="{00000000-0005-0000-0000-0000F4010000}"/>
    <cellStyle name="Normal 13 3 4 3" xfId="2433" xr:uid="{00000000-0005-0000-0000-0000F5010000}"/>
    <cellStyle name="Normal 13 3 5" xfId="1288" xr:uid="{00000000-0005-0000-0000-0000F6010000}"/>
    <cellStyle name="Normal 13 3 5 2" xfId="2636" xr:uid="{00000000-0005-0000-0000-0000F7010000}"/>
    <cellStyle name="Normal 13 3 6" xfId="1722" xr:uid="{00000000-0005-0000-0000-0000F8010000}"/>
    <cellStyle name="Normal 13 3 7" xfId="2135" xr:uid="{00000000-0005-0000-0000-0000F9010000}"/>
    <cellStyle name="Normal 13 4" xfId="475" xr:uid="{00000000-0005-0000-0000-0000FA010000}"/>
    <cellStyle name="Normal 13 4 2" xfId="927" xr:uid="{00000000-0005-0000-0000-0000FB010000}"/>
    <cellStyle name="Normal 13 4 2 2" xfId="2989" xr:uid="{00000000-0005-0000-0000-0000FC010000}"/>
    <cellStyle name="Normal 13 4 2 3" xfId="2488" xr:uid="{00000000-0005-0000-0000-0000FD010000}"/>
    <cellStyle name="Normal 13 4 3" xfId="1651" xr:uid="{00000000-0005-0000-0000-0000FE010000}"/>
    <cellStyle name="Normal 13 4 3 2" xfId="2691" xr:uid="{00000000-0005-0000-0000-0000FF010000}"/>
    <cellStyle name="Normal 13 4 4" xfId="2190" xr:uid="{00000000-0005-0000-0000-000000020000}"/>
    <cellStyle name="Normal 13 5" xfId="526" xr:uid="{00000000-0005-0000-0000-000001020000}"/>
    <cellStyle name="Normal 13 5 2" xfId="1668" xr:uid="{00000000-0005-0000-0000-000002020000}"/>
    <cellStyle name="Normal 13 5 2 2" xfId="2790" xr:uid="{00000000-0005-0000-0000-000003020000}"/>
    <cellStyle name="Normal 13 5 3" xfId="2289" xr:uid="{00000000-0005-0000-0000-000004020000}"/>
    <cellStyle name="Normal 13 6" xfId="1111" xr:uid="{00000000-0005-0000-0000-000005020000}"/>
    <cellStyle name="Normal 13 6 2" xfId="2889" xr:uid="{00000000-0005-0000-0000-000006020000}"/>
    <cellStyle name="Normal 13 6 3" xfId="2388" xr:uid="{00000000-0005-0000-0000-000007020000}"/>
    <cellStyle name="Normal 13 7" xfId="1251" xr:uid="{00000000-0005-0000-0000-000008020000}"/>
    <cellStyle name="Normal 13 7 2" xfId="2591" xr:uid="{00000000-0005-0000-0000-000009020000}"/>
    <cellStyle name="Normal 13 8" xfId="1685" xr:uid="{00000000-0005-0000-0000-00000A020000}"/>
    <cellStyle name="Normal 13 9" xfId="2090" xr:uid="{00000000-0005-0000-0000-00000B020000}"/>
    <cellStyle name="Normal 14" xfId="84" xr:uid="{00000000-0005-0000-0000-00000C020000}"/>
    <cellStyle name="Normal 14 2" xfId="160" xr:uid="{00000000-0005-0000-0000-00000D020000}"/>
    <cellStyle name="Normal 14 2 2" xfId="617" xr:uid="{00000000-0005-0000-0000-00000E020000}"/>
    <cellStyle name="Normal 14 2 2 2" xfId="1214" xr:uid="{00000000-0005-0000-0000-00000F020000}"/>
    <cellStyle name="Normal 14 2 2 2 2" xfId="3046" xr:uid="{00000000-0005-0000-0000-000010020000}"/>
    <cellStyle name="Normal 14 2 2 2 3" xfId="2545" xr:uid="{00000000-0005-0000-0000-000011020000}"/>
    <cellStyle name="Normal 14 2 2 3" xfId="2748" xr:uid="{00000000-0005-0000-0000-000012020000}"/>
    <cellStyle name="Normal 14 2 2 4" xfId="2247" xr:uid="{00000000-0005-0000-0000-000013020000}"/>
    <cellStyle name="Normal 14 2 3" xfId="948" xr:uid="{00000000-0005-0000-0000-000014020000}"/>
    <cellStyle name="Normal 14 2 3 2" xfId="2847" xr:uid="{00000000-0005-0000-0000-000015020000}"/>
    <cellStyle name="Normal 14 2 3 3" xfId="2346" xr:uid="{00000000-0005-0000-0000-000016020000}"/>
    <cellStyle name="Normal 14 2 4" xfId="1140" xr:uid="{00000000-0005-0000-0000-000017020000}"/>
    <cellStyle name="Normal 14 2 4 2" xfId="2946" xr:uid="{00000000-0005-0000-0000-000018020000}"/>
    <cellStyle name="Normal 14 2 4 3" xfId="2445" xr:uid="{00000000-0005-0000-0000-000019020000}"/>
    <cellStyle name="Normal 14 2 5" xfId="1342" xr:uid="{00000000-0005-0000-0000-00001A020000}"/>
    <cellStyle name="Normal 14 2 5 2" xfId="2648" xr:uid="{00000000-0005-0000-0000-00001B020000}"/>
    <cellStyle name="Normal 14 2 6" xfId="1776" xr:uid="{00000000-0005-0000-0000-00001C020000}"/>
    <cellStyle name="Normal 14 2 7" xfId="2147" xr:uid="{00000000-0005-0000-0000-00001D020000}"/>
    <cellStyle name="Normal 14 3" xfId="159" xr:uid="{00000000-0005-0000-0000-00001E020000}"/>
    <cellStyle name="Normal 14 3 2" xfId="616" xr:uid="{00000000-0005-0000-0000-00001F020000}"/>
    <cellStyle name="Normal 14 3 2 2" xfId="3000" xr:uid="{00000000-0005-0000-0000-000020020000}"/>
    <cellStyle name="Normal 14 3 2 3" xfId="2499" xr:uid="{00000000-0005-0000-0000-000021020000}"/>
    <cellStyle name="Normal 14 3 3" xfId="1341" xr:uid="{00000000-0005-0000-0000-000022020000}"/>
    <cellStyle name="Normal 14 3 3 2" xfId="2702" xr:uid="{00000000-0005-0000-0000-000023020000}"/>
    <cellStyle name="Normal 14 3 4" xfId="1775" xr:uid="{00000000-0005-0000-0000-000024020000}"/>
    <cellStyle name="Normal 14 3 5" xfId="2201" xr:uid="{00000000-0005-0000-0000-000025020000}"/>
    <cellStyle name="Normal 14 4" xfId="122" xr:uid="{00000000-0005-0000-0000-000026020000}"/>
    <cellStyle name="Normal 14 4 2" xfId="580" xr:uid="{00000000-0005-0000-0000-000027020000}"/>
    <cellStyle name="Normal 14 4 2 2" xfId="2801" xr:uid="{00000000-0005-0000-0000-000028020000}"/>
    <cellStyle name="Normal 14 4 3" xfId="1305" xr:uid="{00000000-0005-0000-0000-000029020000}"/>
    <cellStyle name="Normal 14 4 4" xfId="1739" xr:uid="{00000000-0005-0000-0000-00002A020000}"/>
    <cellStyle name="Normal 14 4 5" xfId="2300" xr:uid="{00000000-0005-0000-0000-00002B020000}"/>
    <cellStyle name="Normal 14 5" xfId="543" xr:uid="{00000000-0005-0000-0000-00002C020000}"/>
    <cellStyle name="Normal 14 5 2" xfId="2900" xr:uid="{00000000-0005-0000-0000-00002D020000}"/>
    <cellStyle name="Normal 14 5 3" xfId="2399" xr:uid="{00000000-0005-0000-0000-00002E020000}"/>
    <cellStyle name="Normal 14 6" xfId="1268" xr:uid="{00000000-0005-0000-0000-00002F020000}"/>
    <cellStyle name="Normal 14 6 2" xfId="2602" xr:uid="{00000000-0005-0000-0000-000030020000}"/>
    <cellStyle name="Normal 14 7" xfId="1702" xr:uid="{00000000-0005-0000-0000-000031020000}"/>
    <cellStyle name="Normal 14 8" xfId="2101" xr:uid="{00000000-0005-0000-0000-000032020000}"/>
    <cellStyle name="Normal 15" xfId="161" xr:uid="{00000000-0005-0000-0000-000033020000}"/>
    <cellStyle name="Normal 15 2" xfId="958" xr:uid="{00000000-0005-0000-0000-000034020000}"/>
    <cellStyle name="Normal 15 2 2" xfId="1121" xr:uid="{00000000-0005-0000-0000-000035020000}"/>
    <cellStyle name="Normal 15 2 2 2" xfId="3023" xr:uid="{00000000-0005-0000-0000-000036020000}"/>
    <cellStyle name="Normal 15 2 2 3" xfId="2522" xr:uid="{00000000-0005-0000-0000-000037020000}"/>
    <cellStyle name="Normal 15 2 3" xfId="2725" xr:uid="{00000000-0005-0000-0000-000038020000}"/>
    <cellStyle name="Normal 15 2 4" xfId="2224" xr:uid="{00000000-0005-0000-0000-000039020000}"/>
    <cellStyle name="Normal 15 3" xfId="1050" xr:uid="{00000000-0005-0000-0000-00003A020000}"/>
    <cellStyle name="Normal 15 3 2" xfId="2824" xr:uid="{00000000-0005-0000-0000-00003B020000}"/>
    <cellStyle name="Normal 15 3 3" xfId="2323" xr:uid="{00000000-0005-0000-0000-00003C020000}"/>
    <cellStyle name="Normal 15 4" xfId="1076" xr:uid="{00000000-0005-0000-0000-00003D020000}"/>
    <cellStyle name="Normal 15 4 2" xfId="2923" xr:uid="{00000000-0005-0000-0000-00003E020000}"/>
    <cellStyle name="Normal 15 4 3" xfId="2422" xr:uid="{00000000-0005-0000-0000-00003F020000}"/>
    <cellStyle name="Normal 15 5" xfId="1193" xr:uid="{00000000-0005-0000-0000-000040020000}"/>
    <cellStyle name="Normal 15 5 2" xfId="2625" xr:uid="{00000000-0005-0000-0000-000041020000}"/>
    <cellStyle name="Normal 15 6" xfId="2124" xr:uid="{00000000-0005-0000-0000-000042020000}"/>
    <cellStyle name="Normal 16" xfId="162" xr:uid="{00000000-0005-0000-0000-000043020000}"/>
    <cellStyle name="Normal 16 2" xfId="618" xr:uid="{00000000-0005-0000-0000-000044020000}"/>
    <cellStyle name="Normal 16 2 2" xfId="1037" xr:uid="{00000000-0005-0000-0000-000045020000}"/>
    <cellStyle name="Normal 16 3" xfId="986" xr:uid="{00000000-0005-0000-0000-000046020000}"/>
    <cellStyle name="Normal 16 4" xfId="1343" xr:uid="{00000000-0005-0000-0000-000047020000}"/>
    <cellStyle name="Normal 16 5" xfId="1777" xr:uid="{00000000-0005-0000-0000-000048020000}"/>
    <cellStyle name="Normal 17" xfId="438" xr:uid="{00000000-0005-0000-0000-000049020000}"/>
    <cellStyle name="Normal 17 2" xfId="890" xr:uid="{00000000-0005-0000-0000-00004A020000}"/>
    <cellStyle name="Normal 17 2 2" xfId="2968" xr:uid="{00000000-0005-0000-0000-00004B020000}"/>
    <cellStyle name="Normal 17 2 3" xfId="2467" xr:uid="{00000000-0005-0000-0000-00004C020000}"/>
    <cellStyle name="Normal 17 3" xfId="1614" xr:uid="{00000000-0005-0000-0000-00004D020000}"/>
    <cellStyle name="Normal 17 3 2" xfId="2670" xr:uid="{00000000-0005-0000-0000-00004E020000}"/>
    <cellStyle name="Normal 17 4" xfId="2048" xr:uid="{00000000-0005-0000-0000-00004F020000}"/>
    <cellStyle name="Normal 17 5" xfId="2169" xr:uid="{00000000-0005-0000-0000-000050020000}"/>
    <cellStyle name="Normal 18" xfId="126" xr:uid="{00000000-0005-0000-0000-000051020000}"/>
    <cellStyle name="Normal 18 2" xfId="584" xr:uid="{00000000-0005-0000-0000-000052020000}"/>
    <cellStyle name="Normal 18 3" xfId="1309" xr:uid="{00000000-0005-0000-0000-000053020000}"/>
    <cellStyle name="Normal 18 4" xfId="1743" xr:uid="{00000000-0005-0000-0000-000054020000}"/>
    <cellStyle name="Normal 19" xfId="944" xr:uid="{00000000-0005-0000-0000-000055020000}"/>
    <cellStyle name="Normal 2" xfId="10" xr:uid="{00000000-0005-0000-0000-000056020000}"/>
    <cellStyle name="Normal 2 2" xfId="11" xr:uid="{00000000-0005-0000-0000-000057020000}"/>
    <cellStyle name="Normal 2 2 2" xfId="1017" xr:uid="{00000000-0005-0000-0000-000058020000}"/>
    <cellStyle name="Normal 2 2 3" xfId="1001" xr:uid="{00000000-0005-0000-0000-000059020000}"/>
    <cellStyle name="Normal 2 2 4" xfId="24" xr:uid="{00000000-0005-0000-0000-00005A020000}"/>
    <cellStyle name="Normal 2 3" xfId="38" xr:uid="{00000000-0005-0000-0000-00005B020000}"/>
    <cellStyle name="Normal 2 4" xfId="53" xr:uid="{00000000-0005-0000-0000-00005C020000}"/>
    <cellStyle name="Normal 2 5" xfId="55" xr:uid="{00000000-0005-0000-0000-00005D020000}"/>
    <cellStyle name="Normal 2 5 2" xfId="57" xr:uid="{00000000-0005-0000-0000-00005E020000}"/>
    <cellStyle name="Normal 2 5 2 2" xfId="163" xr:uid="{00000000-0005-0000-0000-00005F020000}"/>
    <cellStyle name="Normal 2 6" xfId="40" xr:uid="{00000000-0005-0000-0000-000060020000}"/>
    <cellStyle name="Normal 2 7" xfId="28" xr:uid="{00000000-0005-0000-0000-000061020000}"/>
    <cellStyle name="Normal 20" xfId="2069" xr:uid="{00000000-0005-0000-0000-000062020000}"/>
    <cellStyle name="Normal 21" xfId="3" xr:uid="{00000000-0005-0000-0000-000063020000}"/>
    <cellStyle name="Normal 3" xfId="12" xr:uid="{00000000-0005-0000-0000-000064020000}"/>
    <cellStyle name="Normal 3 10" xfId="439" xr:uid="{00000000-0005-0000-0000-000065020000}"/>
    <cellStyle name="Normal 3 10 2" xfId="891" xr:uid="{00000000-0005-0000-0000-000066020000}"/>
    <cellStyle name="Normal 3 10 3" xfId="1615" xr:uid="{00000000-0005-0000-0000-000067020000}"/>
    <cellStyle name="Normal 3 10 4" xfId="2049" xr:uid="{00000000-0005-0000-0000-000068020000}"/>
    <cellStyle name="Normal 3 11" xfId="127" xr:uid="{00000000-0005-0000-0000-000069020000}"/>
    <cellStyle name="Normal 3 11 2" xfId="585" xr:uid="{00000000-0005-0000-0000-00006A020000}"/>
    <cellStyle name="Normal 3 11 3" xfId="1310" xr:uid="{00000000-0005-0000-0000-00006B020000}"/>
    <cellStyle name="Normal 3 11 4" xfId="1744" xr:uid="{00000000-0005-0000-0000-00006C020000}"/>
    <cellStyle name="Normal 3 12" xfId="89" xr:uid="{00000000-0005-0000-0000-00006D020000}"/>
    <cellStyle name="Normal 3 12 2" xfId="547" xr:uid="{00000000-0005-0000-0000-00006E020000}"/>
    <cellStyle name="Normal 3 12 3" xfId="1272" xr:uid="{00000000-0005-0000-0000-00006F020000}"/>
    <cellStyle name="Normal 3 12 4" xfId="1706" xr:uid="{00000000-0005-0000-0000-000070020000}"/>
    <cellStyle name="Normal 3 13" xfId="459" xr:uid="{00000000-0005-0000-0000-000071020000}"/>
    <cellStyle name="Normal 3 13 2" xfId="911" xr:uid="{00000000-0005-0000-0000-000072020000}"/>
    <cellStyle name="Normal 3 13 3" xfId="1635" xr:uid="{00000000-0005-0000-0000-000073020000}"/>
    <cellStyle name="Normal 3 14" xfId="507" xr:uid="{00000000-0005-0000-0000-000074020000}"/>
    <cellStyle name="Normal 3 14 2" xfId="1235" xr:uid="{00000000-0005-0000-0000-000075020000}"/>
    <cellStyle name="Normal 3 15" xfId="502" xr:uid="{00000000-0005-0000-0000-000076020000}"/>
    <cellStyle name="Normal 3 16" xfId="1002" xr:uid="{00000000-0005-0000-0000-000077020000}"/>
    <cellStyle name="Normal 3 17" xfId="1232" xr:uid="{00000000-0005-0000-0000-000078020000}"/>
    <cellStyle name="Normal 3 18" xfId="1233" xr:uid="{00000000-0005-0000-0000-000079020000}"/>
    <cellStyle name="Normal 3 19" xfId="1669" xr:uid="{00000000-0005-0000-0000-00007A020000}"/>
    <cellStyle name="Normal 3 2" xfId="13" xr:uid="{00000000-0005-0000-0000-00007B020000}"/>
    <cellStyle name="Normal 3 2 10" xfId="463" xr:uid="{00000000-0005-0000-0000-00007C020000}"/>
    <cellStyle name="Normal 3 2 10 2" xfId="915" xr:uid="{00000000-0005-0000-0000-00007D020000}"/>
    <cellStyle name="Normal 3 2 10 3" xfId="1639" xr:uid="{00000000-0005-0000-0000-00007E020000}"/>
    <cellStyle name="Normal 3 2 11" xfId="511" xr:uid="{00000000-0005-0000-0000-00007F020000}"/>
    <cellStyle name="Normal 3 2 11 2" xfId="1239" xr:uid="{00000000-0005-0000-0000-000080020000}"/>
    <cellStyle name="Normal 3 2 12" xfId="505" xr:uid="{00000000-0005-0000-0000-000081020000}"/>
    <cellStyle name="Normal 3 2 13" xfId="1006" xr:uid="{00000000-0005-0000-0000-000082020000}"/>
    <cellStyle name="Normal 3 2 14" xfId="1234" xr:uid="{00000000-0005-0000-0000-000083020000}"/>
    <cellStyle name="Normal 3 2 15" xfId="1673" xr:uid="{00000000-0005-0000-0000-000084020000}"/>
    <cellStyle name="Normal 3 2 16" xfId="46" xr:uid="{00000000-0005-0000-0000-000085020000}"/>
    <cellStyle name="Normal 3 2 2" xfId="61" xr:uid="{00000000-0005-0000-0000-000086020000}"/>
    <cellStyle name="Normal 3 2 2 10" xfId="523" xr:uid="{00000000-0005-0000-0000-000087020000}"/>
    <cellStyle name="Normal 3 2 2 11" xfId="1018" xr:uid="{00000000-0005-0000-0000-000088020000}"/>
    <cellStyle name="Normal 3 2 2 12" xfId="1248" xr:uid="{00000000-0005-0000-0000-000089020000}"/>
    <cellStyle name="Normal 3 2 2 13" xfId="1682" xr:uid="{00000000-0005-0000-0000-00008A020000}"/>
    <cellStyle name="Normal 3 2 2 2" xfId="81" xr:uid="{00000000-0005-0000-0000-00008B020000}"/>
    <cellStyle name="Normal 3 2 2 2 10" xfId="1699" xr:uid="{00000000-0005-0000-0000-00008C020000}"/>
    <cellStyle name="Normal 3 2 2 2 2" xfId="166" xr:uid="{00000000-0005-0000-0000-00008D020000}"/>
    <cellStyle name="Normal 3 2 2 2 2 2" xfId="167" xr:uid="{00000000-0005-0000-0000-00008E020000}"/>
    <cellStyle name="Normal 3 2 2 2 2 2 2" xfId="622" xr:uid="{00000000-0005-0000-0000-00008F020000}"/>
    <cellStyle name="Normal 3 2 2 2 2 2 3" xfId="1347" xr:uid="{00000000-0005-0000-0000-000090020000}"/>
    <cellStyle name="Normal 3 2 2 2 2 2 4" xfId="1781" xr:uid="{00000000-0005-0000-0000-000091020000}"/>
    <cellStyle name="Normal 3 2 2 2 2 3" xfId="621" xr:uid="{00000000-0005-0000-0000-000092020000}"/>
    <cellStyle name="Normal 3 2 2 2 2 4" xfId="1346" xr:uid="{00000000-0005-0000-0000-000093020000}"/>
    <cellStyle name="Normal 3 2 2 2 2 5" xfId="1780" xr:uid="{00000000-0005-0000-0000-000094020000}"/>
    <cellStyle name="Normal 3 2 2 2 3" xfId="168" xr:uid="{00000000-0005-0000-0000-000095020000}"/>
    <cellStyle name="Normal 3 2 2 2 3 2" xfId="169" xr:uid="{00000000-0005-0000-0000-000096020000}"/>
    <cellStyle name="Normal 3 2 2 2 3 2 2" xfId="624" xr:uid="{00000000-0005-0000-0000-000097020000}"/>
    <cellStyle name="Normal 3 2 2 2 3 2 3" xfId="1349" xr:uid="{00000000-0005-0000-0000-000098020000}"/>
    <cellStyle name="Normal 3 2 2 2 3 2 4" xfId="1783" xr:uid="{00000000-0005-0000-0000-000099020000}"/>
    <cellStyle name="Normal 3 2 2 2 3 3" xfId="623" xr:uid="{00000000-0005-0000-0000-00009A020000}"/>
    <cellStyle name="Normal 3 2 2 2 3 4" xfId="1348" xr:uid="{00000000-0005-0000-0000-00009B020000}"/>
    <cellStyle name="Normal 3 2 2 2 3 5" xfId="1782" xr:uid="{00000000-0005-0000-0000-00009C020000}"/>
    <cellStyle name="Normal 3 2 2 2 4" xfId="170" xr:uid="{00000000-0005-0000-0000-00009D020000}"/>
    <cellStyle name="Normal 3 2 2 2 4 2" xfId="625" xr:uid="{00000000-0005-0000-0000-00009E020000}"/>
    <cellStyle name="Normal 3 2 2 2 4 3" xfId="1350" xr:uid="{00000000-0005-0000-0000-00009F020000}"/>
    <cellStyle name="Normal 3 2 2 2 4 4" xfId="1784" xr:uid="{00000000-0005-0000-0000-0000A0020000}"/>
    <cellStyle name="Normal 3 2 2 2 5" xfId="165" xr:uid="{00000000-0005-0000-0000-0000A1020000}"/>
    <cellStyle name="Normal 3 2 2 2 5 2" xfId="620" xr:uid="{00000000-0005-0000-0000-0000A2020000}"/>
    <cellStyle name="Normal 3 2 2 2 5 3" xfId="1345" xr:uid="{00000000-0005-0000-0000-0000A3020000}"/>
    <cellStyle name="Normal 3 2 2 2 5 4" xfId="1779" xr:uid="{00000000-0005-0000-0000-0000A4020000}"/>
    <cellStyle name="Normal 3 2 2 2 6" xfId="119" xr:uid="{00000000-0005-0000-0000-0000A5020000}"/>
    <cellStyle name="Normal 3 2 2 2 6 2" xfId="577" xr:uid="{00000000-0005-0000-0000-0000A6020000}"/>
    <cellStyle name="Normal 3 2 2 2 6 3" xfId="1302" xr:uid="{00000000-0005-0000-0000-0000A7020000}"/>
    <cellStyle name="Normal 3 2 2 2 6 4" xfId="1736" xr:uid="{00000000-0005-0000-0000-0000A8020000}"/>
    <cellStyle name="Normal 3 2 2 2 7" xfId="489" xr:uid="{00000000-0005-0000-0000-0000A9020000}"/>
    <cellStyle name="Normal 3 2 2 2 7 2" xfId="941" xr:uid="{00000000-0005-0000-0000-0000AA020000}"/>
    <cellStyle name="Normal 3 2 2 2 7 3" xfId="1665" xr:uid="{00000000-0005-0000-0000-0000AB020000}"/>
    <cellStyle name="Normal 3 2 2 2 8" xfId="540" xr:uid="{00000000-0005-0000-0000-0000AC020000}"/>
    <cellStyle name="Normal 3 2 2 2 9" xfId="1265" xr:uid="{00000000-0005-0000-0000-0000AD020000}"/>
    <cellStyle name="Normal 3 2 2 3" xfId="171" xr:uid="{00000000-0005-0000-0000-0000AE020000}"/>
    <cellStyle name="Normal 3 2 2 3 2" xfId="172" xr:uid="{00000000-0005-0000-0000-0000AF020000}"/>
    <cellStyle name="Normal 3 2 2 3 2 2" xfId="627" xr:uid="{00000000-0005-0000-0000-0000B0020000}"/>
    <cellStyle name="Normal 3 2 2 3 2 3" xfId="1352" xr:uid="{00000000-0005-0000-0000-0000B1020000}"/>
    <cellStyle name="Normal 3 2 2 3 2 4" xfId="1786" xr:uid="{00000000-0005-0000-0000-0000B2020000}"/>
    <cellStyle name="Normal 3 2 2 3 3" xfId="626" xr:uid="{00000000-0005-0000-0000-0000B3020000}"/>
    <cellStyle name="Normal 3 2 2 3 4" xfId="1351" xr:uid="{00000000-0005-0000-0000-0000B4020000}"/>
    <cellStyle name="Normal 3 2 2 3 5" xfId="1785" xr:uid="{00000000-0005-0000-0000-0000B5020000}"/>
    <cellStyle name="Normal 3 2 2 4" xfId="173" xr:uid="{00000000-0005-0000-0000-0000B6020000}"/>
    <cellStyle name="Normal 3 2 2 4 2" xfId="174" xr:uid="{00000000-0005-0000-0000-0000B7020000}"/>
    <cellStyle name="Normal 3 2 2 4 2 2" xfId="629" xr:uid="{00000000-0005-0000-0000-0000B8020000}"/>
    <cellStyle name="Normal 3 2 2 4 2 3" xfId="1354" xr:uid="{00000000-0005-0000-0000-0000B9020000}"/>
    <cellStyle name="Normal 3 2 2 4 2 4" xfId="1788" xr:uid="{00000000-0005-0000-0000-0000BA020000}"/>
    <cellStyle name="Normal 3 2 2 4 3" xfId="628" xr:uid="{00000000-0005-0000-0000-0000BB020000}"/>
    <cellStyle name="Normal 3 2 2 4 4" xfId="1353" xr:uid="{00000000-0005-0000-0000-0000BC020000}"/>
    <cellStyle name="Normal 3 2 2 4 5" xfId="1787" xr:uid="{00000000-0005-0000-0000-0000BD020000}"/>
    <cellStyle name="Normal 3 2 2 5" xfId="175" xr:uid="{00000000-0005-0000-0000-0000BE020000}"/>
    <cellStyle name="Normal 3 2 2 5 2" xfId="630" xr:uid="{00000000-0005-0000-0000-0000BF020000}"/>
    <cellStyle name="Normal 3 2 2 5 3" xfId="1355" xr:uid="{00000000-0005-0000-0000-0000C0020000}"/>
    <cellStyle name="Normal 3 2 2 5 4" xfId="1789" xr:uid="{00000000-0005-0000-0000-0000C1020000}"/>
    <cellStyle name="Normal 3 2 2 6" xfId="453" xr:uid="{00000000-0005-0000-0000-0000C2020000}"/>
    <cellStyle name="Normal 3 2 2 6 2" xfId="905" xr:uid="{00000000-0005-0000-0000-0000C3020000}"/>
    <cellStyle name="Normal 3 2 2 6 3" xfId="1629" xr:uid="{00000000-0005-0000-0000-0000C4020000}"/>
    <cellStyle name="Normal 3 2 2 6 4" xfId="2063" xr:uid="{00000000-0005-0000-0000-0000C5020000}"/>
    <cellStyle name="Normal 3 2 2 7" xfId="164" xr:uid="{00000000-0005-0000-0000-0000C6020000}"/>
    <cellStyle name="Normal 3 2 2 7 2" xfId="619" xr:uid="{00000000-0005-0000-0000-0000C7020000}"/>
    <cellStyle name="Normal 3 2 2 7 3" xfId="1344" xr:uid="{00000000-0005-0000-0000-0000C8020000}"/>
    <cellStyle name="Normal 3 2 2 7 4" xfId="1778" xr:uid="{00000000-0005-0000-0000-0000C9020000}"/>
    <cellStyle name="Normal 3 2 2 8" xfId="102" xr:uid="{00000000-0005-0000-0000-0000CA020000}"/>
    <cellStyle name="Normal 3 2 2 8 2" xfId="560" xr:uid="{00000000-0005-0000-0000-0000CB020000}"/>
    <cellStyle name="Normal 3 2 2 8 3" xfId="1285" xr:uid="{00000000-0005-0000-0000-0000CC020000}"/>
    <cellStyle name="Normal 3 2 2 8 4" xfId="1719" xr:uid="{00000000-0005-0000-0000-0000CD020000}"/>
    <cellStyle name="Normal 3 2 2 9" xfId="472" xr:uid="{00000000-0005-0000-0000-0000CE020000}"/>
    <cellStyle name="Normal 3 2 2 9 2" xfId="924" xr:uid="{00000000-0005-0000-0000-0000CF020000}"/>
    <cellStyle name="Normal 3 2 2 9 3" xfId="1648" xr:uid="{00000000-0005-0000-0000-0000D0020000}"/>
    <cellStyle name="Normal 3 2 3" xfId="72" xr:uid="{00000000-0005-0000-0000-0000D1020000}"/>
    <cellStyle name="Normal 3 2 3 10" xfId="1690" xr:uid="{00000000-0005-0000-0000-0000D2020000}"/>
    <cellStyle name="Normal 3 2 3 2" xfId="177" xr:uid="{00000000-0005-0000-0000-0000D3020000}"/>
    <cellStyle name="Normal 3 2 3 2 2" xfId="178" xr:uid="{00000000-0005-0000-0000-0000D4020000}"/>
    <cellStyle name="Normal 3 2 3 2 2 2" xfId="633" xr:uid="{00000000-0005-0000-0000-0000D5020000}"/>
    <cellStyle name="Normal 3 2 3 2 2 3" xfId="1358" xr:uid="{00000000-0005-0000-0000-0000D6020000}"/>
    <cellStyle name="Normal 3 2 3 2 2 4" xfId="1792" xr:uid="{00000000-0005-0000-0000-0000D7020000}"/>
    <cellStyle name="Normal 3 2 3 2 3" xfId="632" xr:uid="{00000000-0005-0000-0000-0000D8020000}"/>
    <cellStyle name="Normal 3 2 3 2 4" xfId="1357" xr:uid="{00000000-0005-0000-0000-0000D9020000}"/>
    <cellStyle name="Normal 3 2 3 2 5" xfId="1791" xr:uid="{00000000-0005-0000-0000-0000DA020000}"/>
    <cellStyle name="Normal 3 2 3 3" xfId="179" xr:uid="{00000000-0005-0000-0000-0000DB020000}"/>
    <cellStyle name="Normal 3 2 3 3 2" xfId="180" xr:uid="{00000000-0005-0000-0000-0000DC020000}"/>
    <cellStyle name="Normal 3 2 3 3 2 2" xfId="635" xr:uid="{00000000-0005-0000-0000-0000DD020000}"/>
    <cellStyle name="Normal 3 2 3 3 2 3" xfId="1360" xr:uid="{00000000-0005-0000-0000-0000DE020000}"/>
    <cellStyle name="Normal 3 2 3 3 2 4" xfId="1794" xr:uid="{00000000-0005-0000-0000-0000DF020000}"/>
    <cellStyle name="Normal 3 2 3 3 3" xfId="634" xr:uid="{00000000-0005-0000-0000-0000E0020000}"/>
    <cellStyle name="Normal 3 2 3 3 4" xfId="1359" xr:uid="{00000000-0005-0000-0000-0000E1020000}"/>
    <cellStyle name="Normal 3 2 3 3 5" xfId="1793" xr:uid="{00000000-0005-0000-0000-0000E2020000}"/>
    <cellStyle name="Normal 3 2 3 4" xfId="181" xr:uid="{00000000-0005-0000-0000-0000E3020000}"/>
    <cellStyle name="Normal 3 2 3 4 2" xfId="636" xr:uid="{00000000-0005-0000-0000-0000E4020000}"/>
    <cellStyle name="Normal 3 2 3 4 3" xfId="1361" xr:uid="{00000000-0005-0000-0000-0000E5020000}"/>
    <cellStyle name="Normal 3 2 3 4 4" xfId="1795" xr:uid="{00000000-0005-0000-0000-0000E6020000}"/>
    <cellStyle name="Normal 3 2 3 5" xfId="176" xr:uid="{00000000-0005-0000-0000-0000E7020000}"/>
    <cellStyle name="Normal 3 2 3 5 2" xfId="631" xr:uid="{00000000-0005-0000-0000-0000E8020000}"/>
    <cellStyle name="Normal 3 2 3 5 3" xfId="1356" xr:uid="{00000000-0005-0000-0000-0000E9020000}"/>
    <cellStyle name="Normal 3 2 3 5 4" xfId="1790" xr:uid="{00000000-0005-0000-0000-0000EA020000}"/>
    <cellStyle name="Normal 3 2 3 6" xfId="110" xr:uid="{00000000-0005-0000-0000-0000EB020000}"/>
    <cellStyle name="Normal 3 2 3 6 2" xfId="568" xr:uid="{00000000-0005-0000-0000-0000EC020000}"/>
    <cellStyle name="Normal 3 2 3 6 3" xfId="1293" xr:uid="{00000000-0005-0000-0000-0000ED020000}"/>
    <cellStyle name="Normal 3 2 3 6 4" xfId="1727" xr:uid="{00000000-0005-0000-0000-0000EE020000}"/>
    <cellStyle name="Normal 3 2 3 7" xfId="480" xr:uid="{00000000-0005-0000-0000-0000EF020000}"/>
    <cellStyle name="Normal 3 2 3 7 2" xfId="932" xr:uid="{00000000-0005-0000-0000-0000F0020000}"/>
    <cellStyle name="Normal 3 2 3 7 3" xfId="1656" xr:uid="{00000000-0005-0000-0000-0000F1020000}"/>
    <cellStyle name="Normal 3 2 3 8" xfId="531" xr:uid="{00000000-0005-0000-0000-0000F2020000}"/>
    <cellStyle name="Normal 3 2 3 9" xfId="1256" xr:uid="{00000000-0005-0000-0000-0000F3020000}"/>
    <cellStyle name="Normal 3 2 4" xfId="182" xr:uid="{00000000-0005-0000-0000-0000F4020000}"/>
    <cellStyle name="Normal 3 2 4 2" xfId="183" xr:uid="{00000000-0005-0000-0000-0000F5020000}"/>
    <cellStyle name="Normal 3 2 4 2 2" xfId="638" xr:uid="{00000000-0005-0000-0000-0000F6020000}"/>
    <cellStyle name="Normal 3 2 4 2 3" xfId="1363" xr:uid="{00000000-0005-0000-0000-0000F7020000}"/>
    <cellStyle name="Normal 3 2 4 2 4" xfId="1797" xr:uid="{00000000-0005-0000-0000-0000F8020000}"/>
    <cellStyle name="Normal 3 2 4 3" xfId="637" xr:uid="{00000000-0005-0000-0000-0000F9020000}"/>
    <cellStyle name="Normal 3 2 4 4" xfId="1362" xr:uid="{00000000-0005-0000-0000-0000FA020000}"/>
    <cellStyle name="Normal 3 2 4 5" xfId="1796" xr:uid="{00000000-0005-0000-0000-0000FB020000}"/>
    <cellStyle name="Normal 3 2 5" xfId="184" xr:uid="{00000000-0005-0000-0000-0000FC020000}"/>
    <cellStyle name="Normal 3 2 5 2" xfId="185" xr:uid="{00000000-0005-0000-0000-0000FD020000}"/>
    <cellStyle name="Normal 3 2 5 2 2" xfId="640" xr:uid="{00000000-0005-0000-0000-0000FE020000}"/>
    <cellStyle name="Normal 3 2 5 2 3" xfId="1365" xr:uid="{00000000-0005-0000-0000-0000FF020000}"/>
    <cellStyle name="Normal 3 2 5 2 4" xfId="1799" xr:uid="{00000000-0005-0000-0000-000000030000}"/>
    <cellStyle name="Normal 3 2 5 3" xfId="639" xr:uid="{00000000-0005-0000-0000-000001030000}"/>
    <cellStyle name="Normal 3 2 5 4" xfId="1364" xr:uid="{00000000-0005-0000-0000-000002030000}"/>
    <cellStyle name="Normal 3 2 5 5" xfId="1798" xr:uid="{00000000-0005-0000-0000-000003030000}"/>
    <cellStyle name="Normal 3 2 6" xfId="186" xr:uid="{00000000-0005-0000-0000-000004030000}"/>
    <cellStyle name="Normal 3 2 6 2" xfId="641" xr:uid="{00000000-0005-0000-0000-000005030000}"/>
    <cellStyle name="Normal 3 2 6 3" xfId="1366" xr:uid="{00000000-0005-0000-0000-000006030000}"/>
    <cellStyle name="Normal 3 2 6 4" xfId="1800" xr:uid="{00000000-0005-0000-0000-000007030000}"/>
    <cellStyle name="Normal 3 2 7" xfId="443" xr:uid="{00000000-0005-0000-0000-000008030000}"/>
    <cellStyle name="Normal 3 2 7 2" xfId="895" xr:uid="{00000000-0005-0000-0000-000009030000}"/>
    <cellStyle name="Normal 3 2 7 3" xfId="1619" xr:uid="{00000000-0005-0000-0000-00000A030000}"/>
    <cellStyle name="Normal 3 2 7 4" xfId="2053" xr:uid="{00000000-0005-0000-0000-00000B030000}"/>
    <cellStyle name="Normal 3 2 8" xfId="131" xr:uid="{00000000-0005-0000-0000-00000C030000}"/>
    <cellStyle name="Normal 3 2 8 2" xfId="589" xr:uid="{00000000-0005-0000-0000-00000D030000}"/>
    <cellStyle name="Normal 3 2 8 3" xfId="1314" xr:uid="{00000000-0005-0000-0000-00000E030000}"/>
    <cellStyle name="Normal 3 2 8 4" xfId="1748" xr:uid="{00000000-0005-0000-0000-00000F030000}"/>
    <cellStyle name="Normal 3 2 9" xfId="93" xr:uid="{00000000-0005-0000-0000-000010030000}"/>
    <cellStyle name="Normal 3 2 9 2" xfId="551" xr:uid="{00000000-0005-0000-0000-000011030000}"/>
    <cellStyle name="Normal 3 2 9 3" xfId="1276" xr:uid="{00000000-0005-0000-0000-000012030000}"/>
    <cellStyle name="Normal 3 2 9 4" xfId="1710" xr:uid="{00000000-0005-0000-0000-000013030000}"/>
    <cellStyle name="Normal 3 20" xfId="36" xr:uid="{00000000-0005-0000-0000-000014030000}"/>
    <cellStyle name="Normal 3 3" xfId="52" xr:uid="{00000000-0005-0000-0000-000015030000}"/>
    <cellStyle name="Normal 3 3 10" xfId="516" xr:uid="{00000000-0005-0000-0000-000016030000}"/>
    <cellStyle name="Normal 3 3 11" xfId="1244" xr:uid="{00000000-0005-0000-0000-000017030000}"/>
    <cellStyle name="Normal 3 3 12" xfId="1678" xr:uid="{00000000-0005-0000-0000-000018030000}"/>
    <cellStyle name="Normal 3 3 13" xfId="2123" xr:uid="{00000000-0005-0000-0000-000019030000}"/>
    <cellStyle name="Normal 3 3 2" xfId="77" xr:uid="{00000000-0005-0000-0000-00001A030000}"/>
    <cellStyle name="Normal 3 3 2 10" xfId="1695" xr:uid="{00000000-0005-0000-0000-00001B030000}"/>
    <cellStyle name="Normal 3 3 2 11" xfId="2146" xr:uid="{00000000-0005-0000-0000-00001C030000}"/>
    <cellStyle name="Normal 3 3 2 2" xfId="189" xr:uid="{00000000-0005-0000-0000-00001D030000}"/>
    <cellStyle name="Normal 3 3 2 2 2" xfId="190" xr:uid="{00000000-0005-0000-0000-00001E030000}"/>
    <cellStyle name="Normal 3 3 2 2 2 2" xfId="645" xr:uid="{00000000-0005-0000-0000-00001F030000}"/>
    <cellStyle name="Normal 3 3 2 2 2 2 2" xfId="3045" xr:uid="{00000000-0005-0000-0000-000020030000}"/>
    <cellStyle name="Normal 3 3 2 2 2 3" xfId="1370" xr:uid="{00000000-0005-0000-0000-000021030000}"/>
    <cellStyle name="Normal 3 3 2 2 2 4" xfId="1804" xr:uid="{00000000-0005-0000-0000-000022030000}"/>
    <cellStyle name="Normal 3 3 2 2 2 5" xfId="2544" xr:uid="{00000000-0005-0000-0000-000023030000}"/>
    <cellStyle name="Normal 3 3 2 2 3" xfId="644" xr:uid="{00000000-0005-0000-0000-000024030000}"/>
    <cellStyle name="Normal 3 3 2 2 3 2" xfId="2747" xr:uid="{00000000-0005-0000-0000-000025030000}"/>
    <cellStyle name="Normal 3 3 2 2 4" xfId="1369" xr:uid="{00000000-0005-0000-0000-000026030000}"/>
    <cellStyle name="Normal 3 3 2 2 5" xfId="1803" xr:uid="{00000000-0005-0000-0000-000027030000}"/>
    <cellStyle name="Normal 3 3 2 2 6" xfId="2246" xr:uid="{00000000-0005-0000-0000-000028030000}"/>
    <cellStyle name="Normal 3 3 2 3" xfId="191" xr:uid="{00000000-0005-0000-0000-000029030000}"/>
    <cellStyle name="Normal 3 3 2 3 2" xfId="192" xr:uid="{00000000-0005-0000-0000-00002A030000}"/>
    <cellStyle name="Normal 3 3 2 3 2 2" xfId="647" xr:uid="{00000000-0005-0000-0000-00002B030000}"/>
    <cellStyle name="Normal 3 3 2 3 2 3" xfId="1372" xr:uid="{00000000-0005-0000-0000-00002C030000}"/>
    <cellStyle name="Normal 3 3 2 3 2 4" xfId="1806" xr:uid="{00000000-0005-0000-0000-00002D030000}"/>
    <cellStyle name="Normal 3 3 2 3 2 5" xfId="2846" xr:uid="{00000000-0005-0000-0000-00002E030000}"/>
    <cellStyle name="Normal 3 3 2 3 3" xfId="646" xr:uid="{00000000-0005-0000-0000-00002F030000}"/>
    <cellStyle name="Normal 3 3 2 3 4" xfId="1371" xr:uid="{00000000-0005-0000-0000-000030030000}"/>
    <cellStyle name="Normal 3 3 2 3 5" xfId="1805" xr:uid="{00000000-0005-0000-0000-000031030000}"/>
    <cellStyle name="Normal 3 3 2 3 6" xfId="2345" xr:uid="{00000000-0005-0000-0000-000032030000}"/>
    <cellStyle name="Normal 3 3 2 4" xfId="193" xr:uid="{00000000-0005-0000-0000-000033030000}"/>
    <cellStyle name="Normal 3 3 2 4 2" xfId="648" xr:uid="{00000000-0005-0000-0000-000034030000}"/>
    <cellStyle name="Normal 3 3 2 4 2 2" xfId="2945" xr:uid="{00000000-0005-0000-0000-000035030000}"/>
    <cellStyle name="Normal 3 3 2 4 3" xfId="1373" xr:uid="{00000000-0005-0000-0000-000036030000}"/>
    <cellStyle name="Normal 3 3 2 4 4" xfId="1807" xr:uid="{00000000-0005-0000-0000-000037030000}"/>
    <cellStyle name="Normal 3 3 2 4 5" xfId="2444" xr:uid="{00000000-0005-0000-0000-000038030000}"/>
    <cellStyle name="Normal 3 3 2 5" xfId="188" xr:uid="{00000000-0005-0000-0000-000039030000}"/>
    <cellStyle name="Normal 3 3 2 5 2" xfId="643" xr:uid="{00000000-0005-0000-0000-00003A030000}"/>
    <cellStyle name="Normal 3 3 2 5 3" xfId="1368" xr:uid="{00000000-0005-0000-0000-00003B030000}"/>
    <cellStyle name="Normal 3 3 2 5 4" xfId="1802" xr:uid="{00000000-0005-0000-0000-00003C030000}"/>
    <cellStyle name="Normal 3 3 2 5 5" xfId="2647" xr:uid="{00000000-0005-0000-0000-00003D030000}"/>
    <cellStyle name="Normal 3 3 2 6" xfId="115" xr:uid="{00000000-0005-0000-0000-00003E030000}"/>
    <cellStyle name="Normal 3 3 2 6 2" xfId="573" xr:uid="{00000000-0005-0000-0000-00003F030000}"/>
    <cellStyle name="Normal 3 3 2 6 3" xfId="1298" xr:uid="{00000000-0005-0000-0000-000040030000}"/>
    <cellStyle name="Normal 3 3 2 6 4" xfId="1732" xr:uid="{00000000-0005-0000-0000-000041030000}"/>
    <cellStyle name="Normal 3 3 2 7" xfId="485" xr:uid="{00000000-0005-0000-0000-000042030000}"/>
    <cellStyle name="Normal 3 3 2 7 2" xfId="937" xr:uid="{00000000-0005-0000-0000-000043030000}"/>
    <cellStyle name="Normal 3 3 2 7 3" xfId="1661" xr:uid="{00000000-0005-0000-0000-000044030000}"/>
    <cellStyle name="Normal 3 3 2 8" xfId="536" xr:uid="{00000000-0005-0000-0000-000045030000}"/>
    <cellStyle name="Normal 3 3 2 9" xfId="1261" xr:uid="{00000000-0005-0000-0000-000046030000}"/>
    <cellStyle name="Normal 3 3 3" xfId="194" xr:uid="{00000000-0005-0000-0000-000047030000}"/>
    <cellStyle name="Normal 3 3 3 2" xfId="195" xr:uid="{00000000-0005-0000-0000-000048030000}"/>
    <cellStyle name="Normal 3 3 3 2 2" xfId="650" xr:uid="{00000000-0005-0000-0000-000049030000}"/>
    <cellStyle name="Normal 3 3 3 2 2 2" xfId="3022" xr:uid="{00000000-0005-0000-0000-00004A030000}"/>
    <cellStyle name="Normal 3 3 3 2 3" xfId="1375" xr:uid="{00000000-0005-0000-0000-00004B030000}"/>
    <cellStyle name="Normal 3 3 3 2 4" xfId="1809" xr:uid="{00000000-0005-0000-0000-00004C030000}"/>
    <cellStyle name="Normal 3 3 3 2 5" xfId="2521" xr:uid="{00000000-0005-0000-0000-00004D030000}"/>
    <cellStyle name="Normal 3 3 3 3" xfId="649" xr:uid="{00000000-0005-0000-0000-00004E030000}"/>
    <cellStyle name="Normal 3 3 3 3 2" xfId="2724" xr:uid="{00000000-0005-0000-0000-00004F030000}"/>
    <cellStyle name="Normal 3 3 3 4" xfId="1374" xr:uid="{00000000-0005-0000-0000-000050030000}"/>
    <cellStyle name="Normal 3 3 3 5" xfId="1808" xr:uid="{00000000-0005-0000-0000-000051030000}"/>
    <cellStyle name="Normal 3 3 3 6" xfId="2223" xr:uid="{00000000-0005-0000-0000-000052030000}"/>
    <cellStyle name="Normal 3 3 4" xfId="196" xr:uid="{00000000-0005-0000-0000-000053030000}"/>
    <cellStyle name="Normal 3 3 4 2" xfId="197" xr:uid="{00000000-0005-0000-0000-000054030000}"/>
    <cellStyle name="Normal 3 3 4 2 2" xfId="652" xr:uid="{00000000-0005-0000-0000-000055030000}"/>
    <cellStyle name="Normal 3 3 4 2 3" xfId="1377" xr:uid="{00000000-0005-0000-0000-000056030000}"/>
    <cellStyle name="Normal 3 3 4 2 4" xfId="1811" xr:uid="{00000000-0005-0000-0000-000057030000}"/>
    <cellStyle name="Normal 3 3 4 2 5" xfId="2823" xr:uid="{00000000-0005-0000-0000-000058030000}"/>
    <cellStyle name="Normal 3 3 4 3" xfId="651" xr:uid="{00000000-0005-0000-0000-000059030000}"/>
    <cellStyle name="Normal 3 3 4 4" xfId="1376" xr:uid="{00000000-0005-0000-0000-00005A030000}"/>
    <cellStyle name="Normal 3 3 4 5" xfId="1810" xr:uid="{00000000-0005-0000-0000-00005B030000}"/>
    <cellStyle name="Normal 3 3 4 6" xfId="2322" xr:uid="{00000000-0005-0000-0000-00005C030000}"/>
    <cellStyle name="Normal 3 3 5" xfId="198" xr:uid="{00000000-0005-0000-0000-00005D030000}"/>
    <cellStyle name="Normal 3 3 5 2" xfId="653" xr:uid="{00000000-0005-0000-0000-00005E030000}"/>
    <cellStyle name="Normal 3 3 5 2 2" xfId="2922" xr:uid="{00000000-0005-0000-0000-00005F030000}"/>
    <cellStyle name="Normal 3 3 5 3" xfId="1378" xr:uid="{00000000-0005-0000-0000-000060030000}"/>
    <cellStyle name="Normal 3 3 5 4" xfId="1812" xr:uid="{00000000-0005-0000-0000-000061030000}"/>
    <cellStyle name="Normal 3 3 5 5" xfId="2421" xr:uid="{00000000-0005-0000-0000-000062030000}"/>
    <cellStyle name="Normal 3 3 6" xfId="454" xr:uid="{00000000-0005-0000-0000-000063030000}"/>
    <cellStyle name="Normal 3 3 6 2" xfId="906" xr:uid="{00000000-0005-0000-0000-000064030000}"/>
    <cellStyle name="Normal 3 3 6 3" xfId="1630" xr:uid="{00000000-0005-0000-0000-000065030000}"/>
    <cellStyle name="Normal 3 3 6 4" xfId="2064" xr:uid="{00000000-0005-0000-0000-000066030000}"/>
    <cellStyle name="Normal 3 3 6 5" xfId="2624" xr:uid="{00000000-0005-0000-0000-000067030000}"/>
    <cellStyle name="Normal 3 3 7" xfId="187" xr:uid="{00000000-0005-0000-0000-000068030000}"/>
    <cellStyle name="Normal 3 3 7 2" xfId="642" xr:uid="{00000000-0005-0000-0000-000069030000}"/>
    <cellStyle name="Normal 3 3 7 3" xfId="1367" xr:uid="{00000000-0005-0000-0000-00006A030000}"/>
    <cellStyle name="Normal 3 3 7 4" xfId="1801" xr:uid="{00000000-0005-0000-0000-00006B030000}"/>
    <cellStyle name="Normal 3 3 8" xfId="98" xr:uid="{00000000-0005-0000-0000-00006C030000}"/>
    <cellStyle name="Normal 3 3 8 2" xfId="556" xr:uid="{00000000-0005-0000-0000-00006D030000}"/>
    <cellStyle name="Normal 3 3 8 3" xfId="1281" xr:uid="{00000000-0005-0000-0000-00006E030000}"/>
    <cellStyle name="Normal 3 3 8 4" xfId="1715" xr:uid="{00000000-0005-0000-0000-00006F030000}"/>
    <cellStyle name="Normal 3 3 9" xfId="468" xr:uid="{00000000-0005-0000-0000-000070030000}"/>
    <cellStyle name="Normal 3 3 9 2" xfId="920" xr:uid="{00000000-0005-0000-0000-000071030000}"/>
    <cellStyle name="Normal 3 3 9 3" xfId="1644" xr:uid="{00000000-0005-0000-0000-000072030000}"/>
    <cellStyle name="Normal 3 4" xfId="41" xr:uid="{00000000-0005-0000-0000-000073030000}"/>
    <cellStyle name="Normal 3 4 10" xfId="1236" xr:uid="{00000000-0005-0000-0000-000074030000}"/>
    <cellStyle name="Normal 3 4 11" xfId="1670" xr:uid="{00000000-0005-0000-0000-000075030000}"/>
    <cellStyle name="Normal 3 4 12" xfId="2571" xr:uid="{00000000-0005-0000-0000-000076030000}"/>
    <cellStyle name="Normal 3 4 2" xfId="69" xr:uid="{00000000-0005-0000-0000-000077030000}"/>
    <cellStyle name="Normal 3 4 2 10" xfId="1687" xr:uid="{00000000-0005-0000-0000-000078030000}"/>
    <cellStyle name="Normal 3 4 2 2" xfId="201" xr:uid="{00000000-0005-0000-0000-000079030000}"/>
    <cellStyle name="Normal 3 4 2 2 2" xfId="202" xr:uid="{00000000-0005-0000-0000-00007A030000}"/>
    <cellStyle name="Normal 3 4 2 2 2 2" xfId="657" xr:uid="{00000000-0005-0000-0000-00007B030000}"/>
    <cellStyle name="Normal 3 4 2 2 2 3" xfId="1382" xr:uid="{00000000-0005-0000-0000-00007C030000}"/>
    <cellStyle name="Normal 3 4 2 2 2 4" xfId="1816" xr:uid="{00000000-0005-0000-0000-00007D030000}"/>
    <cellStyle name="Normal 3 4 2 2 3" xfId="656" xr:uid="{00000000-0005-0000-0000-00007E030000}"/>
    <cellStyle name="Normal 3 4 2 2 4" xfId="1381" xr:uid="{00000000-0005-0000-0000-00007F030000}"/>
    <cellStyle name="Normal 3 4 2 2 5" xfId="1815" xr:uid="{00000000-0005-0000-0000-000080030000}"/>
    <cellStyle name="Normal 3 4 2 3" xfId="203" xr:uid="{00000000-0005-0000-0000-000081030000}"/>
    <cellStyle name="Normal 3 4 2 3 2" xfId="204" xr:uid="{00000000-0005-0000-0000-000082030000}"/>
    <cellStyle name="Normal 3 4 2 3 2 2" xfId="659" xr:uid="{00000000-0005-0000-0000-000083030000}"/>
    <cellStyle name="Normal 3 4 2 3 2 3" xfId="1384" xr:uid="{00000000-0005-0000-0000-000084030000}"/>
    <cellStyle name="Normal 3 4 2 3 2 4" xfId="1818" xr:uid="{00000000-0005-0000-0000-000085030000}"/>
    <cellStyle name="Normal 3 4 2 3 3" xfId="658" xr:uid="{00000000-0005-0000-0000-000086030000}"/>
    <cellStyle name="Normal 3 4 2 3 4" xfId="1383" xr:uid="{00000000-0005-0000-0000-000087030000}"/>
    <cellStyle name="Normal 3 4 2 3 5" xfId="1817" xr:uid="{00000000-0005-0000-0000-000088030000}"/>
    <cellStyle name="Normal 3 4 2 4" xfId="205" xr:uid="{00000000-0005-0000-0000-000089030000}"/>
    <cellStyle name="Normal 3 4 2 4 2" xfId="660" xr:uid="{00000000-0005-0000-0000-00008A030000}"/>
    <cellStyle name="Normal 3 4 2 4 3" xfId="1385" xr:uid="{00000000-0005-0000-0000-00008B030000}"/>
    <cellStyle name="Normal 3 4 2 4 4" xfId="1819" xr:uid="{00000000-0005-0000-0000-00008C030000}"/>
    <cellStyle name="Normal 3 4 2 5" xfId="200" xr:uid="{00000000-0005-0000-0000-00008D030000}"/>
    <cellStyle name="Normal 3 4 2 5 2" xfId="655" xr:uid="{00000000-0005-0000-0000-00008E030000}"/>
    <cellStyle name="Normal 3 4 2 5 3" xfId="1380" xr:uid="{00000000-0005-0000-0000-00008F030000}"/>
    <cellStyle name="Normal 3 4 2 5 4" xfId="1814" xr:uid="{00000000-0005-0000-0000-000090030000}"/>
    <cellStyle name="Normal 3 4 2 6" xfId="107" xr:uid="{00000000-0005-0000-0000-000091030000}"/>
    <cellStyle name="Normal 3 4 2 6 2" xfId="565" xr:uid="{00000000-0005-0000-0000-000092030000}"/>
    <cellStyle name="Normal 3 4 2 6 3" xfId="1290" xr:uid="{00000000-0005-0000-0000-000093030000}"/>
    <cellStyle name="Normal 3 4 2 6 4" xfId="1724" xr:uid="{00000000-0005-0000-0000-000094030000}"/>
    <cellStyle name="Normal 3 4 2 7" xfId="477" xr:uid="{00000000-0005-0000-0000-000095030000}"/>
    <cellStyle name="Normal 3 4 2 7 2" xfId="929" xr:uid="{00000000-0005-0000-0000-000096030000}"/>
    <cellStyle name="Normal 3 4 2 7 3" xfId="1653" xr:uid="{00000000-0005-0000-0000-000097030000}"/>
    <cellStyle name="Normal 3 4 2 8" xfId="528" xr:uid="{00000000-0005-0000-0000-000098030000}"/>
    <cellStyle name="Normal 3 4 2 9" xfId="1253" xr:uid="{00000000-0005-0000-0000-000099030000}"/>
    <cellStyle name="Normal 3 4 3" xfId="206" xr:uid="{00000000-0005-0000-0000-00009A030000}"/>
    <cellStyle name="Normal 3 4 3 2" xfId="207" xr:uid="{00000000-0005-0000-0000-00009B030000}"/>
    <cellStyle name="Normal 3 4 3 2 2" xfId="662" xr:uid="{00000000-0005-0000-0000-00009C030000}"/>
    <cellStyle name="Normal 3 4 3 2 3" xfId="1387" xr:uid="{00000000-0005-0000-0000-00009D030000}"/>
    <cellStyle name="Normal 3 4 3 2 4" xfId="1821" xr:uid="{00000000-0005-0000-0000-00009E030000}"/>
    <cellStyle name="Normal 3 4 3 3" xfId="661" xr:uid="{00000000-0005-0000-0000-00009F030000}"/>
    <cellStyle name="Normal 3 4 3 4" xfId="1386" xr:uid="{00000000-0005-0000-0000-0000A0030000}"/>
    <cellStyle name="Normal 3 4 3 5" xfId="1820" xr:uid="{00000000-0005-0000-0000-0000A1030000}"/>
    <cellStyle name="Normal 3 4 4" xfId="208" xr:uid="{00000000-0005-0000-0000-0000A2030000}"/>
    <cellStyle name="Normal 3 4 4 2" xfId="209" xr:uid="{00000000-0005-0000-0000-0000A3030000}"/>
    <cellStyle name="Normal 3 4 4 2 2" xfId="664" xr:uid="{00000000-0005-0000-0000-0000A4030000}"/>
    <cellStyle name="Normal 3 4 4 2 3" xfId="1389" xr:uid="{00000000-0005-0000-0000-0000A5030000}"/>
    <cellStyle name="Normal 3 4 4 2 4" xfId="1823" xr:uid="{00000000-0005-0000-0000-0000A6030000}"/>
    <cellStyle name="Normal 3 4 4 3" xfId="663" xr:uid="{00000000-0005-0000-0000-0000A7030000}"/>
    <cellStyle name="Normal 3 4 4 4" xfId="1388" xr:uid="{00000000-0005-0000-0000-0000A8030000}"/>
    <cellStyle name="Normal 3 4 4 5" xfId="1822" xr:uid="{00000000-0005-0000-0000-0000A9030000}"/>
    <cellStyle name="Normal 3 4 5" xfId="210" xr:uid="{00000000-0005-0000-0000-0000AA030000}"/>
    <cellStyle name="Normal 3 4 5 2" xfId="665" xr:uid="{00000000-0005-0000-0000-0000AB030000}"/>
    <cellStyle name="Normal 3 4 5 3" xfId="1390" xr:uid="{00000000-0005-0000-0000-0000AC030000}"/>
    <cellStyle name="Normal 3 4 5 4" xfId="1824" xr:uid="{00000000-0005-0000-0000-0000AD030000}"/>
    <cellStyle name="Normal 3 4 6" xfId="199" xr:uid="{00000000-0005-0000-0000-0000AE030000}"/>
    <cellStyle name="Normal 3 4 6 2" xfId="654" xr:uid="{00000000-0005-0000-0000-0000AF030000}"/>
    <cellStyle name="Normal 3 4 6 3" xfId="1379" xr:uid="{00000000-0005-0000-0000-0000B0030000}"/>
    <cellStyle name="Normal 3 4 6 4" xfId="1813" xr:uid="{00000000-0005-0000-0000-0000B1030000}"/>
    <cellStyle name="Normal 3 4 7" xfId="90" xr:uid="{00000000-0005-0000-0000-0000B2030000}"/>
    <cellStyle name="Normal 3 4 7 2" xfId="548" xr:uid="{00000000-0005-0000-0000-0000B3030000}"/>
    <cellStyle name="Normal 3 4 7 3" xfId="1273" xr:uid="{00000000-0005-0000-0000-0000B4030000}"/>
    <cellStyle name="Normal 3 4 7 4" xfId="1707" xr:uid="{00000000-0005-0000-0000-0000B5030000}"/>
    <cellStyle name="Normal 3 4 8" xfId="460" xr:uid="{00000000-0005-0000-0000-0000B6030000}"/>
    <cellStyle name="Normal 3 4 8 2" xfId="912" xr:uid="{00000000-0005-0000-0000-0000B7030000}"/>
    <cellStyle name="Normal 3 4 8 3" xfId="1636" xr:uid="{00000000-0005-0000-0000-0000B8030000}"/>
    <cellStyle name="Normal 3 4 9" xfId="508" xr:uid="{00000000-0005-0000-0000-0000B9030000}"/>
    <cellStyle name="Normal 3 5" xfId="67" xr:uid="{00000000-0005-0000-0000-0000BA030000}"/>
    <cellStyle name="Normal 3 5 10" xfId="1686" xr:uid="{00000000-0005-0000-0000-0000BB030000}"/>
    <cellStyle name="Normal 3 5 11" xfId="2568" xr:uid="{00000000-0005-0000-0000-0000BC030000}"/>
    <cellStyle name="Normal 3 5 2" xfId="14" xr:uid="{00000000-0005-0000-0000-0000BD030000}"/>
    <cellStyle name="Normal 3 5 2 2" xfId="15" xr:uid="{00000000-0005-0000-0000-0000BE030000}"/>
    <cellStyle name="Normal 3 5 2 2 2" xfId="668" xr:uid="{00000000-0005-0000-0000-0000BF030000}"/>
    <cellStyle name="Normal 3 5 2 2 3" xfId="1393" xr:uid="{00000000-0005-0000-0000-0000C0030000}"/>
    <cellStyle name="Normal 3 5 2 2 4" xfId="1827" xr:uid="{00000000-0005-0000-0000-0000C1030000}"/>
    <cellStyle name="Normal 3 5 2 2 5" xfId="213" xr:uid="{00000000-0005-0000-0000-0000C2030000}"/>
    <cellStyle name="Normal 3 5 2 3" xfId="667" xr:uid="{00000000-0005-0000-0000-0000C3030000}"/>
    <cellStyle name="Normal 3 5 2 4" xfId="1392" xr:uid="{00000000-0005-0000-0000-0000C4030000}"/>
    <cellStyle name="Normal 3 5 2 5" xfId="1826" xr:uid="{00000000-0005-0000-0000-0000C5030000}"/>
    <cellStyle name="Normal 3 5 2 6" xfId="212" xr:uid="{00000000-0005-0000-0000-0000C6030000}"/>
    <cellStyle name="Normal 3 5 3" xfId="214" xr:uid="{00000000-0005-0000-0000-0000C7030000}"/>
    <cellStyle name="Normal 3 5 3 2" xfId="215" xr:uid="{00000000-0005-0000-0000-0000C8030000}"/>
    <cellStyle name="Normal 3 5 3 2 2" xfId="670" xr:uid="{00000000-0005-0000-0000-0000C9030000}"/>
    <cellStyle name="Normal 3 5 3 2 3" xfId="1395" xr:uid="{00000000-0005-0000-0000-0000CA030000}"/>
    <cellStyle name="Normal 3 5 3 2 4" xfId="1829" xr:uid="{00000000-0005-0000-0000-0000CB030000}"/>
    <cellStyle name="Normal 3 5 3 3" xfId="669" xr:uid="{00000000-0005-0000-0000-0000CC030000}"/>
    <cellStyle name="Normal 3 5 3 4" xfId="1394" xr:uid="{00000000-0005-0000-0000-0000CD030000}"/>
    <cellStyle name="Normal 3 5 3 5" xfId="1828" xr:uid="{00000000-0005-0000-0000-0000CE030000}"/>
    <cellStyle name="Normal 3 5 4" xfId="216" xr:uid="{00000000-0005-0000-0000-0000CF030000}"/>
    <cellStyle name="Normal 3 5 4 2" xfId="671" xr:uid="{00000000-0005-0000-0000-0000D0030000}"/>
    <cellStyle name="Normal 3 5 4 3" xfId="1396" xr:uid="{00000000-0005-0000-0000-0000D1030000}"/>
    <cellStyle name="Normal 3 5 4 4" xfId="1830" xr:uid="{00000000-0005-0000-0000-0000D2030000}"/>
    <cellStyle name="Normal 3 5 5" xfId="211" xr:uid="{00000000-0005-0000-0000-0000D3030000}"/>
    <cellStyle name="Normal 3 5 5 2" xfId="666" xr:uid="{00000000-0005-0000-0000-0000D4030000}"/>
    <cellStyle name="Normal 3 5 5 3" xfId="1391" xr:uid="{00000000-0005-0000-0000-0000D5030000}"/>
    <cellStyle name="Normal 3 5 5 4" xfId="1825" xr:uid="{00000000-0005-0000-0000-0000D6030000}"/>
    <cellStyle name="Normal 3 5 6" xfId="106" xr:uid="{00000000-0005-0000-0000-0000D7030000}"/>
    <cellStyle name="Normal 3 5 6 2" xfId="564" xr:uid="{00000000-0005-0000-0000-0000D8030000}"/>
    <cellStyle name="Normal 3 5 6 3" xfId="1289" xr:uid="{00000000-0005-0000-0000-0000D9030000}"/>
    <cellStyle name="Normal 3 5 6 4" xfId="1723" xr:uid="{00000000-0005-0000-0000-0000DA030000}"/>
    <cellStyle name="Normal 3 5 7" xfId="476" xr:uid="{00000000-0005-0000-0000-0000DB030000}"/>
    <cellStyle name="Normal 3 5 7 2" xfId="928" xr:uid="{00000000-0005-0000-0000-0000DC030000}"/>
    <cellStyle name="Normal 3 5 7 3" xfId="1652" xr:uid="{00000000-0005-0000-0000-0000DD030000}"/>
    <cellStyle name="Normal 3 5 8" xfId="527" xr:uid="{00000000-0005-0000-0000-0000DE030000}"/>
    <cellStyle name="Normal 3 5 9" xfId="1252" xr:uid="{00000000-0005-0000-0000-0000DF030000}"/>
    <cellStyle name="Normal 3 6" xfId="86" xr:uid="{00000000-0005-0000-0000-0000E0030000}"/>
    <cellStyle name="Normal 3 6 2" xfId="218" xr:uid="{00000000-0005-0000-0000-0000E1030000}"/>
    <cellStyle name="Normal 3 6 2 2" xfId="219" xr:uid="{00000000-0005-0000-0000-0000E2030000}"/>
    <cellStyle name="Normal 3 6 2 2 2" xfId="674" xr:uid="{00000000-0005-0000-0000-0000E3030000}"/>
    <cellStyle name="Normal 3 6 2 2 3" xfId="1399" xr:uid="{00000000-0005-0000-0000-0000E4030000}"/>
    <cellStyle name="Normal 3 6 2 2 4" xfId="1833" xr:uid="{00000000-0005-0000-0000-0000E5030000}"/>
    <cellStyle name="Normal 3 6 2 3" xfId="673" xr:uid="{00000000-0005-0000-0000-0000E6030000}"/>
    <cellStyle name="Normal 3 6 2 4" xfId="1398" xr:uid="{00000000-0005-0000-0000-0000E7030000}"/>
    <cellStyle name="Normal 3 6 2 5" xfId="1832" xr:uid="{00000000-0005-0000-0000-0000E8030000}"/>
    <cellStyle name="Normal 3 6 3" xfId="220" xr:uid="{00000000-0005-0000-0000-0000E9030000}"/>
    <cellStyle name="Normal 3 6 3 2" xfId="221" xr:uid="{00000000-0005-0000-0000-0000EA030000}"/>
    <cellStyle name="Normal 3 6 3 2 2" xfId="676" xr:uid="{00000000-0005-0000-0000-0000EB030000}"/>
    <cellStyle name="Normal 3 6 3 2 3" xfId="1401" xr:uid="{00000000-0005-0000-0000-0000EC030000}"/>
    <cellStyle name="Normal 3 6 3 2 4" xfId="1835" xr:uid="{00000000-0005-0000-0000-0000ED030000}"/>
    <cellStyle name="Normal 3 6 3 3" xfId="675" xr:uid="{00000000-0005-0000-0000-0000EE030000}"/>
    <cellStyle name="Normal 3 6 3 4" xfId="1400" xr:uid="{00000000-0005-0000-0000-0000EF030000}"/>
    <cellStyle name="Normal 3 6 3 5" xfId="1834" xr:uid="{00000000-0005-0000-0000-0000F0030000}"/>
    <cellStyle name="Normal 3 6 4" xfId="222" xr:uid="{00000000-0005-0000-0000-0000F1030000}"/>
    <cellStyle name="Normal 3 6 4 2" xfId="677" xr:uid="{00000000-0005-0000-0000-0000F2030000}"/>
    <cellStyle name="Normal 3 6 4 3" xfId="1402" xr:uid="{00000000-0005-0000-0000-0000F3030000}"/>
    <cellStyle name="Normal 3 6 4 4" xfId="1836" xr:uid="{00000000-0005-0000-0000-0000F4030000}"/>
    <cellStyle name="Normal 3 6 5" xfId="217" xr:uid="{00000000-0005-0000-0000-0000F5030000}"/>
    <cellStyle name="Normal 3 6 5 2" xfId="672" xr:uid="{00000000-0005-0000-0000-0000F6030000}"/>
    <cellStyle name="Normal 3 6 5 3" xfId="1397" xr:uid="{00000000-0005-0000-0000-0000F7030000}"/>
    <cellStyle name="Normal 3 6 5 4" xfId="1831" xr:uid="{00000000-0005-0000-0000-0000F8030000}"/>
    <cellStyle name="Normal 3 6 6" xfId="123" xr:uid="{00000000-0005-0000-0000-0000F9030000}"/>
    <cellStyle name="Normal 3 6 6 2" xfId="581" xr:uid="{00000000-0005-0000-0000-0000FA030000}"/>
    <cellStyle name="Normal 3 6 6 3" xfId="1306" xr:uid="{00000000-0005-0000-0000-0000FB030000}"/>
    <cellStyle name="Normal 3 6 6 4" xfId="1740" xr:uid="{00000000-0005-0000-0000-0000FC030000}"/>
    <cellStyle name="Normal 3 6 7" xfId="544" xr:uid="{00000000-0005-0000-0000-0000FD030000}"/>
    <cellStyle name="Normal 3 6 8" xfId="1269" xr:uid="{00000000-0005-0000-0000-0000FE030000}"/>
    <cellStyle name="Normal 3 6 9" xfId="1703" xr:uid="{00000000-0005-0000-0000-0000FF030000}"/>
    <cellStyle name="Normal 3 7" xfId="223" xr:uid="{00000000-0005-0000-0000-000000040000}"/>
    <cellStyle name="Normal 3 7 2" xfId="224" xr:uid="{00000000-0005-0000-0000-000001040000}"/>
    <cellStyle name="Normal 3 7 2 2" xfId="679" xr:uid="{00000000-0005-0000-0000-000002040000}"/>
    <cellStyle name="Normal 3 7 2 3" xfId="1404" xr:uid="{00000000-0005-0000-0000-000003040000}"/>
    <cellStyle name="Normal 3 7 2 4" xfId="1838" xr:uid="{00000000-0005-0000-0000-000004040000}"/>
    <cellStyle name="Normal 3 7 3" xfId="678" xr:uid="{00000000-0005-0000-0000-000005040000}"/>
    <cellStyle name="Normal 3 7 4" xfId="1403" xr:uid="{00000000-0005-0000-0000-000006040000}"/>
    <cellStyle name="Normal 3 7 5" xfId="1837" xr:uid="{00000000-0005-0000-0000-000007040000}"/>
    <cellStyle name="Normal 3 8" xfId="225" xr:uid="{00000000-0005-0000-0000-000008040000}"/>
    <cellStyle name="Normal 3 8 2" xfId="226" xr:uid="{00000000-0005-0000-0000-000009040000}"/>
    <cellStyle name="Normal 3 8 2 2" xfId="681" xr:uid="{00000000-0005-0000-0000-00000A040000}"/>
    <cellStyle name="Normal 3 8 2 3" xfId="1406" xr:uid="{00000000-0005-0000-0000-00000B040000}"/>
    <cellStyle name="Normal 3 8 2 4" xfId="1840" xr:uid="{00000000-0005-0000-0000-00000C040000}"/>
    <cellStyle name="Normal 3 8 3" xfId="680" xr:uid="{00000000-0005-0000-0000-00000D040000}"/>
    <cellStyle name="Normal 3 8 4" xfId="1405" xr:uid="{00000000-0005-0000-0000-00000E040000}"/>
    <cellStyle name="Normal 3 8 5" xfId="1839" xr:uid="{00000000-0005-0000-0000-00000F040000}"/>
    <cellStyle name="Normal 3 9" xfId="227" xr:uid="{00000000-0005-0000-0000-000010040000}"/>
    <cellStyle name="Normal 3 9 2" xfId="682" xr:uid="{00000000-0005-0000-0000-000011040000}"/>
    <cellStyle name="Normal 3 9 3" xfId="1407" xr:uid="{00000000-0005-0000-0000-000012040000}"/>
    <cellStyle name="Normal 3 9 4" xfId="1841" xr:uid="{00000000-0005-0000-0000-000013040000}"/>
    <cellStyle name="Normal 4" xfId="16" xr:uid="{00000000-0005-0000-0000-000014040000}"/>
    <cellStyle name="Normal 4 2" xfId="17" xr:uid="{00000000-0005-0000-0000-000015040000}"/>
    <cellStyle name="Normal 4 2 2" xfId="47" xr:uid="{00000000-0005-0000-0000-000016040000}"/>
    <cellStyle name="Normal 4 3" xfId="42" xr:uid="{00000000-0005-0000-0000-000017040000}"/>
    <cellStyle name="Normal 4 4" xfId="37" xr:uid="{00000000-0005-0000-0000-000018040000}"/>
    <cellStyle name="Normal 4 4 2" xfId="2569" xr:uid="{00000000-0005-0000-0000-000019040000}"/>
    <cellStyle name="Normal 5" xfId="1" xr:uid="{00000000-0005-0000-0000-00001A040000}"/>
    <cellStyle name="Normal 5 10" xfId="128" xr:uid="{00000000-0005-0000-0000-00001B040000}"/>
    <cellStyle name="Normal 5 10 2" xfId="586" xr:uid="{00000000-0005-0000-0000-00001C040000}"/>
    <cellStyle name="Normal 5 10 3" xfId="1311" xr:uid="{00000000-0005-0000-0000-00001D040000}"/>
    <cellStyle name="Normal 5 10 4" xfId="1745" xr:uid="{00000000-0005-0000-0000-00001E040000}"/>
    <cellStyle name="Normal 5 11" xfId="91" xr:uid="{00000000-0005-0000-0000-00001F040000}"/>
    <cellStyle name="Normal 5 11 2" xfId="549" xr:uid="{00000000-0005-0000-0000-000020040000}"/>
    <cellStyle name="Normal 5 11 3" xfId="1274" xr:uid="{00000000-0005-0000-0000-000021040000}"/>
    <cellStyle name="Normal 5 11 4" xfId="1708" xr:uid="{00000000-0005-0000-0000-000022040000}"/>
    <cellStyle name="Normal 5 12" xfId="461" xr:uid="{00000000-0005-0000-0000-000023040000}"/>
    <cellStyle name="Normal 5 12 2" xfId="913" xr:uid="{00000000-0005-0000-0000-000024040000}"/>
    <cellStyle name="Normal 5 12 3" xfId="1637" xr:uid="{00000000-0005-0000-0000-000025040000}"/>
    <cellStyle name="Normal 5 13" xfId="509" xr:uid="{00000000-0005-0000-0000-000026040000}"/>
    <cellStyle name="Normal 5 14" xfId="1237" xr:uid="{00000000-0005-0000-0000-000027040000}"/>
    <cellStyle name="Normal 5 15" xfId="1671" xr:uid="{00000000-0005-0000-0000-000028040000}"/>
    <cellStyle name="Normal 5 16" xfId="43" xr:uid="{00000000-0005-0000-0000-000029040000}"/>
    <cellStyle name="Normal 5 2" xfId="48" xr:uid="{00000000-0005-0000-0000-00002A040000}"/>
    <cellStyle name="Normal 5 2 10" xfId="464" xr:uid="{00000000-0005-0000-0000-00002B040000}"/>
    <cellStyle name="Normal 5 2 10 2" xfId="916" xr:uid="{00000000-0005-0000-0000-00002C040000}"/>
    <cellStyle name="Normal 5 2 10 3" xfId="1640" xr:uid="{00000000-0005-0000-0000-00002D040000}"/>
    <cellStyle name="Normal 5 2 11" xfId="512" xr:uid="{00000000-0005-0000-0000-00002E040000}"/>
    <cellStyle name="Normal 5 2 12" xfId="968" xr:uid="{00000000-0005-0000-0000-00002F040000}"/>
    <cellStyle name="Normal 5 2 13" xfId="1240" xr:uid="{00000000-0005-0000-0000-000030040000}"/>
    <cellStyle name="Normal 5 2 14" xfId="1674" xr:uid="{00000000-0005-0000-0000-000031040000}"/>
    <cellStyle name="Normal 5 2 2" xfId="62" xr:uid="{00000000-0005-0000-0000-000032040000}"/>
    <cellStyle name="Normal 5 2 2 10" xfId="524" xr:uid="{00000000-0005-0000-0000-000033040000}"/>
    <cellStyle name="Normal 5 2 2 11" xfId="1249" xr:uid="{00000000-0005-0000-0000-000034040000}"/>
    <cellStyle name="Normal 5 2 2 12" xfId="1683" xr:uid="{00000000-0005-0000-0000-000035040000}"/>
    <cellStyle name="Normal 5 2 2 2" xfId="82" xr:uid="{00000000-0005-0000-0000-000036040000}"/>
    <cellStyle name="Normal 5 2 2 2 10" xfId="1700" xr:uid="{00000000-0005-0000-0000-000037040000}"/>
    <cellStyle name="Normal 5 2 2 2 2" xfId="230" xr:uid="{00000000-0005-0000-0000-000038040000}"/>
    <cellStyle name="Normal 5 2 2 2 2 2" xfId="231" xr:uid="{00000000-0005-0000-0000-000039040000}"/>
    <cellStyle name="Normal 5 2 2 2 2 2 2" xfId="686" xr:uid="{00000000-0005-0000-0000-00003A040000}"/>
    <cellStyle name="Normal 5 2 2 2 2 2 3" xfId="1411" xr:uid="{00000000-0005-0000-0000-00003B040000}"/>
    <cellStyle name="Normal 5 2 2 2 2 2 4" xfId="1845" xr:uid="{00000000-0005-0000-0000-00003C040000}"/>
    <cellStyle name="Normal 5 2 2 2 2 3" xfId="685" xr:uid="{00000000-0005-0000-0000-00003D040000}"/>
    <cellStyle name="Normal 5 2 2 2 2 4" xfId="1410" xr:uid="{00000000-0005-0000-0000-00003E040000}"/>
    <cellStyle name="Normal 5 2 2 2 2 5" xfId="1844" xr:uid="{00000000-0005-0000-0000-00003F040000}"/>
    <cellStyle name="Normal 5 2 2 2 3" xfId="232" xr:uid="{00000000-0005-0000-0000-000040040000}"/>
    <cellStyle name="Normal 5 2 2 2 3 2" xfId="233" xr:uid="{00000000-0005-0000-0000-000041040000}"/>
    <cellStyle name="Normal 5 2 2 2 3 2 2" xfId="688" xr:uid="{00000000-0005-0000-0000-000042040000}"/>
    <cellStyle name="Normal 5 2 2 2 3 2 3" xfId="1413" xr:uid="{00000000-0005-0000-0000-000043040000}"/>
    <cellStyle name="Normal 5 2 2 2 3 2 4" xfId="1847" xr:uid="{00000000-0005-0000-0000-000044040000}"/>
    <cellStyle name="Normal 5 2 2 2 3 3" xfId="687" xr:uid="{00000000-0005-0000-0000-000045040000}"/>
    <cellStyle name="Normal 5 2 2 2 3 4" xfId="1412" xr:uid="{00000000-0005-0000-0000-000046040000}"/>
    <cellStyle name="Normal 5 2 2 2 3 5" xfId="1846" xr:uid="{00000000-0005-0000-0000-000047040000}"/>
    <cellStyle name="Normal 5 2 2 2 4" xfId="234" xr:uid="{00000000-0005-0000-0000-000048040000}"/>
    <cellStyle name="Normal 5 2 2 2 4 2" xfId="689" xr:uid="{00000000-0005-0000-0000-000049040000}"/>
    <cellStyle name="Normal 5 2 2 2 4 3" xfId="1414" xr:uid="{00000000-0005-0000-0000-00004A040000}"/>
    <cellStyle name="Normal 5 2 2 2 4 4" xfId="1848" xr:uid="{00000000-0005-0000-0000-00004B040000}"/>
    <cellStyle name="Normal 5 2 2 2 5" xfId="229" xr:uid="{00000000-0005-0000-0000-00004C040000}"/>
    <cellStyle name="Normal 5 2 2 2 5 2" xfId="684" xr:uid="{00000000-0005-0000-0000-00004D040000}"/>
    <cellStyle name="Normal 5 2 2 2 5 3" xfId="1409" xr:uid="{00000000-0005-0000-0000-00004E040000}"/>
    <cellStyle name="Normal 5 2 2 2 5 4" xfId="1843" xr:uid="{00000000-0005-0000-0000-00004F040000}"/>
    <cellStyle name="Normal 5 2 2 2 6" xfId="120" xr:uid="{00000000-0005-0000-0000-000050040000}"/>
    <cellStyle name="Normal 5 2 2 2 6 2" xfId="578" xr:uid="{00000000-0005-0000-0000-000051040000}"/>
    <cellStyle name="Normal 5 2 2 2 6 3" xfId="1303" xr:uid="{00000000-0005-0000-0000-000052040000}"/>
    <cellStyle name="Normal 5 2 2 2 6 4" xfId="1737" xr:uid="{00000000-0005-0000-0000-000053040000}"/>
    <cellStyle name="Normal 5 2 2 2 7" xfId="490" xr:uid="{00000000-0005-0000-0000-000054040000}"/>
    <cellStyle name="Normal 5 2 2 2 7 2" xfId="942" xr:uid="{00000000-0005-0000-0000-000055040000}"/>
    <cellStyle name="Normal 5 2 2 2 7 3" xfId="1666" xr:uid="{00000000-0005-0000-0000-000056040000}"/>
    <cellStyle name="Normal 5 2 2 2 8" xfId="541" xr:uid="{00000000-0005-0000-0000-000057040000}"/>
    <cellStyle name="Normal 5 2 2 2 9" xfId="1266" xr:uid="{00000000-0005-0000-0000-000058040000}"/>
    <cellStyle name="Normal 5 2 2 3" xfId="235" xr:uid="{00000000-0005-0000-0000-000059040000}"/>
    <cellStyle name="Normal 5 2 2 3 2" xfId="236" xr:uid="{00000000-0005-0000-0000-00005A040000}"/>
    <cellStyle name="Normal 5 2 2 3 2 2" xfId="691" xr:uid="{00000000-0005-0000-0000-00005B040000}"/>
    <cellStyle name="Normal 5 2 2 3 2 3" xfId="1416" xr:uid="{00000000-0005-0000-0000-00005C040000}"/>
    <cellStyle name="Normal 5 2 2 3 2 4" xfId="1850" xr:uid="{00000000-0005-0000-0000-00005D040000}"/>
    <cellStyle name="Normal 5 2 2 3 3" xfId="690" xr:uid="{00000000-0005-0000-0000-00005E040000}"/>
    <cellStyle name="Normal 5 2 2 3 4" xfId="1415" xr:uid="{00000000-0005-0000-0000-00005F040000}"/>
    <cellStyle name="Normal 5 2 2 3 5" xfId="1849" xr:uid="{00000000-0005-0000-0000-000060040000}"/>
    <cellStyle name="Normal 5 2 2 4" xfId="237" xr:uid="{00000000-0005-0000-0000-000061040000}"/>
    <cellStyle name="Normal 5 2 2 4 2" xfId="238" xr:uid="{00000000-0005-0000-0000-000062040000}"/>
    <cellStyle name="Normal 5 2 2 4 2 2" xfId="693" xr:uid="{00000000-0005-0000-0000-000063040000}"/>
    <cellStyle name="Normal 5 2 2 4 2 3" xfId="1418" xr:uid="{00000000-0005-0000-0000-000064040000}"/>
    <cellStyle name="Normal 5 2 2 4 2 4" xfId="1852" xr:uid="{00000000-0005-0000-0000-000065040000}"/>
    <cellStyle name="Normal 5 2 2 4 3" xfId="692" xr:uid="{00000000-0005-0000-0000-000066040000}"/>
    <cellStyle name="Normal 5 2 2 4 4" xfId="1417" xr:uid="{00000000-0005-0000-0000-000067040000}"/>
    <cellStyle name="Normal 5 2 2 4 5" xfId="1851" xr:uid="{00000000-0005-0000-0000-000068040000}"/>
    <cellStyle name="Normal 5 2 2 5" xfId="239" xr:uid="{00000000-0005-0000-0000-000069040000}"/>
    <cellStyle name="Normal 5 2 2 5 2" xfId="694" xr:uid="{00000000-0005-0000-0000-00006A040000}"/>
    <cellStyle name="Normal 5 2 2 5 3" xfId="1419" xr:uid="{00000000-0005-0000-0000-00006B040000}"/>
    <cellStyle name="Normal 5 2 2 5 4" xfId="1853" xr:uid="{00000000-0005-0000-0000-00006C040000}"/>
    <cellStyle name="Normal 5 2 2 6" xfId="455" xr:uid="{00000000-0005-0000-0000-00006D040000}"/>
    <cellStyle name="Normal 5 2 2 6 2" xfId="907" xr:uid="{00000000-0005-0000-0000-00006E040000}"/>
    <cellStyle name="Normal 5 2 2 6 3" xfId="1631" xr:uid="{00000000-0005-0000-0000-00006F040000}"/>
    <cellStyle name="Normal 5 2 2 6 4" xfId="2065" xr:uid="{00000000-0005-0000-0000-000070040000}"/>
    <cellStyle name="Normal 5 2 2 7" xfId="228" xr:uid="{00000000-0005-0000-0000-000071040000}"/>
    <cellStyle name="Normal 5 2 2 7 2" xfId="683" xr:uid="{00000000-0005-0000-0000-000072040000}"/>
    <cellStyle name="Normal 5 2 2 7 3" xfId="1408" xr:uid="{00000000-0005-0000-0000-000073040000}"/>
    <cellStyle name="Normal 5 2 2 7 4" xfId="1842" xr:uid="{00000000-0005-0000-0000-000074040000}"/>
    <cellStyle name="Normal 5 2 2 8" xfId="103" xr:uid="{00000000-0005-0000-0000-000075040000}"/>
    <cellStyle name="Normal 5 2 2 8 2" xfId="561" xr:uid="{00000000-0005-0000-0000-000076040000}"/>
    <cellStyle name="Normal 5 2 2 8 3" xfId="1286" xr:uid="{00000000-0005-0000-0000-000077040000}"/>
    <cellStyle name="Normal 5 2 2 8 4" xfId="1720" xr:uid="{00000000-0005-0000-0000-000078040000}"/>
    <cellStyle name="Normal 5 2 2 9" xfId="473" xr:uid="{00000000-0005-0000-0000-000079040000}"/>
    <cellStyle name="Normal 5 2 2 9 2" xfId="925" xr:uid="{00000000-0005-0000-0000-00007A040000}"/>
    <cellStyle name="Normal 5 2 2 9 3" xfId="1649" xr:uid="{00000000-0005-0000-0000-00007B040000}"/>
    <cellStyle name="Normal 5 2 3" xfId="73" xr:uid="{00000000-0005-0000-0000-00007C040000}"/>
    <cellStyle name="Normal 5 2 3 10" xfId="1691" xr:uid="{00000000-0005-0000-0000-00007D040000}"/>
    <cellStyle name="Normal 5 2 3 2" xfId="241" xr:uid="{00000000-0005-0000-0000-00007E040000}"/>
    <cellStyle name="Normal 5 2 3 2 2" xfId="242" xr:uid="{00000000-0005-0000-0000-00007F040000}"/>
    <cellStyle name="Normal 5 2 3 2 2 2" xfId="697" xr:uid="{00000000-0005-0000-0000-000080040000}"/>
    <cellStyle name="Normal 5 2 3 2 2 3" xfId="1422" xr:uid="{00000000-0005-0000-0000-000081040000}"/>
    <cellStyle name="Normal 5 2 3 2 2 4" xfId="1856" xr:uid="{00000000-0005-0000-0000-000082040000}"/>
    <cellStyle name="Normal 5 2 3 2 3" xfId="696" xr:uid="{00000000-0005-0000-0000-000083040000}"/>
    <cellStyle name="Normal 5 2 3 2 4" xfId="1421" xr:uid="{00000000-0005-0000-0000-000084040000}"/>
    <cellStyle name="Normal 5 2 3 2 5" xfId="1855" xr:uid="{00000000-0005-0000-0000-000085040000}"/>
    <cellStyle name="Normal 5 2 3 3" xfId="243" xr:uid="{00000000-0005-0000-0000-000086040000}"/>
    <cellStyle name="Normal 5 2 3 3 2" xfId="244" xr:uid="{00000000-0005-0000-0000-000087040000}"/>
    <cellStyle name="Normal 5 2 3 3 2 2" xfId="699" xr:uid="{00000000-0005-0000-0000-000088040000}"/>
    <cellStyle name="Normal 5 2 3 3 2 3" xfId="1424" xr:uid="{00000000-0005-0000-0000-000089040000}"/>
    <cellStyle name="Normal 5 2 3 3 2 4" xfId="1858" xr:uid="{00000000-0005-0000-0000-00008A040000}"/>
    <cellStyle name="Normal 5 2 3 3 3" xfId="698" xr:uid="{00000000-0005-0000-0000-00008B040000}"/>
    <cellStyle name="Normal 5 2 3 3 4" xfId="1423" xr:uid="{00000000-0005-0000-0000-00008C040000}"/>
    <cellStyle name="Normal 5 2 3 3 5" xfId="1857" xr:uid="{00000000-0005-0000-0000-00008D040000}"/>
    <cellStyle name="Normal 5 2 3 4" xfId="245" xr:uid="{00000000-0005-0000-0000-00008E040000}"/>
    <cellStyle name="Normal 5 2 3 4 2" xfId="700" xr:uid="{00000000-0005-0000-0000-00008F040000}"/>
    <cellStyle name="Normal 5 2 3 4 3" xfId="1425" xr:uid="{00000000-0005-0000-0000-000090040000}"/>
    <cellStyle name="Normal 5 2 3 4 4" xfId="1859" xr:uid="{00000000-0005-0000-0000-000091040000}"/>
    <cellStyle name="Normal 5 2 3 5" xfId="240" xr:uid="{00000000-0005-0000-0000-000092040000}"/>
    <cellStyle name="Normal 5 2 3 5 2" xfId="695" xr:uid="{00000000-0005-0000-0000-000093040000}"/>
    <cellStyle name="Normal 5 2 3 5 3" xfId="1420" xr:uid="{00000000-0005-0000-0000-000094040000}"/>
    <cellStyle name="Normal 5 2 3 5 4" xfId="1854" xr:uid="{00000000-0005-0000-0000-000095040000}"/>
    <cellStyle name="Normal 5 2 3 6" xfId="111" xr:uid="{00000000-0005-0000-0000-000096040000}"/>
    <cellStyle name="Normal 5 2 3 6 2" xfId="569" xr:uid="{00000000-0005-0000-0000-000097040000}"/>
    <cellStyle name="Normal 5 2 3 6 3" xfId="1294" xr:uid="{00000000-0005-0000-0000-000098040000}"/>
    <cellStyle name="Normal 5 2 3 6 4" xfId="1728" xr:uid="{00000000-0005-0000-0000-000099040000}"/>
    <cellStyle name="Normal 5 2 3 7" xfId="481" xr:uid="{00000000-0005-0000-0000-00009A040000}"/>
    <cellStyle name="Normal 5 2 3 7 2" xfId="933" xr:uid="{00000000-0005-0000-0000-00009B040000}"/>
    <cellStyle name="Normal 5 2 3 7 3" xfId="1657" xr:uid="{00000000-0005-0000-0000-00009C040000}"/>
    <cellStyle name="Normal 5 2 3 8" xfId="532" xr:uid="{00000000-0005-0000-0000-00009D040000}"/>
    <cellStyle name="Normal 5 2 3 9" xfId="1257" xr:uid="{00000000-0005-0000-0000-00009E040000}"/>
    <cellStyle name="Normal 5 2 4" xfId="246" xr:uid="{00000000-0005-0000-0000-00009F040000}"/>
    <cellStyle name="Normal 5 2 4 2" xfId="247" xr:uid="{00000000-0005-0000-0000-0000A0040000}"/>
    <cellStyle name="Normal 5 2 4 2 2" xfId="702" xr:uid="{00000000-0005-0000-0000-0000A1040000}"/>
    <cellStyle name="Normal 5 2 4 2 3" xfId="1427" xr:uid="{00000000-0005-0000-0000-0000A2040000}"/>
    <cellStyle name="Normal 5 2 4 2 4" xfId="1861" xr:uid="{00000000-0005-0000-0000-0000A3040000}"/>
    <cellStyle name="Normal 5 2 4 3" xfId="701" xr:uid="{00000000-0005-0000-0000-0000A4040000}"/>
    <cellStyle name="Normal 5 2 4 4" xfId="1426" xr:uid="{00000000-0005-0000-0000-0000A5040000}"/>
    <cellStyle name="Normal 5 2 4 5" xfId="1860" xr:uid="{00000000-0005-0000-0000-0000A6040000}"/>
    <cellStyle name="Normal 5 2 5" xfId="248" xr:uid="{00000000-0005-0000-0000-0000A7040000}"/>
    <cellStyle name="Normal 5 2 5 2" xfId="249" xr:uid="{00000000-0005-0000-0000-0000A8040000}"/>
    <cellStyle name="Normal 5 2 5 2 2" xfId="704" xr:uid="{00000000-0005-0000-0000-0000A9040000}"/>
    <cellStyle name="Normal 5 2 5 2 3" xfId="1429" xr:uid="{00000000-0005-0000-0000-0000AA040000}"/>
    <cellStyle name="Normal 5 2 5 2 4" xfId="1863" xr:uid="{00000000-0005-0000-0000-0000AB040000}"/>
    <cellStyle name="Normal 5 2 5 3" xfId="703" xr:uid="{00000000-0005-0000-0000-0000AC040000}"/>
    <cellStyle name="Normal 5 2 5 4" xfId="1428" xr:uid="{00000000-0005-0000-0000-0000AD040000}"/>
    <cellStyle name="Normal 5 2 5 5" xfId="1862" xr:uid="{00000000-0005-0000-0000-0000AE040000}"/>
    <cellStyle name="Normal 5 2 6" xfId="250" xr:uid="{00000000-0005-0000-0000-0000AF040000}"/>
    <cellStyle name="Normal 5 2 6 2" xfId="705" xr:uid="{00000000-0005-0000-0000-0000B0040000}"/>
    <cellStyle name="Normal 5 2 6 3" xfId="1430" xr:uid="{00000000-0005-0000-0000-0000B1040000}"/>
    <cellStyle name="Normal 5 2 6 4" xfId="1864" xr:uid="{00000000-0005-0000-0000-0000B2040000}"/>
    <cellStyle name="Normal 5 2 7" xfId="444" xr:uid="{00000000-0005-0000-0000-0000B3040000}"/>
    <cellStyle name="Normal 5 2 7 2" xfId="896" xr:uid="{00000000-0005-0000-0000-0000B4040000}"/>
    <cellStyle name="Normal 5 2 7 3" xfId="1620" xr:uid="{00000000-0005-0000-0000-0000B5040000}"/>
    <cellStyle name="Normal 5 2 7 4" xfId="2054" xr:uid="{00000000-0005-0000-0000-0000B6040000}"/>
    <cellStyle name="Normal 5 2 8" xfId="132" xr:uid="{00000000-0005-0000-0000-0000B7040000}"/>
    <cellStyle name="Normal 5 2 8 2" xfId="590" xr:uid="{00000000-0005-0000-0000-0000B8040000}"/>
    <cellStyle name="Normal 5 2 8 3" xfId="1315" xr:uid="{00000000-0005-0000-0000-0000B9040000}"/>
    <cellStyle name="Normal 5 2 8 4" xfId="1749" xr:uid="{00000000-0005-0000-0000-0000BA040000}"/>
    <cellStyle name="Normal 5 2 9" xfId="94" xr:uid="{00000000-0005-0000-0000-0000BB040000}"/>
    <cellStyle name="Normal 5 2 9 2" xfId="552" xr:uid="{00000000-0005-0000-0000-0000BC040000}"/>
    <cellStyle name="Normal 5 2 9 3" xfId="1277" xr:uid="{00000000-0005-0000-0000-0000BD040000}"/>
    <cellStyle name="Normal 5 2 9 4" xfId="1711" xr:uid="{00000000-0005-0000-0000-0000BE040000}"/>
    <cellStyle name="Normal 5 3" xfId="54" xr:uid="{00000000-0005-0000-0000-0000BF040000}"/>
    <cellStyle name="Normal 5 3 10" xfId="518" xr:uid="{00000000-0005-0000-0000-0000C0040000}"/>
    <cellStyle name="Normal 5 3 11" xfId="1245" xr:uid="{00000000-0005-0000-0000-0000C1040000}"/>
    <cellStyle name="Normal 5 3 12" xfId="1679" xr:uid="{00000000-0005-0000-0000-0000C2040000}"/>
    <cellStyle name="Normal 5 3 2" xfId="78" xr:uid="{00000000-0005-0000-0000-0000C3040000}"/>
    <cellStyle name="Normal 5 3 2 10" xfId="1696" xr:uid="{00000000-0005-0000-0000-0000C4040000}"/>
    <cellStyle name="Normal 5 3 2 2" xfId="253" xr:uid="{00000000-0005-0000-0000-0000C5040000}"/>
    <cellStyle name="Normal 5 3 2 2 2" xfId="254" xr:uid="{00000000-0005-0000-0000-0000C6040000}"/>
    <cellStyle name="Normal 5 3 2 2 2 2" xfId="709" xr:uid="{00000000-0005-0000-0000-0000C7040000}"/>
    <cellStyle name="Normal 5 3 2 2 2 3" xfId="1434" xr:uid="{00000000-0005-0000-0000-0000C8040000}"/>
    <cellStyle name="Normal 5 3 2 2 2 4" xfId="1868" xr:uid="{00000000-0005-0000-0000-0000C9040000}"/>
    <cellStyle name="Normal 5 3 2 2 3" xfId="708" xr:uid="{00000000-0005-0000-0000-0000CA040000}"/>
    <cellStyle name="Normal 5 3 2 2 4" xfId="1433" xr:uid="{00000000-0005-0000-0000-0000CB040000}"/>
    <cellStyle name="Normal 5 3 2 2 5" xfId="1867" xr:uid="{00000000-0005-0000-0000-0000CC040000}"/>
    <cellStyle name="Normal 5 3 2 3" xfId="255" xr:uid="{00000000-0005-0000-0000-0000CD040000}"/>
    <cellStyle name="Normal 5 3 2 3 2" xfId="256" xr:uid="{00000000-0005-0000-0000-0000CE040000}"/>
    <cellStyle name="Normal 5 3 2 3 2 2" xfId="711" xr:uid="{00000000-0005-0000-0000-0000CF040000}"/>
    <cellStyle name="Normal 5 3 2 3 2 3" xfId="1436" xr:uid="{00000000-0005-0000-0000-0000D0040000}"/>
    <cellStyle name="Normal 5 3 2 3 2 4" xfId="1870" xr:uid="{00000000-0005-0000-0000-0000D1040000}"/>
    <cellStyle name="Normal 5 3 2 3 3" xfId="710" xr:uid="{00000000-0005-0000-0000-0000D2040000}"/>
    <cellStyle name="Normal 5 3 2 3 4" xfId="1435" xr:uid="{00000000-0005-0000-0000-0000D3040000}"/>
    <cellStyle name="Normal 5 3 2 3 5" xfId="1869" xr:uid="{00000000-0005-0000-0000-0000D4040000}"/>
    <cellStyle name="Normal 5 3 2 4" xfId="257" xr:uid="{00000000-0005-0000-0000-0000D5040000}"/>
    <cellStyle name="Normal 5 3 2 4 2" xfId="712" xr:uid="{00000000-0005-0000-0000-0000D6040000}"/>
    <cellStyle name="Normal 5 3 2 4 3" xfId="1437" xr:uid="{00000000-0005-0000-0000-0000D7040000}"/>
    <cellStyle name="Normal 5 3 2 4 4" xfId="1871" xr:uid="{00000000-0005-0000-0000-0000D8040000}"/>
    <cellStyle name="Normal 5 3 2 5" xfId="252" xr:uid="{00000000-0005-0000-0000-0000D9040000}"/>
    <cellStyle name="Normal 5 3 2 5 2" xfId="707" xr:uid="{00000000-0005-0000-0000-0000DA040000}"/>
    <cellStyle name="Normal 5 3 2 5 3" xfId="1432" xr:uid="{00000000-0005-0000-0000-0000DB040000}"/>
    <cellStyle name="Normal 5 3 2 5 4" xfId="1866" xr:uid="{00000000-0005-0000-0000-0000DC040000}"/>
    <cellStyle name="Normal 5 3 2 6" xfId="116" xr:uid="{00000000-0005-0000-0000-0000DD040000}"/>
    <cellStyle name="Normal 5 3 2 6 2" xfId="574" xr:uid="{00000000-0005-0000-0000-0000DE040000}"/>
    <cellStyle name="Normal 5 3 2 6 3" xfId="1299" xr:uid="{00000000-0005-0000-0000-0000DF040000}"/>
    <cellStyle name="Normal 5 3 2 6 4" xfId="1733" xr:uid="{00000000-0005-0000-0000-0000E0040000}"/>
    <cellStyle name="Normal 5 3 2 7" xfId="486" xr:uid="{00000000-0005-0000-0000-0000E1040000}"/>
    <cellStyle name="Normal 5 3 2 7 2" xfId="938" xr:uid="{00000000-0005-0000-0000-0000E2040000}"/>
    <cellStyle name="Normal 5 3 2 7 3" xfId="1662" xr:uid="{00000000-0005-0000-0000-0000E3040000}"/>
    <cellStyle name="Normal 5 3 2 8" xfId="537" xr:uid="{00000000-0005-0000-0000-0000E4040000}"/>
    <cellStyle name="Normal 5 3 2 9" xfId="1262" xr:uid="{00000000-0005-0000-0000-0000E5040000}"/>
    <cellStyle name="Normal 5 3 3" xfId="258" xr:uid="{00000000-0005-0000-0000-0000E6040000}"/>
    <cellStyle name="Normal 5 3 3 2" xfId="259" xr:uid="{00000000-0005-0000-0000-0000E7040000}"/>
    <cellStyle name="Normal 5 3 3 2 2" xfId="714" xr:uid="{00000000-0005-0000-0000-0000E8040000}"/>
    <cellStyle name="Normal 5 3 3 2 3" xfId="1439" xr:uid="{00000000-0005-0000-0000-0000E9040000}"/>
    <cellStyle name="Normal 5 3 3 2 4" xfId="1873" xr:uid="{00000000-0005-0000-0000-0000EA040000}"/>
    <cellStyle name="Normal 5 3 3 3" xfId="713" xr:uid="{00000000-0005-0000-0000-0000EB040000}"/>
    <cellStyle name="Normal 5 3 3 4" xfId="1438" xr:uid="{00000000-0005-0000-0000-0000EC040000}"/>
    <cellStyle name="Normal 5 3 3 5" xfId="1872" xr:uid="{00000000-0005-0000-0000-0000ED040000}"/>
    <cellStyle name="Normal 5 3 4" xfId="260" xr:uid="{00000000-0005-0000-0000-0000EE040000}"/>
    <cellStyle name="Normal 5 3 4 2" xfId="261" xr:uid="{00000000-0005-0000-0000-0000EF040000}"/>
    <cellStyle name="Normal 5 3 4 2 2" xfId="716" xr:uid="{00000000-0005-0000-0000-0000F0040000}"/>
    <cellStyle name="Normal 5 3 4 2 3" xfId="1441" xr:uid="{00000000-0005-0000-0000-0000F1040000}"/>
    <cellStyle name="Normal 5 3 4 2 4" xfId="1875" xr:uid="{00000000-0005-0000-0000-0000F2040000}"/>
    <cellStyle name="Normal 5 3 4 3" xfId="715" xr:uid="{00000000-0005-0000-0000-0000F3040000}"/>
    <cellStyle name="Normal 5 3 4 4" xfId="1440" xr:uid="{00000000-0005-0000-0000-0000F4040000}"/>
    <cellStyle name="Normal 5 3 4 5" xfId="1874" xr:uid="{00000000-0005-0000-0000-0000F5040000}"/>
    <cellStyle name="Normal 5 3 5" xfId="262" xr:uid="{00000000-0005-0000-0000-0000F6040000}"/>
    <cellStyle name="Normal 5 3 5 2" xfId="717" xr:uid="{00000000-0005-0000-0000-0000F7040000}"/>
    <cellStyle name="Normal 5 3 5 3" xfId="1442" xr:uid="{00000000-0005-0000-0000-0000F8040000}"/>
    <cellStyle name="Normal 5 3 5 4" xfId="1876" xr:uid="{00000000-0005-0000-0000-0000F9040000}"/>
    <cellStyle name="Normal 5 3 6" xfId="456" xr:uid="{00000000-0005-0000-0000-0000FA040000}"/>
    <cellStyle name="Normal 5 3 6 2" xfId="908" xr:uid="{00000000-0005-0000-0000-0000FB040000}"/>
    <cellStyle name="Normal 5 3 6 3" xfId="1632" xr:uid="{00000000-0005-0000-0000-0000FC040000}"/>
    <cellStyle name="Normal 5 3 6 4" xfId="2066" xr:uid="{00000000-0005-0000-0000-0000FD040000}"/>
    <cellStyle name="Normal 5 3 7" xfId="251" xr:uid="{00000000-0005-0000-0000-0000FE040000}"/>
    <cellStyle name="Normal 5 3 7 2" xfId="706" xr:uid="{00000000-0005-0000-0000-0000FF040000}"/>
    <cellStyle name="Normal 5 3 7 3" xfId="1431" xr:uid="{00000000-0005-0000-0000-000000050000}"/>
    <cellStyle name="Normal 5 3 7 4" xfId="1865" xr:uid="{00000000-0005-0000-0000-000001050000}"/>
    <cellStyle name="Normal 5 3 8" xfId="99" xr:uid="{00000000-0005-0000-0000-000002050000}"/>
    <cellStyle name="Normal 5 3 8 2" xfId="557" xr:uid="{00000000-0005-0000-0000-000003050000}"/>
    <cellStyle name="Normal 5 3 8 3" xfId="1282" xr:uid="{00000000-0005-0000-0000-000004050000}"/>
    <cellStyle name="Normal 5 3 8 4" xfId="1716" xr:uid="{00000000-0005-0000-0000-000005050000}"/>
    <cellStyle name="Normal 5 3 9" xfId="469" xr:uid="{00000000-0005-0000-0000-000006050000}"/>
    <cellStyle name="Normal 5 3 9 2" xfId="921" xr:uid="{00000000-0005-0000-0000-000007050000}"/>
    <cellStyle name="Normal 5 3 9 3" xfId="1645" xr:uid="{00000000-0005-0000-0000-000008050000}"/>
    <cellStyle name="Normal 5 4" xfId="70" xr:uid="{00000000-0005-0000-0000-000009050000}"/>
    <cellStyle name="Normal 5 4 2" xfId="263" xr:uid="{00000000-0005-0000-0000-00000A050000}"/>
    <cellStyle name="Normal 5 4 3" xfId="108" xr:uid="{00000000-0005-0000-0000-00000B050000}"/>
    <cellStyle name="Normal 5 4 3 2" xfId="566" xr:uid="{00000000-0005-0000-0000-00000C050000}"/>
    <cellStyle name="Normal 5 4 3 3" xfId="1291" xr:uid="{00000000-0005-0000-0000-00000D050000}"/>
    <cellStyle name="Normal 5 4 3 4" xfId="1725" xr:uid="{00000000-0005-0000-0000-00000E050000}"/>
    <cellStyle name="Normal 5 4 4" xfId="478" xr:uid="{00000000-0005-0000-0000-00000F050000}"/>
    <cellStyle name="Normal 5 4 4 2" xfId="930" xr:uid="{00000000-0005-0000-0000-000010050000}"/>
    <cellStyle name="Normal 5 4 4 3" xfId="1654" xr:uid="{00000000-0005-0000-0000-000011050000}"/>
    <cellStyle name="Normal 5 4 5" xfId="529" xr:uid="{00000000-0005-0000-0000-000012050000}"/>
    <cellStyle name="Normal 5 4 6" xfId="1254" xr:uid="{00000000-0005-0000-0000-000013050000}"/>
    <cellStyle name="Normal 5 4 7" xfId="1688" xr:uid="{00000000-0005-0000-0000-000014050000}"/>
    <cellStyle name="Normal 5 5" xfId="85" xr:uid="{00000000-0005-0000-0000-000015050000}"/>
    <cellStyle name="Normal 5 5 2" xfId="265" xr:uid="{00000000-0005-0000-0000-000016050000}"/>
    <cellStyle name="Normal 5 5 2 2" xfId="266" xr:uid="{00000000-0005-0000-0000-000017050000}"/>
    <cellStyle name="Normal 5 5 2 2 2" xfId="721" xr:uid="{00000000-0005-0000-0000-000018050000}"/>
    <cellStyle name="Normal 5 5 2 2 3" xfId="1445" xr:uid="{00000000-0005-0000-0000-000019050000}"/>
    <cellStyle name="Normal 5 5 2 2 4" xfId="1879" xr:uid="{00000000-0005-0000-0000-00001A050000}"/>
    <cellStyle name="Normal 5 5 2 3" xfId="720" xr:uid="{00000000-0005-0000-0000-00001B050000}"/>
    <cellStyle name="Normal 5 5 2 4" xfId="1444" xr:uid="{00000000-0005-0000-0000-00001C050000}"/>
    <cellStyle name="Normal 5 5 2 5" xfId="1878" xr:uid="{00000000-0005-0000-0000-00001D050000}"/>
    <cellStyle name="Normal 5 5 3" xfId="267" xr:uid="{00000000-0005-0000-0000-00001E050000}"/>
    <cellStyle name="Normal 5 5 3 2" xfId="268" xr:uid="{00000000-0005-0000-0000-00001F050000}"/>
    <cellStyle name="Normal 5 5 3 2 2" xfId="723" xr:uid="{00000000-0005-0000-0000-000020050000}"/>
    <cellStyle name="Normal 5 5 3 2 3" xfId="1447" xr:uid="{00000000-0005-0000-0000-000021050000}"/>
    <cellStyle name="Normal 5 5 3 2 4" xfId="1881" xr:uid="{00000000-0005-0000-0000-000022050000}"/>
    <cellStyle name="Normal 5 5 3 3" xfId="722" xr:uid="{00000000-0005-0000-0000-000023050000}"/>
    <cellStyle name="Normal 5 5 3 4" xfId="1446" xr:uid="{00000000-0005-0000-0000-000024050000}"/>
    <cellStyle name="Normal 5 5 3 5" xfId="1880" xr:uid="{00000000-0005-0000-0000-000025050000}"/>
    <cellStyle name="Normal 5 5 4" xfId="269" xr:uid="{00000000-0005-0000-0000-000026050000}"/>
    <cellStyle name="Normal 5 5 4 2" xfId="724" xr:uid="{00000000-0005-0000-0000-000027050000}"/>
    <cellStyle name="Normal 5 5 4 3" xfId="1448" xr:uid="{00000000-0005-0000-0000-000028050000}"/>
    <cellStyle name="Normal 5 5 4 4" xfId="1882" xr:uid="{00000000-0005-0000-0000-000029050000}"/>
    <cellStyle name="Normal 5 5 5" xfId="264" xr:uid="{00000000-0005-0000-0000-00002A050000}"/>
    <cellStyle name="Normal 5 5 5 2" xfId="719" xr:uid="{00000000-0005-0000-0000-00002B050000}"/>
    <cellStyle name="Normal 5 5 5 3" xfId="1443" xr:uid="{00000000-0005-0000-0000-00002C050000}"/>
    <cellStyle name="Normal 5 5 5 4" xfId="1877" xr:uid="{00000000-0005-0000-0000-00002D050000}"/>
    <cellStyle name="Normal 5 6" xfId="270" xr:uid="{00000000-0005-0000-0000-00002E050000}"/>
    <cellStyle name="Normal 5 6 2" xfId="271" xr:uid="{00000000-0005-0000-0000-00002F050000}"/>
    <cellStyle name="Normal 5 6 2 2" xfId="726" xr:uid="{00000000-0005-0000-0000-000030050000}"/>
    <cellStyle name="Normal 5 6 2 3" xfId="1450" xr:uid="{00000000-0005-0000-0000-000031050000}"/>
    <cellStyle name="Normal 5 6 2 4" xfId="1884" xr:uid="{00000000-0005-0000-0000-000032050000}"/>
    <cellStyle name="Normal 5 6 3" xfId="725" xr:uid="{00000000-0005-0000-0000-000033050000}"/>
    <cellStyle name="Normal 5 6 4" xfId="1449" xr:uid="{00000000-0005-0000-0000-000034050000}"/>
    <cellStyle name="Normal 5 6 5" xfId="1883" xr:uid="{00000000-0005-0000-0000-000035050000}"/>
    <cellStyle name="Normal 5 7" xfId="272" xr:uid="{00000000-0005-0000-0000-000036050000}"/>
    <cellStyle name="Normal 5 7 2" xfId="273" xr:uid="{00000000-0005-0000-0000-000037050000}"/>
    <cellStyle name="Normal 5 7 2 2" xfId="728" xr:uid="{00000000-0005-0000-0000-000038050000}"/>
    <cellStyle name="Normal 5 7 2 3" xfId="1452" xr:uid="{00000000-0005-0000-0000-000039050000}"/>
    <cellStyle name="Normal 5 7 2 4" xfId="1886" xr:uid="{00000000-0005-0000-0000-00003A050000}"/>
    <cellStyle name="Normal 5 7 3" xfId="727" xr:uid="{00000000-0005-0000-0000-00003B050000}"/>
    <cellStyle name="Normal 5 7 4" xfId="1451" xr:uid="{00000000-0005-0000-0000-00003C050000}"/>
    <cellStyle name="Normal 5 7 5" xfId="1885" xr:uid="{00000000-0005-0000-0000-00003D050000}"/>
    <cellStyle name="Normal 5 8" xfId="274" xr:uid="{00000000-0005-0000-0000-00003E050000}"/>
    <cellStyle name="Normal 5 8 2" xfId="729" xr:uid="{00000000-0005-0000-0000-00003F050000}"/>
    <cellStyle name="Normal 5 8 3" xfId="1453" xr:uid="{00000000-0005-0000-0000-000040050000}"/>
    <cellStyle name="Normal 5 8 4" xfId="1887" xr:uid="{00000000-0005-0000-0000-000041050000}"/>
    <cellStyle name="Normal 5 9" xfId="440" xr:uid="{00000000-0005-0000-0000-000042050000}"/>
    <cellStyle name="Normal 5 9 2" xfId="892" xr:uid="{00000000-0005-0000-0000-000043050000}"/>
    <cellStyle name="Normal 5 9 3" xfId="1616" xr:uid="{00000000-0005-0000-0000-000044050000}"/>
    <cellStyle name="Normal 5 9 4" xfId="2050" xr:uid="{00000000-0005-0000-0000-000045050000}"/>
    <cellStyle name="Normal 6" xfId="45" xr:uid="{00000000-0005-0000-0000-000046050000}"/>
    <cellStyle name="Normal 6 10" xfId="960" xr:uid="{00000000-0005-0000-0000-000047050000}"/>
    <cellStyle name="Normal 6 10 2" xfId="2570" xr:uid="{00000000-0005-0000-0000-000048050000}"/>
    <cellStyle name="Normal 6 11" xfId="2070" xr:uid="{00000000-0005-0000-0000-000049050000}"/>
    <cellStyle name="Normal 6 2" xfId="1200" xr:uid="{00000000-0005-0000-0000-00004A050000}"/>
    <cellStyle name="Normal 6 2 10" xfId="2075" xr:uid="{00000000-0005-0000-0000-00004B050000}"/>
    <cellStyle name="Normal 6 2 2" xfId="517" xr:uid="{00000000-0005-0000-0000-00004C050000}"/>
    <cellStyle name="Normal 6 2 2 2" xfId="1007" xr:uid="{00000000-0005-0000-0000-00004D050000}"/>
    <cellStyle name="Normal 6 2 2 2 2" xfId="1185" xr:uid="{00000000-0005-0000-0000-00004E050000}"/>
    <cellStyle name="Normal 6 2 2 2 2 2" xfId="1038" xr:uid="{00000000-0005-0000-0000-00004F050000}"/>
    <cellStyle name="Normal 6 2 2 2 2 2 2" xfId="1228" xr:uid="{00000000-0005-0000-0000-000050050000}"/>
    <cellStyle name="Normal 6 2 2 2 2 2 2 2" xfId="3063" xr:uid="{00000000-0005-0000-0000-000051050000}"/>
    <cellStyle name="Normal 6 2 2 2 2 2 2 3" xfId="2562" xr:uid="{00000000-0005-0000-0000-000052050000}"/>
    <cellStyle name="Normal 6 2 2 2 2 2 3" xfId="2765" xr:uid="{00000000-0005-0000-0000-000053050000}"/>
    <cellStyle name="Normal 6 2 2 2 2 2 4" xfId="2264" xr:uid="{00000000-0005-0000-0000-000054050000}"/>
    <cellStyle name="Normal 6 2 2 2 2 3" xfId="1060" xr:uid="{00000000-0005-0000-0000-000055050000}"/>
    <cellStyle name="Normal 6 2 2 2 2 3 2" xfId="2864" xr:uid="{00000000-0005-0000-0000-000056050000}"/>
    <cellStyle name="Normal 6 2 2 2 2 3 3" xfId="2363" xr:uid="{00000000-0005-0000-0000-000057050000}"/>
    <cellStyle name="Normal 6 2 2 2 2 4" xfId="1135" xr:uid="{00000000-0005-0000-0000-000058050000}"/>
    <cellStyle name="Normal 6 2 2 2 2 4 2" xfId="2963" xr:uid="{00000000-0005-0000-0000-000059050000}"/>
    <cellStyle name="Normal 6 2 2 2 2 4 3" xfId="2462" xr:uid="{00000000-0005-0000-0000-00005A050000}"/>
    <cellStyle name="Normal 6 2 2 2 2 5" xfId="2665" xr:uid="{00000000-0005-0000-0000-00005B050000}"/>
    <cellStyle name="Normal 6 2 2 2 2 6" xfId="2164" xr:uid="{00000000-0005-0000-0000-00005C050000}"/>
    <cellStyle name="Normal 6 2 2 2 3" xfId="972" xr:uid="{00000000-0005-0000-0000-00005D050000}"/>
    <cellStyle name="Normal 6 2 2 2 3 2" xfId="997" xr:uid="{00000000-0005-0000-0000-00005E050000}"/>
    <cellStyle name="Normal 6 2 2 2 3 2 2" xfId="3017" xr:uid="{00000000-0005-0000-0000-00005F050000}"/>
    <cellStyle name="Normal 6 2 2 2 3 2 3" xfId="2516" xr:uid="{00000000-0005-0000-0000-000060050000}"/>
    <cellStyle name="Normal 6 2 2 2 3 3" xfId="2719" xr:uid="{00000000-0005-0000-0000-000061050000}"/>
    <cellStyle name="Normal 6 2 2 2 3 4" xfId="2218" xr:uid="{00000000-0005-0000-0000-000062050000}"/>
    <cellStyle name="Normal 6 2 2 2 4" xfId="1048" xr:uid="{00000000-0005-0000-0000-000063050000}"/>
    <cellStyle name="Normal 6 2 2 2 4 2" xfId="2818" xr:uid="{00000000-0005-0000-0000-000064050000}"/>
    <cellStyle name="Normal 6 2 2 2 4 3" xfId="2317" xr:uid="{00000000-0005-0000-0000-000065050000}"/>
    <cellStyle name="Normal 6 2 2 2 5" xfId="1080" xr:uid="{00000000-0005-0000-0000-000066050000}"/>
    <cellStyle name="Normal 6 2 2 2 5 2" xfId="2917" xr:uid="{00000000-0005-0000-0000-000067050000}"/>
    <cellStyle name="Normal 6 2 2 2 5 3" xfId="2416" xr:uid="{00000000-0005-0000-0000-000068050000}"/>
    <cellStyle name="Normal 6 2 2 2 6" xfId="2619" xr:uid="{00000000-0005-0000-0000-000069050000}"/>
    <cellStyle name="Normal 6 2 2 2 7" xfId="2118" xr:uid="{00000000-0005-0000-0000-00006A050000}"/>
    <cellStyle name="Normal 6 2 2 3" xfId="985" xr:uid="{00000000-0005-0000-0000-00006B050000}"/>
    <cellStyle name="Normal 6 2 2 3 2" xfId="1029" xr:uid="{00000000-0005-0000-0000-00006C050000}"/>
    <cellStyle name="Normal 6 2 2 3 2 2" xfId="1210" xr:uid="{00000000-0005-0000-0000-00006D050000}"/>
    <cellStyle name="Normal 6 2 2 3 2 2 2" xfId="3040" xr:uid="{00000000-0005-0000-0000-00006E050000}"/>
    <cellStyle name="Normal 6 2 2 3 2 2 3" xfId="2539" xr:uid="{00000000-0005-0000-0000-00006F050000}"/>
    <cellStyle name="Normal 6 2 2 3 2 3" xfId="2742" xr:uid="{00000000-0005-0000-0000-000070050000}"/>
    <cellStyle name="Normal 6 2 2 3 2 4" xfId="2241" xr:uid="{00000000-0005-0000-0000-000071050000}"/>
    <cellStyle name="Normal 6 2 2 3 3" xfId="1165" xr:uid="{00000000-0005-0000-0000-000072050000}"/>
    <cellStyle name="Normal 6 2 2 3 3 2" xfId="2841" xr:uid="{00000000-0005-0000-0000-000073050000}"/>
    <cellStyle name="Normal 6 2 2 3 3 3" xfId="2340" xr:uid="{00000000-0005-0000-0000-000074050000}"/>
    <cellStyle name="Normal 6 2 2 3 4" xfId="1101" xr:uid="{00000000-0005-0000-0000-000075050000}"/>
    <cellStyle name="Normal 6 2 2 3 4 2" xfId="2940" xr:uid="{00000000-0005-0000-0000-000076050000}"/>
    <cellStyle name="Normal 6 2 2 3 4 3" xfId="2439" xr:uid="{00000000-0005-0000-0000-000077050000}"/>
    <cellStyle name="Normal 6 2 2 3 5" xfId="2642" xr:uid="{00000000-0005-0000-0000-000078050000}"/>
    <cellStyle name="Normal 6 2 2 3 6" xfId="2141" xr:uid="{00000000-0005-0000-0000-000079050000}"/>
    <cellStyle name="Normal 6 2 2 4" xfId="1022" xr:uid="{00000000-0005-0000-0000-00007A050000}"/>
    <cellStyle name="Normal 6 2 2 4 2" xfId="1150" xr:uid="{00000000-0005-0000-0000-00007B050000}"/>
    <cellStyle name="Normal 6 2 2 4 2 2" xfId="2995" xr:uid="{00000000-0005-0000-0000-00007C050000}"/>
    <cellStyle name="Normal 6 2 2 4 2 3" xfId="2494" xr:uid="{00000000-0005-0000-0000-00007D050000}"/>
    <cellStyle name="Normal 6 2 2 4 3" xfId="2697" xr:uid="{00000000-0005-0000-0000-00007E050000}"/>
    <cellStyle name="Normal 6 2 2 4 4" xfId="2196" xr:uid="{00000000-0005-0000-0000-00007F050000}"/>
    <cellStyle name="Normal 6 2 2 5" xfId="996" xr:uid="{00000000-0005-0000-0000-000080050000}"/>
    <cellStyle name="Normal 6 2 2 5 2" xfId="2796" xr:uid="{00000000-0005-0000-0000-000081050000}"/>
    <cellStyle name="Normal 6 2 2 5 3" xfId="2295" xr:uid="{00000000-0005-0000-0000-000082050000}"/>
    <cellStyle name="Normal 6 2 2 6" xfId="1069" xr:uid="{00000000-0005-0000-0000-000083050000}"/>
    <cellStyle name="Normal 6 2 2 6 2" xfId="2895" xr:uid="{00000000-0005-0000-0000-000084050000}"/>
    <cellStyle name="Normal 6 2 2 6 3" xfId="2394" xr:uid="{00000000-0005-0000-0000-000085050000}"/>
    <cellStyle name="Normal 6 2 2 7" xfId="2597" xr:uid="{00000000-0005-0000-0000-000086050000}"/>
    <cellStyle name="Normal 6 2 2 8" xfId="2096" xr:uid="{00000000-0005-0000-0000-000087050000}"/>
    <cellStyle name="Normal 6 2 3" xfId="974" xr:uid="{00000000-0005-0000-0000-000088050000}"/>
    <cellStyle name="Normal 6 2 3 2" xfId="1010" xr:uid="{00000000-0005-0000-0000-000089050000}"/>
    <cellStyle name="Normal 6 2 3 2 2" xfId="1125" xr:uid="{00000000-0005-0000-0000-00008A050000}"/>
    <cellStyle name="Normal 6 2 3 2 2 2" xfId="1219" xr:uid="{00000000-0005-0000-0000-00008B050000}"/>
    <cellStyle name="Normal 6 2 3 2 2 2 2" xfId="3052" xr:uid="{00000000-0005-0000-0000-00008C050000}"/>
    <cellStyle name="Normal 6 2 3 2 2 2 3" xfId="2551" xr:uid="{00000000-0005-0000-0000-00008D050000}"/>
    <cellStyle name="Normal 6 2 3 2 2 3" xfId="2754" xr:uid="{00000000-0005-0000-0000-00008E050000}"/>
    <cellStyle name="Normal 6 2 3 2 2 4" xfId="2253" xr:uid="{00000000-0005-0000-0000-00008F050000}"/>
    <cellStyle name="Normal 6 2 3 2 3" xfId="1167" xr:uid="{00000000-0005-0000-0000-000090050000}"/>
    <cellStyle name="Normal 6 2 3 2 3 2" xfId="2853" xr:uid="{00000000-0005-0000-0000-000091050000}"/>
    <cellStyle name="Normal 6 2 3 2 3 3" xfId="2352" xr:uid="{00000000-0005-0000-0000-000092050000}"/>
    <cellStyle name="Normal 6 2 3 2 4" xfId="1102" xr:uid="{00000000-0005-0000-0000-000093050000}"/>
    <cellStyle name="Normal 6 2 3 2 4 2" xfId="2952" xr:uid="{00000000-0005-0000-0000-000094050000}"/>
    <cellStyle name="Normal 6 2 3 2 4 3" xfId="2451" xr:uid="{00000000-0005-0000-0000-000095050000}"/>
    <cellStyle name="Normal 6 2 3 2 5" xfId="2654" xr:uid="{00000000-0005-0000-0000-000096050000}"/>
    <cellStyle name="Normal 6 2 3 2 6" xfId="2153" xr:uid="{00000000-0005-0000-0000-000097050000}"/>
    <cellStyle name="Normal 6 2 3 3" xfId="504" xr:uid="{00000000-0005-0000-0000-000098050000}"/>
    <cellStyle name="Normal 6 2 3 3 2" xfId="950" xr:uid="{00000000-0005-0000-0000-000099050000}"/>
    <cellStyle name="Normal 6 2 3 3 2 2" xfId="3006" xr:uid="{00000000-0005-0000-0000-00009A050000}"/>
    <cellStyle name="Normal 6 2 3 3 2 3" xfId="2505" xr:uid="{00000000-0005-0000-0000-00009B050000}"/>
    <cellStyle name="Normal 6 2 3 3 3" xfId="2708" xr:uid="{00000000-0005-0000-0000-00009C050000}"/>
    <cellStyle name="Normal 6 2 3 3 4" xfId="2207" xr:uid="{00000000-0005-0000-0000-00009D050000}"/>
    <cellStyle name="Normal 6 2 3 4" xfId="967" xr:uid="{00000000-0005-0000-0000-00009E050000}"/>
    <cellStyle name="Normal 6 2 3 4 2" xfId="2807" xr:uid="{00000000-0005-0000-0000-00009F050000}"/>
    <cellStyle name="Normal 6 2 3 4 3" xfId="2306" xr:uid="{00000000-0005-0000-0000-0000A0050000}"/>
    <cellStyle name="Normal 6 2 3 5" xfId="1161" xr:uid="{00000000-0005-0000-0000-0000A1050000}"/>
    <cellStyle name="Normal 6 2 3 5 2" xfId="2906" xr:uid="{00000000-0005-0000-0000-0000A2050000}"/>
    <cellStyle name="Normal 6 2 3 5 3" xfId="2405" xr:uid="{00000000-0005-0000-0000-0000A3050000}"/>
    <cellStyle name="Normal 6 2 3 6" xfId="2608" xr:uid="{00000000-0005-0000-0000-0000A4050000}"/>
    <cellStyle name="Normal 6 2 3 7" xfId="2107" xr:uid="{00000000-0005-0000-0000-0000A5050000}"/>
    <cellStyle name="Normal 6 2 4" xfId="1168" xr:uid="{00000000-0005-0000-0000-0000A6050000}"/>
    <cellStyle name="Normal 6 2 4 2" xfId="1028" xr:uid="{00000000-0005-0000-0000-0000A7050000}"/>
    <cellStyle name="Normal 6 2 4 2 2" xfId="1202" xr:uid="{00000000-0005-0000-0000-0000A8050000}"/>
    <cellStyle name="Normal 6 2 4 2 2 2" xfId="3029" xr:uid="{00000000-0005-0000-0000-0000A9050000}"/>
    <cellStyle name="Normal 6 2 4 2 2 3" xfId="2528" xr:uid="{00000000-0005-0000-0000-0000AA050000}"/>
    <cellStyle name="Normal 6 2 4 2 3" xfId="2731" xr:uid="{00000000-0005-0000-0000-0000AB050000}"/>
    <cellStyle name="Normal 6 2 4 2 4" xfId="2230" xr:uid="{00000000-0005-0000-0000-0000AC050000}"/>
    <cellStyle name="Normal 6 2 4 3" xfId="506" xr:uid="{00000000-0005-0000-0000-0000AD050000}"/>
    <cellStyle name="Normal 6 2 4 3 2" xfId="2830" xr:uid="{00000000-0005-0000-0000-0000AE050000}"/>
    <cellStyle name="Normal 6 2 4 3 3" xfId="2329" xr:uid="{00000000-0005-0000-0000-0000AF050000}"/>
    <cellStyle name="Normal 6 2 4 4" xfId="1079" xr:uid="{00000000-0005-0000-0000-0000B0050000}"/>
    <cellStyle name="Normal 6 2 4 4 2" xfId="2929" xr:uid="{00000000-0005-0000-0000-0000B1050000}"/>
    <cellStyle name="Normal 6 2 4 4 3" xfId="2428" xr:uid="{00000000-0005-0000-0000-0000B2050000}"/>
    <cellStyle name="Normal 6 2 4 5" xfId="2631" xr:uid="{00000000-0005-0000-0000-0000B3050000}"/>
    <cellStyle name="Normal 6 2 4 6" xfId="2130" xr:uid="{00000000-0005-0000-0000-0000B4050000}"/>
    <cellStyle name="Normal 6 2 5" xfId="1164" xr:uid="{00000000-0005-0000-0000-0000B5050000}"/>
    <cellStyle name="Normal 6 2 5 2" xfId="501" xr:uid="{00000000-0005-0000-0000-0000B6050000}"/>
    <cellStyle name="Normal 6 2 5 2 2" xfId="1096" xr:uid="{00000000-0005-0000-0000-0000B7050000}"/>
    <cellStyle name="Normal 6 2 5 2 2 2" xfId="2984" xr:uid="{00000000-0005-0000-0000-0000B8050000}"/>
    <cellStyle name="Normal 6 2 5 2 2 3" xfId="2483" xr:uid="{00000000-0005-0000-0000-0000B9050000}"/>
    <cellStyle name="Normal 6 2 5 2 3" xfId="2686" xr:uid="{00000000-0005-0000-0000-0000BA050000}"/>
    <cellStyle name="Normal 6 2 5 2 4" xfId="2185" xr:uid="{00000000-0005-0000-0000-0000BB050000}"/>
    <cellStyle name="Normal 6 2 5 3" xfId="1110" xr:uid="{00000000-0005-0000-0000-0000BC050000}"/>
    <cellStyle name="Normal 6 2 5 3 2" xfId="2785" xr:uid="{00000000-0005-0000-0000-0000BD050000}"/>
    <cellStyle name="Normal 6 2 5 3 3" xfId="2284" xr:uid="{00000000-0005-0000-0000-0000BE050000}"/>
    <cellStyle name="Normal 6 2 5 4" xfId="1066" xr:uid="{00000000-0005-0000-0000-0000BF050000}"/>
    <cellStyle name="Normal 6 2 5 4 2" xfId="2884" xr:uid="{00000000-0005-0000-0000-0000C0050000}"/>
    <cellStyle name="Normal 6 2 5 4 3" xfId="2383" xr:uid="{00000000-0005-0000-0000-0000C1050000}"/>
    <cellStyle name="Normal 6 2 5 5" xfId="2586" xr:uid="{00000000-0005-0000-0000-0000C2050000}"/>
    <cellStyle name="Normal 6 2 5 6" xfId="2085" xr:uid="{00000000-0005-0000-0000-0000C3050000}"/>
    <cellStyle name="Normal 6 2 6" xfId="1015" xr:uid="{00000000-0005-0000-0000-0000C4050000}"/>
    <cellStyle name="Normal 6 2 6 2" xfId="1183" xr:uid="{00000000-0005-0000-0000-0000C5050000}"/>
    <cellStyle name="Normal 6 2 6 2 2" xfId="2974" xr:uid="{00000000-0005-0000-0000-0000C6050000}"/>
    <cellStyle name="Normal 6 2 6 2 3" xfId="2473" xr:uid="{00000000-0005-0000-0000-0000C7050000}"/>
    <cellStyle name="Normal 6 2 6 3" xfId="2676" xr:uid="{00000000-0005-0000-0000-0000C8050000}"/>
    <cellStyle name="Normal 6 2 6 4" xfId="2175" xr:uid="{00000000-0005-0000-0000-0000C9050000}"/>
    <cellStyle name="Normal 6 2 7" xfId="978" xr:uid="{00000000-0005-0000-0000-0000CA050000}"/>
    <cellStyle name="Normal 6 2 7 2" xfId="2775" xr:uid="{00000000-0005-0000-0000-0000CB050000}"/>
    <cellStyle name="Normal 6 2 7 3" xfId="2274" xr:uid="{00000000-0005-0000-0000-0000CC050000}"/>
    <cellStyle name="Normal 6 2 8" xfId="1189" xr:uid="{00000000-0005-0000-0000-0000CD050000}"/>
    <cellStyle name="Normal 6 2 8 2" xfId="2874" xr:uid="{00000000-0005-0000-0000-0000CE050000}"/>
    <cellStyle name="Normal 6 2 8 3" xfId="2373" xr:uid="{00000000-0005-0000-0000-0000CF050000}"/>
    <cellStyle name="Normal 6 2 9" xfId="2576" xr:uid="{00000000-0005-0000-0000-0000D0050000}"/>
    <cellStyle name="Normal 6 3" xfId="1172" xr:uid="{00000000-0005-0000-0000-0000D1050000}"/>
    <cellStyle name="Normal 6 3 2" xfId="1175" xr:uid="{00000000-0005-0000-0000-0000D2050000}"/>
    <cellStyle name="Normal 6 3 2 2" xfId="1014" xr:uid="{00000000-0005-0000-0000-0000D3050000}"/>
    <cellStyle name="Normal 6 3 2 2 2" xfId="1033" xr:uid="{00000000-0005-0000-0000-0000D4050000}"/>
    <cellStyle name="Normal 6 3 2 2 2 2" xfId="1224" xr:uid="{00000000-0005-0000-0000-0000D5050000}"/>
    <cellStyle name="Normal 6 3 2 2 2 2 2" xfId="3058" xr:uid="{00000000-0005-0000-0000-0000D6050000}"/>
    <cellStyle name="Normal 6 3 2 2 2 2 3" xfId="2557" xr:uid="{00000000-0005-0000-0000-0000D7050000}"/>
    <cellStyle name="Normal 6 3 2 2 2 3" xfId="2760" xr:uid="{00000000-0005-0000-0000-0000D8050000}"/>
    <cellStyle name="Normal 6 3 2 2 2 4" xfId="2259" xr:uid="{00000000-0005-0000-0000-0000D9050000}"/>
    <cellStyle name="Normal 6 3 2 2 3" xfId="1199" xr:uid="{00000000-0005-0000-0000-0000DA050000}"/>
    <cellStyle name="Normal 6 3 2 2 3 2" xfId="2859" xr:uid="{00000000-0005-0000-0000-0000DB050000}"/>
    <cellStyle name="Normal 6 3 2 2 3 3" xfId="2358" xr:uid="{00000000-0005-0000-0000-0000DC050000}"/>
    <cellStyle name="Normal 6 3 2 2 4" xfId="1084" xr:uid="{00000000-0005-0000-0000-0000DD050000}"/>
    <cellStyle name="Normal 6 3 2 2 4 2" xfId="2958" xr:uid="{00000000-0005-0000-0000-0000DE050000}"/>
    <cellStyle name="Normal 6 3 2 2 4 3" xfId="2457" xr:uid="{00000000-0005-0000-0000-0000DF050000}"/>
    <cellStyle name="Normal 6 3 2 2 5" xfId="2660" xr:uid="{00000000-0005-0000-0000-0000E0050000}"/>
    <cellStyle name="Normal 6 3 2 2 6" xfId="2159" xr:uid="{00000000-0005-0000-0000-0000E1050000}"/>
    <cellStyle name="Normal 6 3 2 3" xfId="979" xr:uid="{00000000-0005-0000-0000-0000E2050000}"/>
    <cellStyle name="Normal 6 3 2 3 2" xfId="1197" xr:uid="{00000000-0005-0000-0000-0000E3050000}"/>
    <cellStyle name="Normal 6 3 2 3 2 2" xfId="3012" xr:uid="{00000000-0005-0000-0000-0000E4050000}"/>
    <cellStyle name="Normal 6 3 2 3 2 3" xfId="2511" xr:uid="{00000000-0005-0000-0000-0000E5050000}"/>
    <cellStyle name="Normal 6 3 2 3 3" xfId="2714" xr:uid="{00000000-0005-0000-0000-0000E6050000}"/>
    <cellStyle name="Normal 6 3 2 3 4" xfId="2213" xr:uid="{00000000-0005-0000-0000-0000E7050000}"/>
    <cellStyle name="Normal 6 3 2 4" xfId="1053" xr:uid="{00000000-0005-0000-0000-0000E8050000}"/>
    <cellStyle name="Normal 6 3 2 4 2" xfId="2813" xr:uid="{00000000-0005-0000-0000-0000E9050000}"/>
    <cellStyle name="Normal 6 3 2 4 3" xfId="2312" xr:uid="{00000000-0005-0000-0000-0000EA050000}"/>
    <cellStyle name="Normal 6 3 2 5" xfId="1072" xr:uid="{00000000-0005-0000-0000-0000EB050000}"/>
    <cellStyle name="Normal 6 3 2 5 2" xfId="2912" xr:uid="{00000000-0005-0000-0000-0000EC050000}"/>
    <cellStyle name="Normal 6 3 2 5 3" xfId="2411" xr:uid="{00000000-0005-0000-0000-0000ED050000}"/>
    <cellStyle name="Normal 6 3 2 6" xfId="2614" xr:uid="{00000000-0005-0000-0000-0000EE050000}"/>
    <cellStyle name="Normal 6 3 2 7" xfId="2113" xr:uid="{00000000-0005-0000-0000-0000EF050000}"/>
    <cellStyle name="Normal 6 3 3" xfId="1139" xr:uid="{00000000-0005-0000-0000-0000F0050000}"/>
    <cellStyle name="Normal 6 3 3 2" xfId="1170" xr:uid="{00000000-0005-0000-0000-0000F1050000}"/>
    <cellStyle name="Normal 6 3 3 2 2" xfId="1207" xr:uid="{00000000-0005-0000-0000-0000F2050000}"/>
    <cellStyle name="Normal 6 3 3 2 2 2" xfId="3035" xr:uid="{00000000-0005-0000-0000-0000F3050000}"/>
    <cellStyle name="Normal 6 3 3 2 2 3" xfId="2534" xr:uid="{00000000-0005-0000-0000-0000F4050000}"/>
    <cellStyle name="Normal 6 3 3 2 3" xfId="2737" xr:uid="{00000000-0005-0000-0000-0000F5050000}"/>
    <cellStyle name="Normal 6 3 3 2 4" xfId="2236" xr:uid="{00000000-0005-0000-0000-0000F6050000}"/>
    <cellStyle name="Normal 6 3 3 3" xfId="1142" xr:uid="{00000000-0005-0000-0000-0000F7050000}"/>
    <cellStyle name="Normal 6 3 3 3 2" xfId="2836" xr:uid="{00000000-0005-0000-0000-0000F8050000}"/>
    <cellStyle name="Normal 6 3 3 3 3" xfId="2335" xr:uid="{00000000-0005-0000-0000-0000F9050000}"/>
    <cellStyle name="Normal 6 3 3 4" xfId="503" xr:uid="{00000000-0005-0000-0000-0000FA050000}"/>
    <cellStyle name="Normal 6 3 3 4 2" xfId="2935" xr:uid="{00000000-0005-0000-0000-0000FB050000}"/>
    <cellStyle name="Normal 6 3 3 4 3" xfId="2434" xr:uid="{00000000-0005-0000-0000-0000FC050000}"/>
    <cellStyle name="Normal 6 3 3 5" xfId="2637" xr:uid="{00000000-0005-0000-0000-0000FD050000}"/>
    <cellStyle name="Normal 6 3 3 6" xfId="2136" xr:uid="{00000000-0005-0000-0000-0000FE050000}"/>
    <cellStyle name="Normal 6 3 4" xfId="1023" xr:uid="{00000000-0005-0000-0000-0000FF050000}"/>
    <cellStyle name="Normal 6 3 4 2" xfId="1132" xr:uid="{00000000-0005-0000-0000-000000060000}"/>
    <cellStyle name="Normal 6 3 4 2 2" xfId="2990" xr:uid="{00000000-0005-0000-0000-000001060000}"/>
    <cellStyle name="Normal 6 3 4 2 3" xfId="2489" xr:uid="{00000000-0005-0000-0000-000002060000}"/>
    <cellStyle name="Normal 6 3 4 3" xfId="2692" xr:uid="{00000000-0005-0000-0000-000003060000}"/>
    <cellStyle name="Normal 6 3 4 4" xfId="2191" xr:uid="{00000000-0005-0000-0000-000004060000}"/>
    <cellStyle name="Normal 6 3 5" xfId="1040" xr:uid="{00000000-0005-0000-0000-000005060000}"/>
    <cellStyle name="Normal 6 3 5 2" xfId="2791" xr:uid="{00000000-0005-0000-0000-000006060000}"/>
    <cellStyle name="Normal 6 3 5 3" xfId="2290" xr:uid="{00000000-0005-0000-0000-000007060000}"/>
    <cellStyle name="Normal 6 3 6" xfId="1169" xr:uid="{00000000-0005-0000-0000-000008060000}"/>
    <cellStyle name="Normal 6 3 6 2" xfId="2890" xr:uid="{00000000-0005-0000-0000-000009060000}"/>
    <cellStyle name="Normal 6 3 6 3" xfId="2389" xr:uid="{00000000-0005-0000-0000-00000A060000}"/>
    <cellStyle name="Normal 6 3 7" xfId="2592" xr:uid="{00000000-0005-0000-0000-00000B060000}"/>
    <cellStyle name="Normal 6 3 8" xfId="2091" xr:uid="{00000000-0005-0000-0000-00000C060000}"/>
    <cellStyle name="Normal 6 4" xfId="1003" xr:uid="{00000000-0005-0000-0000-00000D060000}"/>
    <cellStyle name="Normal 6 4 2" xfId="1011" xr:uid="{00000000-0005-0000-0000-00000E060000}"/>
    <cellStyle name="Normal 6 4 2 2" xfId="1176" xr:uid="{00000000-0005-0000-0000-00000F060000}"/>
    <cellStyle name="Normal 6 4 2 2 2" xfId="1215" xr:uid="{00000000-0005-0000-0000-000010060000}"/>
    <cellStyle name="Normal 6 4 2 2 2 2" xfId="3047" xr:uid="{00000000-0005-0000-0000-000011060000}"/>
    <cellStyle name="Normal 6 4 2 2 2 3" xfId="2546" xr:uid="{00000000-0005-0000-0000-000012060000}"/>
    <cellStyle name="Normal 6 4 2 2 3" xfId="2749" xr:uid="{00000000-0005-0000-0000-000013060000}"/>
    <cellStyle name="Normal 6 4 2 2 4" xfId="2248" xr:uid="{00000000-0005-0000-0000-000014060000}"/>
    <cellStyle name="Normal 6 4 2 3" xfId="959" xr:uid="{00000000-0005-0000-0000-000015060000}"/>
    <cellStyle name="Normal 6 4 2 3 2" xfId="2848" xr:uid="{00000000-0005-0000-0000-000016060000}"/>
    <cellStyle name="Normal 6 4 2 3 3" xfId="2347" xr:uid="{00000000-0005-0000-0000-000017060000}"/>
    <cellStyle name="Normal 6 4 2 4" xfId="1141" xr:uid="{00000000-0005-0000-0000-000018060000}"/>
    <cellStyle name="Normal 6 4 2 4 2" xfId="2947" xr:uid="{00000000-0005-0000-0000-000019060000}"/>
    <cellStyle name="Normal 6 4 2 4 3" xfId="2446" xr:uid="{00000000-0005-0000-0000-00001A060000}"/>
    <cellStyle name="Normal 6 4 2 5" xfId="2649" xr:uid="{00000000-0005-0000-0000-00001B060000}"/>
    <cellStyle name="Normal 6 4 2 6" xfId="2148" xr:uid="{00000000-0005-0000-0000-00001C060000}"/>
    <cellStyle name="Normal 6 4 3" xfId="1026" xr:uid="{00000000-0005-0000-0000-00001D060000}"/>
    <cellStyle name="Normal 6 4 3 2" xfId="1153" xr:uid="{00000000-0005-0000-0000-00001E060000}"/>
    <cellStyle name="Normal 6 4 3 2 2" xfId="3001" xr:uid="{00000000-0005-0000-0000-00001F060000}"/>
    <cellStyle name="Normal 6 4 3 2 3" xfId="2500" xr:uid="{00000000-0005-0000-0000-000020060000}"/>
    <cellStyle name="Normal 6 4 3 3" xfId="2703" xr:uid="{00000000-0005-0000-0000-000021060000}"/>
    <cellStyle name="Normal 6 4 3 4" xfId="2202" xr:uid="{00000000-0005-0000-0000-000022060000}"/>
    <cellStyle name="Normal 6 4 4" xfId="1173" xr:uid="{00000000-0005-0000-0000-000023060000}"/>
    <cellStyle name="Normal 6 4 4 2" xfId="2802" xr:uid="{00000000-0005-0000-0000-000024060000}"/>
    <cellStyle name="Normal 6 4 4 3" xfId="2301" xr:uid="{00000000-0005-0000-0000-000025060000}"/>
    <cellStyle name="Normal 6 4 5" xfId="963" xr:uid="{00000000-0005-0000-0000-000026060000}"/>
    <cellStyle name="Normal 6 4 5 2" xfId="2901" xr:uid="{00000000-0005-0000-0000-000027060000}"/>
    <cellStyle name="Normal 6 4 5 3" xfId="2400" xr:uid="{00000000-0005-0000-0000-000028060000}"/>
    <cellStyle name="Normal 6 4 6" xfId="2603" xr:uid="{00000000-0005-0000-0000-000029060000}"/>
    <cellStyle name="Normal 6 4 7" xfId="2102" xr:uid="{00000000-0005-0000-0000-00002A060000}"/>
    <cellStyle name="Normal 6 5" xfId="1009" xr:uid="{00000000-0005-0000-0000-00002B060000}"/>
    <cellStyle name="Normal 6 5 2" xfId="1027" xr:uid="{00000000-0005-0000-0000-00002C060000}"/>
    <cellStyle name="Normal 6 5 2 2" xfId="1157" xr:uid="{00000000-0005-0000-0000-00002D060000}"/>
    <cellStyle name="Normal 6 5 2 2 2" xfId="3024" xr:uid="{00000000-0005-0000-0000-00002E060000}"/>
    <cellStyle name="Normal 6 5 2 2 3" xfId="2523" xr:uid="{00000000-0005-0000-0000-00002F060000}"/>
    <cellStyle name="Normal 6 5 2 3" xfId="2726" xr:uid="{00000000-0005-0000-0000-000030060000}"/>
    <cellStyle name="Normal 6 5 2 4" xfId="2225" xr:uid="{00000000-0005-0000-0000-000031060000}"/>
    <cellStyle name="Normal 6 5 3" xfId="1051" xr:uid="{00000000-0005-0000-0000-000032060000}"/>
    <cellStyle name="Normal 6 5 3 2" xfId="2825" xr:uid="{00000000-0005-0000-0000-000033060000}"/>
    <cellStyle name="Normal 6 5 3 3" xfId="2324" xr:uid="{00000000-0005-0000-0000-000034060000}"/>
    <cellStyle name="Normal 6 5 4" xfId="984" xr:uid="{00000000-0005-0000-0000-000035060000}"/>
    <cellStyle name="Normal 6 5 4 2" xfId="2924" xr:uid="{00000000-0005-0000-0000-000036060000}"/>
    <cellStyle name="Normal 6 5 4 3" xfId="2423" xr:uid="{00000000-0005-0000-0000-000037060000}"/>
    <cellStyle name="Normal 6 5 5" xfId="2626" xr:uid="{00000000-0005-0000-0000-000038060000}"/>
    <cellStyle name="Normal 6 5 6" xfId="2125" xr:uid="{00000000-0005-0000-0000-000039060000}"/>
    <cellStyle name="Normal 6 6" xfId="493" xr:uid="{00000000-0005-0000-0000-00003A060000}"/>
    <cellStyle name="Normal 6 6 2" xfId="1021" xr:uid="{00000000-0005-0000-0000-00003B060000}"/>
    <cellStyle name="Normal 6 6 2 2" xfId="1091" xr:uid="{00000000-0005-0000-0000-00003C060000}"/>
    <cellStyle name="Normal 6 6 2 2 2" xfId="2979" xr:uid="{00000000-0005-0000-0000-00003D060000}"/>
    <cellStyle name="Normal 6 6 2 2 3" xfId="2478" xr:uid="{00000000-0005-0000-0000-00003E060000}"/>
    <cellStyle name="Normal 6 6 2 3" xfId="2681" xr:uid="{00000000-0005-0000-0000-00003F060000}"/>
    <cellStyle name="Normal 6 6 2 4" xfId="2180" xr:uid="{00000000-0005-0000-0000-000040060000}"/>
    <cellStyle name="Normal 6 6 3" xfId="964" xr:uid="{00000000-0005-0000-0000-000041060000}"/>
    <cellStyle name="Normal 6 6 3 2" xfId="2780" xr:uid="{00000000-0005-0000-0000-000042060000}"/>
    <cellStyle name="Normal 6 6 3 3" xfId="2279" xr:uid="{00000000-0005-0000-0000-000043060000}"/>
    <cellStyle name="Normal 6 6 4" xfId="718" xr:uid="{00000000-0005-0000-0000-000044060000}"/>
    <cellStyle name="Normal 6 6 4 2" xfId="2879" xr:uid="{00000000-0005-0000-0000-000045060000}"/>
    <cellStyle name="Normal 6 6 4 3" xfId="2378" xr:uid="{00000000-0005-0000-0000-000046060000}"/>
    <cellStyle name="Normal 6 6 5" xfId="2581" xr:uid="{00000000-0005-0000-0000-000047060000}"/>
    <cellStyle name="Normal 6 6 6" xfId="2080" xr:uid="{00000000-0005-0000-0000-000048060000}"/>
    <cellStyle name="Normal 6 7" xfId="1113" xr:uid="{00000000-0005-0000-0000-000049060000}"/>
    <cellStyle name="Normal 6 7 2" xfId="1179" xr:uid="{00000000-0005-0000-0000-00004A060000}"/>
    <cellStyle name="Normal 6 7 2 2" xfId="2969" xr:uid="{00000000-0005-0000-0000-00004B060000}"/>
    <cellStyle name="Normal 6 7 2 3" xfId="2468" xr:uid="{00000000-0005-0000-0000-00004C060000}"/>
    <cellStyle name="Normal 6 7 3" xfId="2671" xr:uid="{00000000-0005-0000-0000-00004D060000}"/>
    <cellStyle name="Normal 6 7 4" xfId="2170" xr:uid="{00000000-0005-0000-0000-00004E060000}"/>
    <cellStyle name="Normal 6 8" xfId="1123" xr:uid="{00000000-0005-0000-0000-00004F060000}"/>
    <cellStyle name="Normal 6 8 2" xfId="2770" xr:uid="{00000000-0005-0000-0000-000050060000}"/>
    <cellStyle name="Normal 6 8 3" xfId="2269" xr:uid="{00000000-0005-0000-0000-000051060000}"/>
    <cellStyle name="Normal 6 9" xfId="987" xr:uid="{00000000-0005-0000-0000-000052060000}"/>
    <cellStyle name="Normal 6 9 2" xfId="2869" xr:uid="{00000000-0005-0000-0000-000053060000}"/>
    <cellStyle name="Normal 6 9 3" xfId="2368" xr:uid="{00000000-0005-0000-0000-000054060000}"/>
    <cellStyle name="Normal 7" xfId="44" xr:uid="{00000000-0005-0000-0000-000055060000}"/>
    <cellStyle name="Normal 7 10" xfId="462" xr:uid="{00000000-0005-0000-0000-000056060000}"/>
    <cellStyle name="Normal 7 10 2" xfId="914" xr:uid="{00000000-0005-0000-0000-000057060000}"/>
    <cellStyle name="Normal 7 10 2 2" xfId="2870" xr:uid="{00000000-0005-0000-0000-000058060000}"/>
    <cellStyle name="Normal 7 10 3" xfId="1638" xr:uid="{00000000-0005-0000-0000-000059060000}"/>
    <cellStyle name="Normal 7 10 4" xfId="2369" xr:uid="{00000000-0005-0000-0000-00005A060000}"/>
    <cellStyle name="Normal 7 11" xfId="510" xr:uid="{00000000-0005-0000-0000-00005B060000}"/>
    <cellStyle name="Normal 7 11 2" xfId="2572" xr:uid="{00000000-0005-0000-0000-00005C060000}"/>
    <cellStyle name="Normal 7 12" xfId="1238" xr:uid="{00000000-0005-0000-0000-00005D060000}"/>
    <cellStyle name="Normal 7 13" xfId="1672" xr:uid="{00000000-0005-0000-0000-00005E060000}"/>
    <cellStyle name="Normal 7 14" xfId="2071" xr:uid="{00000000-0005-0000-0000-00005F060000}"/>
    <cellStyle name="Normal 7 2" xfId="63" xr:uid="{00000000-0005-0000-0000-000060060000}"/>
    <cellStyle name="Normal 7 2 10" xfId="525" xr:uid="{00000000-0005-0000-0000-000061060000}"/>
    <cellStyle name="Normal 7 2 10 2" xfId="2574" xr:uid="{00000000-0005-0000-0000-000062060000}"/>
    <cellStyle name="Normal 7 2 11" xfId="1250" xr:uid="{00000000-0005-0000-0000-000063060000}"/>
    <cellStyle name="Normal 7 2 12" xfId="1684" xr:uid="{00000000-0005-0000-0000-000064060000}"/>
    <cellStyle name="Normal 7 2 13" xfId="2073" xr:uid="{00000000-0005-0000-0000-000065060000}"/>
    <cellStyle name="Normal 7 2 2" xfId="83" xr:uid="{00000000-0005-0000-0000-000066060000}"/>
    <cellStyle name="Normal 7 2 2 10" xfId="1701" xr:uid="{00000000-0005-0000-0000-000067060000}"/>
    <cellStyle name="Normal 7 2 2 11" xfId="2078" xr:uid="{00000000-0005-0000-0000-000068060000}"/>
    <cellStyle name="Normal 7 2 2 2" xfId="277" xr:uid="{00000000-0005-0000-0000-000069060000}"/>
    <cellStyle name="Normal 7 2 2 2 2" xfId="278" xr:uid="{00000000-0005-0000-0000-00006A060000}"/>
    <cellStyle name="Normal 7 2 2 2 2 2" xfId="733" xr:uid="{00000000-0005-0000-0000-00006B060000}"/>
    <cellStyle name="Normal 7 2 2 2 2 2 2" xfId="1035" xr:uid="{00000000-0005-0000-0000-00006C060000}"/>
    <cellStyle name="Normal 7 2 2 2 2 2 2 2" xfId="1230" xr:uid="{00000000-0005-0000-0000-00006D060000}"/>
    <cellStyle name="Normal 7 2 2 2 2 2 2 2 2" xfId="3066" xr:uid="{00000000-0005-0000-0000-00006E060000}"/>
    <cellStyle name="Normal 7 2 2 2 2 2 2 2 3" xfId="2565" xr:uid="{00000000-0005-0000-0000-00006F060000}"/>
    <cellStyle name="Normal 7 2 2 2 2 2 2 3" xfId="2768" xr:uid="{00000000-0005-0000-0000-000070060000}"/>
    <cellStyle name="Normal 7 2 2 2 2 2 2 4" xfId="2267" xr:uid="{00000000-0005-0000-0000-000071060000}"/>
    <cellStyle name="Normal 7 2 2 2 2 2 3" xfId="1062" xr:uid="{00000000-0005-0000-0000-000072060000}"/>
    <cellStyle name="Normal 7 2 2 2 2 2 3 2" xfId="2867" xr:uid="{00000000-0005-0000-0000-000073060000}"/>
    <cellStyle name="Normal 7 2 2 2 2 2 3 3" xfId="2366" xr:uid="{00000000-0005-0000-0000-000074060000}"/>
    <cellStyle name="Normal 7 2 2 2 2 2 4" xfId="1088" xr:uid="{00000000-0005-0000-0000-000075060000}"/>
    <cellStyle name="Normal 7 2 2 2 2 2 4 2" xfId="2966" xr:uid="{00000000-0005-0000-0000-000076060000}"/>
    <cellStyle name="Normal 7 2 2 2 2 2 4 3" xfId="2465" xr:uid="{00000000-0005-0000-0000-000077060000}"/>
    <cellStyle name="Normal 7 2 2 2 2 2 5" xfId="2668" xr:uid="{00000000-0005-0000-0000-000078060000}"/>
    <cellStyle name="Normal 7 2 2 2 2 2 6" xfId="2167" xr:uid="{00000000-0005-0000-0000-000079060000}"/>
    <cellStyle name="Normal 7 2 2 2 2 3" xfId="995" xr:uid="{00000000-0005-0000-0000-00007A060000}"/>
    <cellStyle name="Normal 7 2 2 2 2 3 2" xfId="992" xr:uid="{00000000-0005-0000-0000-00007B060000}"/>
    <cellStyle name="Normal 7 2 2 2 2 3 2 2" xfId="3020" xr:uid="{00000000-0005-0000-0000-00007C060000}"/>
    <cellStyle name="Normal 7 2 2 2 2 3 2 3" xfId="2519" xr:uid="{00000000-0005-0000-0000-00007D060000}"/>
    <cellStyle name="Normal 7 2 2 2 2 3 3" xfId="2722" xr:uid="{00000000-0005-0000-0000-00007E060000}"/>
    <cellStyle name="Normal 7 2 2 2 2 3 4" xfId="2221" xr:uid="{00000000-0005-0000-0000-00007F060000}"/>
    <cellStyle name="Normal 7 2 2 2 2 4" xfId="1107" xr:uid="{00000000-0005-0000-0000-000080060000}"/>
    <cellStyle name="Normal 7 2 2 2 2 4 2" xfId="2821" xr:uid="{00000000-0005-0000-0000-000081060000}"/>
    <cellStyle name="Normal 7 2 2 2 2 4 3" xfId="2320" xr:uid="{00000000-0005-0000-0000-000082060000}"/>
    <cellStyle name="Normal 7 2 2 2 2 5" xfId="1074" xr:uid="{00000000-0005-0000-0000-000083060000}"/>
    <cellStyle name="Normal 7 2 2 2 2 5 2" xfId="2920" xr:uid="{00000000-0005-0000-0000-000084060000}"/>
    <cellStyle name="Normal 7 2 2 2 2 5 3" xfId="2419" xr:uid="{00000000-0005-0000-0000-000085060000}"/>
    <cellStyle name="Normal 7 2 2 2 2 6" xfId="1457" xr:uid="{00000000-0005-0000-0000-000086060000}"/>
    <cellStyle name="Normal 7 2 2 2 2 6 2" xfId="2622" xr:uid="{00000000-0005-0000-0000-000087060000}"/>
    <cellStyle name="Normal 7 2 2 2 2 7" xfId="1891" xr:uid="{00000000-0005-0000-0000-000088060000}"/>
    <cellStyle name="Normal 7 2 2 2 2 8" xfId="2121" xr:uid="{00000000-0005-0000-0000-000089060000}"/>
    <cellStyle name="Normal 7 2 2 2 3" xfId="732" xr:uid="{00000000-0005-0000-0000-00008A060000}"/>
    <cellStyle name="Normal 7 2 2 2 3 2" xfId="1031" xr:uid="{00000000-0005-0000-0000-00008B060000}"/>
    <cellStyle name="Normal 7 2 2 2 3 2 2" xfId="1212" xr:uid="{00000000-0005-0000-0000-00008C060000}"/>
    <cellStyle name="Normal 7 2 2 2 3 2 2 2" xfId="3043" xr:uid="{00000000-0005-0000-0000-00008D060000}"/>
    <cellStyle name="Normal 7 2 2 2 3 2 2 3" xfId="2542" xr:uid="{00000000-0005-0000-0000-00008E060000}"/>
    <cellStyle name="Normal 7 2 2 2 3 2 3" xfId="2745" xr:uid="{00000000-0005-0000-0000-00008F060000}"/>
    <cellStyle name="Normal 7 2 2 2 3 2 4" xfId="2244" xr:uid="{00000000-0005-0000-0000-000090060000}"/>
    <cellStyle name="Normal 7 2 2 2 3 3" xfId="1105" xr:uid="{00000000-0005-0000-0000-000091060000}"/>
    <cellStyle name="Normal 7 2 2 2 3 3 2" xfId="2844" xr:uid="{00000000-0005-0000-0000-000092060000}"/>
    <cellStyle name="Normal 7 2 2 2 3 3 3" xfId="2343" xr:uid="{00000000-0005-0000-0000-000093060000}"/>
    <cellStyle name="Normal 7 2 2 2 3 4" xfId="1144" xr:uid="{00000000-0005-0000-0000-000094060000}"/>
    <cellStyle name="Normal 7 2 2 2 3 4 2" xfId="2943" xr:uid="{00000000-0005-0000-0000-000095060000}"/>
    <cellStyle name="Normal 7 2 2 2 3 4 3" xfId="2442" xr:uid="{00000000-0005-0000-0000-000096060000}"/>
    <cellStyle name="Normal 7 2 2 2 3 5" xfId="2645" xr:uid="{00000000-0005-0000-0000-000097060000}"/>
    <cellStyle name="Normal 7 2 2 2 3 6" xfId="2144" xr:uid="{00000000-0005-0000-0000-000098060000}"/>
    <cellStyle name="Normal 7 2 2 2 4" xfId="1109" xr:uid="{00000000-0005-0000-0000-000099060000}"/>
    <cellStyle name="Normal 7 2 2 2 4 2" xfId="1152" xr:uid="{00000000-0005-0000-0000-00009A060000}"/>
    <cellStyle name="Normal 7 2 2 2 4 2 2" xfId="2998" xr:uid="{00000000-0005-0000-0000-00009B060000}"/>
    <cellStyle name="Normal 7 2 2 2 4 2 3" xfId="2497" xr:uid="{00000000-0005-0000-0000-00009C060000}"/>
    <cellStyle name="Normal 7 2 2 2 4 3" xfId="2700" xr:uid="{00000000-0005-0000-0000-00009D060000}"/>
    <cellStyle name="Normal 7 2 2 2 4 4" xfId="2199" xr:uid="{00000000-0005-0000-0000-00009E060000}"/>
    <cellStyle name="Normal 7 2 2 2 5" xfId="1045" xr:uid="{00000000-0005-0000-0000-00009F060000}"/>
    <cellStyle name="Normal 7 2 2 2 5 2" xfId="2799" xr:uid="{00000000-0005-0000-0000-0000A0060000}"/>
    <cellStyle name="Normal 7 2 2 2 5 3" xfId="2298" xr:uid="{00000000-0005-0000-0000-0000A1060000}"/>
    <cellStyle name="Normal 7 2 2 2 6" xfId="1116" xr:uid="{00000000-0005-0000-0000-0000A2060000}"/>
    <cellStyle name="Normal 7 2 2 2 6 2" xfId="2898" xr:uid="{00000000-0005-0000-0000-0000A3060000}"/>
    <cellStyle name="Normal 7 2 2 2 6 3" xfId="2397" xr:uid="{00000000-0005-0000-0000-0000A4060000}"/>
    <cellStyle name="Normal 7 2 2 2 7" xfId="1456" xr:uid="{00000000-0005-0000-0000-0000A5060000}"/>
    <cellStyle name="Normal 7 2 2 2 7 2" xfId="2600" xr:uid="{00000000-0005-0000-0000-0000A6060000}"/>
    <cellStyle name="Normal 7 2 2 2 8" xfId="1890" xr:uid="{00000000-0005-0000-0000-0000A7060000}"/>
    <cellStyle name="Normal 7 2 2 2 9" xfId="2099" xr:uid="{00000000-0005-0000-0000-0000A8060000}"/>
    <cellStyle name="Normal 7 2 2 3" xfId="279" xr:uid="{00000000-0005-0000-0000-0000A9060000}"/>
    <cellStyle name="Normal 7 2 2 3 2" xfId="280" xr:uid="{00000000-0005-0000-0000-0000AA060000}"/>
    <cellStyle name="Normal 7 2 2 3 2 2" xfId="735" xr:uid="{00000000-0005-0000-0000-0000AB060000}"/>
    <cellStyle name="Normal 7 2 2 3 2 2 2" xfId="1221" xr:uid="{00000000-0005-0000-0000-0000AC060000}"/>
    <cellStyle name="Normal 7 2 2 3 2 2 2 2" xfId="3055" xr:uid="{00000000-0005-0000-0000-0000AD060000}"/>
    <cellStyle name="Normal 7 2 2 3 2 2 2 3" xfId="2554" xr:uid="{00000000-0005-0000-0000-0000AE060000}"/>
    <cellStyle name="Normal 7 2 2 3 2 2 3" xfId="2757" xr:uid="{00000000-0005-0000-0000-0000AF060000}"/>
    <cellStyle name="Normal 7 2 2 3 2 2 4" xfId="2256" xr:uid="{00000000-0005-0000-0000-0000B0060000}"/>
    <cellStyle name="Normal 7 2 2 3 2 3" xfId="1058" xr:uid="{00000000-0005-0000-0000-0000B1060000}"/>
    <cellStyle name="Normal 7 2 2 3 2 3 2" xfId="2856" xr:uid="{00000000-0005-0000-0000-0000B2060000}"/>
    <cellStyle name="Normal 7 2 2 3 2 3 3" xfId="2355" xr:uid="{00000000-0005-0000-0000-0000B3060000}"/>
    <cellStyle name="Normal 7 2 2 3 2 4" xfId="1083" xr:uid="{00000000-0005-0000-0000-0000B4060000}"/>
    <cellStyle name="Normal 7 2 2 3 2 4 2" xfId="2955" xr:uid="{00000000-0005-0000-0000-0000B5060000}"/>
    <cellStyle name="Normal 7 2 2 3 2 4 3" xfId="2454" xr:uid="{00000000-0005-0000-0000-0000B6060000}"/>
    <cellStyle name="Normal 7 2 2 3 2 5" xfId="1459" xr:uid="{00000000-0005-0000-0000-0000B7060000}"/>
    <cellStyle name="Normal 7 2 2 3 2 5 2" xfId="2657" xr:uid="{00000000-0005-0000-0000-0000B8060000}"/>
    <cellStyle name="Normal 7 2 2 3 2 6" xfId="1893" xr:uid="{00000000-0005-0000-0000-0000B9060000}"/>
    <cellStyle name="Normal 7 2 2 3 2 7" xfId="2156" xr:uid="{00000000-0005-0000-0000-0000BA060000}"/>
    <cellStyle name="Normal 7 2 2 3 3" xfId="734" xr:uid="{00000000-0005-0000-0000-0000BB060000}"/>
    <cellStyle name="Normal 7 2 2 3 3 2" xfId="988" xr:uid="{00000000-0005-0000-0000-0000BC060000}"/>
    <cellStyle name="Normal 7 2 2 3 3 2 2" xfId="3009" xr:uid="{00000000-0005-0000-0000-0000BD060000}"/>
    <cellStyle name="Normal 7 2 2 3 3 2 3" xfId="2508" xr:uid="{00000000-0005-0000-0000-0000BE060000}"/>
    <cellStyle name="Normal 7 2 2 3 3 3" xfId="2711" xr:uid="{00000000-0005-0000-0000-0000BF060000}"/>
    <cellStyle name="Normal 7 2 2 3 3 4" xfId="2210" xr:uid="{00000000-0005-0000-0000-0000C0060000}"/>
    <cellStyle name="Normal 7 2 2 3 4" xfId="1133" xr:uid="{00000000-0005-0000-0000-0000C1060000}"/>
    <cellStyle name="Normal 7 2 2 3 4 2" xfId="2810" xr:uid="{00000000-0005-0000-0000-0000C2060000}"/>
    <cellStyle name="Normal 7 2 2 3 4 3" xfId="2309" xr:uid="{00000000-0005-0000-0000-0000C3060000}"/>
    <cellStyle name="Normal 7 2 2 3 5" xfId="946" xr:uid="{00000000-0005-0000-0000-0000C4060000}"/>
    <cellStyle name="Normal 7 2 2 3 5 2" xfId="2909" xr:uid="{00000000-0005-0000-0000-0000C5060000}"/>
    <cellStyle name="Normal 7 2 2 3 5 3" xfId="2408" xr:uid="{00000000-0005-0000-0000-0000C6060000}"/>
    <cellStyle name="Normal 7 2 2 3 6" xfId="1458" xr:uid="{00000000-0005-0000-0000-0000C7060000}"/>
    <cellStyle name="Normal 7 2 2 3 6 2" xfId="2611" xr:uid="{00000000-0005-0000-0000-0000C8060000}"/>
    <cellStyle name="Normal 7 2 2 3 7" xfId="1892" xr:uid="{00000000-0005-0000-0000-0000C9060000}"/>
    <cellStyle name="Normal 7 2 2 3 8" xfId="2110" xr:uid="{00000000-0005-0000-0000-0000CA060000}"/>
    <cellStyle name="Normal 7 2 2 4" xfId="281" xr:uid="{00000000-0005-0000-0000-0000CB060000}"/>
    <cellStyle name="Normal 7 2 2 4 2" xfId="736" xr:uid="{00000000-0005-0000-0000-0000CC060000}"/>
    <cellStyle name="Normal 7 2 2 4 2 2" xfId="1204" xr:uid="{00000000-0005-0000-0000-0000CD060000}"/>
    <cellStyle name="Normal 7 2 2 4 2 2 2" xfId="3032" xr:uid="{00000000-0005-0000-0000-0000CE060000}"/>
    <cellStyle name="Normal 7 2 2 4 2 2 3" xfId="2531" xr:uid="{00000000-0005-0000-0000-0000CF060000}"/>
    <cellStyle name="Normal 7 2 2 4 2 3" xfId="2734" xr:uid="{00000000-0005-0000-0000-0000D0060000}"/>
    <cellStyle name="Normal 7 2 2 4 2 4" xfId="2233" xr:uid="{00000000-0005-0000-0000-0000D1060000}"/>
    <cellStyle name="Normal 7 2 2 4 3" xfId="1118" xr:uid="{00000000-0005-0000-0000-0000D2060000}"/>
    <cellStyle name="Normal 7 2 2 4 3 2" xfId="2833" xr:uid="{00000000-0005-0000-0000-0000D3060000}"/>
    <cellStyle name="Normal 7 2 2 4 3 3" xfId="2332" xr:uid="{00000000-0005-0000-0000-0000D4060000}"/>
    <cellStyle name="Normal 7 2 2 4 4" xfId="1127" xr:uid="{00000000-0005-0000-0000-0000D5060000}"/>
    <cellStyle name="Normal 7 2 2 4 4 2" xfId="2932" xr:uid="{00000000-0005-0000-0000-0000D6060000}"/>
    <cellStyle name="Normal 7 2 2 4 4 3" xfId="2431" xr:uid="{00000000-0005-0000-0000-0000D7060000}"/>
    <cellStyle name="Normal 7 2 2 4 5" xfId="1460" xr:uid="{00000000-0005-0000-0000-0000D8060000}"/>
    <cellStyle name="Normal 7 2 2 4 5 2" xfId="2634" xr:uid="{00000000-0005-0000-0000-0000D9060000}"/>
    <cellStyle name="Normal 7 2 2 4 6" xfId="1894" xr:uid="{00000000-0005-0000-0000-0000DA060000}"/>
    <cellStyle name="Normal 7 2 2 4 7" xfId="2133" xr:uid="{00000000-0005-0000-0000-0000DB060000}"/>
    <cellStyle name="Normal 7 2 2 5" xfId="276" xr:uid="{00000000-0005-0000-0000-0000DC060000}"/>
    <cellStyle name="Normal 7 2 2 5 2" xfId="731" xr:uid="{00000000-0005-0000-0000-0000DD060000}"/>
    <cellStyle name="Normal 7 2 2 5 2 2" xfId="1094" xr:uid="{00000000-0005-0000-0000-0000DE060000}"/>
    <cellStyle name="Normal 7 2 2 5 2 2 2" xfId="2987" xr:uid="{00000000-0005-0000-0000-0000DF060000}"/>
    <cellStyle name="Normal 7 2 2 5 2 2 3" xfId="2486" xr:uid="{00000000-0005-0000-0000-0000E0060000}"/>
    <cellStyle name="Normal 7 2 2 5 2 3" xfId="2689" xr:uid="{00000000-0005-0000-0000-0000E1060000}"/>
    <cellStyle name="Normal 7 2 2 5 2 4" xfId="2188" xr:uid="{00000000-0005-0000-0000-0000E2060000}"/>
    <cellStyle name="Normal 7 2 2 5 3" xfId="1042" xr:uid="{00000000-0005-0000-0000-0000E3060000}"/>
    <cellStyle name="Normal 7 2 2 5 3 2" xfId="2788" xr:uid="{00000000-0005-0000-0000-0000E4060000}"/>
    <cellStyle name="Normal 7 2 2 5 3 3" xfId="2287" xr:uid="{00000000-0005-0000-0000-0000E5060000}"/>
    <cellStyle name="Normal 7 2 2 5 4" xfId="1192" xr:uid="{00000000-0005-0000-0000-0000E6060000}"/>
    <cellStyle name="Normal 7 2 2 5 4 2" xfId="2887" xr:uid="{00000000-0005-0000-0000-0000E7060000}"/>
    <cellStyle name="Normal 7 2 2 5 4 3" xfId="2386" xr:uid="{00000000-0005-0000-0000-0000E8060000}"/>
    <cellStyle name="Normal 7 2 2 5 5" xfId="1455" xr:uid="{00000000-0005-0000-0000-0000E9060000}"/>
    <cellStyle name="Normal 7 2 2 5 5 2" xfId="2589" xr:uid="{00000000-0005-0000-0000-0000EA060000}"/>
    <cellStyle name="Normal 7 2 2 5 6" xfId="1889" xr:uid="{00000000-0005-0000-0000-0000EB060000}"/>
    <cellStyle name="Normal 7 2 2 5 7" xfId="2088" xr:uid="{00000000-0005-0000-0000-0000EC060000}"/>
    <cellStyle name="Normal 7 2 2 6" xfId="121" xr:uid="{00000000-0005-0000-0000-0000ED060000}"/>
    <cellStyle name="Normal 7 2 2 6 2" xfId="579" xr:uid="{00000000-0005-0000-0000-0000EE060000}"/>
    <cellStyle name="Normal 7 2 2 6 2 2" xfId="2977" xr:uid="{00000000-0005-0000-0000-0000EF060000}"/>
    <cellStyle name="Normal 7 2 2 6 2 3" xfId="2476" xr:uid="{00000000-0005-0000-0000-0000F0060000}"/>
    <cellStyle name="Normal 7 2 2 6 3" xfId="1304" xr:uid="{00000000-0005-0000-0000-0000F1060000}"/>
    <cellStyle name="Normal 7 2 2 6 3 2" xfId="2679" xr:uid="{00000000-0005-0000-0000-0000F2060000}"/>
    <cellStyle name="Normal 7 2 2 6 4" xfId="1738" xr:uid="{00000000-0005-0000-0000-0000F3060000}"/>
    <cellStyle name="Normal 7 2 2 6 5" xfId="2178" xr:uid="{00000000-0005-0000-0000-0000F4060000}"/>
    <cellStyle name="Normal 7 2 2 7" xfId="491" xr:uid="{00000000-0005-0000-0000-0000F5060000}"/>
    <cellStyle name="Normal 7 2 2 7 2" xfId="943" xr:uid="{00000000-0005-0000-0000-0000F6060000}"/>
    <cellStyle name="Normal 7 2 2 7 2 2" xfId="2778" xr:uid="{00000000-0005-0000-0000-0000F7060000}"/>
    <cellStyle name="Normal 7 2 2 7 3" xfId="1667" xr:uid="{00000000-0005-0000-0000-0000F8060000}"/>
    <cellStyle name="Normal 7 2 2 7 4" xfId="2277" xr:uid="{00000000-0005-0000-0000-0000F9060000}"/>
    <cellStyle name="Normal 7 2 2 8" xfId="542" xr:uid="{00000000-0005-0000-0000-0000FA060000}"/>
    <cellStyle name="Normal 7 2 2 8 2" xfId="2877" xr:uid="{00000000-0005-0000-0000-0000FB060000}"/>
    <cellStyle name="Normal 7 2 2 8 3" xfId="2376" xr:uid="{00000000-0005-0000-0000-0000FC060000}"/>
    <cellStyle name="Normal 7 2 2 9" xfId="1267" xr:uid="{00000000-0005-0000-0000-0000FD060000}"/>
    <cellStyle name="Normal 7 2 2 9 2" xfId="2579" xr:uid="{00000000-0005-0000-0000-0000FE060000}"/>
    <cellStyle name="Normal 7 2 3" xfId="282" xr:uid="{00000000-0005-0000-0000-0000FF060000}"/>
    <cellStyle name="Normal 7 2 3 2" xfId="283" xr:uid="{00000000-0005-0000-0000-000000070000}"/>
    <cellStyle name="Normal 7 2 3 2 2" xfId="738" xr:uid="{00000000-0005-0000-0000-000001070000}"/>
    <cellStyle name="Normal 7 2 3 2 2 2" xfId="1032" xr:uid="{00000000-0005-0000-0000-000002070000}"/>
    <cellStyle name="Normal 7 2 3 2 2 2 2" xfId="1226" xr:uid="{00000000-0005-0000-0000-000003070000}"/>
    <cellStyle name="Normal 7 2 3 2 2 2 2 2" xfId="3061" xr:uid="{00000000-0005-0000-0000-000004070000}"/>
    <cellStyle name="Normal 7 2 3 2 2 2 2 3" xfId="2560" xr:uid="{00000000-0005-0000-0000-000005070000}"/>
    <cellStyle name="Normal 7 2 3 2 2 2 3" xfId="2763" xr:uid="{00000000-0005-0000-0000-000006070000}"/>
    <cellStyle name="Normal 7 2 3 2 2 2 4" xfId="2262" xr:uid="{00000000-0005-0000-0000-000007070000}"/>
    <cellStyle name="Normal 7 2 3 2 2 3" xfId="1119" xr:uid="{00000000-0005-0000-0000-000008070000}"/>
    <cellStyle name="Normal 7 2 3 2 2 3 2" xfId="2862" xr:uid="{00000000-0005-0000-0000-000009070000}"/>
    <cellStyle name="Normal 7 2 3 2 2 3 3" xfId="2361" xr:uid="{00000000-0005-0000-0000-00000A070000}"/>
    <cellStyle name="Normal 7 2 3 2 2 4" xfId="499" xr:uid="{00000000-0005-0000-0000-00000B070000}"/>
    <cellStyle name="Normal 7 2 3 2 2 4 2" xfId="2961" xr:uid="{00000000-0005-0000-0000-00000C070000}"/>
    <cellStyle name="Normal 7 2 3 2 2 4 3" xfId="2460" xr:uid="{00000000-0005-0000-0000-00000D070000}"/>
    <cellStyle name="Normal 7 2 3 2 2 5" xfId="2663" xr:uid="{00000000-0005-0000-0000-00000E070000}"/>
    <cellStyle name="Normal 7 2 3 2 2 6" xfId="2162" xr:uid="{00000000-0005-0000-0000-00000F070000}"/>
    <cellStyle name="Normal 7 2 3 2 3" xfId="945" xr:uid="{00000000-0005-0000-0000-000010070000}"/>
    <cellStyle name="Normal 7 2 3 2 3 2" xfId="1090" xr:uid="{00000000-0005-0000-0000-000011070000}"/>
    <cellStyle name="Normal 7 2 3 2 3 2 2" xfId="3015" xr:uid="{00000000-0005-0000-0000-000012070000}"/>
    <cellStyle name="Normal 7 2 3 2 3 2 3" xfId="2514" xr:uid="{00000000-0005-0000-0000-000013070000}"/>
    <cellStyle name="Normal 7 2 3 2 3 3" xfId="2717" xr:uid="{00000000-0005-0000-0000-000014070000}"/>
    <cellStyle name="Normal 7 2 3 2 3 4" xfId="2216" xr:uid="{00000000-0005-0000-0000-000015070000}"/>
    <cellStyle name="Normal 7 2 3 2 4" xfId="1191" xr:uid="{00000000-0005-0000-0000-000016070000}"/>
    <cellStyle name="Normal 7 2 3 2 4 2" xfId="2816" xr:uid="{00000000-0005-0000-0000-000017070000}"/>
    <cellStyle name="Normal 7 2 3 2 4 3" xfId="2315" xr:uid="{00000000-0005-0000-0000-000018070000}"/>
    <cellStyle name="Normal 7 2 3 2 5" xfId="983" xr:uid="{00000000-0005-0000-0000-000019070000}"/>
    <cellStyle name="Normal 7 2 3 2 5 2" xfId="2915" xr:uid="{00000000-0005-0000-0000-00001A070000}"/>
    <cellStyle name="Normal 7 2 3 2 5 3" xfId="2414" xr:uid="{00000000-0005-0000-0000-00001B070000}"/>
    <cellStyle name="Normal 7 2 3 2 6" xfId="1462" xr:uid="{00000000-0005-0000-0000-00001C070000}"/>
    <cellStyle name="Normal 7 2 3 2 6 2" xfId="2617" xr:uid="{00000000-0005-0000-0000-00001D070000}"/>
    <cellStyle name="Normal 7 2 3 2 7" xfId="1896" xr:uid="{00000000-0005-0000-0000-00001E070000}"/>
    <cellStyle name="Normal 7 2 3 2 8" xfId="2116" xr:uid="{00000000-0005-0000-0000-00001F070000}"/>
    <cellStyle name="Normal 7 2 3 3" xfId="737" xr:uid="{00000000-0005-0000-0000-000020070000}"/>
    <cellStyle name="Normal 7 2 3 3 2" xfId="954" xr:uid="{00000000-0005-0000-0000-000021070000}"/>
    <cellStyle name="Normal 7 2 3 3 2 2" xfId="1209" xr:uid="{00000000-0005-0000-0000-000022070000}"/>
    <cellStyle name="Normal 7 2 3 3 2 2 2" xfId="3038" xr:uid="{00000000-0005-0000-0000-000023070000}"/>
    <cellStyle name="Normal 7 2 3 3 2 2 3" xfId="2537" xr:uid="{00000000-0005-0000-0000-000024070000}"/>
    <cellStyle name="Normal 7 2 3 3 2 3" xfId="2740" xr:uid="{00000000-0005-0000-0000-000025070000}"/>
    <cellStyle name="Normal 7 2 3 3 2 4" xfId="2239" xr:uid="{00000000-0005-0000-0000-000026070000}"/>
    <cellStyle name="Normal 7 2 3 3 3" xfId="1054" xr:uid="{00000000-0005-0000-0000-000027070000}"/>
    <cellStyle name="Normal 7 2 3 3 3 2" xfId="2839" xr:uid="{00000000-0005-0000-0000-000028070000}"/>
    <cellStyle name="Normal 7 2 3 3 3 3" xfId="2338" xr:uid="{00000000-0005-0000-0000-000029070000}"/>
    <cellStyle name="Normal 7 2 3 3 4" xfId="498" xr:uid="{00000000-0005-0000-0000-00002A070000}"/>
    <cellStyle name="Normal 7 2 3 3 4 2" xfId="2938" xr:uid="{00000000-0005-0000-0000-00002B070000}"/>
    <cellStyle name="Normal 7 2 3 3 4 3" xfId="2437" xr:uid="{00000000-0005-0000-0000-00002C070000}"/>
    <cellStyle name="Normal 7 2 3 3 5" xfId="2640" xr:uid="{00000000-0005-0000-0000-00002D070000}"/>
    <cellStyle name="Normal 7 2 3 3 6" xfId="2139" xr:uid="{00000000-0005-0000-0000-00002E070000}"/>
    <cellStyle name="Normal 7 2 3 4" xfId="1025" xr:uid="{00000000-0005-0000-0000-00002F070000}"/>
    <cellStyle name="Normal 7 2 3 4 2" xfId="494" xr:uid="{00000000-0005-0000-0000-000030070000}"/>
    <cellStyle name="Normal 7 2 3 4 2 2" xfId="2993" xr:uid="{00000000-0005-0000-0000-000031070000}"/>
    <cellStyle name="Normal 7 2 3 4 2 3" xfId="2492" xr:uid="{00000000-0005-0000-0000-000032070000}"/>
    <cellStyle name="Normal 7 2 3 4 3" xfId="2695" xr:uid="{00000000-0005-0000-0000-000033070000}"/>
    <cellStyle name="Normal 7 2 3 4 4" xfId="2194" xr:uid="{00000000-0005-0000-0000-000034070000}"/>
    <cellStyle name="Normal 7 2 3 5" xfId="947" xr:uid="{00000000-0005-0000-0000-000035070000}"/>
    <cellStyle name="Normal 7 2 3 5 2" xfId="2794" xr:uid="{00000000-0005-0000-0000-000036070000}"/>
    <cellStyle name="Normal 7 2 3 5 3" xfId="2293" xr:uid="{00000000-0005-0000-0000-000037070000}"/>
    <cellStyle name="Normal 7 2 3 6" xfId="1068" xr:uid="{00000000-0005-0000-0000-000038070000}"/>
    <cellStyle name="Normal 7 2 3 6 2" xfId="2893" xr:uid="{00000000-0005-0000-0000-000039070000}"/>
    <cellStyle name="Normal 7 2 3 6 3" xfId="2392" xr:uid="{00000000-0005-0000-0000-00003A070000}"/>
    <cellStyle name="Normal 7 2 3 7" xfId="1461" xr:uid="{00000000-0005-0000-0000-00003B070000}"/>
    <cellStyle name="Normal 7 2 3 7 2" xfId="2595" xr:uid="{00000000-0005-0000-0000-00003C070000}"/>
    <cellStyle name="Normal 7 2 3 8" xfId="1895" xr:uid="{00000000-0005-0000-0000-00003D070000}"/>
    <cellStyle name="Normal 7 2 3 9" xfId="2094" xr:uid="{00000000-0005-0000-0000-00003E070000}"/>
    <cellStyle name="Normal 7 2 4" xfId="284" xr:uid="{00000000-0005-0000-0000-00003F070000}"/>
    <cellStyle name="Normal 7 2 4 2" xfId="285" xr:uid="{00000000-0005-0000-0000-000040070000}"/>
    <cellStyle name="Normal 7 2 4 2 2" xfId="740" xr:uid="{00000000-0005-0000-0000-000041070000}"/>
    <cellStyle name="Normal 7 2 4 2 2 2" xfId="1217" xr:uid="{00000000-0005-0000-0000-000042070000}"/>
    <cellStyle name="Normal 7 2 4 2 2 2 2" xfId="3050" xr:uid="{00000000-0005-0000-0000-000043070000}"/>
    <cellStyle name="Normal 7 2 4 2 2 2 3" xfId="2549" xr:uid="{00000000-0005-0000-0000-000044070000}"/>
    <cellStyle name="Normal 7 2 4 2 2 3" xfId="2752" xr:uid="{00000000-0005-0000-0000-000045070000}"/>
    <cellStyle name="Normal 7 2 4 2 2 4" xfId="2251" xr:uid="{00000000-0005-0000-0000-000046070000}"/>
    <cellStyle name="Normal 7 2 4 2 3" xfId="1122" xr:uid="{00000000-0005-0000-0000-000047070000}"/>
    <cellStyle name="Normal 7 2 4 2 3 2" xfId="2851" xr:uid="{00000000-0005-0000-0000-000048070000}"/>
    <cellStyle name="Normal 7 2 4 2 3 3" xfId="2350" xr:uid="{00000000-0005-0000-0000-000049070000}"/>
    <cellStyle name="Normal 7 2 4 2 4" xfId="1155" xr:uid="{00000000-0005-0000-0000-00004A070000}"/>
    <cellStyle name="Normal 7 2 4 2 4 2" xfId="2950" xr:uid="{00000000-0005-0000-0000-00004B070000}"/>
    <cellStyle name="Normal 7 2 4 2 4 3" xfId="2449" xr:uid="{00000000-0005-0000-0000-00004C070000}"/>
    <cellStyle name="Normal 7 2 4 2 5" xfId="1464" xr:uid="{00000000-0005-0000-0000-00004D070000}"/>
    <cellStyle name="Normal 7 2 4 2 5 2" xfId="2652" xr:uid="{00000000-0005-0000-0000-00004E070000}"/>
    <cellStyle name="Normal 7 2 4 2 6" xfId="1898" xr:uid="{00000000-0005-0000-0000-00004F070000}"/>
    <cellStyle name="Normal 7 2 4 2 7" xfId="2151" xr:uid="{00000000-0005-0000-0000-000050070000}"/>
    <cellStyle name="Normal 7 2 4 3" xfId="739" xr:uid="{00000000-0005-0000-0000-000051070000}"/>
    <cellStyle name="Normal 7 2 4 3 2" xfId="1103" xr:uid="{00000000-0005-0000-0000-000052070000}"/>
    <cellStyle name="Normal 7 2 4 3 2 2" xfId="3004" xr:uid="{00000000-0005-0000-0000-000053070000}"/>
    <cellStyle name="Normal 7 2 4 3 2 3" xfId="2503" xr:uid="{00000000-0005-0000-0000-000054070000}"/>
    <cellStyle name="Normal 7 2 4 3 3" xfId="2706" xr:uid="{00000000-0005-0000-0000-000055070000}"/>
    <cellStyle name="Normal 7 2 4 3 4" xfId="2205" xr:uid="{00000000-0005-0000-0000-000056070000}"/>
    <cellStyle name="Normal 7 2 4 4" xfId="1177" xr:uid="{00000000-0005-0000-0000-000057070000}"/>
    <cellStyle name="Normal 7 2 4 4 2" xfId="2805" xr:uid="{00000000-0005-0000-0000-000058070000}"/>
    <cellStyle name="Normal 7 2 4 4 3" xfId="2304" xr:uid="{00000000-0005-0000-0000-000059070000}"/>
    <cellStyle name="Normal 7 2 4 5" xfId="965" xr:uid="{00000000-0005-0000-0000-00005A070000}"/>
    <cellStyle name="Normal 7 2 4 5 2" xfId="2904" xr:uid="{00000000-0005-0000-0000-00005B070000}"/>
    <cellStyle name="Normal 7 2 4 5 3" xfId="2403" xr:uid="{00000000-0005-0000-0000-00005C070000}"/>
    <cellStyle name="Normal 7 2 4 6" xfId="1463" xr:uid="{00000000-0005-0000-0000-00005D070000}"/>
    <cellStyle name="Normal 7 2 4 6 2" xfId="2606" xr:uid="{00000000-0005-0000-0000-00005E070000}"/>
    <cellStyle name="Normal 7 2 4 7" xfId="1897" xr:uid="{00000000-0005-0000-0000-00005F070000}"/>
    <cellStyle name="Normal 7 2 4 8" xfId="2105" xr:uid="{00000000-0005-0000-0000-000060070000}"/>
    <cellStyle name="Normal 7 2 5" xfId="286" xr:uid="{00000000-0005-0000-0000-000061070000}"/>
    <cellStyle name="Normal 7 2 5 2" xfId="741" xr:uid="{00000000-0005-0000-0000-000062070000}"/>
    <cellStyle name="Normal 7 2 5 2 2" xfId="1201" xr:uid="{00000000-0005-0000-0000-000063070000}"/>
    <cellStyle name="Normal 7 2 5 2 2 2" xfId="3027" xr:uid="{00000000-0005-0000-0000-000064070000}"/>
    <cellStyle name="Normal 7 2 5 2 2 3" xfId="2526" xr:uid="{00000000-0005-0000-0000-000065070000}"/>
    <cellStyle name="Normal 7 2 5 2 3" xfId="2729" xr:uid="{00000000-0005-0000-0000-000066070000}"/>
    <cellStyle name="Normal 7 2 5 2 4" xfId="2228" xr:uid="{00000000-0005-0000-0000-000067070000}"/>
    <cellStyle name="Normal 7 2 5 3" xfId="1126" xr:uid="{00000000-0005-0000-0000-000068070000}"/>
    <cellStyle name="Normal 7 2 5 3 2" xfId="2828" xr:uid="{00000000-0005-0000-0000-000069070000}"/>
    <cellStyle name="Normal 7 2 5 3 3" xfId="2327" xr:uid="{00000000-0005-0000-0000-00006A070000}"/>
    <cellStyle name="Normal 7 2 5 4" xfId="1077" xr:uid="{00000000-0005-0000-0000-00006B070000}"/>
    <cellStyle name="Normal 7 2 5 4 2" xfId="2927" xr:uid="{00000000-0005-0000-0000-00006C070000}"/>
    <cellStyle name="Normal 7 2 5 4 3" xfId="2426" xr:uid="{00000000-0005-0000-0000-00006D070000}"/>
    <cellStyle name="Normal 7 2 5 5" xfId="1465" xr:uid="{00000000-0005-0000-0000-00006E070000}"/>
    <cellStyle name="Normal 7 2 5 5 2" xfId="2629" xr:uid="{00000000-0005-0000-0000-00006F070000}"/>
    <cellStyle name="Normal 7 2 5 6" xfId="1899" xr:uid="{00000000-0005-0000-0000-000070070000}"/>
    <cellStyle name="Normal 7 2 5 7" xfId="2128" xr:uid="{00000000-0005-0000-0000-000071070000}"/>
    <cellStyle name="Normal 7 2 6" xfId="457" xr:uid="{00000000-0005-0000-0000-000072070000}"/>
    <cellStyle name="Normal 7 2 6 2" xfId="909" xr:uid="{00000000-0005-0000-0000-000073070000}"/>
    <cellStyle name="Normal 7 2 6 2 2" xfId="1159" xr:uid="{00000000-0005-0000-0000-000074070000}"/>
    <cellStyle name="Normal 7 2 6 2 2 2" xfId="2982" xr:uid="{00000000-0005-0000-0000-000075070000}"/>
    <cellStyle name="Normal 7 2 6 2 2 3" xfId="2481" xr:uid="{00000000-0005-0000-0000-000076070000}"/>
    <cellStyle name="Normal 7 2 6 2 3" xfId="2684" xr:uid="{00000000-0005-0000-0000-000077070000}"/>
    <cellStyle name="Normal 7 2 6 2 4" xfId="2183" xr:uid="{00000000-0005-0000-0000-000078070000}"/>
    <cellStyle name="Normal 7 2 6 3" xfId="1041" xr:uid="{00000000-0005-0000-0000-000079070000}"/>
    <cellStyle name="Normal 7 2 6 3 2" xfId="2783" xr:uid="{00000000-0005-0000-0000-00007A070000}"/>
    <cellStyle name="Normal 7 2 6 3 3" xfId="2282" xr:uid="{00000000-0005-0000-0000-00007B070000}"/>
    <cellStyle name="Normal 7 2 6 4" xfId="990" xr:uid="{00000000-0005-0000-0000-00007C070000}"/>
    <cellStyle name="Normal 7 2 6 4 2" xfId="2882" xr:uid="{00000000-0005-0000-0000-00007D070000}"/>
    <cellStyle name="Normal 7 2 6 4 3" xfId="2381" xr:uid="{00000000-0005-0000-0000-00007E070000}"/>
    <cellStyle name="Normal 7 2 6 5" xfId="1633" xr:uid="{00000000-0005-0000-0000-00007F070000}"/>
    <cellStyle name="Normal 7 2 6 5 2" xfId="2584" xr:uid="{00000000-0005-0000-0000-000080070000}"/>
    <cellStyle name="Normal 7 2 6 6" xfId="2067" xr:uid="{00000000-0005-0000-0000-000081070000}"/>
    <cellStyle name="Normal 7 2 6 7" xfId="2083" xr:uid="{00000000-0005-0000-0000-000082070000}"/>
    <cellStyle name="Normal 7 2 7" xfId="275" xr:uid="{00000000-0005-0000-0000-000083070000}"/>
    <cellStyle name="Normal 7 2 7 2" xfId="730" xr:uid="{00000000-0005-0000-0000-000084070000}"/>
    <cellStyle name="Normal 7 2 7 2 2" xfId="2972" xr:uid="{00000000-0005-0000-0000-000085070000}"/>
    <cellStyle name="Normal 7 2 7 2 3" xfId="2471" xr:uid="{00000000-0005-0000-0000-000086070000}"/>
    <cellStyle name="Normal 7 2 7 3" xfId="1454" xr:uid="{00000000-0005-0000-0000-000087070000}"/>
    <cellStyle name="Normal 7 2 7 3 2" xfId="2674" xr:uid="{00000000-0005-0000-0000-000088070000}"/>
    <cellStyle name="Normal 7 2 7 4" xfId="1888" xr:uid="{00000000-0005-0000-0000-000089070000}"/>
    <cellStyle name="Normal 7 2 7 5" xfId="2173" xr:uid="{00000000-0005-0000-0000-00008A070000}"/>
    <cellStyle name="Normal 7 2 8" xfId="104" xr:uid="{00000000-0005-0000-0000-00008B070000}"/>
    <cellStyle name="Normal 7 2 8 2" xfId="562" xr:uid="{00000000-0005-0000-0000-00008C070000}"/>
    <cellStyle name="Normal 7 2 8 2 2" xfId="2773" xr:uid="{00000000-0005-0000-0000-00008D070000}"/>
    <cellStyle name="Normal 7 2 8 3" xfId="1287" xr:uid="{00000000-0005-0000-0000-00008E070000}"/>
    <cellStyle name="Normal 7 2 8 4" xfId="1721" xr:uid="{00000000-0005-0000-0000-00008F070000}"/>
    <cellStyle name="Normal 7 2 8 5" xfId="2272" xr:uid="{00000000-0005-0000-0000-000090070000}"/>
    <cellStyle name="Normal 7 2 9" xfId="474" xr:uid="{00000000-0005-0000-0000-000091070000}"/>
    <cellStyle name="Normal 7 2 9 2" xfId="926" xr:uid="{00000000-0005-0000-0000-000092070000}"/>
    <cellStyle name="Normal 7 2 9 2 2" xfId="2872" xr:uid="{00000000-0005-0000-0000-000093070000}"/>
    <cellStyle name="Normal 7 2 9 3" xfId="1650" xr:uid="{00000000-0005-0000-0000-000094070000}"/>
    <cellStyle name="Normal 7 2 9 4" xfId="2371" xr:uid="{00000000-0005-0000-0000-000095070000}"/>
    <cellStyle name="Normal 7 3" xfId="71" xr:uid="{00000000-0005-0000-0000-000096070000}"/>
    <cellStyle name="Normal 7 3 10" xfId="1689" xr:uid="{00000000-0005-0000-0000-000097070000}"/>
    <cellStyle name="Normal 7 3 11" xfId="2076" xr:uid="{00000000-0005-0000-0000-000098070000}"/>
    <cellStyle name="Normal 7 3 2" xfId="288" xr:uid="{00000000-0005-0000-0000-000099070000}"/>
    <cellStyle name="Normal 7 3 2 2" xfId="289" xr:uid="{00000000-0005-0000-0000-00009A070000}"/>
    <cellStyle name="Normal 7 3 2 2 2" xfId="744" xr:uid="{00000000-0005-0000-0000-00009B070000}"/>
    <cellStyle name="Normal 7 3 2 2 2 2" xfId="1194" xr:uid="{00000000-0005-0000-0000-00009C070000}"/>
    <cellStyle name="Normal 7 3 2 2 2 2 2" xfId="1229" xr:uid="{00000000-0005-0000-0000-00009D070000}"/>
    <cellStyle name="Normal 7 3 2 2 2 2 2 2" xfId="3064" xr:uid="{00000000-0005-0000-0000-00009E070000}"/>
    <cellStyle name="Normal 7 3 2 2 2 2 2 3" xfId="2563" xr:uid="{00000000-0005-0000-0000-00009F070000}"/>
    <cellStyle name="Normal 7 3 2 2 2 2 3" xfId="2766" xr:uid="{00000000-0005-0000-0000-0000A0070000}"/>
    <cellStyle name="Normal 7 3 2 2 2 2 4" xfId="2265" xr:uid="{00000000-0005-0000-0000-0000A1070000}"/>
    <cellStyle name="Normal 7 3 2 2 2 3" xfId="1061" xr:uid="{00000000-0005-0000-0000-0000A2070000}"/>
    <cellStyle name="Normal 7 3 2 2 2 3 2" xfId="2865" xr:uid="{00000000-0005-0000-0000-0000A3070000}"/>
    <cellStyle name="Normal 7 3 2 2 2 3 3" xfId="2364" xr:uid="{00000000-0005-0000-0000-0000A4070000}"/>
    <cellStyle name="Normal 7 3 2 2 2 4" xfId="1070" xr:uid="{00000000-0005-0000-0000-0000A5070000}"/>
    <cellStyle name="Normal 7 3 2 2 2 4 2" xfId="2964" xr:uid="{00000000-0005-0000-0000-0000A6070000}"/>
    <cellStyle name="Normal 7 3 2 2 2 4 3" xfId="2463" xr:uid="{00000000-0005-0000-0000-0000A7070000}"/>
    <cellStyle name="Normal 7 3 2 2 2 5" xfId="2666" xr:uid="{00000000-0005-0000-0000-0000A8070000}"/>
    <cellStyle name="Normal 7 3 2 2 2 6" xfId="2165" xr:uid="{00000000-0005-0000-0000-0000A9070000}"/>
    <cellStyle name="Normal 7 3 2 2 3" xfId="1117" xr:uid="{00000000-0005-0000-0000-0000AA070000}"/>
    <cellStyle name="Normal 7 3 2 2 3 2" xfId="993" xr:uid="{00000000-0005-0000-0000-0000AB070000}"/>
    <cellStyle name="Normal 7 3 2 2 3 2 2" xfId="3018" xr:uid="{00000000-0005-0000-0000-0000AC070000}"/>
    <cellStyle name="Normal 7 3 2 2 3 2 3" xfId="2517" xr:uid="{00000000-0005-0000-0000-0000AD070000}"/>
    <cellStyle name="Normal 7 3 2 2 3 3" xfId="2720" xr:uid="{00000000-0005-0000-0000-0000AE070000}"/>
    <cellStyle name="Normal 7 3 2 2 3 4" xfId="2219" xr:uid="{00000000-0005-0000-0000-0000AF070000}"/>
    <cellStyle name="Normal 7 3 2 2 4" xfId="1049" xr:uid="{00000000-0005-0000-0000-0000B0070000}"/>
    <cellStyle name="Normal 7 3 2 2 4 2" xfId="2819" xr:uid="{00000000-0005-0000-0000-0000B1070000}"/>
    <cellStyle name="Normal 7 3 2 2 4 3" xfId="2318" xr:uid="{00000000-0005-0000-0000-0000B2070000}"/>
    <cellStyle name="Normal 7 3 2 2 5" xfId="991" xr:uid="{00000000-0005-0000-0000-0000B3070000}"/>
    <cellStyle name="Normal 7 3 2 2 5 2" xfId="2918" xr:uid="{00000000-0005-0000-0000-0000B4070000}"/>
    <cellStyle name="Normal 7 3 2 2 5 3" xfId="2417" xr:uid="{00000000-0005-0000-0000-0000B5070000}"/>
    <cellStyle name="Normal 7 3 2 2 6" xfId="1468" xr:uid="{00000000-0005-0000-0000-0000B6070000}"/>
    <cellStyle name="Normal 7 3 2 2 6 2" xfId="2620" xr:uid="{00000000-0005-0000-0000-0000B7070000}"/>
    <cellStyle name="Normal 7 3 2 2 7" xfId="1902" xr:uid="{00000000-0005-0000-0000-0000B8070000}"/>
    <cellStyle name="Normal 7 3 2 2 8" xfId="2119" xr:uid="{00000000-0005-0000-0000-0000B9070000}"/>
    <cellStyle name="Normal 7 3 2 3" xfId="743" xr:uid="{00000000-0005-0000-0000-0000BA070000}"/>
    <cellStyle name="Normal 7 3 2 3 2" xfId="1030" xr:uid="{00000000-0005-0000-0000-0000BB070000}"/>
    <cellStyle name="Normal 7 3 2 3 2 2" xfId="1211" xr:uid="{00000000-0005-0000-0000-0000BC070000}"/>
    <cellStyle name="Normal 7 3 2 3 2 2 2" xfId="3041" xr:uid="{00000000-0005-0000-0000-0000BD070000}"/>
    <cellStyle name="Normal 7 3 2 3 2 2 3" xfId="2540" xr:uid="{00000000-0005-0000-0000-0000BE070000}"/>
    <cellStyle name="Normal 7 3 2 3 2 3" xfId="2743" xr:uid="{00000000-0005-0000-0000-0000BF070000}"/>
    <cellStyle name="Normal 7 3 2 3 2 4" xfId="2242" xr:uid="{00000000-0005-0000-0000-0000C0070000}"/>
    <cellStyle name="Normal 7 3 2 3 3" xfId="492" xr:uid="{00000000-0005-0000-0000-0000C1070000}"/>
    <cellStyle name="Normal 7 3 2 3 3 2" xfId="2842" xr:uid="{00000000-0005-0000-0000-0000C2070000}"/>
    <cellStyle name="Normal 7 3 2 3 3 3" xfId="2341" xr:uid="{00000000-0005-0000-0000-0000C3070000}"/>
    <cellStyle name="Normal 7 3 2 3 4" xfId="495" xr:uid="{00000000-0005-0000-0000-0000C4070000}"/>
    <cellStyle name="Normal 7 3 2 3 4 2" xfId="2941" xr:uid="{00000000-0005-0000-0000-0000C5070000}"/>
    <cellStyle name="Normal 7 3 2 3 4 3" xfId="2440" xr:uid="{00000000-0005-0000-0000-0000C6070000}"/>
    <cellStyle name="Normal 7 3 2 3 5" xfId="2643" xr:uid="{00000000-0005-0000-0000-0000C7070000}"/>
    <cellStyle name="Normal 7 3 2 3 6" xfId="2142" xr:uid="{00000000-0005-0000-0000-0000C8070000}"/>
    <cellStyle name="Normal 7 3 2 4" xfId="977" xr:uid="{00000000-0005-0000-0000-0000C9070000}"/>
    <cellStyle name="Normal 7 3 2 4 2" xfId="1151" xr:uid="{00000000-0005-0000-0000-0000CA070000}"/>
    <cellStyle name="Normal 7 3 2 4 2 2" xfId="2996" xr:uid="{00000000-0005-0000-0000-0000CB070000}"/>
    <cellStyle name="Normal 7 3 2 4 2 3" xfId="2495" xr:uid="{00000000-0005-0000-0000-0000CC070000}"/>
    <cellStyle name="Normal 7 3 2 4 3" xfId="2698" xr:uid="{00000000-0005-0000-0000-0000CD070000}"/>
    <cellStyle name="Normal 7 3 2 4 4" xfId="2197" xr:uid="{00000000-0005-0000-0000-0000CE070000}"/>
    <cellStyle name="Normal 7 3 2 5" xfId="1044" xr:uid="{00000000-0005-0000-0000-0000CF070000}"/>
    <cellStyle name="Normal 7 3 2 5 2" xfId="2797" xr:uid="{00000000-0005-0000-0000-0000D0070000}"/>
    <cellStyle name="Normal 7 3 2 5 3" xfId="2296" xr:uid="{00000000-0005-0000-0000-0000D1070000}"/>
    <cellStyle name="Normal 7 3 2 6" xfId="1131" xr:uid="{00000000-0005-0000-0000-0000D2070000}"/>
    <cellStyle name="Normal 7 3 2 6 2" xfId="2896" xr:uid="{00000000-0005-0000-0000-0000D3070000}"/>
    <cellStyle name="Normal 7 3 2 6 3" xfId="2395" xr:uid="{00000000-0005-0000-0000-0000D4070000}"/>
    <cellStyle name="Normal 7 3 2 7" xfId="1467" xr:uid="{00000000-0005-0000-0000-0000D5070000}"/>
    <cellStyle name="Normal 7 3 2 7 2" xfId="2598" xr:uid="{00000000-0005-0000-0000-0000D6070000}"/>
    <cellStyle name="Normal 7 3 2 8" xfId="1901" xr:uid="{00000000-0005-0000-0000-0000D7070000}"/>
    <cellStyle name="Normal 7 3 2 9" xfId="2097" xr:uid="{00000000-0005-0000-0000-0000D8070000}"/>
    <cellStyle name="Normal 7 3 3" xfId="290" xr:uid="{00000000-0005-0000-0000-0000D9070000}"/>
    <cellStyle name="Normal 7 3 3 2" xfId="291" xr:uid="{00000000-0005-0000-0000-0000DA070000}"/>
    <cellStyle name="Normal 7 3 3 2 2" xfId="746" xr:uid="{00000000-0005-0000-0000-0000DB070000}"/>
    <cellStyle name="Normal 7 3 3 2 2 2" xfId="1220" xr:uid="{00000000-0005-0000-0000-0000DC070000}"/>
    <cellStyle name="Normal 7 3 3 2 2 2 2" xfId="3053" xr:uid="{00000000-0005-0000-0000-0000DD070000}"/>
    <cellStyle name="Normal 7 3 3 2 2 2 3" xfId="2552" xr:uid="{00000000-0005-0000-0000-0000DE070000}"/>
    <cellStyle name="Normal 7 3 3 2 2 3" xfId="2755" xr:uid="{00000000-0005-0000-0000-0000DF070000}"/>
    <cellStyle name="Normal 7 3 3 2 2 4" xfId="2254" xr:uid="{00000000-0005-0000-0000-0000E0070000}"/>
    <cellStyle name="Normal 7 3 3 2 3" xfId="1059" xr:uid="{00000000-0005-0000-0000-0000E1070000}"/>
    <cellStyle name="Normal 7 3 3 2 3 2" xfId="2854" xr:uid="{00000000-0005-0000-0000-0000E2070000}"/>
    <cellStyle name="Normal 7 3 3 2 3 3" xfId="2353" xr:uid="{00000000-0005-0000-0000-0000E3070000}"/>
    <cellStyle name="Normal 7 3 3 2 4" xfId="951" xr:uid="{00000000-0005-0000-0000-0000E4070000}"/>
    <cellStyle name="Normal 7 3 3 2 4 2" xfId="2953" xr:uid="{00000000-0005-0000-0000-0000E5070000}"/>
    <cellStyle name="Normal 7 3 3 2 4 3" xfId="2452" xr:uid="{00000000-0005-0000-0000-0000E6070000}"/>
    <cellStyle name="Normal 7 3 3 2 5" xfId="1470" xr:uid="{00000000-0005-0000-0000-0000E7070000}"/>
    <cellStyle name="Normal 7 3 3 2 5 2" xfId="2655" xr:uid="{00000000-0005-0000-0000-0000E8070000}"/>
    <cellStyle name="Normal 7 3 3 2 6" xfId="1904" xr:uid="{00000000-0005-0000-0000-0000E9070000}"/>
    <cellStyle name="Normal 7 3 3 2 7" xfId="2154" xr:uid="{00000000-0005-0000-0000-0000EA070000}"/>
    <cellStyle name="Normal 7 3 3 3" xfId="745" xr:uid="{00000000-0005-0000-0000-0000EB070000}"/>
    <cellStyle name="Normal 7 3 3 3 2" xfId="994" xr:uid="{00000000-0005-0000-0000-0000EC070000}"/>
    <cellStyle name="Normal 7 3 3 3 2 2" xfId="3007" xr:uid="{00000000-0005-0000-0000-0000ED070000}"/>
    <cellStyle name="Normal 7 3 3 3 2 3" xfId="2506" xr:uid="{00000000-0005-0000-0000-0000EE070000}"/>
    <cellStyle name="Normal 7 3 3 3 3" xfId="2709" xr:uid="{00000000-0005-0000-0000-0000EF070000}"/>
    <cellStyle name="Normal 7 3 3 3 4" xfId="2208" xr:uid="{00000000-0005-0000-0000-0000F0070000}"/>
    <cellStyle name="Normal 7 3 3 4" xfId="1186" xr:uid="{00000000-0005-0000-0000-0000F1070000}"/>
    <cellStyle name="Normal 7 3 3 4 2" xfId="2808" xr:uid="{00000000-0005-0000-0000-0000F2070000}"/>
    <cellStyle name="Normal 7 3 3 4 3" xfId="2307" xr:uid="{00000000-0005-0000-0000-0000F3070000}"/>
    <cellStyle name="Normal 7 3 3 5" xfId="1115" xr:uid="{00000000-0005-0000-0000-0000F4070000}"/>
    <cellStyle name="Normal 7 3 3 5 2" xfId="2907" xr:uid="{00000000-0005-0000-0000-0000F5070000}"/>
    <cellStyle name="Normal 7 3 3 5 3" xfId="2406" xr:uid="{00000000-0005-0000-0000-0000F6070000}"/>
    <cellStyle name="Normal 7 3 3 6" xfId="1469" xr:uid="{00000000-0005-0000-0000-0000F7070000}"/>
    <cellStyle name="Normal 7 3 3 6 2" xfId="2609" xr:uid="{00000000-0005-0000-0000-0000F8070000}"/>
    <cellStyle name="Normal 7 3 3 7" xfId="1903" xr:uid="{00000000-0005-0000-0000-0000F9070000}"/>
    <cellStyle name="Normal 7 3 3 8" xfId="2108" xr:uid="{00000000-0005-0000-0000-0000FA070000}"/>
    <cellStyle name="Normal 7 3 4" xfId="292" xr:uid="{00000000-0005-0000-0000-0000FB070000}"/>
    <cellStyle name="Normal 7 3 4 2" xfId="747" xr:uid="{00000000-0005-0000-0000-0000FC070000}"/>
    <cellStyle name="Normal 7 3 4 2 2" xfId="1203" xr:uid="{00000000-0005-0000-0000-0000FD070000}"/>
    <cellStyle name="Normal 7 3 4 2 2 2" xfId="3030" xr:uid="{00000000-0005-0000-0000-0000FE070000}"/>
    <cellStyle name="Normal 7 3 4 2 2 3" xfId="2529" xr:uid="{00000000-0005-0000-0000-0000FF070000}"/>
    <cellStyle name="Normal 7 3 4 2 3" xfId="2732" xr:uid="{00000000-0005-0000-0000-000000080000}"/>
    <cellStyle name="Normal 7 3 4 2 4" xfId="2231" xr:uid="{00000000-0005-0000-0000-000001080000}"/>
    <cellStyle name="Normal 7 3 4 3" xfId="1198" xr:uid="{00000000-0005-0000-0000-000002080000}"/>
    <cellStyle name="Normal 7 3 4 3 2" xfId="2831" xr:uid="{00000000-0005-0000-0000-000003080000}"/>
    <cellStyle name="Normal 7 3 4 3 3" xfId="2330" xr:uid="{00000000-0005-0000-0000-000004080000}"/>
    <cellStyle name="Normal 7 3 4 4" xfId="1071" xr:uid="{00000000-0005-0000-0000-000005080000}"/>
    <cellStyle name="Normal 7 3 4 4 2" xfId="2930" xr:uid="{00000000-0005-0000-0000-000006080000}"/>
    <cellStyle name="Normal 7 3 4 4 3" xfId="2429" xr:uid="{00000000-0005-0000-0000-000007080000}"/>
    <cellStyle name="Normal 7 3 4 5" xfId="1471" xr:uid="{00000000-0005-0000-0000-000008080000}"/>
    <cellStyle name="Normal 7 3 4 5 2" xfId="2632" xr:uid="{00000000-0005-0000-0000-000009080000}"/>
    <cellStyle name="Normal 7 3 4 6" xfId="1905" xr:uid="{00000000-0005-0000-0000-00000A080000}"/>
    <cellStyle name="Normal 7 3 4 7" xfId="2131" xr:uid="{00000000-0005-0000-0000-00000B080000}"/>
    <cellStyle name="Normal 7 3 5" xfId="287" xr:uid="{00000000-0005-0000-0000-00000C080000}"/>
    <cellStyle name="Normal 7 3 5 2" xfId="742" xr:uid="{00000000-0005-0000-0000-00000D080000}"/>
    <cellStyle name="Normal 7 3 5 2 2" xfId="1093" xr:uid="{00000000-0005-0000-0000-00000E080000}"/>
    <cellStyle name="Normal 7 3 5 2 2 2" xfId="2985" xr:uid="{00000000-0005-0000-0000-00000F080000}"/>
    <cellStyle name="Normal 7 3 5 2 2 3" xfId="2484" xr:uid="{00000000-0005-0000-0000-000010080000}"/>
    <cellStyle name="Normal 7 3 5 2 3" xfId="2687" xr:uid="{00000000-0005-0000-0000-000011080000}"/>
    <cellStyle name="Normal 7 3 5 2 4" xfId="2186" xr:uid="{00000000-0005-0000-0000-000012080000}"/>
    <cellStyle name="Normal 7 3 5 3" xfId="971" xr:uid="{00000000-0005-0000-0000-000013080000}"/>
    <cellStyle name="Normal 7 3 5 3 2" xfId="2786" xr:uid="{00000000-0005-0000-0000-000014080000}"/>
    <cellStyle name="Normal 7 3 5 3 3" xfId="2285" xr:uid="{00000000-0005-0000-0000-000015080000}"/>
    <cellStyle name="Normal 7 3 5 4" xfId="1063" xr:uid="{00000000-0005-0000-0000-000016080000}"/>
    <cellStyle name="Normal 7 3 5 4 2" xfId="2885" xr:uid="{00000000-0005-0000-0000-000017080000}"/>
    <cellStyle name="Normal 7 3 5 4 3" xfId="2384" xr:uid="{00000000-0005-0000-0000-000018080000}"/>
    <cellStyle name="Normal 7 3 5 5" xfId="1466" xr:uid="{00000000-0005-0000-0000-000019080000}"/>
    <cellStyle name="Normal 7 3 5 5 2" xfId="2587" xr:uid="{00000000-0005-0000-0000-00001A080000}"/>
    <cellStyle name="Normal 7 3 5 6" xfId="1900" xr:uid="{00000000-0005-0000-0000-00001B080000}"/>
    <cellStyle name="Normal 7 3 5 7" xfId="2086" xr:uid="{00000000-0005-0000-0000-00001C080000}"/>
    <cellStyle name="Normal 7 3 6" xfId="109" xr:uid="{00000000-0005-0000-0000-00001D080000}"/>
    <cellStyle name="Normal 7 3 6 2" xfId="567" xr:uid="{00000000-0005-0000-0000-00001E080000}"/>
    <cellStyle name="Normal 7 3 6 2 2" xfId="2975" xr:uid="{00000000-0005-0000-0000-00001F080000}"/>
    <cellStyle name="Normal 7 3 6 2 3" xfId="2474" xr:uid="{00000000-0005-0000-0000-000020080000}"/>
    <cellStyle name="Normal 7 3 6 3" xfId="1292" xr:uid="{00000000-0005-0000-0000-000021080000}"/>
    <cellStyle name="Normal 7 3 6 3 2" xfId="2677" xr:uid="{00000000-0005-0000-0000-000022080000}"/>
    <cellStyle name="Normal 7 3 6 4" xfId="1726" xr:uid="{00000000-0005-0000-0000-000023080000}"/>
    <cellStyle name="Normal 7 3 6 5" xfId="2176" xr:uid="{00000000-0005-0000-0000-000024080000}"/>
    <cellStyle name="Normal 7 3 7" xfId="479" xr:uid="{00000000-0005-0000-0000-000025080000}"/>
    <cellStyle name="Normal 7 3 7 2" xfId="931" xr:uid="{00000000-0005-0000-0000-000026080000}"/>
    <cellStyle name="Normal 7 3 7 2 2" xfId="2776" xr:uid="{00000000-0005-0000-0000-000027080000}"/>
    <cellStyle name="Normal 7 3 7 3" xfId="1655" xr:uid="{00000000-0005-0000-0000-000028080000}"/>
    <cellStyle name="Normal 7 3 7 4" xfId="2275" xr:uid="{00000000-0005-0000-0000-000029080000}"/>
    <cellStyle name="Normal 7 3 8" xfId="530" xr:uid="{00000000-0005-0000-0000-00002A080000}"/>
    <cellStyle name="Normal 7 3 8 2" xfId="2875" xr:uid="{00000000-0005-0000-0000-00002B080000}"/>
    <cellStyle name="Normal 7 3 8 3" xfId="2374" xr:uid="{00000000-0005-0000-0000-00002C080000}"/>
    <cellStyle name="Normal 7 3 9" xfId="1255" xr:uid="{00000000-0005-0000-0000-00002D080000}"/>
    <cellStyle name="Normal 7 3 9 2" xfId="2577" xr:uid="{00000000-0005-0000-0000-00002E080000}"/>
    <cellStyle name="Normal 7 4" xfId="293" xr:uid="{00000000-0005-0000-0000-00002F080000}"/>
    <cellStyle name="Normal 7 4 2" xfId="294" xr:uid="{00000000-0005-0000-0000-000030080000}"/>
    <cellStyle name="Normal 7 4 2 2" xfId="749" xr:uid="{00000000-0005-0000-0000-000031080000}"/>
    <cellStyle name="Normal 7 4 2 2 2" xfId="1034" xr:uid="{00000000-0005-0000-0000-000032080000}"/>
    <cellStyle name="Normal 7 4 2 2 2 2" xfId="1225" xr:uid="{00000000-0005-0000-0000-000033080000}"/>
    <cellStyle name="Normal 7 4 2 2 2 2 2" xfId="3059" xr:uid="{00000000-0005-0000-0000-000034080000}"/>
    <cellStyle name="Normal 7 4 2 2 2 2 3" xfId="2558" xr:uid="{00000000-0005-0000-0000-000035080000}"/>
    <cellStyle name="Normal 7 4 2 2 2 3" xfId="2761" xr:uid="{00000000-0005-0000-0000-000036080000}"/>
    <cellStyle name="Normal 7 4 2 2 2 4" xfId="2260" xr:uid="{00000000-0005-0000-0000-000037080000}"/>
    <cellStyle name="Normal 7 4 2 2 3" xfId="1134" xr:uid="{00000000-0005-0000-0000-000038080000}"/>
    <cellStyle name="Normal 7 4 2 2 3 2" xfId="2860" xr:uid="{00000000-0005-0000-0000-000039080000}"/>
    <cellStyle name="Normal 7 4 2 2 3 3" xfId="2359" xr:uid="{00000000-0005-0000-0000-00003A080000}"/>
    <cellStyle name="Normal 7 4 2 2 4" xfId="1124" xr:uid="{00000000-0005-0000-0000-00003B080000}"/>
    <cellStyle name="Normal 7 4 2 2 4 2" xfId="2959" xr:uid="{00000000-0005-0000-0000-00003C080000}"/>
    <cellStyle name="Normal 7 4 2 2 4 3" xfId="2458" xr:uid="{00000000-0005-0000-0000-00003D080000}"/>
    <cellStyle name="Normal 7 4 2 2 5" xfId="2661" xr:uid="{00000000-0005-0000-0000-00003E080000}"/>
    <cellStyle name="Normal 7 4 2 2 6" xfId="2160" xr:uid="{00000000-0005-0000-0000-00003F080000}"/>
    <cellStyle name="Normal 7 4 2 3" xfId="1138" xr:uid="{00000000-0005-0000-0000-000040080000}"/>
    <cellStyle name="Normal 7 4 2 3 2" xfId="999" xr:uid="{00000000-0005-0000-0000-000041080000}"/>
    <cellStyle name="Normal 7 4 2 3 2 2" xfId="3013" xr:uid="{00000000-0005-0000-0000-000042080000}"/>
    <cellStyle name="Normal 7 4 2 3 2 3" xfId="2512" xr:uid="{00000000-0005-0000-0000-000043080000}"/>
    <cellStyle name="Normal 7 4 2 3 3" xfId="2715" xr:uid="{00000000-0005-0000-0000-000044080000}"/>
    <cellStyle name="Normal 7 4 2 3 4" xfId="2214" xr:uid="{00000000-0005-0000-0000-000045080000}"/>
    <cellStyle name="Normal 7 4 2 4" xfId="989" xr:uid="{00000000-0005-0000-0000-000046080000}"/>
    <cellStyle name="Normal 7 4 2 4 2" xfId="2814" xr:uid="{00000000-0005-0000-0000-000047080000}"/>
    <cellStyle name="Normal 7 4 2 4 3" xfId="2313" xr:uid="{00000000-0005-0000-0000-000048080000}"/>
    <cellStyle name="Normal 7 4 2 5" xfId="1073" xr:uid="{00000000-0005-0000-0000-000049080000}"/>
    <cellStyle name="Normal 7 4 2 5 2" xfId="2913" xr:uid="{00000000-0005-0000-0000-00004A080000}"/>
    <cellStyle name="Normal 7 4 2 5 3" xfId="2412" xr:uid="{00000000-0005-0000-0000-00004B080000}"/>
    <cellStyle name="Normal 7 4 2 6" xfId="1473" xr:uid="{00000000-0005-0000-0000-00004C080000}"/>
    <cellStyle name="Normal 7 4 2 6 2" xfId="2615" xr:uid="{00000000-0005-0000-0000-00004D080000}"/>
    <cellStyle name="Normal 7 4 2 7" xfId="1907" xr:uid="{00000000-0005-0000-0000-00004E080000}"/>
    <cellStyle name="Normal 7 4 2 8" xfId="2114" xr:uid="{00000000-0005-0000-0000-00004F080000}"/>
    <cellStyle name="Normal 7 4 3" xfId="748" xr:uid="{00000000-0005-0000-0000-000050080000}"/>
    <cellStyle name="Normal 7 4 3 2" xfId="949" xr:uid="{00000000-0005-0000-0000-000051080000}"/>
    <cellStyle name="Normal 7 4 3 2 2" xfId="1208" xr:uid="{00000000-0005-0000-0000-000052080000}"/>
    <cellStyle name="Normal 7 4 3 2 2 2" xfId="3036" xr:uid="{00000000-0005-0000-0000-000053080000}"/>
    <cellStyle name="Normal 7 4 3 2 2 3" xfId="2535" xr:uid="{00000000-0005-0000-0000-000054080000}"/>
    <cellStyle name="Normal 7 4 3 2 3" xfId="2738" xr:uid="{00000000-0005-0000-0000-000055080000}"/>
    <cellStyle name="Normal 7 4 3 2 4" xfId="2237" xr:uid="{00000000-0005-0000-0000-000056080000}"/>
    <cellStyle name="Normal 7 4 3 3" xfId="1146" xr:uid="{00000000-0005-0000-0000-000057080000}"/>
    <cellStyle name="Normal 7 4 3 3 2" xfId="2837" xr:uid="{00000000-0005-0000-0000-000058080000}"/>
    <cellStyle name="Normal 7 4 3 3 3" xfId="2336" xr:uid="{00000000-0005-0000-0000-000059080000}"/>
    <cellStyle name="Normal 7 4 3 4" xfId="1147" xr:uid="{00000000-0005-0000-0000-00005A080000}"/>
    <cellStyle name="Normal 7 4 3 4 2" xfId="2936" xr:uid="{00000000-0005-0000-0000-00005B080000}"/>
    <cellStyle name="Normal 7 4 3 4 3" xfId="2435" xr:uid="{00000000-0005-0000-0000-00005C080000}"/>
    <cellStyle name="Normal 7 4 3 5" xfId="2638" xr:uid="{00000000-0005-0000-0000-00005D080000}"/>
    <cellStyle name="Normal 7 4 3 6" xfId="2137" xr:uid="{00000000-0005-0000-0000-00005E080000}"/>
    <cellStyle name="Normal 7 4 4" xfId="1024" xr:uid="{00000000-0005-0000-0000-00005F080000}"/>
    <cellStyle name="Normal 7 4 4 2" xfId="998" xr:uid="{00000000-0005-0000-0000-000060080000}"/>
    <cellStyle name="Normal 7 4 4 2 2" xfId="2991" xr:uid="{00000000-0005-0000-0000-000061080000}"/>
    <cellStyle name="Normal 7 4 4 2 3" xfId="2490" xr:uid="{00000000-0005-0000-0000-000062080000}"/>
    <cellStyle name="Normal 7 4 4 3" xfId="2693" xr:uid="{00000000-0005-0000-0000-000063080000}"/>
    <cellStyle name="Normal 7 4 4 4" xfId="2192" xr:uid="{00000000-0005-0000-0000-000064080000}"/>
    <cellStyle name="Normal 7 4 5" xfId="1130" xr:uid="{00000000-0005-0000-0000-000065080000}"/>
    <cellStyle name="Normal 7 4 5 2" xfId="2792" xr:uid="{00000000-0005-0000-0000-000066080000}"/>
    <cellStyle name="Normal 7 4 5 3" xfId="2291" xr:uid="{00000000-0005-0000-0000-000067080000}"/>
    <cellStyle name="Normal 7 4 6" xfId="1067" xr:uid="{00000000-0005-0000-0000-000068080000}"/>
    <cellStyle name="Normal 7 4 6 2" xfId="2891" xr:uid="{00000000-0005-0000-0000-000069080000}"/>
    <cellStyle name="Normal 7 4 6 3" xfId="2390" xr:uid="{00000000-0005-0000-0000-00006A080000}"/>
    <cellStyle name="Normal 7 4 7" xfId="1472" xr:uid="{00000000-0005-0000-0000-00006B080000}"/>
    <cellStyle name="Normal 7 4 7 2" xfId="2593" xr:uid="{00000000-0005-0000-0000-00006C080000}"/>
    <cellStyle name="Normal 7 4 8" xfId="1906" xr:uid="{00000000-0005-0000-0000-00006D080000}"/>
    <cellStyle name="Normal 7 4 9" xfId="2092" xr:uid="{00000000-0005-0000-0000-00006E080000}"/>
    <cellStyle name="Normal 7 5" xfId="295" xr:uid="{00000000-0005-0000-0000-00006F080000}"/>
    <cellStyle name="Normal 7 5 2" xfId="296" xr:uid="{00000000-0005-0000-0000-000070080000}"/>
    <cellStyle name="Normal 7 5 2 2" xfId="751" xr:uid="{00000000-0005-0000-0000-000071080000}"/>
    <cellStyle name="Normal 7 5 2 2 2" xfId="1216" xr:uid="{00000000-0005-0000-0000-000072080000}"/>
    <cellStyle name="Normal 7 5 2 2 2 2" xfId="3048" xr:uid="{00000000-0005-0000-0000-000073080000}"/>
    <cellStyle name="Normal 7 5 2 2 2 3" xfId="2547" xr:uid="{00000000-0005-0000-0000-000074080000}"/>
    <cellStyle name="Normal 7 5 2 2 3" xfId="2750" xr:uid="{00000000-0005-0000-0000-000075080000}"/>
    <cellStyle name="Normal 7 5 2 2 4" xfId="2249" xr:uid="{00000000-0005-0000-0000-000076080000}"/>
    <cellStyle name="Normal 7 5 2 3" xfId="1056" xr:uid="{00000000-0005-0000-0000-000077080000}"/>
    <cellStyle name="Normal 7 5 2 3 2" xfId="2849" xr:uid="{00000000-0005-0000-0000-000078080000}"/>
    <cellStyle name="Normal 7 5 2 3 3" xfId="2348" xr:uid="{00000000-0005-0000-0000-000079080000}"/>
    <cellStyle name="Normal 7 5 2 4" xfId="1148" xr:uid="{00000000-0005-0000-0000-00007A080000}"/>
    <cellStyle name="Normal 7 5 2 4 2" xfId="2948" xr:uid="{00000000-0005-0000-0000-00007B080000}"/>
    <cellStyle name="Normal 7 5 2 4 3" xfId="2447" xr:uid="{00000000-0005-0000-0000-00007C080000}"/>
    <cellStyle name="Normal 7 5 2 5" xfId="1475" xr:uid="{00000000-0005-0000-0000-00007D080000}"/>
    <cellStyle name="Normal 7 5 2 5 2" xfId="2650" xr:uid="{00000000-0005-0000-0000-00007E080000}"/>
    <cellStyle name="Normal 7 5 2 6" xfId="1909" xr:uid="{00000000-0005-0000-0000-00007F080000}"/>
    <cellStyle name="Normal 7 5 2 7" xfId="2149" xr:uid="{00000000-0005-0000-0000-000080080000}"/>
    <cellStyle name="Normal 7 5 3" xfId="750" xr:uid="{00000000-0005-0000-0000-000081080000}"/>
    <cellStyle name="Normal 7 5 3 2" xfId="1104" xr:uid="{00000000-0005-0000-0000-000082080000}"/>
    <cellStyle name="Normal 7 5 3 2 2" xfId="3002" xr:uid="{00000000-0005-0000-0000-000083080000}"/>
    <cellStyle name="Normal 7 5 3 2 3" xfId="2501" xr:uid="{00000000-0005-0000-0000-000084080000}"/>
    <cellStyle name="Normal 7 5 3 3" xfId="2704" xr:uid="{00000000-0005-0000-0000-000085080000}"/>
    <cellStyle name="Normal 7 5 3 4" xfId="2203" xr:uid="{00000000-0005-0000-0000-000086080000}"/>
    <cellStyle name="Normal 7 5 4" xfId="1114" xr:uid="{00000000-0005-0000-0000-000087080000}"/>
    <cellStyle name="Normal 7 5 4 2" xfId="2803" xr:uid="{00000000-0005-0000-0000-000088080000}"/>
    <cellStyle name="Normal 7 5 4 3" xfId="2302" xr:uid="{00000000-0005-0000-0000-000089080000}"/>
    <cellStyle name="Normal 7 5 5" xfId="500" xr:uid="{00000000-0005-0000-0000-00008A080000}"/>
    <cellStyle name="Normal 7 5 5 2" xfId="2902" xr:uid="{00000000-0005-0000-0000-00008B080000}"/>
    <cellStyle name="Normal 7 5 5 3" xfId="2401" xr:uid="{00000000-0005-0000-0000-00008C080000}"/>
    <cellStyle name="Normal 7 5 6" xfId="1474" xr:uid="{00000000-0005-0000-0000-00008D080000}"/>
    <cellStyle name="Normal 7 5 6 2" xfId="2604" xr:uid="{00000000-0005-0000-0000-00008E080000}"/>
    <cellStyle name="Normal 7 5 7" xfId="1908" xr:uid="{00000000-0005-0000-0000-00008F080000}"/>
    <cellStyle name="Normal 7 5 8" xfId="2103" xr:uid="{00000000-0005-0000-0000-000090080000}"/>
    <cellStyle name="Normal 7 6" xfId="297" xr:uid="{00000000-0005-0000-0000-000091080000}"/>
    <cellStyle name="Normal 7 6 2" xfId="752" xr:uid="{00000000-0005-0000-0000-000092080000}"/>
    <cellStyle name="Normal 7 6 2 2" xfId="1156" xr:uid="{00000000-0005-0000-0000-000093080000}"/>
    <cellStyle name="Normal 7 6 2 2 2" xfId="3025" xr:uid="{00000000-0005-0000-0000-000094080000}"/>
    <cellStyle name="Normal 7 6 2 2 3" xfId="2524" xr:uid="{00000000-0005-0000-0000-000095080000}"/>
    <cellStyle name="Normal 7 6 2 3" xfId="2727" xr:uid="{00000000-0005-0000-0000-000096080000}"/>
    <cellStyle name="Normal 7 6 2 4" xfId="2226" xr:uid="{00000000-0005-0000-0000-000097080000}"/>
    <cellStyle name="Normal 7 6 3" xfId="1047" xr:uid="{00000000-0005-0000-0000-000098080000}"/>
    <cellStyle name="Normal 7 6 3 2" xfId="2826" xr:uid="{00000000-0005-0000-0000-000099080000}"/>
    <cellStyle name="Normal 7 6 3 3" xfId="2325" xr:uid="{00000000-0005-0000-0000-00009A080000}"/>
    <cellStyle name="Normal 7 6 4" xfId="1108" xr:uid="{00000000-0005-0000-0000-00009B080000}"/>
    <cellStyle name="Normal 7 6 4 2" xfId="2925" xr:uid="{00000000-0005-0000-0000-00009C080000}"/>
    <cellStyle name="Normal 7 6 4 3" xfId="2424" xr:uid="{00000000-0005-0000-0000-00009D080000}"/>
    <cellStyle name="Normal 7 6 5" xfId="1476" xr:uid="{00000000-0005-0000-0000-00009E080000}"/>
    <cellStyle name="Normal 7 6 5 2" xfId="2627" xr:uid="{00000000-0005-0000-0000-00009F080000}"/>
    <cellStyle name="Normal 7 6 6" xfId="1910" xr:uid="{00000000-0005-0000-0000-0000A0080000}"/>
    <cellStyle name="Normal 7 6 7" xfId="2126" xr:uid="{00000000-0005-0000-0000-0000A1080000}"/>
    <cellStyle name="Normal 7 7" xfId="445" xr:uid="{00000000-0005-0000-0000-0000A2080000}"/>
    <cellStyle name="Normal 7 7 2" xfId="897" xr:uid="{00000000-0005-0000-0000-0000A3080000}"/>
    <cellStyle name="Normal 7 7 2 2" xfId="1092" xr:uid="{00000000-0005-0000-0000-0000A4080000}"/>
    <cellStyle name="Normal 7 7 2 2 2" xfId="2980" xr:uid="{00000000-0005-0000-0000-0000A5080000}"/>
    <cellStyle name="Normal 7 7 2 2 3" xfId="2479" xr:uid="{00000000-0005-0000-0000-0000A6080000}"/>
    <cellStyle name="Normal 7 7 2 3" xfId="2682" xr:uid="{00000000-0005-0000-0000-0000A7080000}"/>
    <cellStyle name="Normal 7 7 2 4" xfId="2181" xr:uid="{00000000-0005-0000-0000-0000A8080000}"/>
    <cellStyle name="Normal 7 7 3" xfId="497" xr:uid="{00000000-0005-0000-0000-0000A9080000}"/>
    <cellStyle name="Normal 7 7 3 2" xfId="2781" xr:uid="{00000000-0005-0000-0000-0000AA080000}"/>
    <cellStyle name="Normal 7 7 3 3" xfId="2280" xr:uid="{00000000-0005-0000-0000-0000AB080000}"/>
    <cellStyle name="Normal 7 7 4" xfId="966" xr:uid="{00000000-0005-0000-0000-0000AC080000}"/>
    <cellStyle name="Normal 7 7 4 2" xfId="2880" xr:uid="{00000000-0005-0000-0000-0000AD080000}"/>
    <cellStyle name="Normal 7 7 4 3" xfId="2379" xr:uid="{00000000-0005-0000-0000-0000AE080000}"/>
    <cellStyle name="Normal 7 7 5" xfId="1621" xr:uid="{00000000-0005-0000-0000-0000AF080000}"/>
    <cellStyle name="Normal 7 7 5 2" xfId="2582" xr:uid="{00000000-0005-0000-0000-0000B0080000}"/>
    <cellStyle name="Normal 7 7 6" xfId="2055" xr:uid="{00000000-0005-0000-0000-0000B1080000}"/>
    <cellStyle name="Normal 7 7 7" xfId="2081" xr:uid="{00000000-0005-0000-0000-0000B2080000}"/>
    <cellStyle name="Normal 7 8" xfId="133" xr:uid="{00000000-0005-0000-0000-0000B3080000}"/>
    <cellStyle name="Normal 7 8 2" xfId="591" xr:uid="{00000000-0005-0000-0000-0000B4080000}"/>
    <cellStyle name="Normal 7 8 2 2" xfId="2970" xr:uid="{00000000-0005-0000-0000-0000B5080000}"/>
    <cellStyle name="Normal 7 8 2 3" xfId="2469" xr:uid="{00000000-0005-0000-0000-0000B6080000}"/>
    <cellStyle name="Normal 7 8 3" xfId="1316" xr:uid="{00000000-0005-0000-0000-0000B7080000}"/>
    <cellStyle name="Normal 7 8 3 2" xfId="2672" xr:uid="{00000000-0005-0000-0000-0000B8080000}"/>
    <cellStyle name="Normal 7 8 4" xfId="1750" xr:uid="{00000000-0005-0000-0000-0000B9080000}"/>
    <cellStyle name="Normal 7 8 5" xfId="2171" xr:uid="{00000000-0005-0000-0000-0000BA080000}"/>
    <cellStyle name="Normal 7 9" xfId="92" xr:uid="{00000000-0005-0000-0000-0000BB080000}"/>
    <cellStyle name="Normal 7 9 2" xfId="550" xr:uid="{00000000-0005-0000-0000-0000BC080000}"/>
    <cellStyle name="Normal 7 9 2 2" xfId="2771" xr:uid="{00000000-0005-0000-0000-0000BD080000}"/>
    <cellStyle name="Normal 7 9 3" xfId="1275" xr:uid="{00000000-0005-0000-0000-0000BE080000}"/>
    <cellStyle name="Normal 7 9 4" xfId="1709" xr:uid="{00000000-0005-0000-0000-0000BF080000}"/>
    <cellStyle name="Normal 7 9 5" xfId="2270" xr:uid="{00000000-0005-0000-0000-0000C0080000}"/>
    <cellStyle name="Normal 8" xfId="49" xr:uid="{00000000-0005-0000-0000-0000C1080000}"/>
    <cellStyle name="Normal 8 10" xfId="130" xr:uid="{00000000-0005-0000-0000-0000C2080000}"/>
    <cellStyle name="Normal 8 10 2" xfId="588" xr:uid="{00000000-0005-0000-0000-0000C3080000}"/>
    <cellStyle name="Normal 8 10 3" xfId="1313" xr:uid="{00000000-0005-0000-0000-0000C4080000}"/>
    <cellStyle name="Normal 8 10 4" xfId="1747" xr:uid="{00000000-0005-0000-0000-0000C5080000}"/>
    <cellStyle name="Normal 8 10 5" xfId="2573" xr:uid="{00000000-0005-0000-0000-0000C6080000}"/>
    <cellStyle name="Normal 8 11" xfId="95" xr:uid="{00000000-0005-0000-0000-0000C7080000}"/>
    <cellStyle name="Normal 8 11 2" xfId="553" xr:uid="{00000000-0005-0000-0000-0000C8080000}"/>
    <cellStyle name="Normal 8 11 3" xfId="1278" xr:uid="{00000000-0005-0000-0000-0000C9080000}"/>
    <cellStyle name="Normal 8 11 4" xfId="1712" xr:uid="{00000000-0005-0000-0000-0000CA080000}"/>
    <cellStyle name="Normal 8 12" xfId="465" xr:uid="{00000000-0005-0000-0000-0000CB080000}"/>
    <cellStyle name="Normal 8 12 2" xfId="917" xr:uid="{00000000-0005-0000-0000-0000CC080000}"/>
    <cellStyle name="Normal 8 12 3" xfId="1641" xr:uid="{00000000-0005-0000-0000-0000CD080000}"/>
    <cellStyle name="Normal 8 13" xfId="513" xr:uid="{00000000-0005-0000-0000-0000CE080000}"/>
    <cellStyle name="Normal 8 14" xfId="1241" xr:uid="{00000000-0005-0000-0000-0000CF080000}"/>
    <cellStyle name="Normal 8 15" xfId="1675" xr:uid="{00000000-0005-0000-0000-0000D0080000}"/>
    <cellStyle name="Normal 8 16" xfId="2072" xr:uid="{00000000-0005-0000-0000-0000D1080000}"/>
    <cellStyle name="Normal 8 2" xfId="59" xr:uid="{00000000-0005-0000-0000-0000D2080000}"/>
    <cellStyle name="Normal 8 2 10" xfId="471" xr:uid="{00000000-0005-0000-0000-0000D3080000}"/>
    <cellStyle name="Normal 8 2 10 2" xfId="923" xr:uid="{00000000-0005-0000-0000-0000D4080000}"/>
    <cellStyle name="Normal 8 2 10 3" xfId="1647" xr:uid="{00000000-0005-0000-0000-0000D5080000}"/>
    <cellStyle name="Normal 8 2 11" xfId="521" xr:uid="{00000000-0005-0000-0000-0000D6080000}"/>
    <cellStyle name="Normal 8 2 12" xfId="1247" xr:uid="{00000000-0005-0000-0000-0000D7080000}"/>
    <cellStyle name="Normal 8 2 13" xfId="1681" xr:uid="{00000000-0005-0000-0000-0000D8080000}"/>
    <cellStyle name="Normal 8 2 14" xfId="2077" xr:uid="{00000000-0005-0000-0000-0000D9080000}"/>
    <cellStyle name="Normal 8 2 2" xfId="80" xr:uid="{00000000-0005-0000-0000-0000DA080000}"/>
    <cellStyle name="Normal 8 2 2 10" xfId="1264" xr:uid="{00000000-0005-0000-0000-0000DB080000}"/>
    <cellStyle name="Normal 8 2 2 11" xfId="1698" xr:uid="{00000000-0005-0000-0000-0000DC080000}"/>
    <cellStyle name="Normal 8 2 2 12" xfId="2098" xr:uid="{00000000-0005-0000-0000-0000DD080000}"/>
    <cellStyle name="Normal 8 2 2 2" xfId="300" xr:uid="{00000000-0005-0000-0000-0000DE080000}"/>
    <cellStyle name="Normal 8 2 2 2 2" xfId="301" xr:uid="{00000000-0005-0000-0000-0000DF080000}"/>
    <cellStyle name="Normal 8 2 2 2 2 2" xfId="302" xr:uid="{00000000-0005-0000-0000-0000E0080000}"/>
    <cellStyle name="Normal 8 2 2 2 2 2 2" xfId="757" xr:uid="{00000000-0005-0000-0000-0000E1080000}"/>
    <cellStyle name="Normal 8 2 2 2 2 2 2 2" xfId="3065" xr:uid="{00000000-0005-0000-0000-0000E2080000}"/>
    <cellStyle name="Normal 8 2 2 2 2 2 2 3" xfId="2564" xr:uid="{00000000-0005-0000-0000-0000E3080000}"/>
    <cellStyle name="Normal 8 2 2 2 2 2 3" xfId="1481" xr:uid="{00000000-0005-0000-0000-0000E4080000}"/>
    <cellStyle name="Normal 8 2 2 2 2 2 3 2" xfId="2767" xr:uid="{00000000-0005-0000-0000-0000E5080000}"/>
    <cellStyle name="Normal 8 2 2 2 2 2 4" xfId="1915" xr:uid="{00000000-0005-0000-0000-0000E6080000}"/>
    <cellStyle name="Normal 8 2 2 2 2 2 5" xfId="2266" xr:uid="{00000000-0005-0000-0000-0000E7080000}"/>
    <cellStyle name="Normal 8 2 2 2 2 3" xfId="756" xr:uid="{00000000-0005-0000-0000-0000E8080000}"/>
    <cellStyle name="Normal 8 2 2 2 2 3 2" xfId="2866" xr:uid="{00000000-0005-0000-0000-0000E9080000}"/>
    <cellStyle name="Normal 8 2 2 2 2 3 3" xfId="2365" xr:uid="{00000000-0005-0000-0000-0000EA080000}"/>
    <cellStyle name="Normal 8 2 2 2 2 4" xfId="1087" xr:uid="{00000000-0005-0000-0000-0000EB080000}"/>
    <cellStyle name="Normal 8 2 2 2 2 4 2" xfId="2965" xr:uid="{00000000-0005-0000-0000-0000EC080000}"/>
    <cellStyle name="Normal 8 2 2 2 2 4 3" xfId="2464" xr:uid="{00000000-0005-0000-0000-0000ED080000}"/>
    <cellStyle name="Normal 8 2 2 2 2 5" xfId="1480" xr:uid="{00000000-0005-0000-0000-0000EE080000}"/>
    <cellStyle name="Normal 8 2 2 2 2 5 2" xfId="2667" xr:uid="{00000000-0005-0000-0000-0000EF080000}"/>
    <cellStyle name="Normal 8 2 2 2 2 6" xfId="1914" xr:uid="{00000000-0005-0000-0000-0000F0080000}"/>
    <cellStyle name="Normal 8 2 2 2 2 7" xfId="2166" xr:uid="{00000000-0005-0000-0000-0000F1080000}"/>
    <cellStyle name="Normal 8 2 2 2 3" xfId="303" xr:uid="{00000000-0005-0000-0000-0000F2080000}"/>
    <cellStyle name="Normal 8 2 2 2 3 2" xfId="304" xr:uid="{00000000-0005-0000-0000-0000F3080000}"/>
    <cellStyle name="Normal 8 2 2 2 3 2 2" xfId="759" xr:uid="{00000000-0005-0000-0000-0000F4080000}"/>
    <cellStyle name="Normal 8 2 2 2 3 2 2 2" xfId="3019" xr:uid="{00000000-0005-0000-0000-0000F5080000}"/>
    <cellStyle name="Normal 8 2 2 2 3 2 3" xfId="1483" xr:uid="{00000000-0005-0000-0000-0000F6080000}"/>
    <cellStyle name="Normal 8 2 2 2 3 2 4" xfId="1917" xr:uid="{00000000-0005-0000-0000-0000F7080000}"/>
    <cellStyle name="Normal 8 2 2 2 3 2 5" xfId="2518" xr:uid="{00000000-0005-0000-0000-0000F8080000}"/>
    <cellStyle name="Normal 8 2 2 2 3 3" xfId="758" xr:uid="{00000000-0005-0000-0000-0000F9080000}"/>
    <cellStyle name="Normal 8 2 2 2 3 3 2" xfId="2721" xr:uid="{00000000-0005-0000-0000-0000FA080000}"/>
    <cellStyle name="Normal 8 2 2 2 3 4" xfId="1482" xr:uid="{00000000-0005-0000-0000-0000FB080000}"/>
    <cellStyle name="Normal 8 2 2 2 3 5" xfId="1916" xr:uid="{00000000-0005-0000-0000-0000FC080000}"/>
    <cellStyle name="Normal 8 2 2 2 3 6" xfId="2220" xr:uid="{00000000-0005-0000-0000-0000FD080000}"/>
    <cellStyle name="Normal 8 2 2 2 4" xfId="305" xr:uid="{00000000-0005-0000-0000-0000FE080000}"/>
    <cellStyle name="Normal 8 2 2 2 4 2" xfId="760" xr:uid="{00000000-0005-0000-0000-0000FF080000}"/>
    <cellStyle name="Normal 8 2 2 2 4 2 2" xfId="2820" xr:uid="{00000000-0005-0000-0000-000000090000}"/>
    <cellStyle name="Normal 8 2 2 2 4 3" xfId="1484" xr:uid="{00000000-0005-0000-0000-000001090000}"/>
    <cellStyle name="Normal 8 2 2 2 4 4" xfId="1918" xr:uid="{00000000-0005-0000-0000-000002090000}"/>
    <cellStyle name="Normal 8 2 2 2 4 5" xfId="2319" xr:uid="{00000000-0005-0000-0000-000003090000}"/>
    <cellStyle name="Normal 8 2 2 2 5" xfId="755" xr:uid="{00000000-0005-0000-0000-000004090000}"/>
    <cellStyle name="Normal 8 2 2 2 5 2" xfId="2919" xr:uid="{00000000-0005-0000-0000-000005090000}"/>
    <cellStyle name="Normal 8 2 2 2 5 3" xfId="2418" xr:uid="{00000000-0005-0000-0000-000006090000}"/>
    <cellStyle name="Normal 8 2 2 2 6" xfId="1479" xr:uid="{00000000-0005-0000-0000-000007090000}"/>
    <cellStyle name="Normal 8 2 2 2 6 2" xfId="2621" xr:uid="{00000000-0005-0000-0000-000008090000}"/>
    <cellStyle name="Normal 8 2 2 2 7" xfId="1913" xr:uid="{00000000-0005-0000-0000-000009090000}"/>
    <cellStyle name="Normal 8 2 2 2 8" xfId="2120" xr:uid="{00000000-0005-0000-0000-00000A090000}"/>
    <cellStyle name="Normal 8 2 2 3" xfId="306" xr:uid="{00000000-0005-0000-0000-00000B090000}"/>
    <cellStyle name="Normal 8 2 2 3 2" xfId="307" xr:uid="{00000000-0005-0000-0000-00000C090000}"/>
    <cellStyle name="Normal 8 2 2 3 2 2" xfId="762" xr:uid="{00000000-0005-0000-0000-00000D090000}"/>
    <cellStyle name="Normal 8 2 2 3 2 2 2" xfId="3042" xr:uid="{00000000-0005-0000-0000-00000E090000}"/>
    <cellStyle name="Normal 8 2 2 3 2 2 3" xfId="2541" xr:uid="{00000000-0005-0000-0000-00000F090000}"/>
    <cellStyle name="Normal 8 2 2 3 2 3" xfId="1486" xr:uid="{00000000-0005-0000-0000-000010090000}"/>
    <cellStyle name="Normal 8 2 2 3 2 3 2" xfId="2744" xr:uid="{00000000-0005-0000-0000-000011090000}"/>
    <cellStyle name="Normal 8 2 2 3 2 4" xfId="1920" xr:uid="{00000000-0005-0000-0000-000012090000}"/>
    <cellStyle name="Normal 8 2 2 3 2 5" xfId="2243" xr:uid="{00000000-0005-0000-0000-000013090000}"/>
    <cellStyle name="Normal 8 2 2 3 3" xfId="761" xr:uid="{00000000-0005-0000-0000-000014090000}"/>
    <cellStyle name="Normal 8 2 2 3 3 2" xfId="2843" xr:uid="{00000000-0005-0000-0000-000015090000}"/>
    <cellStyle name="Normal 8 2 2 3 3 3" xfId="2342" xr:uid="{00000000-0005-0000-0000-000016090000}"/>
    <cellStyle name="Normal 8 2 2 3 4" xfId="1149" xr:uid="{00000000-0005-0000-0000-000017090000}"/>
    <cellStyle name="Normal 8 2 2 3 4 2" xfId="2942" xr:uid="{00000000-0005-0000-0000-000018090000}"/>
    <cellStyle name="Normal 8 2 2 3 4 3" xfId="2441" xr:uid="{00000000-0005-0000-0000-000019090000}"/>
    <cellStyle name="Normal 8 2 2 3 5" xfId="1485" xr:uid="{00000000-0005-0000-0000-00001A090000}"/>
    <cellStyle name="Normal 8 2 2 3 5 2" xfId="2644" xr:uid="{00000000-0005-0000-0000-00001B090000}"/>
    <cellStyle name="Normal 8 2 2 3 6" xfId="1919" xr:uid="{00000000-0005-0000-0000-00001C090000}"/>
    <cellStyle name="Normal 8 2 2 3 7" xfId="2143" xr:uid="{00000000-0005-0000-0000-00001D090000}"/>
    <cellStyle name="Normal 8 2 2 4" xfId="308" xr:uid="{00000000-0005-0000-0000-00001E090000}"/>
    <cellStyle name="Normal 8 2 2 4 2" xfId="309" xr:uid="{00000000-0005-0000-0000-00001F090000}"/>
    <cellStyle name="Normal 8 2 2 4 2 2" xfId="764" xr:uid="{00000000-0005-0000-0000-000020090000}"/>
    <cellStyle name="Normal 8 2 2 4 2 2 2" xfId="2997" xr:uid="{00000000-0005-0000-0000-000021090000}"/>
    <cellStyle name="Normal 8 2 2 4 2 3" xfId="1488" xr:uid="{00000000-0005-0000-0000-000022090000}"/>
    <cellStyle name="Normal 8 2 2 4 2 4" xfId="1922" xr:uid="{00000000-0005-0000-0000-000023090000}"/>
    <cellStyle name="Normal 8 2 2 4 2 5" xfId="2496" xr:uid="{00000000-0005-0000-0000-000024090000}"/>
    <cellStyle name="Normal 8 2 2 4 3" xfId="763" xr:uid="{00000000-0005-0000-0000-000025090000}"/>
    <cellStyle name="Normal 8 2 2 4 3 2" xfId="2699" xr:uid="{00000000-0005-0000-0000-000026090000}"/>
    <cellStyle name="Normal 8 2 2 4 4" xfId="1487" xr:uid="{00000000-0005-0000-0000-000027090000}"/>
    <cellStyle name="Normal 8 2 2 4 5" xfId="1921" xr:uid="{00000000-0005-0000-0000-000028090000}"/>
    <cellStyle name="Normal 8 2 2 4 6" xfId="2198" xr:uid="{00000000-0005-0000-0000-000029090000}"/>
    <cellStyle name="Normal 8 2 2 5" xfId="310" xr:uid="{00000000-0005-0000-0000-00002A090000}"/>
    <cellStyle name="Normal 8 2 2 5 2" xfId="765" xr:uid="{00000000-0005-0000-0000-00002B090000}"/>
    <cellStyle name="Normal 8 2 2 5 2 2" xfId="2798" xr:uid="{00000000-0005-0000-0000-00002C090000}"/>
    <cellStyle name="Normal 8 2 2 5 3" xfId="1489" xr:uid="{00000000-0005-0000-0000-00002D090000}"/>
    <cellStyle name="Normal 8 2 2 5 4" xfId="1923" xr:uid="{00000000-0005-0000-0000-00002E090000}"/>
    <cellStyle name="Normal 8 2 2 5 5" xfId="2297" xr:uid="{00000000-0005-0000-0000-00002F090000}"/>
    <cellStyle name="Normal 8 2 2 6" xfId="299" xr:uid="{00000000-0005-0000-0000-000030090000}"/>
    <cellStyle name="Normal 8 2 2 6 2" xfId="754" xr:uid="{00000000-0005-0000-0000-000031090000}"/>
    <cellStyle name="Normal 8 2 2 6 2 2" xfId="2897" xr:uid="{00000000-0005-0000-0000-000032090000}"/>
    <cellStyle name="Normal 8 2 2 6 3" xfId="1478" xr:uid="{00000000-0005-0000-0000-000033090000}"/>
    <cellStyle name="Normal 8 2 2 6 4" xfId="1912" xr:uid="{00000000-0005-0000-0000-000034090000}"/>
    <cellStyle name="Normal 8 2 2 6 5" xfId="2396" xr:uid="{00000000-0005-0000-0000-000035090000}"/>
    <cellStyle name="Normal 8 2 2 7" xfId="118" xr:uid="{00000000-0005-0000-0000-000036090000}"/>
    <cellStyle name="Normal 8 2 2 7 2" xfId="576" xr:uid="{00000000-0005-0000-0000-000037090000}"/>
    <cellStyle name="Normal 8 2 2 7 3" xfId="1301" xr:uid="{00000000-0005-0000-0000-000038090000}"/>
    <cellStyle name="Normal 8 2 2 7 4" xfId="1735" xr:uid="{00000000-0005-0000-0000-000039090000}"/>
    <cellStyle name="Normal 8 2 2 7 5" xfId="2599" xr:uid="{00000000-0005-0000-0000-00003A090000}"/>
    <cellStyle name="Normal 8 2 2 8" xfId="488" xr:uid="{00000000-0005-0000-0000-00003B090000}"/>
    <cellStyle name="Normal 8 2 2 8 2" xfId="940" xr:uid="{00000000-0005-0000-0000-00003C090000}"/>
    <cellStyle name="Normal 8 2 2 8 3" xfId="1664" xr:uid="{00000000-0005-0000-0000-00003D090000}"/>
    <cellStyle name="Normal 8 2 2 9" xfId="539" xr:uid="{00000000-0005-0000-0000-00003E090000}"/>
    <cellStyle name="Normal 8 2 3" xfId="311" xr:uid="{00000000-0005-0000-0000-00003F090000}"/>
    <cellStyle name="Normal 8 2 3 2" xfId="312" xr:uid="{00000000-0005-0000-0000-000040090000}"/>
    <cellStyle name="Normal 8 2 3 2 2" xfId="313" xr:uid="{00000000-0005-0000-0000-000041090000}"/>
    <cellStyle name="Normal 8 2 3 2 2 2" xfId="768" xr:uid="{00000000-0005-0000-0000-000042090000}"/>
    <cellStyle name="Normal 8 2 3 2 2 2 2" xfId="3054" xr:uid="{00000000-0005-0000-0000-000043090000}"/>
    <cellStyle name="Normal 8 2 3 2 2 2 3" xfId="2553" xr:uid="{00000000-0005-0000-0000-000044090000}"/>
    <cellStyle name="Normal 8 2 3 2 2 3" xfId="1492" xr:uid="{00000000-0005-0000-0000-000045090000}"/>
    <cellStyle name="Normal 8 2 3 2 2 3 2" xfId="2756" xr:uid="{00000000-0005-0000-0000-000046090000}"/>
    <cellStyle name="Normal 8 2 3 2 2 4" xfId="1926" xr:uid="{00000000-0005-0000-0000-000047090000}"/>
    <cellStyle name="Normal 8 2 3 2 2 5" xfId="2255" xr:uid="{00000000-0005-0000-0000-000048090000}"/>
    <cellStyle name="Normal 8 2 3 2 3" xfId="767" xr:uid="{00000000-0005-0000-0000-000049090000}"/>
    <cellStyle name="Normal 8 2 3 2 3 2" xfId="2855" xr:uid="{00000000-0005-0000-0000-00004A090000}"/>
    <cellStyle name="Normal 8 2 3 2 3 3" xfId="2354" xr:uid="{00000000-0005-0000-0000-00004B090000}"/>
    <cellStyle name="Normal 8 2 3 2 4" xfId="1082" xr:uid="{00000000-0005-0000-0000-00004C090000}"/>
    <cellStyle name="Normal 8 2 3 2 4 2" xfId="2954" xr:uid="{00000000-0005-0000-0000-00004D090000}"/>
    <cellStyle name="Normal 8 2 3 2 4 3" xfId="2453" xr:uid="{00000000-0005-0000-0000-00004E090000}"/>
    <cellStyle name="Normal 8 2 3 2 5" xfId="1491" xr:uid="{00000000-0005-0000-0000-00004F090000}"/>
    <cellStyle name="Normal 8 2 3 2 5 2" xfId="2656" xr:uid="{00000000-0005-0000-0000-000050090000}"/>
    <cellStyle name="Normal 8 2 3 2 6" xfId="1925" xr:uid="{00000000-0005-0000-0000-000051090000}"/>
    <cellStyle name="Normal 8 2 3 2 7" xfId="2155" xr:uid="{00000000-0005-0000-0000-000052090000}"/>
    <cellStyle name="Normal 8 2 3 3" xfId="314" xr:uid="{00000000-0005-0000-0000-000053090000}"/>
    <cellStyle name="Normal 8 2 3 3 2" xfId="315" xr:uid="{00000000-0005-0000-0000-000054090000}"/>
    <cellStyle name="Normal 8 2 3 3 2 2" xfId="770" xr:uid="{00000000-0005-0000-0000-000055090000}"/>
    <cellStyle name="Normal 8 2 3 3 2 2 2" xfId="3008" xr:uid="{00000000-0005-0000-0000-000056090000}"/>
    <cellStyle name="Normal 8 2 3 3 2 3" xfId="1494" xr:uid="{00000000-0005-0000-0000-000057090000}"/>
    <cellStyle name="Normal 8 2 3 3 2 4" xfId="1928" xr:uid="{00000000-0005-0000-0000-000058090000}"/>
    <cellStyle name="Normal 8 2 3 3 2 5" xfId="2507" xr:uid="{00000000-0005-0000-0000-000059090000}"/>
    <cellStyle name="Normal 8 2 3 3 3" xfId="769" xr:uid="{00000000-0005-0000-0000-00005A090000}"/>
    <cellStyle name="Normal 8 2 3 3 3 2" xfId="2710" xr:uid="{00000000-0005-0000-0000-00005B090000}"/>
    <cellStyle name="Normal 8 2 3 3 4" xfId="1493" xr:uid="{00000000-0005-0000-0000-00005C090000}"/>
    <cellStyle name="Normal 8 2 3 3 5" xfId="1927" xr:uid="{00000000-0005-0000-0000-00005D090000}"/>
    <cellStyle name="Normal 8 2 3 3 6" xfId="2209" xr:uid="{00000000-0005-0000-0000-00005E090000}"/>
    <cellStyle name="Normal 8 2 3 4" xfId="316" xr:uid="{00000000-0005-0000-0000-00005F090000}"/>
    <cellStyle name="Normal 8 2 3 4 2" xfId="771" xr:uid="{00000000-0005-0000-0000-000060090000}"/>
    <cellStyle name="Normal 8 2 3 4 2 2" xfId="2809" xr:uid="{00000000-0005-0000-0000-000061090000}"/>
    <cellStyle name="Normal 8 2 3 4 3" xfId="1495" xr:uid="{00000000-0005-0000-0000-000062090000}"/>
    <cellStyle name="Normal 8 2 3 4 4" xfId="1929" xr:uid="{00000000-0005-0000-0000-000063090000}"/>
    <cellStyle name="Normal 8 2 3 4 5" xfId="2308" xr:uid="{00000000-0005-0000-0000-000064090000}"/>
    <cellStyle name="Normal 8 2 3 5" xfId="766" xr:uid="{00000000-0005-0000-0000-000065090000}"/>
    <cellStyle name="Normal 8 2 3 5 2" xfId="2908" xr:uid="{00000000-0005-0000-0000-000066090000}"/>
    <cellStyle name="Normal 8 2 3 5 3" xfId="2407" xr:uid="{00000000-0005-0000-0000-000067090000}"/>
    <cellStyle name="Normal 8 2 3 6" xfId="1490" xr:uid="{00000000-0005-0000-0000-000068090000}"/>
    <cellStyle name="Normal 8 2 3 6 2" xfId="2610" xr:uid="{00000000-0005-0000-0000-000069090000}"/>
    <cellStyle name="Normal 8 2 3 7" xfId="1924" xr:uid="{00000000-0005-0000-0000-00006A090000}"/>
    <cellStyle name="Normal 8 2 3 8" xfId="2109" xr:uid="{00000000-0005-0000-0000-00006B090000}"/>
    <cellStyle name="Normal 8 2 4" xfId="317" xr:uid="{00000000-0005-0000-0000-00006C090000}"/>
    <cellStyle name="Normal 8 2 4 2" xfId="318" xr:uid="{00000000-0005-0000-0000-00006D090000}"/>
    <cellStyle name="Normal 8 2 4 2 2" xfId="773" xr:uid="{00000000-0005-0000-0000-00006E090000}"/>
    <cellStyle name="Normal 8 2 4 2 2 2" xfId="3031" xr:uid="{00000000-0005-0000-0000-00006F090000}"/>
    <cellStyle name="Normal 8 2 4 2 2 3" xfId="2530" xr:uid="{00000000-0005-0000-0000-000070090000}"/>
    <cellStyle name="Normal 8 2 4 2 3" xfId="1497" xr:uid="{00000000-0005-0000-0000-000071090000}"/>
    <cellStyle name="Normal 8 2 4 2 3 2" xfId="2733" xr:uid="{00000000-0005-0000-0000-000072090000}"/>
    <cellStyle name="Normal 8 2 4 2 4" xfId="1931" xr:uid="{00000000-0005-0000-0000-000073090000}"/>
    <cellStyle name="Normal 8 2 4 2 5" xfId="2232" xr:uid="{00000000-0005-0000-0000-000074090000}"/>
    <cellStyle name="Normal 8 2 4 3" xfId="772" xr:uid="{00000000-0005-0000-0000-000075090000}"/>
    <cellStyle name="Normal 8 2 4 3 2" xfId="2832" xr:uid="{00000000-0005-0000-0000-000076090000}"/>
    <cellStyle name="Normal 8 2 4 3 3" xfId="2331" xr:uid="{00000000-0005-0000-0000-000077090000}"/>
    <cellStyle name="Normal 8 2 4 4" xfId="973" xr:uid="{00000000-0005-0000-0000-000078090000}"/>
    <cellStyle name="Normal 8 2 4 4 2" xfId="2931" xr:uid="{00000000-0005-0000-0000-000079090000}"/>
    <cellStyle name="Normal 8 2 4 4 3" xfId="2430" xr:uid="{00000000-0005-0000-0000-00007A090000}"/>
    <cellStyle name="Normal 8 2 4 5" xfId="1496" xr:uid="{00000000-0005-0000-0000-00007B090000}"/>
    <cellStyle name="Normal 8 2 4 5 2" xfId="2633" xr:uid="{00000000-0005-0000-0000-00007C090000}"/>
    <cellStyle name="Normal 8 2 4 6" xfId="1930" xr:uid="{00000000-0005-0000-0000-00007D090000}"/>
    <cellStyle name="Normal 8 2 4 7" xfId="2132" xr:uid="{00000000-0005-0000-0000-00007E090000}"/>
    <cellStyle name="Normal 8 2 5" xfId="319" xr:uid="{00000000-0005-0000-0000-00007F090000}"/>
    <cellStyle name="Normal 8 2 5 2" xfId="320" xr:uid="{00000000-0005-0000-0000-000080090000}"/>
    <cellStyle name="Normal 8 2 5 2 2" xfId="775" xr:uid="{00000000-0005-0000-0000-000081090000}"/>
    <cellStyle name="Normal 8 2 5 2 2 2" xfId="2986" xr:uid="{00000000-0005-0000-0000-000082090000}"/>
    <cellStyle name="Normal 8 2 5 2 2 3" xfId="2485" xr:uid="{00000000-0005-0000-0000-000083090000}"/>
    <cellStyle name="Normal 8 2 5 2 3" xfId="1499" xr:uid="{00000000-0005-0000-0000-000084090000}"/>
    <cellStyle name="Normal 8 2 5 2 3 2" xfId="2688" xr:uid="{00000000-0005-0000-0000-000085090000}"/>
    <cellStyle name="Normal 8 2 5 2 4" xfId="1933" xr:uid="{00000000-0005-0000-0000-000086090000}"/>
    <cellStyle name="Normal 8 2 5 2 5" xfId="2187" xr:uid="{00000000-0005-0000-0000-000087090000}"/>
    <cellStyle name="Normal 8 2 5 3" xfId="774" xr:uid="{00000000-0005-0000-0000-000088090000}"/>
    <cellStyle name="Normal 8 2 5 3 2" xfId="2787" xr:uid="{00000000-0005-0000-0000-000089090000}"/>
    <cellStyle name="Normal 8 2 5 3 3" xfId="2286" xr:uid="{00000000-0005-0000-0000-00008A090000}"/>
    <cellStyle name="Normal 8 2 5 4" xfId="969" xr:uid="{00000000-0005-0000-0000-00008B090000}"/>
    <cellStyle name="Normal 8 2 5 4 2" xfId="2886" xr:uid="{00000000-0005-0000-0000-00008C090000}"/>
    <cellStyle name="Normal 8 2 5 4 3" xfId="2385" xr:uid="{00000000-0005-0000-0000-00008D090000}"/>
    <cellStyle name="Normal 8 2 5 5" xfId="1498" xr:uid="{00000000-0005-0000-0000-00008E090000}"/>
    <cellStyle name="Normal 8 2 5 5 2" xfId="2588" xr:uid="{00000000-0005-0000-0000-00008F090000}"/>
    <cellStyle name="Normal 8 2 5 6" xfId="1932" xr:uid="{00000000-0005-0000-0000-000090090000}"/>
    <cellStyle name="Normal 8 2 5 7" xfId="2087" xr:uid="{00000000-0005-0000-0000-000091090000}"/>
    <cellStyle name="Normal 8 2 6" xfId="321" xr:uid="{00000000-0005-0000-0000-000092090000}"/>
    <cellStyle name="Normal 8 2 6 2" xfId="776" xr:uid="{00000000-0005-0000-0000-000093090000}"/>
    <cellStyle name="Normal 8 2 6 2 2" xfId="2976" xr:uid="{00000000-0005-0000-0000-000094090000}"/>
    <cellStyle name="Normal 8 2 6 2 3" xfId="2475" xr:uid="{00000000-0005-0000-0000-000095090000}"/>
    <cellStyle name="Normal 8 2 6 3" xfId="1500" xr:uid="{00000000-0005-0000-0000-000096090000}"/>
    <cellStyle name="Normal 8 2 6 3 2" xfId="2678" xr:uid="{00000000-0005-0000-0000-000097090000}"/>
    <cellStyle name="Normal 8 2 6 4" xfId="1934" xr:uid="{00000000-0005-0000-0000-000098090000}"/>
    <cellStyle name="Normal 8 2 6 5" xfId="2177" xr:uid="{00000000-0005-0000-0000-000099090000}"/>
    <cellStyle name="Normal 8 2 7" xfId="458" xr:uid="{00000000-0005-0000-0000-00009A090000}"/>
    <cellStyle name="Normal 8 2 7 2" xfId="910" xr:uid="{00000000-0005-0000-0000-00009B090000}"/>
    <cellStyle name="Normal 8 2 7 2 2" xfId="2777" xr:uid="{00000000-0005-0000-0000-00009C090000}"/>
    <cellStyle name="Normal 8 2 7 3" xfId="1634" xr:uid="{00000000-0005-0000-0000-00009D090000}"/>
    <cellStyle name="Normal 8 2 7 4" xfId="2068" xr:uid="{00000000-0005-0000-0000-00009E090000}"/>
    <cellStyle name="Normal 8 2 7 5" xfId="2276" xr:uid="{00000000-0005-0000-0000-00009F090000}"/>
    <cellStyle name="Normal 8 2 8" xfId="298" xr:uid="{00000000-0005-0000-0000-0000A0090000}"/>
    <cellStyle name="Normal 8 2 8 2" xfId="753" xr:uid="{00000000-0005-0000-0000-0000A1090000}"/>
    <cellStyle name="Normal 8 2 8 2 2" xfId="2876" xr:uid="{00000000-0005-0000-0000-0000A2090000}"/>
    <cellStyle name="Normal 8 2 8 3" xfId="1477" xr:uid="{00000000-0005-0000-0000-0000A3090000}"/>
    <cellStyle name="Normal 8 2 8 4" xfId="1911" xr:uid="{00000000-0005-0000-0000-0000A4090000}"/>
    <cellStyle name="Normal 8 2 8 5" xfId="2375" xr:uid="{00000000-0005-0000-0000-0000A5090000}"/>
    <cellStyle name="Normal 8 2 9" xfId="101" xr:uid="{00000000-0005-0000-0000-0000A6090000}"/>
    <cellStyle name="Normal 8 2 9 2" xfId="559" xr:uid="{00000000-0005-0000-0000-0000A7090000}"/>
    <cellStyle name="Normal 8 2 9 3" xfId="1284" xr:uid="{00000000-0005-0000-0000-0000A8090000}"/>
    <cellStyle name="Normal 8 2 9 4" xfId="1718" xr:uid="{00000000-0005-0000-0000-0000A9090000}"/>
    <cellStyle name="Normal 8 2 9 5" xfId="2578" xr:uid="{00000000-0005-0000-0000-0000AA090000}"/>
    <cellStyle name="Normal 8 3" xfId="74" xr:uid="{00000000-0005-0000-0000-0000AB090000}"/>
    <cellStyle name="Normal 8 3 10" xfId="1258" xr:uid="{00000000-0005-0000-0000-0000AC090000}"/>
    <cellStyle name="Normal 8 3 11" xfId="1692" xr:uid="{00000000-0005-0000-0000-0000AD090000}"/>
    <cellStyle name="Normal 8 3 12" xfId="2093" xr:uid="{00000000-0005-0000-0000-0000AE090000}"/>
    <cellStyle name="Normal 8 3 2" xfId="323" xr:uid="{00000000-0005-0000-0000-0000AF090000}"/>
    <cellStyle name="Normal 8 3 2 2" xfId="324" xr:uid="{00000000-0005-0000-0000-0000B0090000}"/>
    <cellStyle name="Normal 8 3 2 2 2" xfId="325" xr:uid="{00000000-0005-0000-0000-0000B1090000}"/>
    <cellStyle name="Normal 8 3 2 2 2 2" xfId="780" xr:uid="{00000000-0005-0000-0000-0000B2090000}"/>
    <cellStyle name="Normal 8 3 2 2 2 2 2" xfId="3060" xr:uid="{00000000-0005-0000-0000-0000B3090000}"/>
    <cellStyle name="Normal 8 3 2 2 2 2 3" xfId="2559" xr:uid="{00000000-0005-0000-0000-0000B4090000}"/>
    <cellStyle name="Normal 8 3 2 2 2 3" xfId="1504" xr:uid="{00000000-0005-0000-0000-0000B5090000}"/>
    <cellStyle name="Normal 8 3 2 2 2 3 2" xfId="2762" xr:uid="{00000000-0005-0000-0000-0000B6090000}"/>
    <cellStyle name="Normal 8 3 2 2 2 4" xfId="1938" xr:uid="{00000000-0005-0000-0000-0000B7090000}"/>
    <cellStyle name="Normal 8 3 2 2 2 5" xfId="2261" xr:uid="{00000000-0005-0000-0000-0000B8090000}"/>
    <cellStyle name="Normal 8 3 2 2 3" xfId="779" xr:uid="{00000000-0005-0000-0000-0000B9090000}"/>
    <cellStyle name="Normal 8 3 2 2 3 2" xfId="2861" xr:uid="{00000000-0005-0000-0000-0000BA090000}"/>
    <cellStyle name="Normal 8 3 2 2 3 3" xfId="2360" xr:uid="{00000000-0005-0000-0000-0000BB090000}"/>
    <cellStyle name="Normal 8 3 2 2 4" xfId="1162" xr:uid="{00000000-0005-0000-0000-0000BC090000}"/>
    <cellStyle name="Normal 8 3 2 2 4 2" xfId="2960" xr:uid="{00000000-0005-0000-0000-0000BD090000}"/>
    <cellStyle name="Normal 8 3 2 2 4 3" xfId="2459" xr:uid="{00000000-0005-0000-0000-0000BE090000}"/>
    <cellStyle name="Normal 8 3 2 2 5" xfId="1503" xr:uid="{00000000-0005-0000-0000-0000BF090000}"/>
    <cellStyle name="Normal 8 3 2 2 5 2" xfId="2662" xr:uid="{00000000-0005-0000-0000-0000C0090000}"/>
    <cellStyle name="Normal 8 3 2 2 6" xfId="1937" xr:uid="{00000000-0005-0000-0000-0000C1090000}"/>
    <cellStyle name="Normal 8 3 2 2 7" xfId="2161" xr:uid="{00000000-0005-0000-0000-0000C2090000}"/>
    <cellStyle name="Normal 8 3 2 3" xfId="326" xr:uid="{00000000-0005-0000-0000-0000C3090000}"/>
    <cellStyle name="Normal 8 3 2 3 2" xfId="327" xr:uid="{00000000-0005-0000-0000-0000C4090000}"/>
    <cellStyle name="Normal 8 3 2 3 2 2" xfId="782" xr:uid="{00000000-0005-0000-0000-0000C5090000}"/>
    <cellStyle name="Normal 8 3 2 3 2 2 2" xfId="3014" xr:uid="{00000000-0005-0000-0000-0000C6090000}"/>
    <cellStyle name="Normal 8 3 2 3 2 3" xfId="1506" xr:uid="{00000000-0005-0000-0000-0000C7090000}"/>
    <cellStyle name="Normal 8 3 2 3 2 4" xfId="1940" xr:uid="{00000000-0005-0000-0000-0000C8090000}"/>
    <cellStyle name="Normal 8 3 2 3 2 5" xfId="2513" xr:uid="{00000000-0005-0000-0000-0000C9090000}"/>
    <cellStyle name="Normal 8 3 2 3 3" xfId="781" xr:uid="{00000000-0005-0000-0000-0000CA090000}"/>
    <cellStyle name="Normal 8 3 2 3 3 2" xfId="2716" xr:uid="{00000000-0005-0000-0000-0000CB090000}"/>
    <cellStyle name="Normal 8 3 2 3 4" xfId="1505" xr:uid="{00000000-0005-0000-0000-0000CC090000}"/>
    <cellStyle name="Normal 8 3 2 3 5" xfId="1939" xr:uid="{00000000-0005-0000-0000-0000CD090000}"/>
    <cellStyle name="Normal 8 3 2 3 6" xfId="2215" xr:uid="{00000000-0005-0000-0000-0000CE090000}"/>
    <cellStyle name="Normal 8 3 2 4" xfId="328" xr:uid="{00000000-0005-0000-0000-0000CF090000}"/>
    <cellStyle name="Normal 8 3 2 4 2" xfId="783" xr:uid="{00000000-0005-0000-0000-0000D0090000}"/>
    <cellStyle name="Normal 8 3 2 4 2 2" xfId="2815" xr:uid="{00000000-0005-0000-0000-0000D1090000}"/>
    <cellStyle name="Normal 8 3 2 4 3" xfId="1507" xr:uid="{00000000-0005-0000-0000-0000D2090000}"/>
    <cellStyle name="Normal 8 3 2 4 4" xfId="1941" xr:uid="{00000000-0005-0000-0000-0000D3090000}"/>
    <cellStyle name="Normal 8 3 2 4 5" xfId="2314" xr:uid="{00000000-0005-0000-0000-0000D4090000}"/>
    <cellStyle name="Normal 8 3 2 5" xfId="778" xr:uid="{00000000-0005-0000-0000-0000D5090000}"/>
    <cellStyle name="Normal 8 3 2 5 2" xfId="2914" xr:uid="{00000000-0005-0000-0000-0000D6090000}"/>
    <cellStyle name="Normal 8 3 2 5 3" xfId="2413" xr:uid="{00000000-0005-0000-0000-0000D7090000}"/>
    <cellStyle name="Normal 8 3 2 6" xfId="1502" xr:uid="{00000000-0005-0000-0000-0000D8090000}"/>
    <cellStyle name="Normal 8 3 2 6 2" xfId="2616" xr:uid="{00000000-0005-0000-0000-0000D9090000}"/>
    <cellStyle name="Normal 8 3 2 7" xfId="1936" xr:uid="{00000000-0005-0000-0000-0000DA090000}"/>
    <cellStyle name="Normal 8 3 2 8" xfId="2115" xr:uid="{00000000-0005-0000-0000-0000DB090000}"/>
    <cellStyle name="Normal 8 3 3" xfId="329" xr:uid="{00000000-0005-0000-0000-0000DC090000}"/>
    <cellStyle name="Normal 8 3 3 2" xfId="330" xr:uid="{00000000-0005-0000-0000-0000DD090000}"/>
    <cellStyle name="Normal 8 3 3 2 2" xfId="785" xr:uid="{00000000-0005-0000-0000-0000DE090000}"/>
    <cellStyle name="Normal 8 3 3 2 2 2" xfId="3037" xr:uid="{00000000-0005-0000-0000-0000DF090000}"/>
    <cellStyle name="Normal 8 3 3 2 2 3" xfId="2536" xr:uid="{00000000-0005-0000-0000-0000E0090000}"/>
    <cellStyle name="Normal 8 3 3 2 3" xfId="1509" xr:uid="{00000000-0005-0000-0000-0000E1090000}"/>
    <cellStyle name="Normal 8 3 3 2 3 2" xfId="2739" xr:uid="{00000000-0005-0000-0000-0000E2090000}"/>
    <cellStyle name="Normal 8 3 3 2 4" xfId="1943" xr:uid="{00000000-0005-0000-0000-0000E3090000}"/>
    <cellStyle name="Normal 8 3 3 2 5" xfId="2238" xr:uid="{00000000-0005-0000-0000-0000E4090000}"/>
    <cellStyle name="Normal 8 3 3 3" xfId="784" xr:uid="{00000000-0005-0000-0000-0000E5090000}"/>
    <cellStyle name="Normal 8 3 3 3 2" xfId="2838" xr:uid="{00000000-0005-0000-0000-0000E6090000}"/>
    <cellStyle name="Normal 8 3 3 3 3" xfId="2337" xr:uid="{00000000-0005-0000-0000-0000E7090000}"/>
    <cellStyle name="Normal 8 3 3 4" xfId="1145" xr:uid="{00000000-0005-0000-0000-0000E8090000}"/>
    <cellStyle name="Normal 8 3 3 4 2" xfId="2937" xr:uid="{00000000-0005-0000-0000-0000E9090000}"/>
    <cellStyle name="Normal 8 3 3 4 3" xfId="2436" xr:uid="{00000000-0005-0000-0000-0000EA090000}"/>
    <cellStyle name="Normal 8 3 3 5" xfId="1508" xr:uid="{00000000-0005-0000-0000-0000EB090000}"/>
    <cellStyle name="Normal 8 3 3 5 2" xfId="2639" xr:uid="{00000000-0005-0000-0000-0000EC090000}"/>
    <cellStyle name="Normal 8 3 3 6" xfId="1942" xr:uid="{00000000-0005-0000-0000-0000ED090000}"/>
    <cellStyle name="Normal 8 3 3 7" xfId="2138" xr:uid="{00000000-0005-0000-0000-0000EE090000}"/>
    <cellStyle name="Normal 8 3 4" xfId="331" xr:uid="{00000000-0005-0000-0000-0000EF090000}"/>
    <cellStyle name="Normal 8 3 4 2" xfId="332" xr:uid="{00000000-0005-0000-0000-0000F0090000}"/>
    <cellStyle name="Normal 8 3 4 2 2" xfId="787" xr:uid="{00000000-0005-0000-0000-0000F1090000}"/>
    <cellStyle name="Normal 8 3 4 2 2 2" xfId="2992" xr:uid="{00000000-0005-0000-0000-0000F2090000}"/>
    <cellStyle name="Normal 8 3 4 2 3" xfId="1511" xr:uid="{00000000-0005-0000-0000-0000F3090000}"/>
    <cellStyle name="Normal 8 3 4 2 4" xfId="1945" xr:uid="{00000000-0005-0000-0000-0000F4090000}"/>
    <cellStyle name="Normal 8 3 4 2 5" xfId="2491" xr:uid="{00000000-0005-0000-0000-0000F5090000}"/>
    <cellStyle name="Normal 8 3 4 3" xfId="786" xr:uid="{00000000-0005-0000-0000-0000F6090000}"/>
    <cellStyle name="Normal 8 3 4 3 2" xfId="2694" xr:uid="{00000000-0005-0000-0000-0000F7090000}"/>
    <cellStyle name="Normal 8 3 4 4" xfId="1510" xr:uid="{00000000-0005-0000-0000-0000F8090000}"/>
    <cellStyle name="Normal 8 3 4 5" xfId="1944" xr:uid="{00000000-0005-0000-0000-0000F9090000}"/>
    <cellStyle name="Normal 8 3 4 6" xfId="2193" xr:uid="{00000000-0005-0000-0000-0000FA090000}"/>
    <cellStyle name="Normal 8 3 5" xfId="333" xr:uid="{00000000-0005-0000-0000-0000FB090000}"/>
    <cellStyle name="Normal 8 3 5 2" xfId="788" xr:uid="{00000000-0005-0000-0000-0000FC090000}"/>
    <cellStyle name="Normal 8 3 5 2 2" xfId="2793" xr:uid="{00000000-0005-0000-0000-0000FD090000}"/>
    <cellStyle name="Normal 8 3 5 3" xfId="1512" xr:uid="{00000000-0005-0000-0000-0000FE090000}"/>
    <cellStyle name="Normal 8 3 5 4" xfId="1946" xr:uid="{00000000-0005-0000-0000-0000FF090000}"/>
    <cellStyle name="Normal 8 3 5 5" xfId="2292" xr:uid="{00000000-0005-0000-0000-0000000A0000}"/>
    <cellStyle name="Normal 8 3 6" xfId="322" xr:uid="{00000000-0005-0000-0000-0000010A0000}"/>
    <cellStyle name="Normal 8 3 6 2" xfId="777" xr:uid="{00000000-0005-0000-0000-0000020A0000}"/>
    <cellStyle name="Normal 8 3 6 2 2" xfId="2892" xr:uid="{00000000-0005-0000-0000-0000030A0000}"/>
    <cellStyle name="Normal 8 3 6 3" xfId="1501" xr:uid="{00000000-0005-0000-0000-0000040A0000}"/>
    <cellStyle name="Normal 8 3 6 4" xfId="1935" xr:uid="{00000000-0005-0000-0000-0000050A0000}"/>
    <cellStyle name="Normal 8 3 6 5" xfId="2391" xr:uid="{00000000-0005-0000-0000-0000060A0000}"/>
    <cellStyle name="Normal 8 3 7" xfId="112" xr:uid="{00000000-0005-0000-0000-0000070A0000}"/>
    <cellStyle name="Normal 8 3 7 2" xfId="570" xr:uid="{00000000-0005-0000-0000-0000080A0000}"/>
    <cellStyle name="Normal 8 3 7 3" xfId="1295" xr:uid="{00000000-0005-0000-0000-0000090A0000}"/>
    <cellStyle name="Normal 8 3 7 4" xfId="1729" xr:uid="{00000000-0005-0000-0000-00000A0A0000}"/>
    <cellStyle name="Normal 8 3 7 5" xfId="2594" xr:uid="{00000000-0005-0000-0000-00000B0A0000}"/>
    <cellStyle name="Normal 8 3 8" xfId="482" xr:uid="{00000000-0005-0000-0000-00000C0A0000}"/>
    <cellStyle name="Normal 8 3 8 2" xfId="934" xr:uid="{00000000-0005-0000-0000-00000D0A0000}"/>
    <cellStyle name="Normal 8 3 8 3" xfId="1658" xr:uid="{00000000-0005-0000-0000-00000E0A0000}"/>
    <cellStyle name="Normal 8 3 9" xfId="533" xr:uid="{00000000-0005-0000-0000-00000F0A0000}"/>
    <cellStyle name="Normal 8 4" xfId="334" xr:uid="{00000000-0005-0000-0000-0000100A0000}"/>
    <cellStyle name="Normal 8 4 2" xfId="335" xr:uid="{00000000-0005-0000-0000-0000110A0000}"/>
    <cellStyle name="Normal 8 4 2 2" xfId="336" xr:uid="{00000000-0005-0000-0000-0000120A0000}"/>
    <cellStyle name="Normal 8 4 2 2 2" xfId="337" xr:uid="{00000000-0005-0000-0000-0000130A0000}"/>
    <cellStyle name="Normal 8 4 2 2 2 2" xfId="338" xr:uid="{00000000-0005-0000-0000-0000140A0000}"/>
    <cellStyle name="Normal 8 4 2 2 2 2 2" xfId="793" xr:uid="{00000000-0005-0000-0000-0000150A0000}"/>
    <cellStyle name="Normal 8 4 2 2 2 2 3" xfId="1517" xr:uid="{00000000-0005-0000-0000-0000160A0000}"/>
    <cellStyle name="Normal 8 4 2 2 2 2 4" xfId="1951" xr:uid="{00000000-0005-0000-0000-0000170A0000}"/>
    <cellStyle name="Normal 8 4 2 2 2 2 5" xfId="3049" xr:uid="{00000000-0005-0000-0000-0000180A0000}"/>
    <cellStyle name="Normal 8 4 2 2 2 3" xfId="792" xr:uid="{00000000-0005-0000-0000-0000190A0000}"/>
    <cellStyle name="Normal 8 4 2 2 2 4" xfId="1516" xr:uid="{00000000-0005-0000-0000-00001A0A0000}"/>
    <cellStyle name="Normal 8 4 2 2 2 5" xfId="1950" xr:uid="{00000000-0005-0000-0000-00001B0A0000}"/>
    <cellStyle name="Normal 8 4 2 2 2 6" xfId="2548" xr:uid="{00000000-0005-0000-0000-00001C0A0000}"/>
    <cellStyle name="Normal 8 4 2 2 3" xfId="339" xr:uid="{00000000-0005-0000-0000-00001D0A0000}"/>
    <cellStyle name="Normal 8 4 2 2 3 2" xfId="340" xr:uid="{00000000-0005-0000-0000-00001E0A0000}"/>
    <cellStyle name="Normal 8 4 2 2 3 2 2" xfId="795" xr:uid="{00000000-0005-0000-0000-00001F0A0000}"/>
    <cellStyle name="Normal 8 4 2 2 3 2 3" xfId="1519" xr:uid="{00000000-0005-0000-0000-0000200A0000}"/>
    <cellStyle name="Normal 8 4 2 2 3 2 4" xfId="1953" xr:uid="{00000000-0005-0000-0000-0000210A0000}"/>
    <cellStyle name="Normal 8 4 2 2 3 3" xfId="794" xr:uid="{00000000-0005-0000-0000-0000220A0000}"/>
    <cellStyle name="Normal 8 4 2 2 3 4" xfId="1518" xr:uid="{00000000-0005-0000-0000-0000230A0000}"/>
    <cellStyle name="Normal 8 4 2 2 3 5" xfId="1952" xr:uid="{00000000-0005-0000-0000-0000240A0000}"/>
    <cellStyle name="Normal 8 4 2 2 3 6" xfId="2751" xr:uid="{00000000-0005-0000-0000-0000250A0000}"/>
    <cellStyle name="Normal 8 4 2 2 4" xfId="341" xr:uid="{00000000-0005-0000-0000-0000260A0000}"/>
    <cellStyle name="Normal 8 4 2 2 4 2" xfId="796" xr:uid="{00000000-0005-0000-0000-0000270A0000}"/>
    <cellStyle name="Normal 8 4 2 2 4 3" xfId="1520" xr:uid="{00000000-0005-0000-0000-0000280A0000}"/>
    <cellStyle name="Normal 8 4 2 2 4 4" xfId="1954" xr:uid="{00000000-0005-0000-0000-0000290A0000}"/>
    <cellStyle name="Normal 8 4 2 2 5" xfId="791" xr:uid="{00000000-0005-0000-0000-00002A0A0000}"/>
    <cellStyle name="Normal 8 4 2 2 6" xfId="1515" xr:uid="{00000000-0005-0000-0000-00002B0A0000}"/>
    <cellStyle name="Normal 8 4 2 2 7" xfId="1949" xr:uid="{00000000-0005-0000-0000-00002C0A0000}"/>
    <cellStyle name="Normal 8 4 2 2 8" xfId="2250" xr:uid="{00000000-0005-0000-0000-00002D0A0000}"/>
    <cellStyle name="Normal 8 4 2 3" xfId="342" xr:uid="{00000000-0005-0000-0000-00002E0A0000}"/>
    <cellStyle name="Normal 8 4 2 3 2" xfId="343" xr:uid="{00000000-0005-0000-0000-00002F0A0000}"/>
    <cellStyle name="Normal 8 4 2 3 2 2" xfId="798" xr:uid="{00000000-0005-0000-0000-0000300A0000}"/>
    <cellStyle name="Normal 8 4 2 3 2 3" xfId="1522" xr:uid="{00000000-0005-0000-0000-0000310A0000}"/>
    <cellStyle name="Normal 8 4 2 3 2 4" xfId="1956" xr:uid="{00000000-0005-0000-0000-0000320A0000}"/>
    <cellStyle name="Normal 8 4 2 3 2 5" xfId="2850" xr:uid="{00000000-0005-0000-0000-0000330A0000}"/>
    <cellStyle name="Normal 8 4 2 3 3" xfId="797" xr:uid="{00000000-0005-0000-0000-0000340A0000}"/>
    <cellStyle name="Normal 8 4 2 3 4" xfId="1521" xr:uid="{00000000-0005-0000-0000-0000350A0000}"/>
    <cellStyle name="Normal 8 4 2 3 5" xfId="1955" xr:uid="{00000000-0005-0000-0000-0000360A0000}"/>
    <cellStyle name="Normal 8 4 2 3 6" xfId="2349" xr:uid="{00000000-0005-0000-0000-0000370A0000}"/>
    <cellStyle name="Normal 8 4 2 4" xfId="344" xr:uid="{00000000-0005-0000-0000-0000380A0000}"/>
    <cellStyle name="Normal 8 4 2 4 2" xfId="345" xr:uid="{00000000-0005-0000-0000-0000390A0000}"/>
    <cellStyle name="Normal 8 4 2 4 2 2" xfId="800" xr:uid="{00000000-0005-0000-0000-00003A0A0000}"/>
    <cellStyle name="Normal 8 4 2 4 2 3" xfId="1524" xr:uid="{00000000-0005-0000-0000-00003B0A0000}"/>
    <cellStyle name="Normal 8 4 2 4 2 4" xfId="1958" xr:uid="{00000000-0005-0000-0000-00003C0A0000}"/>
    <cellStyle name="Normal 8 4 2 4 2 5" xfId="2949" xr:uid="{00000000-0005-0000-0000-00003D0A0000}"/>
    <cellStyle name="Normal 8 4 2 4 3" xfId="799" xr:uid="{00000000-0005-0000-0000-00003E0A0000}"/>
    <cellStyle name="Normal 8 4 2 4 4" xfId="1523" xr:uid="{00000000-0005-0000-0000-00003F0A0000}"/>
    <cellStyle name="Normal 8 4 2 4 5" xfId="1957" xr:uid="{00000000-0005-0000-0000-0000400A0000}"/>
    <cellStyle name="Normal 8 4 2 4 6" xfId="2448" xr:uid="{00000000-0005-0000-0000-0000410A0000}"/>
    <cellStyle name="Normal 8 4 2 5" xfId="346" xr:uid="{00000000-0005-0000-0000-0000420A0000}"/>
    <cellStyle name="Normal 8 4 2 5 2" xfId="801" xr:uid="{00000000-0005-0000-0000-0000430A0000}"/>
    <cellStyle name="Normal 8 4 2 5 3" xfId="1525" xr:uid="{00000000-0005-0000-0000-0000440A0000}"/>
    <cellStyle name="Normal 8 4 2 5 4" xfId="1959" xr:uid="{00000000-0005-0000-0000-0000450A0000}"/>
    <cellStyle name="Normal 8 4 2 5 5" xfId="2651" xr:uid="{00000000-0005-0000-0000-0000460A0000}"/>
    <cellStyle name="Normal 8 4 2 6" xfId="790" xr:uid="{00000000-0005-0000-0000-0000470A0000}"/>
    <cellStyle name="Normal 8 4 2 7" xfId="1514" xr:uid="{00000000-0005-0000-0000-0000480A0000}"/>
    <cellStyle name="Normal 8 4 2 8" xfId="1948" xr:uid="{00000000-0005-0000-0000-0000490A0000}"/>
    <cellStyle name="Normal 8 4 2 9" xfId="2150" xr:uid="{00000000-0005-0000-0000-00004A0A0000}"/>
    <cellStyle name="Normal 8 4 3" xfId="347" xr:uid="{00000000-0005-0000-0000-00004B0A0000}"/>
    <cellStyle name="Normal 8 4 3 2" xfId="348" xr:uid="{00000000-0005-0000-0000-00004C0A0000}"/>
    <cellStyle name="Normal 8 4 3 2 2" xfId="803" xr:uid="{00000000-0005-0000-0000-00004D0A0000}"/>
    <cellStyle name="Normal 8 4 3 2 2 2" xfId="3003" xr:uid="{00000000-0005-0000-0000-00004E0A0000}"/>
    <cellStyle name="Normal 8 4 3 2 3" xfId="1527" xr:uid="{00000000-0005-0000-0000-00004F0A0000}"/>
    <cellStyle name="Normal 8 4 3 2 4" xfId="1961" xr:uid="{00000000-0005-0000-0000-0000500A0000}"/>
    <cellStyle name="Normal 8 4 3 2 5" xfId="2502" xr:uid="{00000000-0005-0000-0000-0000510A0000}"/>
    <cellStyle name="Normal 8 4 3 3" xfId="802" xr:uid="{00000000-0005-0000-0000-0000520A0000}"/>
    <cellStyle name="Normal 8 4 3 3 2" xfId="2705" xr:uid="{00000000-0005-0000-0000-0000530A0000}"/>
    <cellStyle name="Normal 8 4 3 4" xfId="1526" xr:uid="{00000000-0005-0000-0000-0000540A0000}"/>
    <cellStyle name="Normal 8 4 3 5" xfId="1960" xr:uid="{00000000-0005-0000-0000-0000550A0000}"/>
    <cellStyle name="Normal 8 4 3 6" xfId="2204" xr:uid="{00000000-0005-0000-0000-0000560A0000}"/>
    <cellStyle name="Normal 8 4 4" xfId="349" xr:uid="{00000000-0005-0000-0000-0000570A0000}"/>
    <cellStyle name="Normal 8 4 4 2" xfId="350" xr:uid="{00000000-0005-0000-0000-0000580A0000}"/>
    <cellStyle name="Normal 8 4 4 2 2" xfId="805" xr:uid="{00000000-0005-0000-0000-0000590A0000}"/>
    <cellStyle name="Normal 8 4 4 2 3" xfId="1529" xr:uid="{00000000-0005-0000-0000-00005A0A0000}"/>
    <cellStyle name="Normal 8 4 4 2 4" xfId="1963" xr:uid="{00000000-0005-0000-0000-00005B0A0000}"/>
    <cellStyle name="Normal 8 4 4 2 5" xfId="2804" xr:uid="{00000000-0005-0000-0000-00005C0A0000}"/>
    <cellStyle name="Normal 8 4 4 3" xfId="804" xr:uid="{00000000-0005-0000-0000-00005D0A0000}"/>
    <cellStyle name="Normal 8 4 4 4" xfId="1528" xr:uid="{00000000-0005-0000-0000-00005E0A0000}"/>
    <cellStyle name="Normal 8 4 4 5" xfId="1962" xr:uid="{00000000-0005-0000-0000-00005F0A0000}"/>
    <cellStyle name="Normal 8 4 4 6" xfId="2303" xr:uid="{00000000-0005-0000-0000-0000600A0000}"/>
    <cellStyle name="Normal 8 4 5" xfId="351" xr:uid="{00000000-0005-0000-0000-0000610A0000}"/>
    <cellStyle name="Normal 8 4 5 2" xfId="806" xr:uid="{00000000-0005-0000-0000-0000620A0000}"/>
    <cellStyle name="Normal 8 4 5 2 2" xfId="2903" xr:uid="{00000000-0005-0000-0000-0000630A0000}"/>
    <cellStyle name="Normal 8 4 5 3" xfId="1530" xr:uid="{00000000-0005-0000-0000-0000640A0000}"/>
    <cellStyle name="Normal 8 4 5 4" xfId="1964" xr:uid="{00000000-0005-0000-0000-0000650A0000}"/>
    <cellStyle name="Normal 8 4 5 5" xfId="2402" xr:uid="{00000000-0005-0000-0000-0000660A0000}"/>
    <cellStyle name="Normal 8 4 6" xfId="789" xr:uid="{00000000-0005-0000-0000-0000670A0000}"/>
    <cellStyle name="Normal 8 4 6 2" xfId="2605" xr:uid="{00000000-0005-0000-0000-0000680A0000}"/>
    <cellStyle name="Normal 8 4 7" xfId="1513" xr:uid="{00000000-0005-0000-0000-0000690A0000}"/>
    <cellStyle name="Normal 8 4 8" xfId="1947" xr:uid="{00000000-0005-0000-0000-00006A0A0000}"/>
    <cellStyle name="Normal 8 4 9" xfId="2104" xr:uid="{00000000-0005-0000-0000-00006B0A0000}"/>
    <cellStyle name="Normal 8 5" xfId="352" xr:uid="{00000000-0005-0000-0000-00006C0A0000}"/>
    <cellStyle name="Normal 8 5 2" xfId="353" xr:uid="{00000000-0005-0000-0000-00006D0A0000}"/>
    <cellStyle name="Normal 8 5 2 2" xfId="354" xr:uid="{00000000-0005-0000-0000-00006E0A0000}"/>
    <cellStyle name="Normal 8 5 2 2 2" xfId="809" xr:uid="{00000000-0005-0000-0000-00006F0A0000}"/>
    <cellStyle name="Normal 8 5 2 2 2 2" xfId="3026" xr:uid="{00000000-0005-0000-0000-0000700A0000}"/>
    <cellStyle name="Normal 8 5 2 2 3" xfId="1533" xr:uid="{00000000-0005-0000-0000-0000710A0000}"/>
    <cellStyle name="Normal 8 5 2 2 4" xfId="1967" xr:uid="{00000000-0005-0000-0000-0000720A0000}"/>
    <cellStyle name="Normal 8 5 2 2 5" xfId="2525" xr:uid="{00000000-0005-0000-0000-0000730A0000}"/>
    <cellStyle name="Normal 8 5 2 3" xfId="808" xr:uid="{00000000-0005-0000-0000-0000740A0000}"/>
    <cellStyle name="Normal 8 5 2 3 2" xfId="2728" xr:uid="{00000000-0005-0000-0000-0000750A0000}"/>
    <cellStyle name="Normal 8 5 2 4" xfId="1532" xr:uid="{00000000-0005-0000-0000-0000760A0000}"/>
    <cellStyle name="Normal 8 5 2 5" xfId="1966" xr:uid="{00000000-0005-0000-0000-0000770A0000}"/>
    <cellStyle name="Normal 8 5 2 6" xfId="2227" xr:uid="{00000000-0005-0000-0000-0000780A0000}"/>
    <cellStyle name="Normal 8 5 3" xfId="355" xr:uid="{00000000-0005-0000-0000-0000790A0000}"/>
    <cellStyle name="Normal 8 5 3 2" xfId="356" xr:uid="{00000000-0005-0000-0000-00007A0A0000}"/>
    <cellStyle name="Normal 8 5 3 2 2" xfId="811" xr:uid="{00000000-0005-0000-0000-00007B0A0000}"/>
    <cellStyle name="Normal 8 5 3 2 3" xfId="1535" xr:uid="{00000000-0005-0000-0000-00007C0A0000}"/>
    <cellStyle name="Normal 8 5 3 2 4" xfId="1969" xr:uid="{00000000-0005-0000-0000-00007D0A0000}"/>
    <cellStyle name="Normal 8 5 3 2 5" xfId="2827" xr:uid="{00000000-0005-0000-0000-00007E0A0000}"/>
    <cellStyle name="Normal 8 5 3 3" xfId="810" xr:uid="{00000000-0005-0000-0000-00007F0A0000}"/>
    <cellStyle name="Normal 8 5 3 4" xfId="1534" xr:uid="{00000000-0005-0000-0000-0000800A0000}"/>
    <cellStyle name="Normal 8 5 3 5" xfId="1968" xr:uid="{00000000-0005-0000-0000-0000810A0000}"/>
    <cellStyle name="Normal 8 5 3 6" xfId="2326" xr:uid="{00000000-0005-0000-0000-0000820A0000}"/>
    <cellStyle name="Normal 8 5 4" xfId="357" xr:uid="{00000000-0005-0000-0000-0000830A0000}"/>
    <cellStyle name="Normal 8 5 4 2" xfId="812" xr:uid="{00000000-0005-0000-0000-0000840A0000}"/>
    <cellStyle name="Normal 8 5 4 2 2" xfId="2926" xr:uid="{00000000-0005-0000-0000-0000850A0000}"/>
    <cellStyle name="Normal 8 5 4 3" xfId="1536" xr:uid="{00000000-0005-0000-0000-0000860A0000}"/>
    <cellStyle name="Normal 8 5 4 4" xfId="1970" xr:uid="{00000000-0005-0000-0000-0000870A0000}"/>
    <cellStyle name="Normal 8 5 4 5" xfId="2425" xr:uid="{00000000-0005-0000-0000-0000880A0000}"/>
    <cellStyle name="Normal 8 5 5" xfId="807" xr:uid="{00000000-0005-0000-0000-0000890A0000}"/>
    <cellStyle name="Normal 8 5 5 2" xfId="2628" xr:uid="{00000000-0005-0000-0000-00008A0A0000}"/>
    <cellStyle name="Normal 8 5 6" xfId="1531" xr:uid="{00000000-0005-0000-0000-00008B0A0000}"/>
    <cellStyle name="Normal 8 5 7" xfId="1965" xr:uid="{00000000-0005-0000-0000-00008C0A0000}"/>
    <cellStyle name="Normal 8 5 8" xfId="2127" xr:uid="{00000000-0005-0000-0000-00008D0A0000}"/>
    <cellStyle name="Normal 8 6" xfId="358" xr:uid="{00000000-0005-0000-0000-00008E0A0000}"/>
    <cellStyle name="Normal 8 6 2" xfId="359" xr:uid="{00000000-0005-0000-0000-00008F0A0000}"/>
    <cellStyle name="Normal 8 6 2 2" xfId="814" xr:uid="{00000000-0005-0000-0000-0000900A0000}"/>
    <cellStyle name="Normal 8 6 2 2 2" xfId="2981" xr:uid="{00000000-0005-0000-0000-0000910A0000}"/>
    <cellStyle name="Normal 8 6 2 2 3" xfId="2480" xr:uid="{00000000-0005-0000-0000-0000920A0000}"/>
    <cellStyle name="Normal 8 6 2 3" xfId="1538" xr:uid="{00000000-0005-0000-0000-0000930A0000}"/>
    <cellStyle name="Normal 8 6 2 3 2" xfId="2683" xr:uid="{00000000-0005-0000-0000-0000940A0000}"/>
    <cellStyle name="Normal 8 6 2 4" xfId="1972" xr:uid="{00000000-0005-0000-0000-0000950A0000}"/>
    <cellStyle name="Normal 8 6 2 5" xfId="2182" xr:uid="{00000000-0005-0000-0000-0000960A0000}"/>
    <cellStyle name="Normal 8 6 3" xfId="813" xr:uid="{00000000-0005-0000-0000-0000970A0000}"/>
    <cellStyle name="Normal 8 6 3 2" xfId="2782" xr:uid="{00000000-0005-0000-0000-0000980A0000}"/>
    <cellStyle name="Normal 8 6 3 3" xfId="2281" xr:uid="{00000000-0005-0000-0000-0000990A0000}"/>
    <cellStyle name="Normal 8 6 4" xfId="982" xr:uid="{00000000-0005-0000-0000-00009A0A0000}"/>
    <cellStyle name="Normal 8 6 4 2" xfId="2881" xr:uid="{00000000-0005-0000-0000-00009B0A0000}"/>
    <cellStyle name="Normal 8 6 4 3" xfId="2380" xr:uid="{00000000-0005-0000-0000-00009C0A0000}"/>
    <cellStyle name="Normal 8 6 5" xfId="1537" xr:uid="{00000000-0005-0000-0000-00009D0A0000}"/>
    <cellStyle name="Normal 8 6 5 2" xfId="2583" xr:uid="{00000000-0005-0000-0000-00009E0A0000}"/>
    <cellStyle name="Normal 8 6 6" xfId="1971" xr:uid="{00000000-0005-0000-0000-00009F0A0000}"/>
    <cellStyle name="Normal 8 6 7" xfId="2082" xr:uid="{00000000-0005-0000-0000-0000A00A0000}"/>
    <cellStyle name="Normal 8 7" xfId="360" xr:uid="{00000000-0005-0000-0000-0000A10A0000}"/>
    <cellStyle name="Normal 8 7 2" xfId="361" xr:uid="{00000000-0005-0000-0000-0000A20A0000}"/>
    <cellStyle name="Normal 8 7 2 2" xfId="816" xr:uid="{00000000-0005-0000-0000-0000A30A0000}"/>
    <cellStyle name="Normal 8 7 2 2 2" xfId="2971" xr:uid="{00000000-0005-0000-0000-0000A40A0000}"/>
    <cellStyle name="Normal 8 7 2 3" xfId="1540" xr:uid="{00000000-0005-0000-0000-0000A50A0000}"/>
    <cellStyle name="Normal 8 7 2 4" xfId="1974" xr:uid="{00000000-0005-0000-0000-0000A60A0000}"/>
    <cellStyle name="Normal 8 7 2 5" xfId="2470" xr:uid="{00000000-0005-0000-0000-0000A70A0000}"/>
    <cellStyle name="Normal 8 7 3" xfId="815" xr:uid="{00000000-0005-0000-0000-0000A80A0000}"/>
    <cellStyle name="Normal 8 7 3 2" xfId="2673" xr:uid="{00000000-0005-0000-0000-0000A90A0000}"/>
    <cellStyle name="Normal 8 7 4" xfId="1539" xr:uid="{00000000-0005-0000-0000-0000AA0A0000}"/>
    <cellStyle name="Normal 8 7 5" xfId="1973" xr:uid="{00000000-0005-0000-0000-0000AB0A0000}"/>
    <cellStyle name="Normal 8 7 6" xfId="2172" xr:uid="{00000000-0005-0000-0000-0000AC0A0000}"/>
    <cellStyle name="Normal 8 8" xfId="362" xr:uid="{00000000-0005-0000-0000-0000AD0A0000}"/>
    <cellStyle name="Normal 8 8 2" xfId="817" xr:uid="{00000000-0005-0000-0000-0000AE0A0000}"/>
    <cellStyle name="Normal 8 8 2 2" xfId="2772" xr:uid="{00000000-0005-0000-0000-0000AF0A0000}"/>
    <cellStyle name="Normal 8 8 3" xfId="1541" xr:uid="{00000000-0005-0000-0000-0000B00A0000}"/>
    <cellStyle name="Normal 8 8 4" xfId="1975" xr:uid="{00000000-0005-0000-0000-0000B10A0000}"/>
    <cellStyle name="Normal 8 8 5" xfId="2271" xr:uid="{00000000-0005-0000-0000-0000B20A0000}"/>
    <cellStyle name="Normal 8 9" xfId="442" xr:uid="{00000000-0005-0000-0000-0000B30A0000}"/>
    <cellStyle name="Normal 8 9 2" xfId="894" xr:uid="{00000000-0005-0000-0000-0000B40A0000}"/>
    <cellStyle name="Normal 8 9 2 2" xfId="2871" xr:uid="{00000000-0005-0000-0000-0000B50A0000}"/>
    <cellStyle name="Normal 8 9 3" xfId="1618" xr:uid="{00000000-0005-0000-0000-0000B60A0000}"/>
    <cellStyle name="Normal 8 9 4" xfId="2052" xr:uid="{00000000-0005-0000-0000-0000B70A0000}"/>
    <cellStyle name="Normal 8 9 5" xfId="2370" xr:uid="{00000000-0005-0000-0000-0000B80A0000}"/>
    <cellStyle name="Normal 9" xfId="50" xr:uid="{00000000-0005-0000-0000-0000B90A0000}"/>
    <cellStyle name="Normal 9 2" xfId="64" xr:uid="{00000000-0005-0000-0000-0000BA0A0000}"/>
    <cellStyle name="Normal 9 3" xfId="75" xr:uid="{00000000-0005-0000-0000-0000BB0A0000}"/>
    <cellStyle name="Normal 9 3 2" xfId="437" xr:uid="{00000000-0005-0000-0000-0000BC0A0000}"/>
    <cellStyle name="Normal 9 3 2 2" xfId="889" xr:uid="{00000000-0005-0000-0000-0000BD0A0000}"/>
    <cellStyle name="Normal 9 3 2 3" xfId="1613" xr:uid="{00000000-0005-0000-0000-0000BE0A0000}"/>
    <cellStyle name="Normal 9 3 2 4" xfId="2047" xr:uid="{00000000-0005-0000-0000-0000BF0A0000}"/>
    <cellStyle name="Normal 9 3 3" xfId="113" xr:uid="{00000000-0005-0000-0000-0000C00A0000}"/>
    <cellStyle name="Normal 9 3 3 2" xfId="571" xr:uid="{00000000-0005-0000-0000-0000C10A0000}"/>
    <cellStyle name="Normal 9 3 3 3" xfId="1296" xr:uid="{00000000-0005-0000-0000-0000C20A0000}"/>
    <cellStyle name="Normal 9 3 3 4" xfId="1730" xr:uid="{00000000-0005-0000-0000-0000C30A0000}"/>
    <cellStyle name="Normal 9 3 4" xfId="483" xr:uid="{00000000-0005-0000-0000-0000C40A0000}"/>
    <cellStyle name="Normal 9 3 4 2" xfId="935" xr:uid="{00000000-0005-0000-0000-0000C50A0000}"/>
    <cellStyle name="Normal 9 3 4 3" xfId="1659" xr:uid="{00000000-0005-0000-0000-0000C60A0000}"/>
    <cellStyle name="Normal 9 3 5" xfId="534" xr:uid="{00000000-0005-0000-0000-0000C70A0000}"/>
    <cellStyle name="Normal 9 3 6" xfId="1259" xr:uid="{00000000-0005-0000-0000-0000C80A0000}"/>
    <cellStyle name="Normal 9 3 7" xfId="1693" xr:uid="{00000000-0005-0000-0000-0000C90A0000}"/>
    <cellStyle name="Normal 9 4" xfId="429" xr:uid="{00000000-0005-0000-0000-0000CA0A0000}"/>
    <cellStyle name="Normal 9 5" xfId="96" xr:uid="{00000000-0005-0000-0000-0000CB0A0000}"/>
    <cellStyle name="Normal 9 5 2" xfId="554" xr:uid="{00000000-0005-0000-0000-0000CC0A0000}"/>
    <cellStyle name="Normal 9 5 3" xfId="1279" xr:uid="{00000000-0005-0000-0000-0000CD0A0000}"/>
    <cellStyle name="Normal 9 5 4" xfId="1713" xr:uid="{00000000-0005-0000-0000-0000CE0A0000}"/>
    <cellStyle name="Normal 9 6" xfId="466" xr:uid="{00000000-0005-0000-0000-0000CF0A0000}"/>
    <cellStyle name="Normal 9 6 2" xfId="918" xr:uid="{00000000-0005-0000-0000-0000D00A0000}"/>
    <cellStyle name="Normal 9 6 3" xfId="1642" xr:uid="{00000000-0005-0000-0000-0000D10A0000}"/>
    <cellStyle name="Normal 9 7" xfId="514" xr:uid="{00000000-0005-0000-0000-0000D20A0000}"/>
    <cellStyle name="Normal 9 8" xfId="1242" xr:uid="{00000000-0005-0000-0000-0000D30A0000}"/>
    <cellStyle name="Normal 9 9" xfId="1676" xr:uid="{00000000-0005-0000-0000-0000D40A0000}"/>
    <cellStyle name="Normal_Census Attendance" xfId="18" xr:uid="{00000000-0005-0000-0000-0000D50A0000}"/>
    <cellStyle name="Normal_Extract" xfId="19" xr:uid="{00000000-0005-0000-0000-0000D60A0000}"/>
    <cellStyle name="Normal_KS4 01-02 to 05-06" xfId="20" xr:uid="{00000000-0005-0000-0000-0000D70A0000}"/>
    <cellStyle name="Percent 2" xfId="56" xr:uid="{00000000-0005-0000-0000-0000D80A0000}"/>
    <cellStyle name="Percent 2 2" xfId="58" xr:uid="{00000000-0005-0000-0000-0000D90A0000}"/>
    <cellStyle name="Percent 2 2 10" xfId="1680" xr:uid="{00000000-0005-0000-0000-0000DA0A0000}"/>
    <cellStyle name="Percent 2 2 2" xfId="60" xr:uid="{00000000-0005-0000-0000-0000DB0A0000}"/>
    <cellStyle name="Percent 2 2 2 2" xfId="363" xr:uid="{00000000-0005-0000-0000-0000DC0A0000}"/>
    <cellStyle name="Percent 2 2 2 2 2" xfId="364" xr:uid="{00000000-0005-0000-0000-0000DD0A0000}"/>
    <cellStyle name="Percent 2 2 2 3" xfId="365" xr:uid="{00000000-0005-0000-0000-0000DE0A0000}"/>
    <cellStyle name="Percent 2 2 2 3 2" xfId="366" xr:uid="{00000000-0005-0000-0000-0000DF0A0000}"/>
    <cellStyle name="Percent 2 2 2 3 2 2" xfId="367" xr:uid="{00000000-0005-0000-0000-0000E00A0000}"/>
    <cellStyle name="Percent 2 2 2 3 2 2 2" xfId="368" xr:uid="{00000000-0005-0000-0000-0000E10A0000}"/>
    <cellStyle name="Percent 2 2 2 3 2 2 2 2" xfId="821" xr:uid="{00000000-0005-0000-0000-0000E20A0000}"/>
    <cellStyle name="Percent 2 2 2 3 2 2 2 3" xfId="1545" xr:uid="{00000000-0005-0000-0000-0000E30A0000}"/>
    <cellStyle name="Percent 2 2 2 3 2 2 2 4" xfId="1979" xr:uid="{00000000-0005-0000-0000-0000E40A0000}"/>
    <cellStyle name="Percent 2 2 2 3 2 2 3" xfId="820" xr:uid="{00000000-0005-0000-0000-0000E50A0000}"/>
    <cellStyle name="Percent 2 2 2 3 2 2 4" xfId="1544" xr:uid="{00000000-0005-0000-0000-0000E60A0000}"/>
    <cellStyle name="Percent 2 2 2 3 2 2 5" xfId="1978" xr:uid="{00000000-0005-0000-0000-0000E70A0000}"/>
    <cellStyle name="Percent 2 2 2 3 2 3" xfId="369" xr:uid="{00000000-0005-0000-0000-0000E80A0000}"/>
    <cellStyle name="Percent 2 2 2 3 2 3 2" xfId="370" xr:uid="{00000000-0005-0000-0000-0000E90A0000}"/>
    <cellStyle name="Percent 2 2 2 3 2 3 2 2" xfId="823" xr:uid="{00000000-0005-0000-0000-0000EA0A0000}"/>
    <cellStyle name="Percent 2 2 2 3 2 3 2 3" xfId="1547" xr:uid="{00000000-0005-0000-0000-0000EB0A0000}"/>
    <cellStyle name="Percent 2 2 2 3 2 3 2 4" xfId="1981" xr:uid="{00000000-0005-0000-0000-0000EC0A0000}"/>
    <cellStyle name="Percent 2 2 2 3 2 3 3" xfId="822" xr:uid="{00000000-0005-0000-0000-0000ED0A0000}"/>
    <cellStyle name="Percent 2 2 2 3 2 3 4" xfId="1546" xr:uid="{00000000-0005-0000-0000-0000EE0A0000}"/>
    <cellStyle name="Percent 2 2 2 3 2 3 5" xfId="1980" xr:uid="{00000000-0005-0000-0000-0000EF0A0000}"/>
    <cellStyle name="Percent 2 2 2 3 2 4" xfId="371" xr:uid="{00000000-0005-0000-0000-0000F00A0000}"/>
    <cellStyle name="Percent 2 2 2 3 2 4 2" xfId="824" xr:uid="{00000000-0005-0000-0000-0000F10A0000}"/>
    <cellStyle name="Percent 2 2 2 3 2 4 3" xfId="1548" xr:uid="{00000000-0005-0000-0000-0000F20A0000}"/>
    <cellStyle name="Percent 2 2 2 3 2 4 4" xfId="1982" xr:uid="{00000000-0005-0000-0000-0000F30A0000}"/>
    <cellStyle name="Percent 2 2 2 3 2 5" xfId="819" xr:uid="{00000000-0005-0000-0000-0000F40A0000}"/>
    <cellStyle name="Percent 2 2 2 3 2 6" xfId="1543" xr:uid="{00000000-0005-0000-0000-0000F50A0000}"/>
    <cellStyle name="Percent 2 2 2 3 2 7" xfId="1977" xr:uid="{00000000-0005-0000-0000-0000F60A0000}"/>
    <cellStyle name="Percent 2 2 2 3 3" xfId="372" xr:uid="{00000000-0005-0000-0000-0000F70A0000}"/>
    <cellStyle name="Percent 2 2 2 3 3 2" xfId="373" xr:uid="{00000000-0005-0000-0000-0000F80A0000}"/>
    <cellStyle name="Percent 2 2 2 3 3 2 2" xfId="826" xr:uid="{00000000-0005-0000-0000-0000F90A0000}"/>
    <cellStyle name="Percent 2 2 2 3 3 2 3" xfId="1550" xr:uid="{00000000-0005-0000-0000-0000FA0A0000}"/>
    <cellStyle name="Percent 2 2 2 3 3 2 4" xfId="1984" xr:uid="{00000000-0005-0000-0000-0000FB0A0000}"/>
    <cellStyle name="Percent 2 2 2 3 3 3" xfId="825" xr:uid="{00000000-0005-0000-0000-0000FC0A0000}"/>
    <cellStyle name="Percent 2 2 2 3 3 4" xfId="1549" xr:uid="{00000000-0005-0000-0000-0000FD0A0000}"/>
    <cellStyle name="Percent 2 2 2 3 3 5" xfId="1983" xr:uid="{00000000-0005-0000-0000-0000FE0A0000}"/>
    <cellStyle name="Percent 2 2 2 3 4" xfId="374" xr:uid="{00000000-0005-0000-0000-0000FF0A0000}"/>
    <cellStyle name="Percent 2 2 2 3 4 2" xfId="375" xr:uid="{00000000-0005-0000-0000-0000000B0000}"/>
    <cellStyle name="Percent 2 2 2 3 4 2 2" xfId="828" xr:uid="{00000000-0005-0000-0000-0000010B0000}"/>
    <cellStyle name="Percent 2 2 2 3 4 2 3" xfId="1552" xr:uid="{00000000-0005-0000-0000-0000020B0000}"/>
    <cellStyle name="Percent 2 2 2 3 4 2 4" xfId="1986" xr:uid="{00000000-0005-0000-0000-0000030B0000}"/>
    <cellStyle name="Percent 2 2 2 3 4 3" xfId="827" xr:uid="{00000000-0005-0000-0000-0000040B0000}"/>
    <cellStyle name="Percent 2 2 2 3 4 4" xfId="1551" xr:uid="{00000000-0005-0000-0000-0000050B0000}"/>
    <cellStyle name="Percent 2 2 2 3 4 5" xfId="1985" xr:uid="{00000000-0005-0000-0000-0000060B0000}"/>
    <cellStyle name="Percent 2 2 2 3 5" xfId="376" xr:uid="{00000000-0005-0000-0000-0000070B0000}"/>
    <cellStyle name="Percent 2 2 2 3 5 2" xfId="829" xr:uid="{00000000-0005-0000-0000-0000080B0000}"/>
    <cellStyle name="Percent 2 2 2 3 5 3" xfId="1553" xr:uid="{00000000-0005-0000-0000-0000090B0000}"/>
    <cellStyle name="Percent 2 2 2 3 5 4" xfId="1987" xr:uid="{00000000-0005-0000-0000-00000A0B0000}"/>
    <cellStyle name="Percent 2 2 2 3 6" xfId="818" xr:uid="{00000000-0005-0000-0000-00000B0B0000}"/>
    <cellStyle name="Percent 2 2 2 3 7" xfId="1542" xr:uid="{00000000-0005-0000-0000-00000C0B0000}"/>
    <cellStyle name="Percent 2 2 2 3 8" xfId="1976" xr:uid="{00000000-0005-0000-0000-00000D0B0000}"/>
    <cellStyle name="Percent 2 2 2 4" xfId="377" xr:uid="{00000000-0005-0000-0000-00000E0B0000}"/>
    <cellStyle name="Percent 2 2 2 4 2" xfId="378" xr:uid="{00000000-0005-0000-0000-00000F0B0000}"/>
    <cellStyle name="Percent 2 2 2 4 2 2" xfId="379" xr:uid="{00000000-0005-0000-0000-0000100B0000}"/>
    <cellStyle name="Percent 2 2 2 4 2 2 2" xfId="832" xr:uid="{00000000-0005-0000-0000-0000110B0000}"/>
    <cellStyle name="Percent 2 2 2 4 2 2 3" xfId="1556" xr:uid="{00000000-0005-0000-0000-0000120B0000}"/>
    <cellStyle name="Percent 2 2 2 4 2 2 4" xfId="1990" xr:uid="{00000000-0005-0000-0000-0000130B0000}"/>
    <cellStyle name="Percent 2 2 2 4 2 3" xfId="831" xr:uid="{00000000-0005-0000-0000-0000140B0000}"/>
    <cellStyle name="Percent 2 2 2 4 2 4" xfId="1555" xr:uid="{00000000-0005-0000-0000-0000150B0000}"/>
    <cellStyle name="Percent 2 2 2 4 2 5" xfId="1989" xr:uid="{00000000-0005-0000-0000-0000160B0000}"/>
    <cellStyle name="Percent 2 2 2 4 3" xfId="380" xr:uid="{00000000-0005-0000-0000-0000170B0000}"/>
    <cellStyle name="Percent 2 2 2 4 3 2" xfId="381" xr:uid="{00000000-0005-0000-0000-0000180B0000}"/>
    <cellStyle name="Percent 2 2 2 4 3 2 2" xfId="834" xr:uid="{00000000-0005-0000-0000-0000190B0000}"/>
    <cellStyle name="Percent 2 2 2 4 3 2 3" xfId="1558" xr:uid="{00000000-0005-0000-0000-00001A0B0000}"/>
    <cellStyle name="Percent 2 2 2 4 3 2 4" xfId="1992" xr:uid="{00000000-0005-0000-0000-00001B0B0000}"/>
    <cellStyle name="Percent 2 2 2 4 3 3" xfId="833" xr:uid="{00000000-0005-0000-0000-00001C0B0000}"/>
    <cellStyle name="Percent 2 2 2 4 3 4" xfId="1557" xr:uid="{00000000-0005-0000-0000-00001D0B0000}"/>
    <cellStyle name="Percent 2 2 2 4 3 5" xfId="1991" xr:uid="{00000000-0005-0000-0000-00001E0B0000}"/>
    <cellStyle name="Percent 2 2 2 4 4" xfId="382" xr:uid="{00000000-0005-0000-0000-00001F0B0000}"/>
    <cellStyle name="Percent 2 2 2 4 4 2" xfId="835" xr:uid="{00000000-0005-0000-0000-0000200B0000}"/>
    <cellStyle name="Percent 2 2 2 4 4 3" xfId="1559" xr:uid="{00000000-0005-0000-0000-0000210B0000}"/>
    <cellStyle name="Percent 2 2 2 4 4 4" xfId="1993" xr:uid="{00000000-0005-0000-0000-0000220B0000}"/>
    <cellStyle name="Percent 2 2 2 4 5" xfId="830" xr:uid="{00000000-0005-0000-0000-0000230B0000}"/>
    <cellStyle name="Percent 2 2 2 4 6" xfId="1554" xr:uid="{00000000-0005-0000-0000-0000240B0000}"/>
    <cellStyle name="Percent 2 2 2 4 7" xfId="1988" xr:uid="{00000000-0005-0000-0000-0000250B0000}"/>
    <cellStyle name="Percent 2 2 2 5" xfId="383" xr:uid="{00000000-0005-0000-0000-0000260B0000}"/>
    <cellStyle name="Percent 2 2 2 5 2" xfId="384" xr:uid="{00000000-0005-0000-0000-0000270B0000}"/>
    <cellStyle name="Percent 2 2 2 5 2 2" xfId="837" xr:uid="{00000000-0005-0000-0000-0000280B0000}"/>
    <cellStyle name="Percent 2 2 2 5 2 3" xfId="1561" xr:uid="{00000000-0005-0000-0000-0000290B0000}"/>
    <cellStyle name="Percent 2 2 2 5 2 4" xfId="1995" xr:uid="{00000000-0005-0000-0000-00002A0B0000}"/>
    <cellStyle name="Percent 2 2 2 5 3" xfId="836" xr:uid="{00000000-0005-0000-0000-00002B0B0000}"/>
    <cellStyle name="Percent 2 2 2 5 4" xfId="1560" xr:uid="{00000000-0005-0000-0000-00002C0B0000}"/>
    <cellStyle name="Percent 2 2 2 5 5" xfId="1994" xr:uid="{00000000-0005-0000-0000-00002D0B0000}"/>
    <cellStyle name="Percent 2 2 2 6" xfId="385" xr:uid="{00000000-0005-0000-0000-00002E0B0000}"/>
    <cellStyle name="Percent 2 2 2 6 2" xfId="386" xr:uid="{00000000-0005-0000-0000-00002F0B0000}"/>
    <cellStyle name="Percent 2 2 2 6 2 2" xfId="839" xr:uid="{00000000-0005-0000-0000-0000300B0000}"/>
    <cellStyle name="Percent 2 2 2 6 2 3" xfId="1563" xr:uid="{00000000-0005-0000-0000-0000310B0000}"/>
    <cellStyle name="Percent 2 2 2 6 2 4" xfId="1997" xr:uid="{00000000-0005-0000-0000-0000320B0000}"/>
    <cellStyle name="Percent 2 2 2 6 3" xfId="838" xr:uid="{00000000-0005-0000-0000-0000330B0000}"/>
    <cellStyle name="Percent 2 2 2 6 4" xfId="1562" xr:uid="{00000000-0005-0000-0000-0000340B0000}"/>
    <cellStyle name="Percent 2 2 2 6 5" xfId="1996" xr:uid="{00000000-0005-0000-0000-0000350B0000}"/>
    <cellStyle name="Percent 2 2 2 7" xfId="387" xr:uid="{00000000-0005-0000-0000-0000360B0000}"/>
    <cellStyle name="Percent 2 2 2 7 2" xfId="840" xr:uid="{00000000-0005-0000-0000-0000370B0000}"/>
    <cellStyle name="Percent 2 2 2 7 3" xfId="1564" xr:uid="{00000000-0005-0000-0000-0000380B0000}"/>
    <cellStyle name="Percent 2 2 2 7 4" xfId="1998" xr:uid="{00000000-0005-0000-0000-0000390B0000}"/>
    <cellStyle name="Percent 2 2 3" xfId="79" xr:uid="{00000000-0005-0000-0000-00003A0B0000}"/>
    <cellStyle name="Percent 2 2 3 10" xfId="538" xr:uid="{00000000-0005-0000-0000-00003B0B0000}"/>
    <cellStyle name="Percent 2 2 3 11" xfId="1263" xr:uid="{00000000-0005-0000-0000-00003C0B0000}"/>
    <cellStyle name="Percent 2 2 3 12" xfId="1697" xr:uid="{00000000-0005-0000-0000-00003D0B0000}"/>
    <cellStyle name="Percent 2 2 3 2" xfId="389" xr:uid="{00000000-0005-0000-0000-00003E0B0000}"/>
    <cellStyle name="Percent 2 2 3 2 2" xfId="390" xr:uid="{00000000-0005-0000-0000-00003F0B0000}"/>
    <cellStyle name="Percent 2 2 3 2 2 2" xfId="391" xr:uid="{00000000-0005-0000-0000-0000400B0000}"/>
    <cellStyle name="Percent 2 2 3 2 2 2 2" xfId="844" xr:uid="{00000000-0005-0000-0000-0000410B0000}"/>
    <cellStyle name="Percent 2 2 3 2 2 2 3" xfId="1568" xr:uid="{00000000-0005-0000-0000-0000420B0000}"/>
    <cellStyle name="Percent 2 2 3 2 2 2 4" xfId="2002" xr:uid="{00000000-0005-0000-0000-0000430B0000}"/>
    <cellStyle name="Percent 2 2 3 2 2 3" xfId="843" xr:uid="{00000000-0005-0000-0000-0000440B0000}"/>
    <cellStyle name="Percent 2 2 3 2 2 4" xfId="1567" xr:uid="{00000000-0005-0000-0000-0000450B0000}"/>
    <cellStyle name="Percent 2 2 3 2 2 5" xfId="2001" xr:uid="{00000000-0005-0000-0000-0000460B0000}"/>
    <cellStyle name="Percent 2 2 3 2 3" xfId="392" xr:uid="{00000000-0005-0000-0000-0000470B0000}"/>
    <cellStyle name="Percent 2 2 3 2 3 2" xfId="393" xr:uid="{00000000-0005-0000-0000-0000480B0000}"/>
    <cellStyle name="Percent 2 2 3 2 3 2 2" xfId="846" xr:uid="{00000000-0005-0000-0000-0000490B0000}"/>
    <cellStyle name="Percent 2 2 3 2 3 2 3" xfId="1570" xr:uid="{00000000-0005-0000-0000-00004A0B0000}"/>
    <cellStyle name="Percent 2 2 3 2 3 2 4" xfId="2004" xr:uid="{00000000-0005-0000-0000-00004B0B0000}"/>
    <cellStyle name="Percent 2 2 3 2 3 3" xfId="845" xr:uid="{00000000-0005-0000-0000-00004C0B0000}"/>
    <cellStyle name="Percent 2 2 3 2 3 4" xfId="1569" xr:uid="{00000000-0005-0000-0000-00004D0B0000}"/>
    <cellStyle name="Percent 2 2 3 2 3 5" xfId="2003" xr:uid="{00000000-0005-0000-0000-00004E0B0000}"/>
    <cellStyle name="Percent 2 2 3 2 4" xfId="394" xr:uid="{00000000-0005-0000-0000-00004F0B0000}"/>
    <cellStyle name="Percent 2 2 3 2 4 2" xfId="847" xr:uid="{00000000-0005-0000-0000-0000500B0000}"/>
    <cellStyle name="Percent 2 2 3 2 4 3" xfId="1571" xr:uid="{00000000-0005-0000-0000-0000510B0000}"/>
    <cellStyle name="Percent 2 2 3 2 4 4" xfId="2005" xr:uid="{00000000-0005-0000-0000-0000520B0000}"/>
    <cellStyle name="Percent 2 2 3 2 5" xfId="842" xr:uid="{00000000-0005-0000-0000-0000530B0000}"/>
    <cellStyle name="Percent 2 2 3 2 6" xfId="1566" xr:uid="{00000000-0005-0000-0000-0000540B0000}"/>
    <cellStyle name="Percent 2 2 3 2 7" xfId="2000" xr:uid="{00000000-0005-0000-0000-0000550B0000}"/>
    <cellStyle name="Percent 2 2 3 3" xfId="395" xr:uid="{00000000-0005-0000-0000-0000560B0000}"/>
    <cellStyle name="Percent 2 2 3 3 2" xfId="396" xr:uid="{00000000-0005-0000-0000-0000570B0000}"/>
    <cellStyle name="Percent 2 2 3 3 2 2" xfId="397" xr:uid="{00000000-0005-0000-0000-0000580B0000}"/>
    <cellStyle name="Percent 2 2 3 3 2 2 2" xfId="850" xr:uid="{00000000-0005-0000-0000-0000590B0000}"/>
    <cellStyle name="Percent 2 2 3 3 2 2 3" xfId="1574" xr:uid="{00000000-0005-0000-0000-00005A0B0000}"/>
    <cellStyle name="Percent 2 2 3 3 2 2 4" xfId="2008" xr:uid="{00000000-0005-0000-0000-00005B0B0000}"/>
    <cellStyle name="Percent 2 2 3 3 2 3" xfId="849" xr:uid="{00000000-0005-0000-0000-00005C0B0000}"/>
    <cellStyle name="Percent 2 2 3 3 2 4" xfId="1573" xr:uid="{00000000-0005-0000-0000-00005D0B0000}"/>
    <cellStyle name="Percent 2 2 3 3 2 5" xfId="2007" xr:uid="{00000000-0005-0000-0000-00005E0B0000}"/>
    <cellStyle name="Percent 2 2 3 3 3" xfId="398" xr:uid="{00000000-0005-0000-0000-00005F0B0000}"/>
    <cellStyle name="Percent 2 2 3 3 3 2" xfId="399" xr:uid="{00000000-0005-0000-0000-0000600B0000}"/>
    <cellStyle name="Percent 2 2 3 3 3 2 2" xfId="852" xr:uid="{00000000-0005-0000-0000-0000610B0000}"/>
    <cellStyle name="Percent 2 2 3 3 3 2 3" xfId="1576" xr:uid="{00000000-0005-0000-0000-0000620B0000}"/>
    <cellStyle name="Percent 2 2 3 3 3 2 4" xfId="2010" xr:uid="{00000000-0005-0000-0000-0000630B0000}"/>
    <cellStyle name="Percent 2 2 3 3 3 3" xfId="851" xr:uid="{00000000-0005-0000-0000-0000640B0000}"/>
    <cellStyle name="Percent 2 2 3 3 3 4" xfId="1575" xr:uid="{00000000-0005-0000-0000-0000650B0000}"/>
    <cellStyle name="Percent 2 2 3 3 3 5" xfId="2009" xr:uid="{00000000-0005-0000-0000-0000660B0000}"/>
    <cellStyle name="Percent 2 2 3 3 4" xfId="400" xr:uid="{00000000-0005-0000-0000-0000670B0000}"/>
    <cellStyle name="Percent 2 2 3 3 4 2" xfId="853" xr:uid="{00000000-0005-0000-0000-0000680B0000}"/>
    <cellStyle name="Percent 2 2 3 3 4 3" xfId="1577" xr:uid="{00000000-0005-0000-0000-0000690B0000}"/>
    <cellStyle name="Percent 2 2 3 3 4 4" xfId="2011" xr:uid="{00000000-0005-0000-0000-00006A0B0000}"/>
    <cellStyle name="Percent 2 2 3 3 5" xfId="848" xr:uid="{00000000-0005-0000-0000-00006B0B0000}"/>
    <cellStyle name="Percent 2 2 3 3 6" xfId="1572" xr:uid="{00000000-0005-0000-0000-00006C0B0000}"/>
    <cellStyle name="Percent 2 2 3 3 7" xfId="2006" xr:uid="{00000000-0005-0000-0000-00006D0B0000}"/>
    <cellStyle name="Percent 2 2 3 4" xfId="401" xr:uid="{00000000-0005-0000-0000-00006E0B0000}"/>
    <cellStyle name="Percent 2 2 3 4 2" xfId="402" xr:uid="{00000000-0005-0000-0000-00006F0B0000}"/>
    <cellStyle name="Percent 2 2 3 4 2 2" xfId="855" xr:uid="{00000000-0005-0000-0000-0000700B0000}"/>
    <cellStyle name="Percent 2 2 3 4 2 3" xfId="1579" xr:uid="{00000000-0005-0000-0000-0000710B0000}"/>
    <cellStyle name="Percent 2 2 3 4 2 4" xfId="2013" xr:uid="{00000000-0005-0000-0000-0000720B0000}"/>
    <cellStyle name="Percent 2 2 3 4 3" xfId="854" xr:uid="{00000000-0005-0000-0000-0000730B0000}"/>
    <cellStyle name="Percent 2 2 3 4 4" xfId="1578" xr:uid="{00000000-0005-0000-0000-0000740B0000}"/>
    <cellStyle name="Percent 2 2 3 4 5" xfId="2012" xr:uid="{00000000-0005-0000-0000-0000750B0000}"/>
    <cellStyle name="Percent 2 2 3 5" xfId="403" xr:uid="{00000000-0005-0000-0000-0000760B0000}"/>
    <cellStyle name="Percent 2 2 3 5 2" xfId="404" xr:uid="{00000000-0005-0000-0000-0000770B0000}"/>
    <cellStyle name="Percent 2 2 3 5 2 2" xfId="857" xr:uid="{00000000-0005-0000-0000-0000780B0000}"/>
    <cellStyle name="Percent 2 2 3 5 2 3" xfId="1581" xr:uid="{00000000-0005-0000-0000-0000790B0000}"/>
    <cellStyle name="Percent 2 2 3 5 2 4" xfId="2015" xr:uid="{00000000-0005-0000-0000-00007A0B0000}"/>
    <cellStyle name="Percent 2 2 3 5 3" xfId="856" xr:uid="{00000000-0005-0000-0000-00007B0B0000}"/>
    <cellStyle name="Percent 2 2 3 5 4" xfId="1580" xr:uid="{00000000-0005-0000-0000-00007C0B0000}"/>
    <cellStyle name="Percent 2 2 3 5 5" xfId="2014" xr:uid="{00000000-0005-0000-0000-00007D0B0000}"/>
    <cellStyle name="Percent 2 2 3 6" xfId="405" xr:uid="{00000000-0005-0000-0000-00007E0B0000}"/>
    <cellStyle name="Percent 2 2 3 6 2" xfId="858" xr:uid="{00000000-0005-0000-0000-00007F0B0000}"/>
    <cellStyle name="Percent 2 2 3 6 3" xfId="1582" xr:uid="{00000000-0005-0000-0000-0000800B0000}"/>
    <cellStyle name="Percent 2 2 3 6 4" xfId="2016" xr:uid="{00000000-0005-0000-0000-0000810B0000}"/>
    <cellStyle name="Percent 2 2 3 7" xfId="388" xr:uid="{00000000-0005-0000-0000-0000820B0000}"/>
    <cellStyle name="Percent 2 2 3 7 2" xfId="841" xr:uid="{00000000-0005-0000-0000-0000830B0000}"/>
    <cellStyle name="Percent 2 2 3 7 3" xfId="1565" xr:uid="{00000000-0005-0000-0000-0000840B0000}"/>
    <cellStyle name="Percent 2 2 3 7 4" xfId="1999" xr:uid="{00000000-0005-0000-0000-0000850B0000}"/>
    <cellStyle name="Percent 2 2 3 8" xfId="117" xr:uid="{00000000-0005-0000-0000-0000860B0000}"/>
    <cellStyle name="Percent 2 2 3 8 2" xfId="575" xr:uid="{00000000-0005-0000-0000-0000870B0000}"/>
    <cellStyle name="Percent 2 2 3 8 3" xfId="1300" xr:uid="{00000000-0005-0000-0000-0000880B0000}"/>
    <cellStyle name="Percent 2 2 3 8 4" xfId="1734" xr:uid="{00000000-0005-0000-0000-0000890B0000}"/>
    <cellStyle name="Percent 2 2 3 9" xfId="487" xr:uid="{00000000-0005-0000-0000-00008A0B0000}"/>
    <cellStyle name="Percent 2 2 3 9 2" xfId="939" xr:uid="{00000000-0005-0000-0000-00008B0B0000}"/>
    <cellStyle name="Percent 2 2 3 9 3" xfId="1663" xr:uid="{00000000-0005-0000-0000-00008C0B0000}"/>
    <cellStyle name="Percent 2 2 4" xfId="441" xr:uid="{00000000-0005-0000-0000-00008D0B0000}"/>
    <cellStyle name="Percent 2 2 4 2" xfId="893" xr:uid="{00000000-0005-0000-0000-00008E0B0000}"/>
    <cellStyle name="Percent 2 2 4 3" xfId="1617" xr:uid="{00000000-0005-0000-0000-00008F0B0000}"/>
    <cellStyle name="Percent 2 2 4 4" xfId="2051" xr:uid="{00000000-0005-0000-0000-0000900B0000}"/>
    <cellStyle name="Percent 2 2 5" xfId="129" xr:uid="{00000000-0005-0000-0000-0000910B0000}"/>
    <cellStyle name="Percent 2 2 5 2" xfId="587" xr:uid="{00000000-0005-0000-0000-0000920B0000}"/>
    <cellStyle name="Percent 2 2 5 3" xfId="1312" xr:uid="{00000000-0005-0000-0000-0000930B0000}"/>
    <cellStyle name="Percent 2 2 5 4" xfId="1746" xr:uid="{00000000-0005-0000-0000-0000940B0000}"/>
    <cellStyle name="Percent 2 2 6" xfId="100" xr:uid="{00000000-0005-0000-0000-0000950B0000}"/>
    <cellStyle name="Percent 2 2 6 2" xfId="558" xr:uid="{00000000-0005-0000-0000-0000960B0000}"/>
    <cellStyle name="Percent 2 2 6 3" xfId="1283" xr:uid="{00000000-0005-0000-0000-0000970B0000}"/>
    <cellStyle name="Percent 2 2 6 4" xfId="1717" xr:uid="{00000000-0005-0000-0000-0000980B0000}"/>
    <cellStyle name="Percent 2 2 7" xfId="470" xr:uid="{00000000-0005-0000-0000-0000990B0000}"/>
    <cellStyle name="Percent 2 2 7 2" xfId="922" xr:uid="{00000000-0005-0000-0000-00009A0B0000}"/>
    <cellStyle name="Percent 2 2 7 3" xfId="1646" xr:uid="{00000000-0005-0000-0000-00009B0B0000}"/>
    <cellStyle name="Percent 2 2 8" xfId="520" xr:uid="{00000000-0005-0000-0000-00009C0B0000}"/>
    <cellStyle name="Percent 2 2 9" xfId="1246" xr:uid="{00000000-0005-0000-0000-00009D0B0000}"/>
    <cellStyle name="Percent 2 3" xfId="406" xr:uid="{00000000-0005-0000-0000-00009E0B0000}"/>
    <cellStyle name="Percent 2 3 2" xfId="407" xr:uid="{00000000-0005-0000-0000-00009F0B0000}"/>
    <cellStyle name="Percent 2 3 2 2" xfId="408" xr:uid="{00000000-0005-0000-0000-0000A00B0000}"/>
    <cellStyle name="Percent 2 3 2 2 2" xfId="409" xr:uid="{00000000-0005-0000-0000-0000A10B0000}"/>
    <cellStyle name="Percent 2 3 2 2 2 2" xfId="862" xr:uid="{00000000-0005-0000-0000-0000A20B0000}"/>
    <cellStyle name="Percent 2 3 2 2 2 3" xfId="1586" xr:uid="{00000000-0005-0000-0000-0000A30B0000}"/>
    <cellStyle name="Percent 2 3 2 2 2 4" xfId="2020" xr:uid="{00000000-0005-0000-0000-0000A40B0000}"/>
    <cellStyle name="Percent 2 3 2 2 3" xfId="861" xr:uid="{00000000-0005-0000-0000-0000A50B0000}"/>
    <cellStyle name="Percent 2 3 2 2 4" xfId="1585" xr:uid="{00000000-0005-0000-0000-0000A60B0000}"/>
    <cellStyle name="Percent 2 3 2 2 5" xfId="2019" xr:uid="{00000000-0005-0000-0000-0000A70B0000}"/>
    <cellStyle name="Percent 2 3 2 3" xfId="410" xr:uid="{00000000-0005-0000-0000-0000A80B0000}"/>
    <cellStyle name="Percent 2 3 2 3 2" xfId="411" xr:uid="{00000000-0005-0000-0000-0000A90B0000}"/>
    <cellStyle name="Percent 2 3 2 3 2 2" xfId="864" xr:uid="{00000000-0005-0000-0000-0000AA0B0000}"/>
    <cellStyle name="Percent 2 3 2 3 2 3" xfId="1588" xr:uid="{00000000-0005-0000-0000-0000AB0B0000}"/>
    <cellStyle name="Percent 2 3 2 3 2 4" xfId="2022" xr:uid="{00000000-0005-0000-0000-0000AC0B0000}"/>
    <cellStyle name="Percent 2 3 2 3 3" xfId="863" xr:uid="{00000000-0005-0000-0000-0000AD0B0000}"/>
    <cellStyle name="Percent 2 3 2 3 4" xfId="1587" xr:uid="{00000000-0005-0000-0000-0000AE0B0000}"/>
    <cellStyle name="Percent 2 3 2 3 5" xfId="2021" xr:uid="{00000000-0005-0000-0000-0000AF0B0000}"/>
    <cellStyle name="Percent 2 3 2 4" xfId="412" xr:uid="{00000000-0005-0000-0000-0000B00B0000}"/>
    <cellStyle name="Percent 2 3 2 4 2" xfId="865" xr:uid="{00000000-0005-0000-0000-0000B10B0000}"/>
    <cellStyle name="Percent 2 3 2 4 3" xfId="1589" xr:uid="{00000000-0005-0000-0000-0000B20B0000}"/>
    <cellStyle name="Percent 2 3 2 4 4" xfId="2023" xr:uid="{00000000-0005-0000-0000-0000B30B0000}"/>
    <cellStyle name="Percent 2 3 2 5" xfId="860" xr:uid="{00000000-0005-0000-0000-0000B40B0000}"/>
    <cellStyle name="Percent 2 3 2 6" xfId="1584" xr:uid="{00000000-0005-0000-0000-0000B50B0000}"/>
    <cellStyle name="Percent 2 3 2 7" xfId="2018" xr:uid="{00000000-0005-0000-0000-0000B60B0000}"/>
    <cellStyle name="Percent 2 3 3" xfId="413" xr:uid="{00000000-0005-0000-0000-0000B70B0000}"/>
    <cellStyle name="Percent 2 3 3 2" xfId="414" xr:uid="{00000000-0005-0000-0000-0000B80B0000}"/>
    <cellStyle name="Percent 2 3 3 2 2" xfId="867" xr:uid="{00000000-0005-0000-0000-0000B90B0000}"/>
    <cellStyle name="Percent 2 3 3 2 3" xfId="1591" xr:uid="{00000000-0005-0000-0000-0000BA0B0000}"/>
    <cellStyle name="Percent 2 3 3 2 4" xfId="2025" xr:uid="{00000000-0005-0000-0000-0000BB0B0000}"/>
    <cellStyle name="Percent 2 3 3 3" xfId="866" xr:uid="{00000000-0005-0000-0000-0000BC0B0000}"/>
    <cellStyle name="Percent 2 3 3 4" xfId="1590" xr:uid="{00000000-0005-0000-0000-0000BD0B0000}"/>
    <cellStyle name="Percent 2 3 3 5" xfId="2024" xr:uid="{00000000-0005-0000-0000-0000BE0B0000}"/>
    <cellStyle name="Percent 2 3 4" xfId="415" xr:uid="{00000000-0005-0000-0000-0000BF0B0000}"/>
    <cellStyle name="Percent 2 3 4 2" xfId="416" xr:uid="{00000000-0005-0000-0000-0000C00B0000}"/>
    <cellStyle name="Percent 2 3 4 2 2" xfId="869" xr:uid="{00000000-0005-0000-0000-0000C10B0000}"/>
    <cellStyle name="Percent 2 3 4 2 3" xfId="1593" xr:uid="{00000000-0005-0000-0000-0000C20B0000}"/>
    <cellStyle name="Percent 2 3 4 2 4" xfId="2027" xr:uid="{00000000-0005-0000-0000-0000C30B0000}"/>
    <cellStyle name="Percent 2 3 4 3" xfId="868" xr:uid="{00000000-0005-0000-0000-0000C40B0000}"/>
    <cellStyle name="Percent 2 3 4 4" xfId="1592" xr:uid="{00000000-0005-0000-0000-0000C50B0000}"/>
    <cellStyle name="Percent 2 3 4 5" xfId="2026" xr:uid="{00000000-0005-0000-0000-0000C60B0000}"/>
    <cellStyle name="Percent 2 3 5" xfId="417" xr:uid="{00000000-0005-0000-0000-0000C70B0000}"/>
    <cellStyle name="Percent 2 3 5 2" xfId="870" xr:uid="{00000000-0005-0000-0000-0000C80B0000}"/>
    <cellStyle name="Percent 2 3 5 3" xfId="1594" xr:uid="{00000000-0005-0000-0000-0000C90B0000}"/>
    <cellStyle name="Percent 2 3 5 4" xfId="2028" xr:uid="{00000000-0005-0000-0000-0000CA0B0000}"/>
    <cellStyle name="Percent 2 3 6" xfId="859" xr:uid="{00000000-0005-0000-0000-0000CB0B0000}"/>
    <cellStyle name="Percent 2 3 7" xfId="1583" xr:uid="{00000000-0005-0000-0000-0000CC0B0000}"/>
    <cellStyle name="Percent 2 3 8" xfId="2017" xr:uid="{00000000-0005-0000-0000-0000CD0B0000}"/>
    <cellStyle name="Percent 2 4" xfId="418" xr:uid="{00000000-0005-0000-0000-0000CE0B0000}"/>
    <cellStyle name="Percent 2 4 2" xfId="419" xr:uid="{00000000-0005-0000-0000-0000CF0B0000}"/>
    <cellStyle name="Percent 2 4 2 2" xfId="420" xr:uid="{00000000-0005-0000-0000-0000D00B0000}"/>
    <cellStyle name="Percent 2 4 2 2 2" xfId="873" xr:uid="{00000000-0005-0000-0000-0000D10B0000}"/>
    <cellStyle name="Percent 2 4 2 2 3" xfId="1597" xr:uid="{00000000-0005-0000-0000-0000D20B0000}"/>
    <cellStyle name="Percent 2 4 2 2 4" xfId="2031" xr:uid="{00000000-0005-0000-0000-0000D30B0000}"/>
    <cellStyle name="Percent 2 4 2 3" xfId="872" xr:uid="{00000000-0005-0000-0000-0000D40B0000}"/>
    <cellStyle name="Percent 2 4 2 4" xfId="1596" xr:uid="{00000000-0005-0000-0000-0000D50B0000}"/>
    <cellStyle name="Percent 2 4 2 5" xfId="2030" xr:uid="{00000000-0005-0000-0000-0000D60B0000}"/>
    <cellStyle name="Percent 2 4 3" xfId="421" xr:uid="{00000000-0005-0000-0000-0000D70B0000}"/>
    <cellStyle name="Percent 2 4 3 2" xfId="422" xr:uid="{00000000-0005-0000-0000-0000D80B0000}"/>
    <cellStyle name="Percent 2 4 3 2 2" xfId="875" xr:uid="{00000000-0005-0000-0000-0000D90B0000}"/>
    <cellStyle name="Percent 2 4 3 2 3" xfId="1599" xr:uid="{00000000-0005-0000-0000-0000DA0B0000}"/>
    <cellStyle name="Percent 2 4 3 2 4" xfId="2033" xr:uid="{00000000-0005-0000-0000-0000DB0B0000}"/>
    <cellStyle name="Percent 2 4 3 3" xfId="874" xr:uid="{00000000-0005-0000-0000-0000DC0B0000}"/>
    <cellStyle name="Percent 2 4 3 4" xfId="1598" xr:uid="{00000000-0005-0000-0000-0000DD0B0000}"/>
    <cellStyle name="Percent 2 4 3 5" xfId="2032" xr:uid="{00000000-0005-0000-0000-0000DE0B0000}"/>
    <cellStyle name="Percent 2 4 4" xfId="423" xr:uid="{00000000-0005-0000-0000-0000DF0B0000}"/>
    <cellStyle name="Percent 2 4 4 2" xfId="876" xr:uid="{00000000-0005-0000-0000-0000E00B0000}"/>
    <cellStyle name="Percent 2 4 4 3" xfId="1600" xr:uid="{00000000-0005-0000-0000-0000E10B0000}"/>
    <cellStyle name="Percent 2 4 4 4" xfId="2034" xr:uid="{00000000-0005-0000-0000-0000E20B0000}"/>
    <cellStyle name="Percent 2 4 5" xfId="871" xr:uid="{00000000-0005-0000-0000-0000E30B0000}"/>
    <cellStyle name="Percent 2 4 6" xfId="1595" xr:uid="{00000000-0005-0000-0000-0000E40B0000}"/>
    <cellStyle name="Percent 2 4 7" xfId="2029" xr:uid="{00000000-0005-0000-0000-0000E50B0000}"/>
    <cellStyle name="Percent 2 5" xfId="424" xr:uid="{00000000-0005-0000-0000-0000E60B0000}"/>
    <cellStyle name="Percent 2 5 2" xfId="425" xr:uid="{00000000-0005-0000-0000-0000E70B0000}"/>
    <cellStyle name="Percent 2 5 2 2" xfId="878" xr:uid="{00000000-0005-0000-0000-0000E80B0000}"/>
    <cellStyle name="Percent 2 5 2 3" xfId="1602" xr:uid="{00000000-0005-0000-0000-0000E90B0000}"/>
    <cellStyle name="Percent 2 5 2 4" xfId="2036" xr:uid="{00000000-0005-0000-0000-0000EA0B0000}"/>
    <cellStyle name="Percent 2 5 3" xfId="877" xr:uid="{00000000-0005-0000-0000-0000EB0B0000}"/>
    <cellStyle name="Percent 2 5 4" xfId="1601" xr:uid="{00000000-0005-0000-0000-0000EC0B0000}"/>
    <cellStyle name="Percent 2 5 5" xfId="2035" xr:uid="{00000000-0005-0000-0000-0000ED0B0000}"/>
    <cellStyle name="Percent 2 6" xfId="426" xr:uid="{00000000-0005-0000-0000-0000EE0B0000}"/>
    <cellStyle name="Percent 2 6 2" xfId="427" xr:uid="{00000000-0005-0000-0000-0000EF0B0000}"/>
    <cellStyle name="Percent 2 6 2 2" xfId="880" xr:uid="{00000000-0005-0000-0000-0000F00B0000}"/>
    <cellStyle name="Percent 2 6 2 3" xfId="1604" xr:uid="{00000000-0005-0000-0000-0000F10B0000}"/>
    <cellStyle name="Percent 2 6 2 4" xfId="2038" xr:uid="{00000000-0005-0000-0000-0000F20B0000}"/>
    <cellStyle name="Percent 2 6 3" xfId="879" xr:uid="{00000000-0005-0000-0000-0000F30B0000}"/>
    <cellStyle name="Percent 2 6 4" xfId="1603" xr:uid="{00000000-0005-0000-0000-0000F40B0000}"/>
    <cellStyle name="Percent 2 6 5" xfId="2037" xr:uid="{00000000-0005-0000-0000-0000F50B0000}"/>
    <cellStyle name="Percent 2 7" xfId="428" xr:uid="{00000000-0005-0000-0000-0000F60B0000}"/>
    <cellStyle name="Percent 2 7 2" xfId="881" xr:uid="{00000000-0005-0000-0000-0000F70B0000}"/>
    <cellStyle name="Percent 2 7 3" xfId="1605" xr:uid="{00000000-0005-0000-0000-0000F80B0000}"/>
    <cellStyle name="Percent 2 7 4" xfId="2039" xr:uid="{00000000-0005-0000-0000-0000F90B0000}"/>
    <cellStyle name="Yellow" xfId="27" xr:uid="{00000000-0005-0000-0000-0000FA0B0000}"/>
    <cellStyle name="Yellow 2" xfId="22" xr:uid="{00000000-0005-0000-0000-0000FB0B0000}"/>
  </cellStyles>
  <dxfs count="129">
    <dxf>
      <font>
        <b/>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protection locked="0" hidden="0"/>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scheme val="none"/>
      </font>
      <border diagonalUp="0" diagonalDown="0">
        <left style="medium">
          <color indexed="64"/>
        </left>
        <right style="thin">
          <color indexed="64"/>
        </right>
        <top style="thin">
          <color indexed="64"/>
        </top>
        <bottom style="thin">
          <color indexed="64"/>
        </bottom>
        <vertical/>
        <horizontal/>
      </border>
    </dxf>
    <dxf>
      <border outline="0">
        <bottom style="medium">
          <color indexed="64"/>
        </bottom>
      </border>
    </dxf>
    <dxf>
      <fill>
        <patternFill>
          <bgColor rgb="FFFFFF00"/>
        </patternFill>
      </fill>
    </dxf>
    <dxf>
      <font>
        <b val="0"/>
        <i val="0"/>
        <strike val="0"/>
        <condense val="0"/>
        <extend val="0"/>
        <outline val="0"/>
        <shadow val="0"/>
        <u val="none"/>
        <vertAlign val="baseline"/>
        <sz val="8"/>
        <color rgb="FF000000"/>
        <name val="Arial"/>
        <scheme val="none"/>
      </font>
      <fill>
        <patternFill patternType="solid">
          <fgColor indexed="64"/>
          <bgColor rgb="FFFFFF0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8"/>
        <color rgb="FF000000"/>
        <name val="Arial"/>
        <scheme val="none"/>
      </font>
      <fill>
        <patternFill patternType="solid">
          <fgColor indexed="64"/>
          <bgColor rgb="FFFFFF00"/>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color theme="1"/>
        <name val="Arial"/>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8"/>
        <color theme="1"/>
        <name val="Arial"/>
        <scheme val="none"/>
      </font>
      <fill>
        <patternFill patternType="none">
          <fgColor indexed="64"/>
          <bgColor auto="1"/>
        </patternFill>
      </fill>
    </dxf>
    <dxf>
      <font>
        <color auto="1"/>
      </font>
      <fill>
        <patternFill>
          <bgColor rgb="FFFFFF00"/>
        </patternFill>
      </fill>
    </dxf>
    <dxf>
      <fill>
        <patternFill>
          <bgColor rgb="FFFFFF00"/>
        </patternFill>
      </fill>
    </dxf>
    <dxf>
      <font>
        <b val="0"/>
        <i val="0"/>
        <strike val="0"/>
        <condense val="0"/>
        <extend val="0"/>
        <outline val="0"/>
        <shadow val="0"/>
        <u val="none"/>
        <vertAlign val="baseline"/>
        <sz val="8"/>
        <color rgb="FF000000"/>
        <name val="Arial"/>
        <family val="2"/>
        <scheme val="none"/>
      </font>
      <fill>
        <patternFill patternType="solid">
          <fgColor indexed="64"/>
          <bgColor rgb="FFFFFF00"/>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8"/>
        <color rgb="FF000000"/>
        <name val="Arial"/>
        <family val="2"/>
        <scheme val="none"/>
      </font>
      <fill>
        <patternFill patternType="solid">
          <fgColor indexed="64"/>
          <bgColor rgb="FFFFFF00"/>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8"/>
        <name val="Arial"/>
        <scheme val="none"/>
      </font>
      <fill>
        <patternFill patternType="none">
          <fgColor indexed="64"/>
          <bgColor auto="1"/>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theme="1"/>
        </bottom>
      </border>
    </dxf>
    <dxf>
      <border outline="0">
        <top style="thin">
          <color theme="1"/>
        </top>
      </border>
    </dxf>
    <dxf>
      <font>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i val="0"/>
        <strike val="0"/>
        <condense val="0"/>
        <extend val="0"/>
        <outline val="0"/>
        <shadow val="0"/>
        <u val="none"/>
        <vertAlign val="baseline"/>
        <sz val="8"/>
        <color theme="1"/>
        <name val="Arial"/>
        <scheme val="none"/>
      </font>
      <fill>
        <patternFill patternType="none">
          <fgColor indexed="64"/>
          <bgColor auto="1"/>
        </patternFill>
      </fill>
    </dxf>
    <dxf>
      <font>
        <color auto="1"/>
      </font>
      <fill>
        <patternFill>
          <bgColor rgb="FFFFFF00"/>
        </patternFill>
      </fill>
    </dxf>
    <dxf>
      <fill>
        <patternFill>
          <bgColor rgb="FFFFFF00"/>
        </patternFill>
      </fill>
    </dxf>
    <dxf>
      <font>
        <b val="0"/>
        <i val="0"/>
        <strike val="0"/>
        <condense val="0"/>
        <extend val="0"/>
        <outline val="0"/>
        <shadow val="0"/>
        <u val="none"/>
        <vertAlign val="baseline"/>
        <sz val="8"/>
        <color rgb="FF000000"/>
        <name val="Arial"/>
        <family val="2"/>
        <scheme val="none"/>
      </font>
      <fill>
        <patternFill patternType="none">
          <fgColor indexed="64"/>
          <bgColor auto="1"/>
        </patternFill>
      </fill>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8"/>
        <color rgb="FF000000"/>
        <name val="Arial"/>
        <family val="2"/>
        <scheme val="none"/>
      </font>
      <fill>
        <patternFill patternType="none">
          <fgColor indexed="64"/>
          <bgColor auto="1"/>
        </patternFill>
      </fill>
      <alignment horizontal="center" vertical="top" textRotation="0" wrapText="0" indent="0" justifyLastLine="0" shrinkToFit="0" readingOrder="0"/>
      <protection locked="0" hidden="0"/>
    </dxf>
    <dxf>
      <font>
        <b val="0"/>
        <i val="0"/>
        <strike val="0"/>
        <condense val="0"/>
        <extend val="0"/>
        <outline val="0"/>
        <shadow val="0"/>
        <u val="none"/>
        <vertAlign val="baseline"/>
        <sz val="8"/>
        <color auto="1"/>
        <name val="Arial"/>
        <scheme val="none"/>
      </font>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8"/>
        <name val="Arial"/>
        <scheme val="none"/>
      </font>
      <fill>
        <patternFill patternType="none">
          <fgColor rgb="FF000000"/>
          <bgColor auto="1"/>
        </patternFill>
      </fill>
      <alignment horizontal="general" vertical="bottom" textRotation="0" wrapText="1" indent="0" justifyLastLine="0" shrinkToFit="0" readingOrder="0"/>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bottom" textRotation="0" wrapText="1" indent="0" justifyLastLine="0" shrinkToFit="0" readingOrder="0"/>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strike val="0"/>
        <outline val="0"/>
        <shadow val="0"/>
        <vertAlign val="baseline"/>
        <sz val="10"/>
        <name val="Arial"/>
        <family val="2"/>
        <scheme val="none"/>
      </font>
      <alignment horizontal="general" vertical="center" textRotation="0" wrapText="1" indent="0" justifyLastLine="0" shrinkToFit="0" readingOrder="0"/>
      <border diagonalUp="0" diagonalDown="0">
        <left/>
        <right style="medium">
          <color indexed="64"/>
        </right>
        <top/>
        <bottom/>
        <vertical/>
        <horizontal/>
      </border>
    </dxf>
    <dxf>
      <font>
        <strike val="0"/>
        <outline val="0"/>
        <shadow val="0"/>
        <vertAlign val="baseline"/>
        <sz val="10"/>
        <color theme="0"/>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right style="thin">
          <color indexed="64"/>
        </right>
        <vertical/>
      </border>
    </dxf>
    <dxf>
      <font>
        <b val="0"/>
        <i val="0"/>
        <strike val="0"/>
        <condense val="0"/>
        <extend val="0"/>
        <outline val="0"/>
        <shadow val="0"/>
        <u/>
        <vertAlign val="baseline"/>
        <sz val="10"/>
        <color theme="10"/>
        <name val="Arial"/>
        <family val="2"/>
        <scheme val="none"/>
      </font>
      <alignment horizontal="right" vertical="center" textRotation="0" indent="0" justifyLastLine="0" shrinkToFit="0" readingOrder="0"/>
    </dxf>
    <dxf>
      <font>
        <b val="0"/>
        <i val="0"/>
        <strike val="0"/>
        <condense val="0"/>
        <extend val="0"/>
        <outline val="0"/>
        <shadow val="0"/>
        <u val="none"/>
        <vertAlign val="baseline"/>
        <sz val="10"/>
        <color theme="1"/>
        <name val="Arial"/>
        <family val="2"/>
        <scheme val="none"/>
      </font>
      <alignment horizontal="right" vertical="center" textRotation="0" wrapText="1" indent="0" justifyLastLine="0" shrinkToFit="0" readingOrder="0"/>
      <border diagonalUp="0" diagonalDown="0">
        <left style="thin">
          <color indexed="64"/>
        </left>
        <right/>
        <vertical/>
      </border>
    </dxf>
    <dxf>
      <border>
        <bottom style="medium">
          <color indexed="64"/>
        </bottom>
      </border>
    </dxf>
    <dxf>
      <font>
        <strike val="0"/>
        <outline val="0"/>
        <shadow val="0"/>
        <vertAlign val="baseline"/>
        <sz val="10"/>
        <family val="2"/>
      </font>
    </dxf>
    <dxf>
      <font>
        <b/>
        <strike val="0"/>
        <outline val="0"/>
        <shadow val="0"/>
        <u val="none"/>
        <vertAlign val="baseline"/>
        <sz val="10"/>
        <color auto="1"/>
        <name val="Arial"/>
        <family val="2"/>
        <scheme val="none"/>
      </font>
      <border diagonalUp="0" diagonalDown="0">
        <left/>
        <right/>
        <top/>
        <bottom/>
        <vertical/>
        <horizontal/>
      </border>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tint="-0.14996795556505021"/>
      </font>
      <fill>
        <patternFill>
          <fgColor theme="0" tint="-0.14993743705557422"/>
          <bgColor theme="0" tint="-0.14996795556505021"/>
        </patternFill>
      </fill>
    </dxf>
    <dxf>
      <font>
        <color theme="0"/>
      </font>
      <fill>
        <patternFill>
          <fgColor theme="5"/>
          <bgColor theme="5"/>
        </patternFill>
      </fill>
    </dxf>
    <dxf>
      <fill>
        <patternFill>
          <bgColor theme="5"/>
        </patternFill>
      </fill>
    </dxf>
    <dxf>
      <fill>
        <patternFill>
          <bgColor theme="5"/>
        </patternFill>
      </fill>
    </dxf>
    <dxf>
      <font>
        <color theme="0"/>
      </font>
      <fill>
        <patternFill>
          <fgColor theme="5"/>
          <bgColor theme="5"/>
        </patternFill>
      </fill>
    </dxf>
    <dxf>
      <fill>
        <patternFill>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auto="1"/>
          <bgColor theme="9"/>
        </patternFill>
      </fill>
    </dxf>
    <dxf>
      <font>
        <color theme="0"/>
      </font>
      <fill>
        <patternFill>
          <fgColor auto="1"/>
          <bgColor theme="9"/>
        </patternFill>
      </fill>
    </dxf>
    <dxf>
      <font>
        <color theme="0" tint="-0.14996795556505021"/>
      </font>
      <fill>
        <patternFill>
          <fgColor theme="0" tint="-0.14993743705557422"/>
          <bgColor theme="0" tint="-0.14996795556505021"/>
        </patternFill>
      </fill>
    </dxf>
    <dxf>
      <font>
        <color theme="0"/>
      </font>
      <fill>
        <patternFill>
          <fgColor theme="5"/>
          <bgColor theme="9"/>
        </patternFill>
      </fill>
    </dxf>
    <dxf>
      <font>
        <color theme="0"/>
      </font>
      <fill>
        <patternFill>
          <fgColor theme="5"/>
          <bgColor theme="9"/>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tint="-0.14996795556505021"/>
      </font>
      <fill>
        <patternFill>
          <fgColor theme="0" tint="-0.14993743705557422"/>
          <bgColor theme="0" tint="-0.14996795556505021"/>
        </patternFill>
      </fill>
    </dxf>
    <dxf>
      <font>
        <color theme="0"/>
      </font>
      <fill>
        <patternFill>
          <fgColor theme="5"/>
          <bgColor theme="5"/>
        </patternFill>
      </fill>
    </dxf>
    <dxf>
      <font>
        <color theme="0"/>
      </font>
      <fill>
        <patternFill>
          <fgColor theme="5"/>
          <bgColor theme="5"/>
        </patternFill>
      </fill>
    </dxf>
    <dxf>
      <font>
        <color theme="0"/>
      </font>
      <fill>
        <patternFill>
          <fgColor theme="5"/>
          <bgColor theme="5"/>
        </patternFill>
      </fill>
    </dxf>
    <dxf>
      <font>
        <color theme="0" tint="-0.14996795556505021"/>
      </font>
      <fill>
        <patternFill>
          <fgColor theme="0" tint="-0.14993743705557422"/>
          <bgColor theme="0" tint="-0.14996795556505021"/>
        </patternFill>
      </fill>
    </dxf>
    <dxf>
      <font>
        <color theme="0"/>
      </font>
      <fill>
        <patternFill>
          <fgColor theme="5"/>
          <bgColor theme="5"/>
        </patternFill>
      </fill>
    </dxf>
    <dxf>
      <font>
        <color theme="0"/>
      </font>
      <fill>
        <patternFill>
          <fgColor theme="5"/>
          <bgColor theme="5"/>
        </patternFill>
      </fill>
    </dxf>
    <dxf>
      <fill>
        <patternFill>
          <bgColor rgb="FF00B0F0"/>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customXml" Target="../ink/ink7.xml"/><Relationship Id="rId3" Type="http://schemas.openxmlformats.org/officeDocument/2006/relationships/customXml" Target="../ink/ink3.xml"/><Relationship Id="rId7" Type="http://schemas.openxmlformats.org/officeDocument/2006/relationships/customXml" Target="../ink/ink6.xml"/><Relationship Id="rId2" Type="http://schemas.openxmlformats.org/officeDocument/2006/relationships/image" Target="../media/image22.png"/><Relationship Id="rId1" Type="http://schemas.openxmlformats.org/officeDocument/2006/relationships/customXml" Target="../ink/ink2.xml"/><Relationship Id="rId6" Type="http://schemas.openxmlformats.org/officeDocument/2006/relationships/image" Target="../media/image20.png"/><Relationship Id="rId5" Type="http://schemas.openxmlformats.org/officeDocument/2006/relationships/customXml" Target="../ink/ink5.xml"/><Relationship Id="rId10" Type="http://schemas.openxmlformats.org/officeDocument/2006/relationships/customXml" Target="../ink/ink8.xml"/><Relationship Id="rId4" Type="http://schemas.openxmlformats.org/officeDocument/2006/relationships/customXml" Target="../ink/ink4.xml"/><Relationship Id="rId9"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oneCellAnchor>
    <xdr:from>
      <xdr:col>2</xdr:col>
      <xdr:colOff>240060</xdr:colOff>
      <xdr:row>0</xdr:row>
      <xdr:rowOff>-7106</xdr:rowOff>
    </xdr:from>
    <xdr:ext cx="27328" cy="16466"/>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897D5AEA-7A3A-48EF-9E79-569EFD21F74F}"/>
                </a:ext>
              </a:extLst>
            </xdr14:cNvPr>
            <xdr14:cNvContentPartPr/>
          </xdr14:nvContentPartPr>
          <xdr14:nvPr macro=""/>
          <xdr14:xfrm>
            <a:off x="5002560" y="-7106"/>
            <a:ext cx="22566" cy="16466"/>
          </xdr14:xfrm>
        </xdr:contentPart>
      </mc:Choice>
      <mc:Fallback xmlns="">
        <xdr:pic>
          <xdr:nvPicPr>
            <xdr:cNvPr id="2" name="Ink 1">
              <a:extLst>
                <a:ext uri="{FF2B5EF4-FFF2-40B4-BE49-F238E27FC236}">
                  <a16:creationId xmlns:a16="http://schemas.microsoft.com/office/drawing/2014/main" id="{6800848F-AB2E-4790-AA8A-D77750BC9B89}"/>
                </a:ext>
              </a:extLst>
            </xdr:cNvPr>
            <xdr:cNvPicPr/>
          </xdr:nvPicPr>
          <xdr:blipFill>
            <a:blip xmlns:r="http://schemas.openxmlformats.org/officeDocument/2006/relationships" r:embed="rId2"/>
            <a:stretch>
              <a:fillRect/>
            </a:stretch>
          </xdr:blipFill>
          <xdr:spPr>
            <a:xfrm>
              <a:off x="4985465" y="-56504"/>
              <a:ext cx="56073" cy="117320"/>
            </a:xfrm>
            <a:prstGeom prst="rect">
              <a:avLst/>
            </a:prstGeom>
          </xdr:spPr>
        </xdr:pic>
      </mc:Fallback>
    </mc:AlternateContent>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CFB46BBB-51D3-498E-9BE2-3F88B4838A59}"/>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11</xdr:col>
      <xdr:colOff>111240</xdr:colOff>
      <xdr:row>57</xdr:row>
      <xdr:rowOff>124875</xdr:rowOff>
    </xdr:from>
    <xdr:ext cx="33840" cy="12240"/>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0C7904CE-3062-4079-9CD9-90D6EF15A90D}"/>
                </a:ext>
              </a:extLst>
            </xdr14:cNvPr>
            <xdr14:cNvContentPartPr/>
          </xdr14:nvContentPartPr>
          <xdr14:nvPr macro=""/>
          <xdr14:xfrm>
            <a:off x="15808440" y="26709150"/>
            <a:ext cx="33840" cy="12240"/>
          </xdr14:xfrm>
        </xdr:contentPart>
      </mc:Choice>
      <mc:Fallback xmlns="">
        <xdr:pic>
          <xdr:nvPicPr>
            <xdr:cNvPr id="5" name="Ink 4">
              <a:extLst>
                <a:ext uri="{FF2B5EF4-FFF2-40B4-BE49-F238E27FC236}">
                  <a16:creationId xmlns:a16="http://schemas.microsoft.com/office/drawing/2014/main" id="{878CE4CD-2490-4B43-A316-1CD53AA5F83A}"/>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4</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4" name="Ink 3">
              <a:extLst>
                <a:ext uri="{FF2B5EF4-FFF2-40B4-BE49-F238E27FC236}">
                  <a16:creationId xmlns:a16="http://schemas.microsoft.com/office/drawing/2014/main" id="{A82F8FEE-856E-41FB-B63C-C0E85695D4C3}"/>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2"/>
            <a:stretch>
              <a:fillRect/>
            </a:stretch>
          </xdr:blipFill>
          <xdr:spPr>
            <a:xfrm>
              <a:off x="15799800" y="26700510"/>
              <a:ext cx="51480" cy="29880"/>
            </a:xfrm>
            <a:prstGeom prst="rect">
              <a:avLst/>
            </a:prstGeom>
          </xdr:spPr>
        </xdr:pic>
      </mc:Fallback>
    </mc:AlternateContent>
    <xdr:clientData/>
  </xdr:oneCellAnchor>
  <xdr:oneCellAnchor>
    <xdr:from>
      <xdr:col>16</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5" name="Ink 4">
              <a:extLst>
                <a:ext uri="{FF2B5EF4-FFF2-40B4-BE49-F238E27FC236}">
                  <a16:creationId xmlns:a16="http://schemas.microsoft.com/office/drawing/2014/main" id="{5E5DACDF-4BF7-49CD-BAD5-EA85EDF99896}"/>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6"/>
            <a:stretch>
              <a:fillRect/>
            </a:stretch>
          </xdr:blipFill>
          <xdr:spPr>
            <a:xfrm>
              <a:off x="15799800" y="26700510"/>
              <a:ext cx="51480" cy="29880"/>
            </a:xfrm>
            <a:prstGeom prst="rect">
              <a:avLst/>
            </a:prstGeom>
          </xdr:spPr>
        </xdr:pic>
      </mc:Fallback>
    </mc:AlternateContent>
    <xdr:clientData/>
  </xdr:oneCellAnchor>
  <xdr:oneCellAnchor>
    <xdr:from>
      <xdr:col>9</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6" name="Ink 5">
              <a:extLst>
                <a:ext uri="{FF2B5EF4-FFF2-40B4-BE49-F238E27FC236}">
                  <a16:creationId xmlns:a16="http://schemas.microsoft.com/office/drawing/2014/main" id="{355A0F63-01A9-48B7-B86F-069D131020F1}"/>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6"/>
            <a:stretch>
              <a:fillRect/>
            </a:stretch>
          </xdr:blipFill>
          <xdr:spPr>
            <a:xfrm>
              <a:off x="15799800" y="26700510"/>
              <a:ext cx="51480" cy="29880"/>
            </a:xfrm>
            <a:prstGeom prst="rect">
              <a:avLst/>
            </a:prstGeom>
          </xdr:spPr>
        </xdr:pic>
      </mc:Fallback>
    </mc:AlternateContent>
    <xdr:clientData/>
  </xdr:oneCellAnchor>
  <xdr:oneCellAnchor>
    <xdr:from>
      <xdr:col>18</xdr:col>
      <xdr:colOff>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7" name="Ink 6">
              <a:extLst>
                <a:ext uri="{FF2B5EF4-FFF2-40B4-BE49-F238E27FC236}">
                  <a16:creationId xmlns:a16="http://schemas.microsoft.com/office/drawing/2014/main" id="{2880B9F5-5B57-4FDB-9184-17793E00FCFB}"/>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9"/>
            <a:stretch>
              <a:fillRect/>
            </a:stretch>
          </xdr:blipFill>
          <xdr:spPr>
            <a:xfrm>
              <a:off x="15799800" y="26700510"/>
              <a:ext cx="51480" cy="29880"/>
            </a:xfrm>
            <a:prstGeom prst="rect">
              <a:avLst/>
            </a:prstGeom>
          </xdr:spPr>
        </xdr:pic>
      </mc:Fallback>
    </mc:AlternateContent>
    <xdr:clientData/>
  </xdr:oneCellAnchor>
  <xdr:oneCellAnchor>
    <xdr:from>
      <xdr:col>12</xdr:col>
      <xdr:colOff>111240</xdr:colOff>
      <xdr:row>54</xdr:row>
      <xdr:rowOff>124875</xdr:rowOff>
    </xdr:from>
    <xdr:ext cx="38602" cy="0"/>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8" name="Ink 7">
              <a:extLst>
                <a:ext uri="{FF2B5EF4-FFF2-40B4-BE49-F238E27FC236}">
                  <a16:creationId xmlns:a16="http://schemas.microsoft.com/office/drawing/2014/main" id="{7CE95EF1-A2DA-47C5-AFD5-78D73FBD94DD}"/>
                </a:ext>
              </a:extLst>
            </xdr14:cNvPr>
            <xdr14:cNvContentPartPr/>
          </xdr14:nvContentPartPr>
          <xdr14:nvPr macro=""/>
          <xdr14:xfrm>
            <a:off x="15808440" y="26709150"/>
            <a:ext cx="33840" cy="12240"/>
          </xdr14:xfrm>
        </xdr:contentPart>
      </mc:Choice>
      <mc:Fallback xmlns="">
        <xdr:pic>
          <xdr:nvPicPr>
            <xdr:cNvPr id="2" name="Ink 1">
              <a:extLst>
                <a:ext uri="{FF2B5EF4-FFF2-40B4-BE49-F238E27FC236}">
                  <a16:creationId xmlns:a16="http://schemas.microsoft.com/office/drawing/2014/main" id="{77F33D8F-CB41-4F3C-BFAD-E18D26C68AF3}"/>
                </a:ext>
              </a:extLst>
            </xdr:cNvPr>
            <xdr:cNvPicPr/>
          </xdr:nvPicPr>
          <xdr:blipFill>
            <a:blip xmlns:r="http://schemas.openxmlformats.org/officeDocument/2006/relationships" r:embed="rId9"/>
            <a:stretch>
              <a:fillRect/>
            </a:stretch>
          </xdr:blipFill>
          <xdr:spPr>
            <a:xfrm>
              <a:off x="15799800" y="26700510"/>
              <a:ext cx="51480" cy="29880"/>
            </a:xfrm>
            <a:prstGeom prst="rect">
              <a:avLst/>
            </a:prstGeom>
          </xdr:spPr>
        </xdr:pic>
      </mc:Fallback>
    </mc:AlternateContent>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FTP\Subject%20earning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oars\AppData\Local\Temp\Earnings%20draft%20270716%20for%20Q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FTP\Outcomes%20by%20subje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QL output- All"/>
      <sheetName val="SQL output-FTPT"/>
      <sheetName val="Tables -&gt;"/>
      <sheetName val="Interactive"/>
      <sheetName val="1"/>
      <sheetName val="2"/>
      <sheetName val="3"/>
      <sheetName val="4"/>
      <sheetName val="5"/>
      <sheetName val="6"/>
      <sheetName val="7"/>
      <sheetName val="8"/>
      <sheetName val="9"/>
      <sheetName val="A"/>
      <sheetName val="B"/>
      <sheetName val="C"/>
      <sheetName val="D"/>
      <sheetName val="E"/>
      <sheetName val="F"/>
      <sheetName val="G"/>
      <sheetName val="H"/>
      <sheetName val="I"/>
      <sheetName val="J"/>
      <sheetName val="JACS codes"/>
      <sheetName val="Distribution comparison"/>
      <sheetName val="DLHE comparison"/>
      <sheetName val="LEMSTEM"/>
      <sheetName val="LEMSTEM_graph"/>
      <sheetName val="lemstem_time"/>
      <sheetName val="CPI"/>
      <sheetName val="LEMSTEM time_tab"/>
      <sheetName val="LEMST_Chart"/>
      <sheetName val="Gender_1"/>
      <sheetName val="Gender_3"/>
      <sheetName val="Gender_5"/>
      <sheetName val="Gender_10"/>
      <sheetName val="Gender_distribution"/>
      <sheetName val="POLAR_1"/>
      <sheetName val="POLAR_3"/>
      <sheetName val="POLAR_5"/>
      <sheetName val="POLAR_10"/>
      <sheetName val="IFS_Comp_F"/>
      <sheetName val="IFS_Comp_M"/>
      <sheetName val="Polar_dist"/>
      <sheetName val="inst_1"/>
      <sheetName val="inst_3"/>
      <sheetName val="inst_5"/>
      <sheetName val="inst_10"/>
      <sheetName val="inst_dist"/>
      <sheetName val="Inst_lis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sheetName val="Data"/>
      <sheetName val="Tables"/>
      <sheetName val="D_2707"/>
    </sheetNames>
    <sheetDataSet>
      <sheetData sheetId="0"/>
      <sheetData sheetId="1"/>
      <sheetData sheetId="2"/>
      <sheetData sheetId="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gt;"/>
      <sheetName val="1yr"/>
      <sheetName val="3yr"/>
      <sheetName val="5yr"/>
      <sheetName val="10yr"/>
      <sheetName val="Table -&gt;"/>
      <sheetName val="Interactive"/>
      <sheetName val="1"/>
      <sheetName val="2"/>
      <sheetName val="3"/>
      <sheetName val="4"/>
      <sheetName val="5"/>
      <sheetName val="6"/>
      <sheetName val="7"/>
      <sheetName val="8"/>
      <sheetName val="9"/>
      <sheetName val="A"/>
      <sheetName val="B"/>
      <sheetName val="C"/>
      <sheetName val="D"/>
      <sheetName val="E"/>
      <sheetName val="F"/>
      <sheetName val="G"/>
      <sheetName val="H"/>
      <sheetName val="I"/>
      <sheetName val="J"/>
      <sheetName val="JACS 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8.071"/>
    </inkml:context>
    <inkml:brush xml:id="br0">
      <inkml:brushProperty name="width" value="0.05" units="cm"/>
      <inkml:brushProperty name="height" value="0.05" units="cm"/>
    </inkml:brush>
  </inkml:definitions>
  <inkml:trace contextRef="#ctx0" brushRef="#br0">75 1 11018 0 0,'-5'6'14'0'0,"-6"14"-14"0"0,-3-20 0 0 0,-24 19 0 0 0,38-19-1 0 0,0 0 1 0 0,0 0 0 0 0,0 0 0 0 0,-2 0-1 0 0,2 0 1 0 0,0 0 0 0 0,0 0 0 0 0,0 0-1 0 0,0 0 1 0 0,0 0 0 0 0,0 0 0 0 0,0 0-1 0 0,0 0 1 0 0,0 0 0 0 0,-3 0 0 0 0,3 0-1 0 0,0 0 1 0 0,0-7 0 0 0,0 7 0 0 0,0 0-1 0 0,0 0 1 0 0,0 0 0 0 0,0 0 0 0 0,0 0-1 0 0,0 0 1 0 0,0 0 0 0 0,0 0 0 0 0,-2 0-1 0 0,2 0 1 0 0,0 0 0 0 0,0-6 0 0 0,0 6-1 0 0,0 0 1 0 0,0 0 0 0 0,0 0 0 0 0,0 0-1 0 0,0 0 1 0 0,0 0 0 0 0,0 0 0 0 0,0 0-1 0 0,0-6 1 0 0,0 6 0 0 0,0 0 0 0 0,0 0-1 0 0,0 0 1 0 0,0 0 0 0 0,5-26-19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9.028"/>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08T20:15:49.029"/>
    </inkml:context>
    <inkml:brush xml:id="br0">
      <inkml:brushProperty name="width" value="0.05" units="cm"/>
      <inkml:brushProperty name="height" value="0.05" units="cm"/>
    </inkml:brush>
  </inkml:definitions>
  <inkml:trace contextRef="#ctx0" brushRef="#br0">1 30 4144 0 0,'0'0'184'0'0,"0"0"40"0"0,7 4-224 0 0,-7-4 0 0 0,0 0 0 0 0,15-4 0 0 0,5-3 720 0 0,-6 4 104 0 0,5-6 16 0 0,-1-1-3528 0 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4-14T20:51:40.976"/>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1T10:40:11.422"/>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1T10:40:11.423"/>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2T07:48:04.717"/>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channel name="OA" type="integer" max="360" units="deg"/>
          <inkml:channel name="OE" type="integer" max="90" units="deg"/>
        </inkml:traceFormat>
        <inkml:channelProperties>
          <inkml:channelProperty channel="X" name="resolution" value="1000" units="1/cm"/>
          <inkml:channelProperty channel="Y" name="resolution" value="1000" units="1/cm"/>
          <inkml:channelProperty channel="F" name="resolution" value="0" units="1/dev"/>
          <inkml:channelProperty channel="OA" name="resolution" value="1000" units="1/deg"/>
          <inkml:channelProperty channel="OE" name="resolution" value="1000" units="1/deg"/>
        </inkml:channelProperties>
      </inkml:inkSource>
      <inkml:timestamp xml:id="ts0" timeString="2021-06-02T07:48:04.718"/>
    </inkml:context>
    <inkml:brush xml:id="br0">
      <inkml:brushProperty name="width" value="0.05" units="cm"/>
      <inkml:brushProperty name="height" value="0.05" units="cm"/>
    </inkml:brush>
  </inkml:definitions>
  <inkml:trace contextRef="#ctx0" brushRef="#br0">1 7 4144 0 0,'0'0'184'0'0,"0"0"40"0"0,7 1-224 0 0,-7-1 0 0 0,0 0 0 0 0,15-1 0 0 0,5-1 720 0 0,-6 2 104 0 0,5-2 16 0 0,-1 0-3528 0 0</inkml:trace>
</inkm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39292E-20F5-4337-8DAF-0C68599DFFB6}" name="Table92" displayName="Table92" ref="C9:H42" totalsRowShown="0" headerRowDxfId="81" dataDxfId="80" headerRowBorderDxfId="79">
  <autoFilter ref="C9:H42" xr:uid="{1404FC9C-80E1-4C6F-9F06-5C7A35B9837E}"/>
  <tableColumns count="6">
    <tableColumn id="1" xr3:uid="{B46D123A-ECAE-41E0-9F7C-9ACA1021539B}" name="Dataset _x000a_" dataDxfId="78"/>
    <tableColumn id="2" xr3:uid="{D2C56471-D4B3-4035-A9DE-E3D1B03C9800}" name="Table Name" dataDxfId="77" dataCellStyle="Hyperlink"/>
    <tableColumn id="3" xr3:uid="{0A32D500-B76E-48EC-88F2-C6E422D809B4}" name="Description" dataDxfId="76"/>
    <tableColumn id="4" xr3:uid="{CB9A3B4E-59C6-4F24-97D9-8B840912A996}" name="Is this table required? " dataDxfId="75"/>
    <tableColumn id="5" xr3:uid="{C64D303D-C389-478C-94CE-E24DE46CDC32}" name="Which data items are required? " dataDxfId="74"/>
    <tableColumn id="6" xr3:uid="{57CF2716-27F0-4646-9AE3-12B82633F361}" name="Please provide justification for why tables and variables have been requested" dataDxfId="7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AEA73B-C521-4107-81DA-138607945A24}" name="Table15" displayName="Table15" ref="A5:G35" totalsRowShown="0" headerRowDxfId="53" dataDxfId="52">
  <autoFilter ref="A5:G35" xr:uid="{00000000-0009-0000-0100-000002000000}"/>
  <tableColumns count="7">
    <tableColumn id="1" xr3:uid="{00000000-0010-0000-0100-000001000000}" name="Field" dataDxfId="51"/>
    <tableColumn id="2" xr3:uid="{00000000-0010-0000-0100-000002000000}" name="Type" dataDxfId="50"/>
    <tableColumn id="3" xr3:uid="{00000000-0010-0000-0100-000003000000}" name="Length" dataDxfId="49"/>
    <tableColumn id="4" xr3:uid="{00000000-0010-0000-0100-000004000000}" name="Nullable" dataDxfId="48"/>
    <tableColumn id="5" xr3:uid="{00000000-0010-0000-0100-000005000000}" name="Description" dataDxfId="47"/>
    <tableColumn id="6" xr3:uid="{00000000-0010-0000-0100-000006000000}" name="Years available" dataDxfId="46"/>
    <tableColumn id="7" xr3:uid="{00000000-0010-0000-0100-000007000000}" name="Codes" dataDxfId="45"/>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945931-0414-415D-A1CE-DD9B81447BC4}" name="Table5" displayName="Table5" ref="H5:H35" totalsRowShown="0" headerRowDxfId="44" dataDxfId="43" dataCellStyle="Normal 21">
  <autoFilter ref="H5:H35" xr:uid="{00000000-0009-0000-0100-000005000000}"/>
  <tableColumns count="1">
    <tableColumn id="1" xr3:uid="{00000000-0010-0000-0200-000001000000}" name="Data request data item required?" dataDxfId="42" dataCellStyle="Normal 21"/>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2" displayName="Table2" ref="A6:G101" totalsRowShown="0" headerRowDxfId="39" dataDxfId="38" headerRowBorderDxfId="36" tableBorderDxfId="37">
  <autoFilter ref="A6:G101" xr:uid="{00000000-0009-0000-0100-000003000000}"/>
  <tableColumns count="7">
    <tableColumn id="1" xr3:uid="{00000000-0010-0000-0300-000001000000}" name="Field" dataDxfId="35"/>
    <tableColumn id="2" xr3:uid="{00000000-0010-0000-0300-000002000000}" name="Type" dataDxfId="34"/>
    <tableColumn id="3" xr3:uid="{00000000-0010-0000-0300-000003000000}" name="Length" dataDxfId="33"/>
    <tableColumn id="4" xr3:uid="{00000000-0010-0000-0300-000004000000}" name="Nullable" dataDxfId="32"/>
    <tableColumn id="5" xr3:uid="{00000000-0010-0000-0300-000005000000}" name="Description" dataDxfId="31"/>
    <tableColumn id="6" xr3:uid="{00000000-0010-0000-0300-000006000000}" name="Years available" dataDxfId="30"/>
    <tableColumn id="7" xr3:uid="{00000000-0010-0000-0300-000007000000}" name="Codes" dataDxfId="29"/>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4000000}" name="Table57" displayName="Table57" ref="H6:H110" totalsRowShown="0" headerRowDxfId="28" dataDxfId="27" dataCellStyle="Normal 21">
  <autoFilter ref="H6:H110" xr:uid="{00000000-0009-0000-0100-000006000000}"/>
  <tableColumns count="1">
    <tableColumn id="1" xr3:uid="{00000000-0010-0000-0400-000001000000}" name="Data request data item required?" dataDxfId="26" dataCellStyle="Normal 21"/>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3" displayName="Table3" ref="A6:G25" totalsRowShown="0" headerRowDxfId="23" dataDxfId="22">
  <autoFilter ref="A6:G25" xr:uid="{00000000-0009-0000-0100-000004000000}"/>
  <tableColumns count="7">
    <tableColumn id="1" xr3:uid="{00000000-0010-0000-0500-000001000000}" name="Field" dataDxfId="21"/>
    <tableColumn id="2" xr3:uid="{00000000-0010-0000-0500-000002000000}" name="Type" dataDxfId="20"/>
    <tableColumn id="3" xr3:uid="{00000000-0010-0000-0500-000003000000}" name="Length" dataDxfId="19"/>
    <tableColumn id="4" xr3:uid="{00000000-0010-0000-0500-000004000000}" name="Nullable" dataDxfId="18"/>
    <tableColumn id="5" xr3:uid="{00000000-0010-0000-0500-000005000000}" name="Description" dataDxfId="17"/>
    <tableColumn id="6" xr3:uid="{00000000-0010-0000-0500-000006000000}" name="Years available" dataDxfId="16"/>
    <tableColumn id="7" xr3:uid="{00000000-0010-0000-0500-000007000000}" name="Codes" dataDxfId="15"/>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578" displayName="Table578" ref="H6:H25" totalsRowShown="0" headerRowDxfId="14" dataDxfId="13">
  <autoFilter ref="H6:H25" xr:uid="{00000000-0009-0000-0100-000007000000}"/>
  <tableColumns count="1">
    <tableColumn id="1" xr3:uid="{00000000-0010-0000-0600-000001000000}" name="Data request data item required?" dataDxfId="1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8:J185" totalsRowShown="0" tableBorderDxfId="10">
  <autoFilter ref="A8:J185" xr:uid="{00000000-0009-0000-0100-000008000000}"/>
  <tableColumns count="10">
    <tableColumn id="1" xr3:uid="{00000000-0010-0000-0700-000001000000}" name="Field type" dataDxfId="9"/>
    <tableColumn id="2" xr3:uid="{00000000-0010-0000-0700-000002000000}" name="NPDAlias" dataDxfId="8"/>
    <tableColumn id="3" xr3:uid="{00000000-0010-0000-0700-000003000000}" name="FieldReference" dataDxfId="7"/>
    <tableColumn id="4" xr3:uid="{00000000-0010-0000-0700-000004000000}" name="Description" dataDxfId="6"/>
    <tableColumn id="5" xr3:uid="{00000000-0010-0000-0700-000005000000}" name="Years Populated" dataDxfId="5"/>
    <tableColumn id="6" xr3:uid="{00000000-0010-0000-0700-000006000000}" name="Notes" dataDxfId="4"/>
    <tableColumn id="7" xr3:uid="{00000000-0010-0000-0700-000007000000}" name="Identifiability" dataDxfId="3"/>
    <tableColumn id="8" xr3:uid="{00000000-0010-0000-0700-000008000000}" name="Sensitivity" dataDxfId="2"/>
    <tableColumn id="9" xr3:uid="{00000000-0010-0000-0700-000009000000}" name="Data request data item required?" dataDxfId="1"/>
    <tableColumn id="10" xr3:uid="{00000000-0010-0000-0700-00000A000000}" name="Data request years required?"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gov.uk/government/publications/coronavirus-covid-19-school-and-college-performance-measures" TargetMode="External"/><Relationship Id="rId1" Type="http://schemas.openxmlformats.org/officeDocument/2006/relationships/hyperlink" Target="https://www.gov.uk/government/publications/coronavirus-covid-19-reducing-burdens-on-educational-and-care-settings"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rinterSettings" Target="../printerSettings/printerSettings23.bin"/><Relationship Id="rId1" Type="http://schemas.openxmlformats.org/officeDocument/2006/relationships/hyperlink" Target="https://www.hesa.ac.uk/support/definitions/students" TargetMode="Externa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J26"/>
  <sheetViews>
    <sheetView zoomScaleNormal="100" workbookViewId="0">
      <selection activeCell="L21" sqref="L21"/>
    </sheetView>
  </sheetViews>
  <sheetFormatPr defaultColWidth="9" defaultRowHeight="15"/>
  <cols>
    <col min="7" max="7" width="10.7109375" bestFit="1" customWidth="1"/>
  </cols>
  <sheetData>
    <row r="1" spans="2:10">
      <c r="B1" s="2"/>
    </row>
    <row r="5" spans="2:10" ht="33.75">
      <c r="B5" s="764" t="s">
        <v>0</v>
      </c>
      <c r="C5" s="764"/>
      <c r="D5" s="764"/>
      <c r="E5" s="764"/>
      <c r="F5" s="764"/>
      <c r="G5" s="764"/>
      <c r="H5" s="764"/>
      <c r="I5" s="764"/>
      <c r="J5" s="764"/>
    </row>
    <row r="8" spans="2:10" ht="33.75">
      <c r="B8" s="765" t="s">
        <v>1</v>
      </c>
      <c r="C8" s="765"/>
      <c r="D8" s="765"/>
      <c r="E8" s="765"/>
      <c r="F8" s="765"/>
      <c r="G8" s="765"/>
      <c r="H8" s="765"/>
      <c r="I8" s="765"/>
      <c r="J8" s="765"/>
    </row>
    <row r="9" spans="2:10" ht="33.75">
      <c r="B9" s="765" t="s">
        <v>2</v>
      </c>
      <c r="C9" s="765"/>
      <c r="D9" s="765"/>
      <c r="E9" s="765"/>
      <c r="F9" s="765"/>
      <c r="G9" s="765"/>
      <c r="H9" s="765"/>
      <c r="I9" s="765"/>
      <c r="J9" s="765"/>
    </row>
    <row r="10" spans="2:10" ht="33.75">
      <c r="B10" s="765" t="s">
        <v>3</v>
      </c>
      <c r="C10" s="765"/>
      <c r="D10" s="765"/>
      <c r="E10" s="765"/>
      <c r="F10" s="765"/>
      <c r="G10" s="765"/>
      <c r="H10" s="765"/>
      <c r="I10" s="765"/>
      <c r="J10" s="765"/>
    </row>
    <row r="16" spans="2:10" ht="27.75" customHeight="1">
      <c r="B16" s="766" t="s">
        <v>4</v>
      </c>
      <c r="C16" s="766"/>
      <c r="D16" s="766"/>
      <c r="E16" s="766"/>
      <c r="F16" s="766"/>
      <c r="G16" s="766"/>
      <c r="H16" s="766"/>
      <c r="I16" s="766"/>
      <c r="J16" s="766"/>
    </row>
    <row r="17" spans="2:10" ht="23.25">
      <c r="B17" s="769"/>
      <c r="C17" s="769"/>
      <c r="D17" s="769"/>
      <c r="E17" s="769"/>
      <c r="F17" s="769"/>
      <c r="G17" s="769"/>
      <c r="H17" s="769"/>
      <c r="I17" s="769"/>
      <c r="J17" s="769"/>
    </row>
    <row r="22" spans="2:10" ht="26.25">
      <c r="B22" s="768" t="s">
        <v>5</v>
      </c>
      <c r="C22" s="768"/>
      <c r="D22" s="768"/>
      <c r="E22" s="768"/>
      <c r="F22" s="768"/>
      <c r="G22" s="768"/>
      <c r="H22" s="768"/>
      <c r="I22" s="768"/>
      <c r="J22" s="768"/>
    </row>
    <row r="23" spans="2:10" s="1" customFormat="1" ht="26.25">
      <c r="B23" s="767">
        <v>45681</v>
      </c>
      <c r="C23" s="768"/>
      <c r="D23" s="768"/>
      <c r="E23" s="768"/>
      <c r="F23" s="768"/>
      <c r="G23" s="768"/>
      <c r="H23" s="768"/>
      <c r="I23" s="768"/>
      <c r="J23" s="768"/>
    </row>
    <row r="26" spans="2:10">
      <c r="G26" s="514"/>
    </row>
  </sheetData>
  <mergeCells count="8">
    <mergeCell ref="B5:J5"/>
    <mergeCell ref="B9:J9"/>
    <mergeCell ref="B16:J16"/>
    <mergeCell ref="B23:J23"/>
    <mergeCell ref="B22:J22"/>
    <mergeCell ref="B8:J8"/>
    <mergeCell ref="B10:J10"/>
    <mergeCell ref="B17:J17"/>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743E-379A-4BA0-B4C8-6233B141767B}">
  <dimension ref="A1:P12"/>
  <sheetViews>
    <sheetView tabSelected="1" topLeftCell="A4" workbookViewId="0">
      <selection activeCell="O4" sqref="O4"/>
    </sheetView>
  </sheetViews>
  <sheetFormatPr defaultRowHeight="15"/>
  <sheetData>
    <row r="1" spans="1:16">
      <c r="A1" s="377"/>
      <c r="B1" s="378"/>
      <c r="C1" s="378"/>
      <c r="D1" s="378"/>
      <c r="E1" s="378"/>
      <c r="F1" s="377"/>
      <c r="G1" s="377"/>
      <c r="H1" s="377"/>
      <c r="I1" s="377"/>
      <c r="J1" s="377"/>
      <c r="K1" s="377"/>
      <c r="L1" s="377"/>
      <c r="M1" s="377"/>
      <c r="N1" s="377"/>
      <c r="O1" s="377"/>
      <c r="P1" s="377"/>
    </row>
    <row r="2" spans="1:16" ht="132.6" customHeight="1">
      <c r="A2" s="377"/>
      <c r="B2" s="774" t="s">
        <v>6</v>
      </c>
      <c r="C2" s="774"/>
      <c r="D2" s="774"/>
      <c r="E2" s="774"/>
      <c r="F2" s="774"/>
      <c r="G2" s="774"/>
      <c r="H2" s="774"/>
      <c r="I2" s="774"/>
      <c r="J2" s="774"/>
      <c r="K2" s="774"/>
      <c r="L2" s="774"/>
      <c r="M2" s="774"/>
      <c r="N2" s="377"/>
      <c r="O2" s="377"/>
      <c r="P2" s="377"/>
    </row>
    <row r="3" spans="1:16">
      <c r="A3" s="377"/>
      <c r="B3" s="770" t="s">
        <v>7</v>
      </c>
      <c r="C3" s="771"/>
      <c r="D3" s="771"/>
      <c r="E3" s="771"/>
      <c r="F3" s="771"/>
      <c r="G3" s="771"/>
      <c r="H3" s="771"/>
      <c r="I3" s="771"/>
      <c r="J3" s="771"/>
      <c r="K3" s="771"/>
      <c r="L3" s="771"/>
      <c r="M3" s="771"/>
      <c r="N3" s="771"/>
      <c r="O3" s="377"/>
      <c r="P3" s="377"/>
    </row>
    <row r="4" spans="1:16" ht="380.65" customHeight="1">
      <c r="A4" s="377"/>
      <c r="B4" s="772" t="s">
        <v>8</v>
      </c>
      <c r="C4" s="773"/>
      <c r="D4" s="773"/>
      <c r="E4" s="773"/>
      <c r="F4" s="773"/>
      <c r="G4" s="773"/>
      <c r="H4" s="773"/>
      <c r="I4" s="773"/>
      <c r="J4" s="773"/>
      <c r="K4" s="773"/>
      <c r="L4" s="773"/>
      <c r="M4" s="773"/>
      <c r="N4" s="377"/>
      <c r="O4" s="377"/>
      <c r="P4" s="377"/>
    </row>
    <row r="5" spans="1:16">
      <c r="A5" s="377"/>
      <c r="B5" s="378"/>
      <c r="C5" s="377"/>
      <c r="D5" s="377"/>
      <c r="E5" s="377"/>
      <c r="F5" s="377"/>
      <c r="G5" s="377"/>
      <c r="H5" s="377"/>
      <c r="I5" s="377"/>
      <c r="J5" s="377"/>
      <c r="K5" s="377"/>
      <c r="L5" s="377"/>
      <c r="M5" s="377"/>
      <c r="N5" s="377"/>
      <c r="O5" s="377"/>
      <c r="P5" s="377"/>
    </row>
    <row r="6" spans="1:16">
      <c r="A6" s="377"/>
      <c r="B6" s="378"/>
      <c r="C6" s="377"/>
      <c r="D6" s="377"/>
      <c r="E6" s="377"/>
      <c r="F6" s="377"/>
      <c r="G6" s="377"/>
      <c r="H6" s="377"/>
      <c r="I6" s="377"/>
      <c r="J6" s="377"/>
      <c r="K6" s="377"/>
      <c r="L6" s="377"/>
      <c r="M6" s="377"/>
      <c r="N6" s="377"/>
      <c r="O6" s="377"/>
      <c r="P6" s="377"/>
    </row>
    <row r="7" spans="1:16">
      <c r="A7" s="377"/>
      <c r="B7" s="378"/>
      <c r="C7" s="377"/>
      <c r="D7" s="377"/>
      <c r="E7" s="377"/>
      <c r="F7" s="377"/>
      <c r="G7" s="377"/>
      <c r="H7" s="377"/>
      <c r="I7" s="377"/>
      <c r="J7" s="377"/>
      <c r="K7" s="377"/>
      <c r="L7" s="377"/>
      <c r="M7" s="377"/>
      <c r="N7" s="377"/>
      <c r="O7" s="377"/>
      <c r="P7" s="377"/>
    </row>
    <row r="8" spans="1:16">
      <c r="A8" s="377"/>
      <c r="B8" s="378"/>
      <c r="C8" s="377"/>
      <c r="D8" s="377"/>
      <c r="E8" s="377"/>
      <c r="F8" s="377"/>
      <c r="G8" s="377"/>
      <c r="H8" s="377"/>
      <c r="I8" s="377"/>
      <c r="J8" s="377"/>
      <c r="K8" s="377"/>
      <c r="L8" s="377"/>
      <c r="M8" s="377"/>
      <c r="N8" s="377"/>
      <c r="O8" s="377"/>
      <c r="P8" s="377"/>
    </row>
    <row r="9" spans="1:16">
      <c r="A9" s="377"/>
      <c r="B9" s="378"/>
      <c r="C9" s="377"/>
      <c r="D9" s="377"/>
      <c r="E9" s="377"/>
      <c r="F9" s="377"/>
      <c r="G9" s="377"/>
      <c r="H9" s="377"/>
      <c r="I9" s="377"/>
      <c r="J9" s="377"/>
      <c r="K9" s="377"/>
      <c r="L9" s="377"/>
      <c r="M9" s="377"/>
      <c r="N9" s="377"/>
      <c r="O9" s="377"/>
      <c r="P9" s="377"/>
    </row>
    <row r="10" spans="1:16">
      <c r="A10" s="377"/>
      <c r="B10" s="378"/>
      <c r="C10" s="377"/>
      <c r="D10" s="377"/>
      <c r="E10" s="377"/>
      <c r="F10" s="377"/>
      <c r="G10" s="377"/>
      <c r="H10" s="377"/>
      <c r="I10" s="377"/>
      <c r="J10" s="377"/>
      <c r="K10" s="377"/>
      <c r="L10" s="377"/>
      <c r="M10" s="377"/>
      <c r="N10" s="377"/>
      <c r="O10" s="377"/>
      <c r="P10" s="377"/>
    </row>
    <row r="11" spans="1:16">
      <c r="A11" s="377"/>
      <c r="B11" s="378"/>
      <c r="C11" s="377"/>
      <c r="D11" s="377"/>
      <c r="E11" s="377"/>
      <c r="F11" s="377"/>
      <c r="G11" s="377"/>
      <c r="H11" s="377"/>
      <c r="I11" s="377"/>
      <c r="J11" s="377"/>
      <c r="K11" s="377"/>
      <c r="L11" s="377"/>
      <c r="M11" s="377"/>
      <c r="N11" s="377"/>
      <c r="O11" s="377"/>
      <c r="P11" s="377"/>
    </row>
    <row r="12" spans="1:16">
      <c r="A12" s="377"/>
      <c r="B12" s="378"/>
      <c r="C12" s="377"/>
      <c r="D12" s="377"/>
      <c r="E12" s="377"/>
      <c r="F12" s="377"/>
      <c r="G12" s="377"/>
      <c r="H12" s="377"/>
      <c r="I12" s="377"/>
      <c r="J12" s="377"/>
      <c r="K12" s="377"/>
      <c r="L12" s="377"/>
      <c r="M12" s="377"/>
      <c r="N12" s="377"/>
      <c r="O12" s="377"/>
      <c r="P12" s="377"/>
    </row>
  </sheetData>
  <mergeCells count="3">
    <mergeCell ref="B3:N3"/>
    <mergeCell ref="B4:M4"/>
    <mergeCell ref="B2:M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0DD3A-AB99-45D4-81E5-AB6C7A5DBE31}">
  <dimension ref="B1:N42"/>
  <sheetViews>
    <sheetView topLeftCell="A33" zoomScale="70" zoomScaleNormal="70" workbookViewId="0">
      <selection activeCell="H35" sqref="H35"/>
    </sheetView>
  </sheetViews>
  <sheetFormatPr defaultColWidth="34.85546875" defaultRowHeight="12.75"/>
  <cols>
    <col min="1" max="1" width="4" style="265" customWidth="1"/>
    <col min="2" max="2" width="5.5703125" style="265" customWidth="1"/>
    <col min="3" max="3" width="13.5703125" style="265" customWidth="1"/>
    <col min="4" max="4" width="45.28515625" style="265" customWidth="1"/>
    <col min="5" max="5" width="45.7109375" style="265" customWidth="1"/>
    <col min="6" max="6" width="15" style="398" customWidth="1"/>
    <col min="7" max="7" width="29" style="265" customWidth="1"/>
    <col min="8" max="8" width="47.140625" style="265" customWidth="1"/>
    <col min="9" max="16384" width="34.85546875" style="265"/>
  </cols>
  <sheetData>
    <row r="1" spans="2:14">
      <c r="F1" s="265"/>
    </row>
    <row r="2" spans="2:14">
      <c r="C2" s="775" t="s">
        <v>9</v>
      </c>
      <c r="D2" s="775"/>
      <c r="E2" s="775"/>
      <c r="F2" s="775"/>
      <c r="G2" s="775"/>
      <c r="H2" s="775"/>
      <c r="I2" s="775"/>
      <c r="J2" s="775"/>
      <c r="K2" s="775"/>
      <c r="L2" s="775"/>
      <c r="M2" s="775"/>
      <c r="N2" s="775"/>
    </row>
    <row r="3" spans="2:14" ht="30.75" customHeight="1">
      <c r="C3" s="776" t="s">
        <v>10</v>
      </c>
      <c r="D3" s="776"/>
      <c r="E3" s="776"/>
      <c r="F3" s="776"/>
      <c r="G3" s="776"/>
      <c r="H3" s="776"/>
      <c r="I3" s="448"/>
      <c r="J3" s="448"/>
      <c r="K3" s="448"/>
      <c r="L3" s="448"/>
      <c r="M3" s="448"/>
    </row>
    <row r="4" spans="2:14" ht="15" customHeight="1">
      <c r="C4" s="777" t="s">
        <v>11</v>
      </c>
      <c r="D4" s="777"/>
      <c r="E4" s="777"/>
      <c r="F4" s="777"/>
      <c r="G4" s="777"/>
      <c r="H4" s="777"/>
      <c r="I4" s="777"/>
      <c r="J4" s="777"/>
      <c r="K4" s="777"/>
      <c r="L4" s="777"/>
      <c r="M4" s="777"/>
      <c r="N4" s="777"/>
    </row>
    <row r="5" spans="2:14" ht="30" customHeight="1">
      <c r="C5" s="449" t="s">
        <v>12</v>
      </c>
      <c r="D5" s="773" t="s">
        <v>13</v>
      </c>
      <c r="E5" s="773"/>
      <c r="F5" s="773"/>
      <c r="G5" s="773"/>
      <c r="H5" s="773"/>
      <c r="I5" s="377"/>
      <c r="J5" s="377"/>
      <c r="K5" s="377"/>
      <c r="L5" s="377"/>
      <c r="M5" s="377"/>
      <c r="N5" s="377"/>
    </row>
    <row r="6" spans="2:14">
      <c r="C6" s="450" t="s">
        <v>14</v>
      </c>
      <c r="D6" s="778" t="s">
        <v>15</v>
      </c>
      <c r="E6" s="778"/>
      <c r="F6" s="778"/>
      <c r="G6" s="778"/>
      <c r="H6" s="778"/>
      <c r="I6" s="377"/>
      <c r="J6" s="377"/>
      <c r="K6" s="377"/>
      <c r="L6" s="377"/>
      <c r="M6" s="377"/>
      <c r="N6" s="377"/>
    </row>
    <row r="7" spans="2:14" ht="51">
      <c r="C7" s="450" t="s">
        <v>16</v>
      </c>
      <c r="D7" s="773" t="s">
        <v>17</v>
      </c>
      <c r="E7" s="773"/>
      <c r="F7" s="773"/>
      <c r="G7" s="773"/>
      <c r="H7" s="773"/>
      <c r="I7" s="378"/>
      <c r="J7" s="378"/>
      <c r="K7" s="378"/>
      <c r="L7" s="378"/>
      <c r="M7" s="378"/>
      <c r="N7" s="378"/>
    </row>
    <row r="8" spans="2:14" ht="13.5" thickBot="1">
      <c r="C8" s="451"/>
    </row>
    <row r="9" spans="2:14" ht="26.25" thickBot="1">
      <c r="C9" s="589" t="s">
        <v>18</v>
      </c>
      <c r="D9" s="590" t="s">
        <v>19</v>
      </c>
      <c r="E9" s="591" t="s">
        <v>20</v>
      </c>
      <c r="F9" s="401" t="s">
        <v>21</v>
      </c>
      <c r="G9" s="276" t="s">
        <v>22</v>
      </c>
      <c r="H9" s="277" t="s">
        <v>23</v>
      </c>
    </row>
    <row r="10" spans="2:14" ht="160.5" customHeight="1">
      <c r="B10" s="265" t="s">
        <v>24</v>
      </c>
      <c r="C10" s="592" t="s">
        <v>25</v>
      </c>
      <c r="D10" s="524" t="s">
        <v>26</v>
      </c>
      <c r="E10" s="593" t="s">
        <v>27</v>
      </c>
      <c r="F10" s="402" t="s">
        <v>12</v>
      </c>
      <c r="G10" s="403" t="s">
        <v>28</v>
      </c>
      <c r="H10" s="278" t="s">
        <v>29</v>
      </c>
    </row>
    <row r="11" spans="2:14" ht="38.25">
      <c r="C11" s="594" t="s">
        <v>25</v>
      </c>
      <c r="D11" s="452" t="s">
        <v>30</v>
      </c>
      <c r="E11" s="595" t="s">
        <v>31</v>
      </c>
      <c r="F11" s="404" t="s">
        <v>14</v>
      </c>
      <c r="G11" s="405" t="s">
        <v>28</v>
      </c>
      <c r="H11" s="759"/>
    </row>
    <row r="12" spans="2:14" ht="38.25">
      <c r="C12" s="594" t="s">
        <v>25</v>
      </c>
      <c r="D12" s="513" t="s">
        <v>32</v>
      </c>
      <c r="E12" s="595" t="s">
        <v>33</v>
      </c>
      <c r="F12" s="404" t="s">
        <v>14</v>
      </c>
      <c r="G12" s="405" t="s">
        <v>28</v>
      </c>
      <c r="H12" s="274"/>
    </row>
    <row r="13" spans="2:14" ht="15">
      <c r="C13" s="594" t="s">
        <v>25</v>
      </c>
      <c r="D13" s="513" t="s">
        <v>34</v>
      </c>
      <c r="E13" s="595" t="s">
        <v>35</v>
      </c>
      <c r="F13" s="404" t="s">
        <v>14</v>
      </c>
      <c r="G13" s="405"/>
      <c r="H13" s="274" t="s">
        <v>36</v>
      </c>
    </row>
    <row r="14" spans="2:14" ht="38.25">
      <c r="C14" s="594" t="s">
        <v>25</v>
      </c>
      <c r="D14" s="513" t="s">
        <v>37</v>
      </c>
      <c r="E14" s="595" t="s">
        <v>38</v>
      </c>
      <c r="F14" s="404" t="s">
        <v>12</v>
      </c>
      <c r="G14" s="405" t="s">
        <v>28</v>
      </c>
      <c r="H14" s="274" t="s">
        <v>39</v>
      </c>
    </row>
    <row r="15" spans="2:14" ht="38.25">
      <c r="C15" s="594" t="s">
        <v>25</v>
      </c>
      <c r="D15" s="513" t="s">
        <v>40</v>
      </c>
      <c r="E15" s="595" t="s">
        <v>41</v>
      </c>
      <c r="F15" s="404" t="s">
        <v>12</v>
      </c>
      <c r="G15" s="405" t="s">
        <v>28</v>
      </c>
      <c r="H15" s="274" t="s">
        <v>39</v>
      </c>
    </row>
    <row r="16" spans="2:14" ht="38.25">
      <c r="C16" s="594" t="s">
        <v>25</v>
      </c>
      <c r="D16" s="452" t="s">
        <v>42</v>
      </c>
      <c r="E16" s="595" t="s">
        <v>43</v>
      </c>
      <c r="F16" s="404" t="s">
        <v>12</v>
      </c>
      <c r="G16" s="405" t="s">
        <v>28</v>
      </c>
      <c r="H16" s="274" t="s">
        <v>39</v>
      </c>
    </row>
    <row r="17" spans="3:8" ht="38.25">
      <c r="C17" s="594" t="s">
        <v>25</v>
      </c>
      <c r="D17" s="513" t="s">
        <v>44</v>
      </c>
      <c r="E17" s="595" t="s">
        <v>45</v>
      </c>
      <c r="F17" s="404" t="s">
        <v>12</v>
      </c>
      <c r="G17" s="405" t="s">
        <v>28</v>
      </c>
      <c r="H17" s="274" t="s">
        <v>39</v>
      </c>
    </row>
    <row r="18" spans="3:8" ht="38.25">
      <c r="C18" s="594" t="s">
        <v>25</v>
      </c>
      <c r="D18" s="513" t="s">
        <v>46</v>
      </c>
      <c r="E18" s="595" t="s">
        <v>47</v>
      </c>
      <c r="F18" s="404" t="s">
        <v>48</v>
      </c>
      <c r="G18" s="405" t="s">
        <v>28</v>
      </c>
      <c r="H18" s="274" t="s">
        <v>39</v>
      </c>
    </row>
    <row r="19" spans="3:8" ht="38.25">
      <c r="C19" s="594" t="s">
        <v>25</v>
      </c>
      <c r="D19" s="513" t="s">
        <v>49</v>
      </c>
      <c r="E19" s="595" t="s">
        <v>50</v>
      </c>
      <c r="F19" s="404" t="s">
        <v>14</v>
      </c>
      <c r="G19" s="405" t="s">
        <v>28</v>
      </c>
      <c r="H19" s="274"/>
    </row>
    <row r="20" spans="3:8" ht="38.25">
      <c r="C20" s="594" t="s">
        <v>25</v>
      </c>
      <c r="D20" s="513" t="s">
        <v>51</v>
      </c>
      <c r="E20" s="595" t="s">
        <v>52</v>
      </c>
      <c r="F20" s="404" t="s">
        <v>14</v>
      </c>
      <c r="G20" s="405" t="s">
        <v>28</v>
      </c>
      <c r="H20" s="274"/>
    </row>
    <row r="21" spans="3:8" ht="38.25">
      <c r="C21" s="594" t="s">
        <v>25</v>
      </c>
      <c r="D21" s="513" t="s">
        <v>53</v>
      </c>
      <c r="E21" s="595" t="s">
        <v>54</v>
      </c>
      <c r="F21" s="404" t="s">
        <v>14</v>
      </c>
      <c r="G21" s="405" t="s">
        <v>28</v>
      </c>
      <c r="H21" s="274"/>
    </row>
    <row r="22" spans="3:8" ht="38.25">
      <c r="C22" s="594" t="s">
        <v>25</v>
      </c>
      <c r="D22" s="452" t="s">
        <v>55</v>
      </c>
      <c r="E22" s="595" t="s">
        <v>56</v>
      </c>
      <c r="F22" s="404" t="s">
        <v>14</v>
      </c>
      <c r="G22" s="405" t="s">
        <v>28</v>
      </c>
      <c r="H22" s="274"/>
    </row>
    <row r="23" spans="3:8" ht="38.25">
      <c r="C23" s="594" t="s">
        <v>25</v>
      </c>
      <c r="D23" s="513" t="s">
        <v>57</v>
      </c>
      <c r="E23" s="595" t="s">
        <v>58</v>
      </c>
      <c r="F23" s="404" t="s">
        <v>14</v>
      </c>
      <c r="G23" s="405" t="s">
        <v>28</v>
      </c>
      <c r="H23" s="274"/>
    </row>
    <row r="24" spans="3:8" ht="38.25">
      <c r="C24" s="594" t="s">
        <v>25</v>
      </c>
      <c r="D24" s="513" t="s">
        <v>59</v>
      </c>
      <c r="E24" s="595" t="s">
        <v>60</v>
      </c>
      <c r="F24" s="404" t="s">
        <v>12</v>
      </c>
      <c r="G24" s="405" t="s">
        <v>28</v>
      </c>
      <c r="H24" s="274" t="s">
        <v>61</v>
      </c>
    </row>
    <row r="25" spans="3:8" ht="38.25">
      <c r="C25" s="594" t="s">
        <v>25</v>
      </c>
      <c r="D25" s="513" t="s">
        <v>62</v>
      </c>
      <c r="E25" s="595" t="s">
        <v>63</v>
      </c>
      <c r="F25" s="404" t="s">
        <v>14</v>
      </c>
      <c r="G25" s="405" t="s">
        <v>28</v>
      </c>
      <c r="H25" s="274"/>
    </row>
    <row r="26" spans="3:8" ht="39" thickBot="1">
      <c r="C26" s="596" t="s">
        <v>25</v>
      </c>
      <c r="D26" s="525" t="s">
        <v>64</v>
      </c>
      <c r="E26" s="597" t="s">
        <v>65</v>
      </c>
      <c r="F26" s="406" t="s">
        <v>14</v>
      </c>
      <c r="G26" s="407" t="s">
        <v>28</v>
      </c>
      <c r="H26" s="274"/>
    </row>
    <row r="27" spans="3:8" ht="38.25">
      <c r="C27" s="592" t="s">
        <v>66</v>
      </c>
      <c r="D27" s="363" t="s">
        <v>67</v>
      </c>
      <c r="E27" s="593" t="s">
        <v>68</v>
      </c>
      <c r="F27" s="402" t="s">
        <v>12</v>
      </c>
      <c r="G27" s="403" t="s">
        <v>69</v>
      </c>
      <c r="H27" s="278" t="s">
        <v>70</v>
      </c>
    </row>
    <row r="28" spans="3:8" ht="38.25">
      <c r="C28" s="594" t="s">
        <v>66</v>
      </c>
      <c r="D28" s="364" t="s">
        <v>71</v>
      </c>
      <c r="E28" s="595" t="s">
        <v>72</v>
      </c>
      <c r="F28" s="404" t="s">
        <v>12</v>
      </c>
      <c r="G28" s="405" t="s">
        <v>69</v>
      </c>
      <c r="H28" s="274" t="s">
        <v>73</v>
      </c>
    </row>
    <row r="29" spans="3:8" ht="64.5" customHeight="1">
      <c r="C29" s="596" t="s">
        <v>66</v>
      </c>
      <c r="D29" s="365" t="s">
        <v>74</v>
      </c>
      <c r="E29" s="597" t="s">
        <v>75</v>
      </c>
      <c r="F29" s="406" t="s">
        <v>12</v>
      </c>
      <c r="G29" s="407" t="s">
        <v>69</v>
      </c>
      <c r="H29" s="275" t="s">
        <v>76</v>
      </c>
    </row>
    <row r="30" spans="3:8" ht="52.5" customHeight="1">
      <c r="C30" s="598" t="s">
        <v>77</v>
      </c>
      <c r="D30" s="526" t="s">
        <v>78</v>
      </c>
      <c r="E30" s="599" t="s">
        <v>79</v>
      </c>
      <c r="F30" s="399" t="s">
        <v>12</v>
      </c>
      <c r="G30" s="408" t="s">
        <v>28</v>
      </c>
      <c r="H30" s="763" t="s">
        <v>80</v>
      </c>
    </row>
    <row r="31" spans="3:8" ht="26.25" thickBot="1">
      <c r="C31" s="594" t="s">
        <v>81</v>
      </c>
      <c r="D31" s="525" t="s">
        <v>82</v>
      </c>
      <c r="E31" s="597" t="s">
        <v>83</v>
      </c>
      <c r="F31" s="404" t="s">
        <v>14</v>
      </c>
      <c r="G31" s="692" t="s">
        <v>84</v>
      </c>
      <c r="H31" s="274"/>
    </row>
    <row r="32" spans="3:8" ht="48.75" customHeight="1">
      <c r="C32" s="592" t="s">
        <v>85</v>
      </c>
      <c r="D32" s="363" t="s">
        <v>86</v>
      </c>
      <c r="E32" s="593" t="s">
        <v>87</v>
      </c>
      <c r="F32" s="402" t="s">
        <v>12</v>
      </c>
      <c r="G32" s="366" t="s">
        <v>88</v>
      </c>
      <c r="H32" s="274" t="s">
        <v>89</v>
      </c>
    </row>
    <row r="33" spans="3:8" ht="38.25">
      <c r="C33" s="594" t="s">
        <v>85</v>
      </c>
      <c r="D33" s="364" t="s">
        <v>90</v>
      </c>
      <c r="E33" s="595" t="s">
        <v>91</v>
      </c>
      <c r="F33" s="404" t="s">
        <v>12</v>
      </c>
      <c r="G33" s="265" t="s">
        <v>88</v>
      </c>
      <c r="H33" s="274" t="s">
        <v>89</v>
      </c>
    </row>
    <row r="34" spans="3:8" ht="38.25">
      <c r="C34" s="594" t="s">
        <v>85</v>
      </c>
      <c r="D34" s="364" t="s">
        <v>92</v>
      </c>
      <c r="E34" s="595" t="s">
        <v>93</v>
      </c>
      <c r="F34" s="404" t="s">
        <v>12</v>
      </c>
      <c r="G34" s="265" t="s">
        <v>94</v>
      </c>
      <c r="H34" s="274" t="s">
        <v>89</v>
      </c>
    </row>
    <row r="35" spans="3:8" ht="38.25">
      <c r="C35" s="594" t="s">
        <v>85</v>
      </c>
      <c r="D35" s="364" t="s">
        <v>95</v>
      </c>
      <c r="E35" s="595" t="s">
        <v>96</v>
      </c>
      <c r="F35" s="404" t="s">
        <v>12</v>
      </c>
      <c r="G35" s="405" t="s">
        <v>94</v>
      </c>
      <c r="H35" s="274" t="s">
        <v>97</v>
      </c>
    </row>
    <row r="36" spans="3:8" ht="38.25">
      <c r="C36" s="594" t="s">
        <v>85</v>
      </c>
      <c r="D36" s="364" t="s">
        <v>98</v>
      </c>
      <c r="E36" s="595" t="s">
        <v>99</v>
      </c>
      <c r="F36" s="404" t="s">
        <v>12</v>
      </c>
      <c r="G36" s="405" t="s">
        <v>94</v>
      </c>
      <c r="H36" s="274" t="s">
        <v>100</v>
      </c>
    </row>
    <row r="37" spans="3:8" ht="191.25">
      <c r="C37" s="594" t="s">
        <v>85</v>
      </c>
      <c r="D37" s="364" t="s">
        <v>101</v>
      </c>
      <c r="E37" s="595" t="s">
        <v>102</v>
      </c>
      <c r="F37" s="404" t="s">
        <v>12</v>
      </c>
      <c r="G37" s="405" t="s">
        <v>94</v>
      </c>
      <c r="H37" s="274" t="s">
        <v>103</v>
      </c>
    </row>
    <row r="38" spans="3:8" ht="25.5">
      <c r="C38" s="594" t="s">
        <v>85</v>
      </c>
      <c r="D38" s="364" t="s">
        <v>104</v>
      </c>
      <c r="E38" s="595" t="s">
        <v>105</v>
      </c>
      <c r="F38" s="404" t="s">
        <v>14</v>
      </c>
      <c r="G38" s="405" t="s">
        <v>94</v>
      </c>
      <c r="H38" s="274"/>
    </row>
    <row r="39" spans="3:8" ht="51">
      <c r="C39" s="594" t="s">
        <v>85</v>
      </c>
      <c r="D39" s="364" t="s">
        <v>106</v>
      </c>
      <c r="E39" s="595" t="s">
        <v>107</v>
      </c>
      <c r="F39" s="404" t="s">
        <v>12</v>
      </c>
      <c r="G39" s="405" t="s">
        <v>94</v>
      </c>
      <c r="H39" s="274" t="s">
        <v>108</v>
      </c>
    </row>
    <row r="40" spans="3:8" ht="25.5">
      <c r="C40" s="594" t="s">
        <v>85</v>
      </c>
      <c r="D40" s="364" t="s">
        <v>109</v>
      </c>
      <c r="E40" s="595" t="s">
        <v>110</v>
      </c>
      <c r="F40" s="404" t="s">
        <v>14</v>
      </c>
      <c r="G40" s="405" t="s">
        <v>94</v>
      </c>
      <c r="H40" s="274"/>
    </row>
    <row r="41" spans="3:8" ht="25.5">
      <c r="C41" s="594" t="s">
        <v>85</v>
      </c>
      <c r="D41" s="364" t="s">
        <v>111</v>
      </c>
      <c r="E41" s="595" t="s">
        <v>112</v>
      </c>
      <c r="F41" s="404" t="s">
        <v>14</v>
      </c>
      <c r="G41" s="405" t="s">
        <v>94</v>
      </c>
      <c r="H41" s="274"/>
    </row>
    <row r="42" spans="3:8" ht="51.75" customHeight="1" thickBot="1">
      <c r="C42" s="600" t="s">
        <v>85</v>
      </c>
      <c r="D42" s="601" t="s">
        <v>113</v>
      </c>
      <c r="E42" s="602" t="s">
        <v>114</v>
      </c>
      <c r="F42" s="406" t="s">
        <v>12</v>
      </c>
      <c r="G42" s="407" t="s">
        <v>94</v>
      </c>
      <c r="H42" s="275" t="s">
        <v>115</v>
      </c>
    </row>
  </sheetData>
  <mergeCells count="6">
    <mergeCell ref="D7:H7"/>
    <mergeCell ref="C2:N2"/>
    <mergeCell ref="C3:H3"/>
    <mergeCell ref="C4:N4"/>
    <mergeCell ref="D5:H5"/>
    <mergeCell ref="D6:H6"/>
  </mergeCells>
  <conditionalFormatting sqref="F32:F42">
    <cfRule type="cellIs" dxfId="128" priority="12" operator="equal">
      <formula>"Yes - with older ILR learners"</formula>
    </cfRule>
  </conditionalFormatting>
  <conditionalFormatting sqref="G10">
    <cfRule type="expression" dxfId="127" priority="42">
      <formula>$F$10="Yes"</formula>
    </cfRule>
  </conditionalFormatting>
  <conditionalFormatting sqref="G11">
    <cfRule type="expression" dxfId="126" priority="43">
      <formula>$F$11="Yes"</formula>
    </cfRule>
  </conditionalFormatting>
  <conditionalFormatting sqref="G12 G16:G18 G19:H25">
    <cfRule type="expression" dxfId="125" priority="44">
      <formula>$F12:$F46="No"</formula>
    </cfRule>
  </conditionalFormatting>
  <conditionalFormatting sqref="G12">
    <cfRule type="expression" dxfId="124" priority="40">
      <formula>$F$12="Yes"</formula>
    </cfRule>
  </conditionalFormatting>
  <conditionalFormatting sqref="G13">
    <cfRule type="expression" dxfId="123" priority="41">
      <formula>$F$13="Yes"</formula>
    </cfRule>
  </conditionalFormatting>
  <conditionalFormatting sqref="G14">
    <cfRule type="expression" dxfId="122" priority="39">
      <formula>$F$14="Yes"</formula>
    </cfRule>
  </conditionalFormatting>
  <conditionalFormatting sqref="G14:G15 G39 G40:H40 G41">
    <cfRule type="expression" dxfId="121" priority="45">
      <formula>$F14:$F47="No"</formula>
    </cfRule>
  </conditionalFormatting>
  <conditionalFormatting sqref="G15">
    <cfRule type="expression" dxfId="120" priority="38">
      <formula>$F$15="Yes"</formula>
    </cfRule>
  </conditionalFormatting>
  <conditionalFormatting sqref="G16">
    <cfRule type="expression" dxfId="119" priority="37">
      <formula>$F$16="Yes"</formula>
    </cfRule>
  </conditionalFormatting>
  <conditionalFormatting sqref="G17">
    <cfRule type="expression" dxfId="118" priority="36">
      <formula>$F$17="Yes"</formula>
    </cfRule>
  </conditionalFormatting>
  <conditionalFormatting sqref="G18">
    <cfRule type="expression" dxfId="117" priority="35">
      <formula>$F$18="Yes"</formula>
    </cfRule>
  </conditionalFormatting>
  <conditionalFormatting sqref="G19">
    <cfRule type="expression" dxfId="116" priority="34">
      <formula>$F$19="Yes"</formula>
    </cfRule>
  </conditionalFormatting>
  <conditionalFormatting sqref="G20">
    <cfRule type="expression" dxfId="115" priority="33" stopIfTrue="1">
      <formula>$F$20="Yes"</formula>
    </cfRule>
  </conditionalFormatting>
  <conditionalFormatting sqref="G21">
    <cfRule type="expression" dxfId="114" priority="16" stopIfTrue="1">
      <formula>$F$21="Yes"</formula>
    </cfRule>
  </conditionalFormatting>
  <conditionalFormatting sqref="G22">
    <cfRule type="expression" dxfId="113" priority="32">
      <formula>$F$22="Yes"</formula>
    </cfRule>
  </conditionalFormatting>
  <conditionalFormatting sqref="G23">
    <cfRule type="expression" dxfId="112" priority="15">
      <formula>$F$23="Yes"</formula>
    </cfRule>
  </conditionalFormatting>
  <conditionalFormatting sqref="G24">
    <cfRule type="expression" dxfId="111" priority="31">
      <formula>$F$24="Yes"</formula>
    </cfRule>
  </conditionalFormatting>
  <conditionalFormatting sqref="G25">
    <cfRule type="expression" dxfId="110" priority="30">
      <formula>$F$25="Yes"</formula>
    </cfRule>
  </conditionalFormatting>
  <conditionalFormatting sqref="G26">
    <cfRule type="expression" dxfId="109" priority="29">
      <formula>$F$26="Yes"</formula>
    </cfRule>
  </conditionalFormatting>
  <conditionalFormatting sqref="G27">
    <cfRule type="expression" dxfId="108" priority="27">
      <formula>$F$27="Yes"</formula>
    </cfRule>
  </conditionalFormatting>
  <conditionalFormatting sqref="G28">
    <cfRule type="expression" dxfId="107" priority="28">
      <formula>$F$28="Yes"</formula>
    </cfRule>
  </conditionalFormatting>
  <conditionalFormatting sqref="G29">
    <cfRule type="expression" dxfId="106" priority="26">
      <formula>$F$29="Yes"</formula>
    </cfRule>
  </conditionalFormatting>
  <conditionalFormatting sqref="G30">
    <cfRule type="expression" dxfId="105" priority="25">
      <formula>$F$30="Yes"</formula>
    </cfRule>
  </conditionalFormatting>
  <conditionalFormatting sqref="G31">
    <cfRule type="expression" dxfId="104" priority="13">
      <formula>$F$31="Yes"</formula>
    </cfRule>
  </conditionalFormatting>
  <conditionalFormatting sqref="G32">
    <cfRule type="expression" dxfId="103" priority="24">
      <formula>$F$32="Yes"</formula>
    </cfRule>
  </conditionalFormatting>
  <conditionalFormatting sqref="G32:G34 G35:H38">
    <cfRule type="expression" dxfId="102" priority="46">
      <formula>$F32:$F66="No"</formula>
    </cfRule>
  </conditionalFormatting>
  <conditionalFormatting sqref="G33">
    <cfRule type="expression" dxfId="101" priority="23">
      <formula>$F$33="Yes"</formula>
    </cfRule>
  </conditionalFormatting>
  <conditionalFormatting sqref="G34">
    <cfRule type="expression" dxfId="100" priority="22">
      <formula>$F$34="Yes"</formula>
    </cfRule>
  </conditionalFormatting>
  <conditionalFormatting sqref="G35">
    <cfRule type="expression" dxfId="99" priority="21">
      <formula>OR($F$35="Yes", $F$35="Yes - with older ILR learners")</formula>
    </cfRule>
  </conditionalFormatting>
  <conditionalFormatting sqref="G36">
    <cfRule type="expression" dxfId="98" priority="20">
      <formula>OR($F$36="Yes", $F$36="Yes - with older ILR learners")</formula>
    </cfRule>
  </conditionalFormatting>
  <conditionalFormatting sqref="G37">
    <cfRule type="expression" dxfId="97" priority="19">
      <formula>OR($F$37="Yes", $F$37="Yes - with older ILR learners")</formula>
    </cfRule>
  </conditionalFormatting>
  <conditionalFormatting sqref="G38">
    <cfRule type="expression" dxfId="96" priority="9">
      <formula>OR($F$38="Yes", $F$38="Yes - with older ILR learners")</formula>
    </cfRule>
  </conditionalFormatting>
  <conditionalFormatting sqref="G39">
    <cfRule type="expression" dxfId="95" priority="18">
      <formula>OR($F$39="Yes", $F$39="Yes - with older ILR learners")</formula>
    </cfRule>
  </conditionalFormatting>
  <conditionalFormatting sqref="G40">
    <cfRule type="expression" dxfId="94" priority="11">
      <formula>OR($F$40="Yes", $F$40="Yes - with older ILR learners")</formula>
    </cfRule>
  </conditionalFormatting>
  <conditionalFormatting sqref="G41">
    <cfRule type="expression" dxfId="93" priority="10">
      <formula>OR($F$41="Yes", $F$41="Yes - with older ILR learners")</formula>
    </cfRule>
  </conditionalFormatting>
  <conditionalFormatting sqref="G42">
    <cfRule type="expression" dxfId="92" priority="17">
      <formula>OR($F$42="Yes", $F$42="Yes - with older ILR learners")</formula>
    </cfRule>
  </conditionalFormatting>
  <conditionalFormatting sqref="G10:H11 G13">
    <cfRule type="expression" dxfId="91" priority="48">
      <formula>$F10:$F42="No"</formula>
    </cfRule>
  </conditionalFormatting>
  <conditionalFormatting sqref="G30:H31 G26:H26 G27:G29">
    <cfRule type="expression" dxfId="90" priority="14">
      <formula>$F26:$F61="No"</formula>
    </cfRule>
  </conditionalFormatting>
  <conditionalFormatting sqref="G42:H42">
    <cfRule type="expression" dxfId="89" priority="47">
      <formula>$F42:$F73="No"</formula>
    </cfRule>
  </conditionalFormatting>
  <conditionalFormatting sqref="H12">
    <cfRule type="expression" dxfId="88" priority="8">
      <formula>$F12:$F46="No"</formula>
    </cfRule>
  </conditionalFormatting>
  <conditionalFormatting sqref="H13">
    <cfRule type="expression" dxfId="87" priority="7">
      <formula>$F13:$F45="No"</formula>
    </cfRule>
  </conditionalFormatting>
  <conditionalFormatting sqref="H14:H18">
    <cfRule type="expression" dxfId="86" priority="6">
      <formula>$F14:$F47="No"</formula>
    </cfRule>
  </conditionalFormatting>
  <conditionalFormatting sqref="H27:H29">
    <cfRule type="expression" dxfId="85" priority="5">
      <formula>$F27:$F62="No"</formula>
    </cfRule>
  </conditionalFormatting>
  <conditionalFormatting sqref="H32:H34">
    <cfRule type="expression" dxfId="84" priority="4">
      <formula>$F32:$F66="No"</formula>
    </cfRule>
  </conditionalFormatting>
  <conditionalFormatting sqref="H39">
    <cfRule type="expression" dxfId="83" priority="1">
      <formula>$F39:$F73="No"</formula>
    </cfRule>
  </conditionalFormatting>
  <conditionalFormatting sqref="H41">
    <cfRule type="expression" dxfId="82" priority="2">
      <formula>$F41:$F75="No"</formula>
    </cfRule>
  </conditionalFormatting>
  <dataValidations count="5">
    <dataValidation type="list" allowBlank="1" showInputMessage="1" showErrorMessage="1" sqref="F21:F26 F10:F18" xr:uid="{CD3C5765-2311-4233-8B20-851DD3B1DF44}">
      <formula1>"Yes, No, Default Variables only"</formula1>
    </dataValidation>
    <dataValidation type="list" showInputMessage="1" showErrorMessage="1" sqref="F34" xr:uid="{C02778D4-360F-4FEF-9693-E60B028B4512}">
      <formula1>"Yes"</formula1>
    </dataValidation>
    <dataValidation type="list" allowBlank="1" showInputMessage="1" showErrorMessage="1" sqref="F27:F31 F19:F20 F38" xr:uid="{495A0830-B2AA-4EBE-BB00-166B9504D774}">
      <formula1>"Yes, No"</formula1>
    </dataValidation>
    <dataValidation type="list" showInputMessage="1" showErrorMessage="1" sqref="F32:F33" xr:uid="{EAA90BC9-34BB-408B-BDD4-59C2341F53DE}">
      <formula1>"Yes, Yes - with older ILR learners"</formula1>
    </dataValidation>
    <dataValidation type="list" allowBlank="1" showInputMessage="1" showErrorMessage="1" sqref="F35:F37 F39:F42" xr:uid="{666C582D-21CB-450A-97A5-B2D37E2AB082}">
      <formula1>"Yes, No, Yes - with older ILR learners"</formula1>
    </dataValidation>
  </dataValidations>
  <hyperlinks>
    <hyperlink ref="D10" location="'Data Tables'!A1" display="SC_Pupil 01-02 to 20-21 SUM" xr:uid="{FD457AAC-A93B-4D76-8F7A-D4F278E194B1}"/>
    <hyperlink ref="D27" location="LILR_Learners!A1" display="Learners " xr:uid="{401D52E5-2729-4F55-BF0E-D70AC798D8CD}"/>
    <hyperlink ref="D28" location="LILR_Aims!A1" display="Aims " xr:uid="{9F38D2CC-D8E9-4D04-A4F8-D8FA8A857A60}"/>
    <hyperlink ref="D29" location="LILR_LARS!A1" display="LARS" xr:uid="{F15037F4-4B29-4756-8A04-285407B2B20F}"/>
    <hyperlink ref="D32" location="EDUCATION_RECORDS_LOOKUP!A1" display="Resolved Education Records Lookup " xr:uid="{DEF7B52C-FBA5-4C6F-AD18-A8241F75A1B2}"/>
    <hyperlink ref="D33" location="'LEARNER_AE_ID_TO_EDUKEY_LOOKUP '!A1" display="Resolved Learner AE_ID To Edukey Lookup" xr:uid="{A28A02D7-EF52-4346-83C2-B0A478C695CB}"/>
    <hyperlink ref="D34" location="LEARNER_AE_ID_TO_PMR_LOOKUP!A1" display="Resolved Learner AE_ID To PMR Lookup " xr:uid="{FB3381F8-9C8E-4132-953E-1FA9B8D23508}"/>
    <hyperlink ref="D35" location="'Benefit_99-00_to_18-19'!A1" display="Benefit Spells table" xr:uid="{B4EF76B1-CEB6-4159-8BBD-38D3E07770E7}"/>
    <hyperlink ref="D36" location="'Employment_97-98_to_18-19'!A1" display="Employment Spells table" xr:uid="{1FA8B4F7-5106-4800-B228-F6809C7AF6ED}"/>
    <hyperlink ref="D37" location="'Earnings_03-04_to_18-19'!A1" display="Earnings table" xr:uid="{49CCC041-E450-4042-BD34-814D013F713D}"/>
    <hyperlink ref="D39" location="'SA_13-14_to_18-19'!A1" display="Self -assessment table" xr:uid="{3A8212EC-37F9-4856-BA65-1B3344268E07}"/>
    <hyperlink ref="D42" location="'Geography_04-05_to_18-19'!A1" display="Geography table " xr:uid="{EF27ADCF-3666-4C7B-9812-C9FEB2FDA921}"/>
    <hyperlink ref="D30" location="'Data Tables'!A1" display="HESA 04-05 to 19-20" xr:uid="{D0E4B478-97C4-404D-AA08-731B1C467B40}"/>
    <hyperlink ref="D11" location="'PRU_Census_09-10_to_12-13'!A1" display="PRU Census 09-10 to 12-13" xr:uid="{81FD61DB-8EA9-4814-9D14-805F24A2D1C8}"/>
    <hyperlink ref="D13" location="'Data Tables'!A1" display="Alt Provision 07-08 to 20-21" xr:uid="{EBBDDAF1-EC78-4F8D-BFC7-3D68A1E95827}"/>
    <hyperlink ref="D12" location="'Data Tables'!A1" display="EYFSP - 02-03 to 09-10" xr:uid="{9B11124A-4307-4E5E-AB4E-8C0565603853}"/>
    <hyperlink ref="D14" location="'Data Tables'!A1" display="KS1 - 97-98 to 11-12" xr:uid="{96137AF1-3EBC-4ECA-A3E7-99DC35911837}"/>
    <hyperlink ref="D15" location="'Data Tables'!A1" display="KS2 - 95-96 to 15-16" xr:uid="{52AAAA50-7714-4FEE-A5B7-0C91C5176C2A}"/>
    <hyperlink ref="D16" location="'KS3_97-98_to_12-13'!A1" display="KS3 97-98 to 12-13" xr:uid="{7551B995-AE0C-4E12-92F3-C274E949A3B5}"/>
    <hyperlink ref="D17" location="'Data Tables'!A1" display="KS4 01-02 to 20-21" xr:uid="{C33DA73B-B247-4B3D-818F-37E4C8D4A0BC}"/>
    <hyperlink ref="D18" location="'Data Tables'!A1" display="KS5 01-02 to 20-21" xr:uid="{0B4F8E16-0930-4EF5-A550-0CBAE9F07A21}"/>
    <hyperlink ref="D19" location="'Data Tables'!A1" display="CIN 08-09 to 20-21" xr:uid="{F23A1B2E-4A3A-491A-808C-604E7D234BD3}"/>
    <hyperlink ref="D20" location="'Data Tables'!A1" display="CLA 05-06 to 20-21" xr:uid="{3C1EF654-DF5C-4E8B-8277-A06024CB54F1}"/>
    <hyperlink ref="D21" location="'Data Tables'!A1" display="Absence 05-06 to 20-21" xr:uid="{0E589065-679B-438D-B868-EE23BB4D58E8}"/>
    <hyperlink ref="D22" location="'Exclusions_01-02_to_04-05'!A1" display="Exclusions 01-02 to 04-05" xr:uid="{B29AD253-3A20-4DAB-80DB-0F1AC0295D1C}"/>
    <hyperlink ref="D23" location="'Data Tables'!A1" display="Exclusions 05-06 to 19-20" xr:uid="{82CA4C0F-1047-436C-90FD-F64FF7CC7EEA}"/>
    <hyperlink ref="D24" location="'Data Tables'!A1" display="PLAMS 07-08 to 20-21" xr:uid="{5C39B157-1284-40F7-A5A8-67C43C0E0594}"/>
    <hyperlink ref="D25" location="'Data Tables'!A1" display="NCCIS 10-11 to 20-21" xr:uid="{3953A410-3AF1-4531-80D4-161F1226A2C4}"/>
    <hyperlink ref="D26" location="'Data Tables'!A1" display="YPMAD 20-21" xr:uid="{EC769C4A-43EE-400A-828A-0CA39BAD06BB}"/>
    <hyperlink ref="D31" location="UCAS_variables!A1" display="UCAS_Variables" xr:uid="{E94FEA7A-B9D0-4E6A-9941-87B3F0F4BD73}"/>
  </hyperlinks>
  <pageMargins left="0.7" right="0.7" top="0.75" bottom="0.75" header="0.3" footer="0.3"/>
  <pageSetup paperSize="9"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8A07B-806E-4AED-BA5F-1640DD56350B}">
  <dimension ref="A1:D42"/>
  <sheetViews>
    <sheetView workbookViewId="0">
      <selection activeCell="A32" sqref="A32:D32"/>
    </sheetView>
  </sheetViews>
  <sheetFormatPr defaultRowHeight="15"/>
  <cols>
    <col min="1" max="3" width="18" customWidth="1"/>
    <col min="4" max="4" width="70" customWidth="1"/>
  </cols>
  <sheetData>
    <row r="1" spans="1:4">
      <c r="A1" s="568" t="s">
        <v>116</v>
      </c>
      <c r="B1" s="568"/>
      <c r="C1" s="568"/>
      <c r="D1" s="569"/>
    </row>
    <row r="2" spans="1:4">
      <c r="A2" s="568"/>
      <c r="B2" s="568"/>
      <c r="C2" s="568"/>
      <c r="D2" s="569"/>
    </row>
    <row r="3" spans="1:4" ht="30" customHeight="1">
      <c r="A3" s="779" t="s">
        <v>117</v>
      </c>
      <c r="B3" s="779"/>
      <c r="C3" s="779"/>
      <c r="D3" s="779"/>
    </row>
    <row r="4" spans="1:4">
      <c r="A4" s="571"/>
      <c r="B4" s="572"/>
      <c r="C4" s="572"/>
      <c r="D4" s="570"/>
    </row>
    <row r="5" spans="1:4" ht="38.25">
      <c r="A5" s="573" t="s">
        <v>118</v>
      </c>
      <c r="B5" s="573" t="s">
        <v>119</v>
      </c>
      <c r="C5" s="573" t="s">
        <v>120</v>
      </c>
      <c r="D5" s="573" t="s">
        <v>121</v>
      </c>
    </row>
    <row r="6" spans="1:4">
      <c r="A6" s="780" t="s">
        <v>122</v>
      </c>
      <c r="B6" s="780" t="s">
        <v>12</v>
      </c>
      <c r="C6" s="575" t="s">
        <v>123</v>
      </c>
      <c r="D6" s="782" t="s">
        <v>124</v>
      </c>
    </row>
    <row r="7" spans="1:4">
      <c r="A7" s="781"/>
      <c r="B7" s="781"/>
      <c r="C7" s="576" t="s">
        <v>125</v>
      </c>
      <c r="D7" s="783"/>
    </row>
    <row r="8" spans="1:4">
      <c r="A8" s="780" t="s">
        <v>126</v>
      </c>
      <c r="B8" s="780" t="s">
        <v>12</v>
      </c>
      <c r="C8" s="575" t="s">
        <v>123</v>
      </c>
      <c r="D8" s="782" t="s">
        <v>124</v>
      </c>
    </row>
    <row r="9" spans="1:4">
      <c r="A9" s="781"/>
      <c r="B9" s="781"/>
      <c r="C9" s="576" t="s">
        <v>125</v>
      </c>
      <c r="D9" s="783"/>
    </row>
    <row r="10" spans="1:4">
      <c r="A10" s="780" t="s">
        <v>127</v>
      </c>
      <c r="B10" s="780" t="s">
        <v>12</v>
      </c>
      <c r="C10" s="575" t="s">
        <v>123</v>
      </c>
      <c r="D10" s="782" t="s">
        <v>128</v>
      </c>
    </row>
    <row r="11" spans="1:4">
      <c r="A11" s="784"/>
      <c r="B11" s="784"/>
      <c r="C11" s="577" t="s">
        <v>129</v>
      </c>
      <c r="D11" s="785"/>
    </row>
    <row r="12" spans="1:4">
      <c r="A12" s="781"/>
      <c r="B12" s="781"/>
      <c r="C12" s="576" t="s">
        <v>130</v>
      </c>
      <c r="D12" s="783"/>
    </row>
    <row r="13" spans="1:4">
      <c r="A13" s="786" t="s">
        <v>131</v>
      </c>
      <c r="B13" s="786" t="s">
        <v>12</v>
      </c>
      <c r="C13" s="578" t="s">
        <v>123</v>
      </c>
      <c r="D13" s="788" t="s">
        <v>132</v>
      </c>
    </row>
    <row r="14" spans="1:4">
      <c r="A14" s="787"/>
      <c r="B14" s="787"/>
      <c r="C14" s="579" t="s">
        <v>125</v>
      </c>
      <c r="D14" s="789"/>
    </row>
    <row r="15" spans="1:4">
      <c r="A15" s="786" t="s">
        <v>133</v>
      </c>
      <c r="B15" s="786" t="s">
        <v>12</v>
      </c>
      <c r="C15" s="578" t="s">
        <v>123</v>
      </c>
      <c r="D15" s="788" t="s">
        <v>132</v>
      </c>
    </row>
    <row r="16" spans="1:4">
      <c r="A16" s="787"/>
      <c r="B16" s="787"/>
      <c r="C16" s="579" t="s">
        <v>125</v>
      </c>
      <c r="D16" s="789"/>
    </row>
    <row r="17" spans="1:4">
      <c r="A17" s="574" t="s">
        <v>134</v>
      </c>
      <c r="B17" s="574" t="s">
        <v>14</v>
      </c>
      <c r="C17" s="574" t="s">
        <v>135</v>
      </c>
      <c r="D17" s="574" t="s">
        <v>135</v>
      </c>
    </row>
    <row r="18" spans="1:4">
      <c r="A18" s="574" t="s">
        <v>136</v>
      </c>
      <c r="B18" s="574" t="s">
        <v>14</v>
      </c>
      <c r="C18" s="574" t="s">
        <v>135</v>
      </c>
      <c r="D18" s="574" t="s">
        <v>135</v>
      </c>
    </row>
    <row r="19" spans="1:4">
      <c r="A19" s="574" t="s">
        <v>137</v>
      </c>
      <c r="B19" s="574" t="s">
        <v>14</v>
      </c>
      <c r="C19" s="574" t="s">
        <v>135</v>
      </c>
      <c r="D19" s="574" t="s">
        <v>135</v>
      </c>
    </row>
    <row r="20" spans="1:4">
      <c r="A20" s="574" t="s">
        <v>138</v>
      </c>
      <c r="B20" s="574" t="s">
        <v>14</v>
      </c>
      <c r="C20" s="574" t="s">
        <v>135</v>
      </c>
      <c r="D20" s="574" t="s">
        <v>135</v>
      </c>
    </row>
    <row r="21" spans="1:4">
      <c r="A21" s="574" t="s">
        <v>139</v>
      </c>
      <c r="B21" s="574" t="s">
        <v>12</v>
      </c>
      <c r="C21" s="574" t="s">
        <v>140</v>
      </c>
      <c r="D21" s="580" t="s">
        <v>141</v>
      </c>
    </row>
    <row r="22" spans="1:4">
      <c r="A22" s="574" t="s">
        <v>142</v>
      </c>
      <c r="B22" s="574" t="s">
        <v>14</v>
      </c>
      <c r="C22" s="574" t="s">
        <v>135</v>
      </c>
      <c r="D22" s="574" t="s">
        <v>135</v>
      </c>
    </row>
    <row r="23" spans="1:4" ht="27">
      <c r="A23" s="574" t="s">
        <v>143</v>
      </c>
      <c r="B23" s="574" t="s">
        <v>12</v>
      </c>
      <c r="C23" s="574" t="s">
        <v>140</v>
      </c>
      <c r="D23" s="580" t="s">
        <v>144</v>
      </c>
    </row>
    <row r="24" spans="1:4">
      <c r="A24" s="581" t="s">
        <v>145</v>
      </c>
      <c r="B24" s="581" t="s">
        <v>14</v>
      </c>
      <c r="C24" s="581" t="s">
        <v>135</v>
      </c>
      <c r="D24" s="581" t="s">
        <v>135</v>
      </c>
    </row>
    <row r="25" spans="1:4">
      <c r="A25" s="581" t="s">
        <v>146</v>
      </c>
      <c r="B25" s="581" t="s">
        <v>14</v>
      </c>
      <c r="C25" s="582" t="s">
        <v>135</v>
      </c>
      <c r="D25" s="581" t="s">
        <v>135</v>
      </c>
    </row>
    <row r="26" spans="1:4">
      <c r="A26" s="574" t="s">
        <v>147</v>
      </c>
      <c r="B26" s="574" t="s">
        <v>14</v>
      </c>
      <c r="C26" s="574" t="s">
        <v>135</v>
      </c>
      <c r="D26" s="574" t="s">
        <v>135</v>
      </c>
    </row>
    <row r="27" spans="1:4">
      <c r="A27" s="574" t="s">
        <v>148</v>
      </c>
      <c r="B27" s="574" t="s">
        <v>14</v>
      </c>
      <c r="C27" s="574" t="s">
        <v>135</v>
      </c>
      <c r="D27" s="574" t="s">
        <v>135</v>
      </c>
    </row>
    <row r="28" spans="1:4">
      <c r="A28" s="572"/>
      <c r="B28" s="572"/>
      <c r="C28" s="572"/>
      <c r="D28" s="570"/>
    </row>
    <row r="29" spans="1:4" ht="47.25" customHeight="1">
      <c r="A29" s="790" t="s">
        <v>149</v>
      </c>
      <c r="B29" s="790"/>
      <c r="C29" s="790"/>
      <c r="D29" s="790"/>
    </row>
    <row r="30" spans="1:4">
      <c r="A30" s="584" t="s">
        <v>150</v>
      </c>
      <c r="B30" s="585"/>
      <c r="C30" s="585"/>
      <c r="D30" s="586"/>
    </row>
    <row r="31" spans="1:4">
      <c r="A31" s="571"/>
      <c r="B31" s="568"/>
      <c r="C31" s="568"/>
      <c r="D31" s="569"/>
    </row>
    <row r="32" spans="1:4" ht="31.5" customHeight="1">
      <c r="A32" s="790" t="s">
        <v>151</v>
      </c>
      <c r="B32" s="790"/>
      <c r="C32" s="790"/>
      <c r="D32" s="790"/>
    </row>
    <row r="33" spans="1:4">
      <c r="A33" s="584" t="s">
        <v>152</v>
      </c>
      <c r="B33" s="587"/>
      <c r="C33" s="587"/>
      <c r="D33" s="583"/>
    </row>
    <row r="34" spans="1:4">
      <c r="A34" s="572"/>
      <c r="B34" s="572"/>
      <c r="C34" s="572"/>
      <c r="D34" s="570"/>
    </row>
    <row r="35" spans="1:4" ht="87.75" customHeight="1">
      <c r="A35" s="790" t="s">
        <v>153</v>
      </c>
      <c r="B35" s="790"/>
      <c r="C35" s="790"/>
      <c r="D35" s="790"/>
    </row>
    <row r="36" spans="1:4">
      <c r="A36" s="790"/>
      <c r="B36" s="790"/>
      <c r="C36" s="790"/>
      <c r="D36" s="790"/>
    </row>
    <row r="37" spans="1:4" ht="83.25" customHeight="1">
      <c r="A37" s="790" t="s">
        <v>154</v>
      </c>
      <c r="B37" s="790"/>
      <c r="C37" s="790"/>
      <c r="D37" s="790"/>
    </row>
    <row r="38" spans="1:4" ht="21.75" customHeight="1">
      <c r="A38" s="790" t="s">
        <v>155</v>
      </c>
      <c r="B38" s="790"/>
      <c r="C38" s="790"/>
      <c r="D38" s="790"/>
    </row>
    <row r="39" spans="1:4">
      <c r="A39" s="572"/>
      <c r="B39" s="572"/>
      <c r="C39" s="572"/>
      <c r="D39" s="570"/>
    </row>
    <row r="40" spans="1:4" ht="72.75" customHeight="1">
      <c r="A40" s="790" t="s">
        <v>156</v>
      </c>
      <c r="B40" s="790"/>
      <c r="C40" s="790"/>
      <c r="D40" s="790"/>
    </row>
    <row r="41" spans="1:4">
      <c r="A41" s="790"/>
      <c r="B41" s="790"/>
      <c r="C41" s="790"/>
      <c r="D41" s="790"/>
    </row>
    <row r="42" spans="1:4" ht="82.5" customHeight="1">
      <c r="A42" s="790" t="s">
        <v>157</v>
      </c>
      <c r="B42" s="790"/>
      <c r="C42" s="790"/>
      <c r="D42" s="790"/>
    </row>
  </sheetData>
  <mergeCells count="25">
    <mergeCell ref="A15:A16"/>
    <mergeCell ref="B15:B16"/>
    <mergeCell ref="D15:D16"/>
    <mergeCell ref="A42:D42"/>
    <mergeCell ref="A29:D29"/>
    <mergeCell ref="A32:D32"/>
    <mergeCell ref="A35:D35"/>
    <mergeCell ref="A36:D36"/>
    <mergeCell ref="A37:D37"/>
    <mergeCell ref="A38:D38"/>
    <mergeCell ref="A40:D40"/>
    <mergeCell ref="A41:D41"/>
    <mergeCell ref="A10:A12"/>
    <mergeCell ref="B10:B12"/>
    <mergeCell ref="D10:D12"/>
    <mergeCell ref="A13:A14"/>
    <mergeCell ref="B13:B14"/>
    <mergeCell ref="D13:D14"/>
    <mergeCell ref="A3:D3"/>
    <mergeCell ref="A6:A7"/>
    <mergeCell ref="B6:B7"/>
    <mergeCell ref="D6:D7"/>
    <mergeCell ref="A8:A9"/>
    <mergeCell ref="B8:B9"/>
    <mergeCell ref="D8:D9"/>
  </mergeCells>
  <hyperlinks>
    <hyperlink ref="A30" r:id="rId1" xr:uid="{C1924B82-2A76-4978-B597-ABE5D0BF0FBE}"/>
    <hyperlink ref="A33" r:id="rId2" xr:uid="{2AD9A1CB-8207-4EDD-A07F-7080D044A22C}"/>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R123"/>
  <sheetViews>
    <sheetView showGridLines="0" topLeftCell="A75" zoomScaleNormal="100" workbookViewId="0">
      <pane xSplit="6" topLeftCell="M1" activePane="topRight" state="frozen"/>
      <selection pane="topRight" activeCell="R58" sqref="R58"/>
    </sheetView>
  </sheetViews>
  <sheetFormatPr defaultColWidth="9" defaultRowHeight="11.25"/>
  <cols>
    <col min="1" max="1" width="21" style="56" customWidth="1"/>
    <col min="2" max="2" width="9" style="56" customWidth="1"/>
    <col min="3" max="3" width="8.28515625" style="56" customWidth="1"/>
    <col min="4" max="4" width="11.85546875" style="56" hidden="1" customWidth="1"/>
    <col min="5" max="5" width="8.28515625" style="56" hidden="1" customWidth="1"/>
    <col min="6" max="6" width="19.28515625" style="453" customWidth="1"/>
    <col min="7" max="7" width="55.7109375" style="56" customWidth="1"/>
    <col min="8" max="8" width="9.28515625" style="56" bestFit="1" customWidth="1"/>
    <col min="9" max="10" width="11.28515625" style="56" customWidth="1"/>
    <col min="11" max="11" width="16" style="56" customWidth="1"/>
    <col min="12" max="12" width="11" style="56" bestFit="1" customWidth="1"/>
    <col min="13" max="13" width="8" style="453" customWidth="1"/>
    <col min="14" max="14" width="12.85546875" style="57" customWidth="1"/>
    <col min="15" max="15" width="12.85546875" style="56" customWidth="1"/>
    <col min="16" max="16" width="15" style="56" bestFit="1" customWidth="1"/>
    <col min="17" max="17" width="16.42578125" style="305" customWidth="1"/>
    <col min="18" max="18" width="28.7109375" style="454" customWidth="1"/>
    <col min="19" max="19" width="19.42578125" style="48" customWidth="1"/>
    <col min="20" max="21" width="16.28515625" style="48" bestFit="1" customWidth="1"/>
    <col min="22" max="23" width="9" style="48"/>
    <col min="24" max="24" width="14.28515625" style="48" customWidth="1"/>
    <col min="25" max="30" width="9" style="48"/>
    <col min="31" max="31" width="27.5703125" style="48" customWidth="1"/>
    <col min="32" max="32" width="22.5703125" style="48" customWidth="1"/>
    <col min="33" max="33" width="25" style="48" customWidth="1"/>
    <col min="34" max="34" width="20.28515625" style="48" customWidth="1"/>
    <col min="35" max="35" width="30" style="48" bestFit="1" customWidth="1"/>
    <col min="36" max="36" width="19.28515625" style="48" customWidth="1"/>
    <col min="37" max="37" width="17.5703125" style="48" customWidth="1"/>
    <col min="38" max="38" width="21" style="48" customWidth="1"/>
    <col min="39" max="16384" width="9" style="48"/>
  </cols>
  <sheetData>
    <row r="1" spans="1:18" ht="51">
      <c r="A1" s="316" t="s">
        <v>158</v>
      </c>
      <c r="L1" s="453"/>
      <c r="M1" s="57"/>
      <c r="N1" s="56"/>
      <c r="P1" s="305"/>
      <c r="Q1" s="454"/>
      <c r="R1" s="48"/>
    </row>
    <row r="2" spans="1:18" ht="12.75">
      <c r="A2" s="316"/>
      <c r="L2" s="453"/>
      <c r="M2" s="57"/>
      <c r="N2" s="56"/>
      <c r="P2" s="305"/>
      <c r="Q2" s="454"/>
      <c r="R2" s="48"/>
    </row>
    <row r="3" spans="1:18" ht="25.5">
      <c r="A3" s="287" t="s">
        <v>159</v>
      </c>
      <c r="L3" s="453"/>
      <c r="M3" s="57"/>
      <c r="N3" s="56"/>
      <c r="P3" s="305"/>
      <c r="Q3" s="454"/>
      <c r="R3" s="48"/>
    </row>
    <row r="4" spans="1:18" ht="12.75">
      <c r="A4" s="287"/>
      <c r="L4" s="453"/>
      <c r="M4" s="57"/>
      <c r="N4" s="56"/>
      <c r="P4" s="305"/>
      <c r="Q4" s="454"/>
      <c r="R4" s="48"/>
    </row>
    <row r="5" spans="1:18" ht="12.75">
      <c r="A5" s="55" t="s">
        <v>160</v>
      </c>
      <c r="L5" s="42"/>
      <c r="M5" s="57"/>
      <c r="N5" s="56"/>
      <c r="P5" s="305"/>
      <c r="Q5" s="454"/>
      <c r="R5" s="48"/>
    </row>
    <row r="6" spans="1:18" ht="12.75">
      <c r="A6" s="55" t="s">
        <v>161</v>
      </c>
      <c r="G6" s="604"/>
      <c r="M6" s="42"/>
    </row>
    <row r="7" spans="1:18" ht="12.75">
      <c r="A7" s="55" t="s">
        <v>162</v>
      </c>
      <c r="G7" s="604"/>
      <c r="M7" s="42"/>
    </row>
    <row r="8" spans="1:18" ht="12.75">
      <c r="A8" s="55" t="s">
        <v>163</v>
      </c>
      <c r="G8" s="604"/>
      <c r="M8" s="42"/>
    </row>
    <row r="9" spans="1:18" ht="12.75">
      <c r="A9" s="55"/>
      <c r="G9" s="604"/>
      <c r="M9" s="42"/>
    </row>
    <row r="10" spans="1:18" ht="12.75">
      <c r="A10" s="55" t="s">
        <v>164</v>
      </c>
      <c r="G10" s="604"/>
      <c r="M10" s="42"/>
    </row>
    <row r="11" spans="1:18" ht="12.75">
      <c r="G11" s="604"/>
      <c r="M11" s="42"/>
    </row>
    <row r="12" spans="1:18" ht="33.75">
      <c r="A12" s="58" t="s">
        <v>165</v>
      </c>
      <c r="B12" s="58" t="s">
        <v>166</v>
      </c>
      <c r="C12" s="58" t="s">
        <v>167</v>
      </c>
      <c r="D12" s="58" t="s">
        <v>168</v>
      </c>
      <c r="E12" s="58" t="s">
        <v>169</v>
      </c>
      <c r="F12" s="58" t="s">
        <v>170</v>
      </c>
      <c r="G12" s="58" t="s">
        <v>20</v>
      </c>
      <c r="H12" s="58" t="s">
        <v>171</v>
      </c>
      <c r="I12" s="58" t="s">
        <v>172</v>
      </c>
      <c r="J12" s="58" t="s">
        <v>173</v>
      </c>
      <c r="K12" s="58" t="s">
        <v>174</v>
      </c>
      <c r="L12" s="58" t="s">
        <v>175</v>
      </c>
      <c r="M12" s="59" t="s">
        <v>176</v>
      </c>
      <c r="N12" s="60" t="s">
        <v>177</v>
      </c>
      <c r="O12" s="60" t="s">
        <v>178</v>
      </c>
      <c r="P12" s="60" t="s">
        <v>179</v>
      </c>
      <c r="Q12" s="291" t="s">
        <v>180</v>
      </c>
      <c r="R12" s="379" t="s">
        <v>181</v>
      </c>
    </row>
    <row r="13" spans="1:18" ht="78.75">
      <c r="A13" s="63" t="s">
        <v>182</v>
      </c>
      <c r="B13" s="63" t="s">
        <v>183</v>
      </c>
      <c r="C13" s="63" t="s">
        <v>184</v>
      </c>
      <c r="D13" s="63" t="s">
        <v>185</v>
      </c>
      <c r="E13" s="63"/>
      <c r="F13" s="455" t="s">
        <v>186</v>
      </c>
      <c r="G13" s="63" t="s">
        <v>187</v>
      </c>
      <c r="H13" s="63" t="s">
        <v>188</v>
      </c>
      <c r="I13" s="63" t="s">
        <v>189</v>
      </c>
      <c r="J13" s="63" t="s">
        <v>190</v>
      </c>
      <c r="K13" s="63"/>
      <c r="L13" s="63" t="s">
        <v>191</v>
      </c>
      <c r="M13" s="256">
        <v>4</v>
      </c>
      <c r="N13" s="65" t="s">
        <v>12</v>
      </c>
      <c r="O13" s="65">
        <v>5</v>
      </c>
      <c r="P13" s="215" t="s">
        <v>192</v>
      </c>
      <c r="Q13" s="298" t="s">
        <v>12</v>
      </c>
      <c r="R13" s="456" t="s">
        <v>186</v>
      </c>
    </row>
    <row r="14" spans="1:18" ht="33.75">
      <c r="A14" s="63" t="s">
        <v>193</v>
      </c>
      <c r="B14" s="63" t="s">
        <v>194</v>
      </c>
      <c r="C14" s="63" t="s">
        <v>195</v>
      </c>
      <c r="D14" s="63" t="s">
        <v>185</v>
      </c>
      <c r="E14" s="63" t="s">
        <v>196</v>
      </c>
      <c r="F14" s="455" t="s">
        <v>186</v>
      </c>
      <c r="G14" s="63" t="s">
        <v>197</v>
      </c>
      <c r="H14" s="63" t="s">
        <v>198</v>
      </c>
      <c r="I14" s="63"/>
      <c r="J14" s="63" t="s">
        <v>190</v>
      </c>
      <c r="K14" s="63"/>
      <c r="L14" s="63" t="s">
        <v>191</v>
      </c>
      <c r="M14" s="256">
        <v>2</v>
      </c>
      <c r="N14" s="65" t="s">
        <v>12</v>
      </c>
      <c r="O14" s="65">
        <v>5</v>
      </c>
      <c r="P14" s="65" t="s">
        <v>199</v>
      </c>
      <c r="Q14" s="298" t="s">
        <v>12</v>
      </c>
      <c r="R14" s="456" t="s">
        <v>186</v>
      </c>
    </row>
    <row r="15" spans="1:18" ht="45">
      <c r="A15" s="63" t="s">
        <v>200</v>
      </c>
      <c r="B15" s="63" t="s">
        <v>201</v>
      </c>
      <c r="C15" s="63" t="s">
        <v>202</v>
      </c>
      <c r="D15" s="63" t="s">
        <v>185</v>
      </c>
      <c r="E15" s="63" t="s">
        <v>196</v>
      </c>
      <c r="F15" s="455" t="s">
        <v>186</v>
      </c>
      <c r="G15" s="63" t="s">
        <v>203</v>
      </c>
      <c r="H15" s="63" t="s">
        <v>204</v>
      </c>
      <c r="I15" s="63" t="s">
        <v>205</v>
      </c>
      <c r="J15" s="63" t="s">
        <v>190</v>
      </c>
      <c r="K15" s="63"/>
      <c r="L15" s="63" t="s">
        <v>191</v>
      </c>
      <c r="M15" s="256">
        <v>2</v>
      </c>
      <c r="N15" s="65" t="s">
        <v>12</v>
      </c>
      <c r="O15" s="65">
        <v>5</v>
      </c>
      <c r="P15" s="65" t="s">
        <v>199</v>
      </c>
      <c r="Q15" s="298" t="s">
        <v>12</v>
      </c>
      <c r="R15" s="456" t="s">
        <v>186</v>
      </c>
    </row>
    <row r="16" spans="1:18" ht="22.5">
      <c r="A16" s="63" t="s">
        <v>206</v>
      </c>
      <c r="B16" s="63" t="s">
        <v>207</v>
      </c>
      <c r="C16" s="63" t="s">
        <v>208</v>
      </c>
      <c r="D16" s="63" t="s">
        <v>185</v>
      </c>
      <c r="E16" s="63" t="s">
        <v>196</v>
      </c>
      <c r="F16" s="455" t="s">
        <v>186</v>
      </c>
      <c r="G16" s="63" t="s">
        <v>209</v>
      </c>
      <c r="H16" s="63" t="s">
        <v>198</v>
      </c>
      <c r="I16" s="63"/>
      <c r="J16" s="63" t="s">
        <v>190</v>
      </c>
      <c r="K16" s="63"/>
      <c r="L16" s="63" t="s">
        <v>191</v>
      </c>
      <c r="M16" s="256">
        <v>2</v>
      </c>
      <c r="N16" s="65" t="s">
        <v>12</v>
      </c>
      <c r="O16" s="65">
        <v>5</v>
      </c>
      <c r="P16" s="65" t="s">
        <v>199</v>
      </c>
      <c r="Q16" s="298" t="s">
        <v>12</v>
      </c>
      <c r="R16" s="456" t="s">
        <v>186</v>
      </c>
    </row>
    <row r="17" spans="1:18" ht="22.5">
      <c r="A17" s="63" t="s">
        <v>210</v>
      </c>
      <c r="B17" s="63" t="s">
        <v>211</v>
      </c>
      <c r="C17" s="63" t="s">
        <v>212</v>
      </c>
      <c r="D17" s="63" t="s">
        <v>185</v>
      </c>
      <c r="E17" s="63" t="s">
        <v>196</v>
      </c>
      <c r="F17" s="455" t="s">
        <v>186</v>
      </c>
      <c r="G17" s="63" t="s">
        <v>213</v>
      </c>
      <c r="H17" s="63" t="s">
        <v>204</v>
      </c>
      <c r="I17" s="63" t="s">
        <v>214</v>
      </c>
      <c r="J17" s="63" t="s">
        <v>190</v>
      </c>
      <c r="K17" s="63"/>
      <c r="L17" s="63" t="s">
        <v>191</v>
      </c>
      <c r="M17" s="256">
        <v>2</v>
      </c>
      <c r="N17" s="65" t="s">
        <v>12</v>
      </c>
      <c r="O17" s="65">
        <v>5</v>
      </c>
      <c r="P17" s="65" t="s">
        <v>199</v>
      </c>
      <c r="Q17" s="298" t="s">
        <v>12</v>
      </c>
      <c r="R17" s="456" t="s">
        <v>186</v>
      </c>
    </row>
    <row r="18" spans="1:18" ht="56.25">
      <c r="A18" s="43" t="s">
        <v>215</v>
      </c>
      <c r="B18" s="43" t="s">
        <v>216</v>
      </c>
      <c r="C18" s="63" t="s">
        <v>217</v>
      </c>
      <c r="D18" s="63" t="s">
        <v>185</v>
      </c>
      <c r="E18" s="63"/>
      <c r="F18" s="455" t="s">
        <v>218</v>
      </c>
      <c r="G18" s="63" t="s">
        <v>219</v>
      </c>
      <c r="H18" s="63" t="s">
        <v>204</v>
      </c>
      <c r="I18" s="63" t="s">
        <v>220</v>
      </c>
      <c r="J18" s="63" t="s">
        <v>221</v>
      </c>
      <c r="K18" s="63"/>
      <c r="L18" s="63" t="s">
        <v>191</v>
      </c>
      <c r="M18" s="256">
        <v>1</v>
      </c>
      <c r="N18" s="65" t="s">
        <v>14</v>
      </c>
      <c r="O18" s="65">
        <v>4</v>
      </c>
      <c r="P18" s="65" t="s">
        <v>222</v>
      </c>
      <c r="Q18" s="298" t="s">
        <v>12</v>
      </c>
      <c r="R18" s="456" t="s">
        <v>218</v>
      </c>
    </row>
    <row r="19" spans="1:18" ht="409.5">
      <c r="A19" s="63" t="s">
        <v>223</v>
      </c>
      <c r="B19" s="63" t="s">
        <v>224</v>
      </c>
      <c r="C19" s="63" t="s">
        <v>225</v>
      </c>
      <c r="D19" s="63" t="s">
        <v>185</v>
      </c>
      <c r="E19" s="63"/>
      <c r="F19" s="455" t="s">
        <v>226</v>
      </c>
      <c r="G19" s="63" t="s">
        <v>227</v>
      </c>
      <c r="H19" s="63" t="s">
        <v>204</v>
      </c>
      <c r="I19" s="63" t="s">
        <v>228</v>
      </c>
      <c r="J19" s="63" t="s">
        <v>221</v>
      </c>
      <c r="K19" s="63"/>
      <c r="L19" s="63" t="s">
        <v>191</v>
      </c>
      <c r="M19" s="256">
        <v>2</v>
      </c>
      <c r="N19" s="65" t="s">
        <v>12</v>
      </c>
      <c r="O19" s="65">
        <v>4</v>
      </c>
      <c r="P19" s="65" t="s">
        <v>222</v>
      </c>
      <c r="Q19" s="298" t="s">
        <v>12</v>
      </c>
      <c r="R19" s="456" t="s">
        <v>226</v>
      </c>
    </row>
    <row r="20" spans="1:18" ht="409.5">
      <c r="A20" s="63" t="s">
        <v>229</v>
      </c>
      <c r="B20" s="63" t="s">
        <v>230</v>
      </c>
      <c r="C20" s="63" t="s">
        <v>225</v>
      </c>
      <c r="D20" s="63" t="s">
        <v>185</v>
      </c>
      <c r="E20" s="63"/>
      <c r="F20" s="455" t="s">
        <v>231</v>
      </c>
      <c r="G20" s="63" t="s">
        <v>232</v>
      </c>
      <c r="H20" s="63" t="s">
        <v>204</v>
      </c>
      <c r="I20" s="63" t="s">
        <v>233</v>
      </c>
      <c r="J20" s="63" t="s">
        <v>221</v>
      </c>
      <c r="K20" s="63"/>
      <c r="L20" s="63" t="s">
        <v>191</v>
      </c>
      <c r="M20" s="256">
        <v>2</v>
      </c>
      <c r="N20" s="65" t="s">
        <v>12</v>
      </c>
      <c r="O20" s="65">
        <v>4</v>
      </c>
      <c r="P20" s="65" t="s">
        <v>222</v>
      </c>
      <c r="Q20" s="298" t="s">
        <v>12</v>
      </c>
      <c r="R20" s="456" t="s">
        <v>231</v>
      </c>
    </row>
    <row r="21" spans="1:18" ht="123.75">
      <c r="A21" s="63" t="s">
        <v>234</v>
      </c>
      <c r="B21" s="63" t="s">
        <v>235</v>
      </c>
      <c r="C21" s="63" t="s">
        <v>236</v>
      </c>
      <c r="D21" s="63" t="s">
        <v>185</v>
      </c>
      <c r="E21" s="63"/>
      <c r="F21" s="455" t="s">
        <v>231</v>
      </c>
      <c r="G21" s="63" t="s">
        <v>237</v>
      </c>
      <c r="H21" s="63" t="s">
        <v>204</v>
      </c>
      <c r="I21" s="63" t="s">
        <v>238</v>
      </c>
      <c r="J21" s="63" t="s">
        <v>221</v>
      </c>
      <c r="K21" s="63"/>
      <c r="L21" s="63" t="s">
        <v>191</v>
      </c>
      <c r="M21" s="256">
        <v>2</v>
      </c>
      <c r="N21" s="65" t="s">
        <v>12</v>
      </c>
      <c r="O21" s="65">
        <v>5</v>
      </c>
      <c r="P21" s="65" t="s">
        <v>222</v>
      </c>
      <c r="Q21" s="298" t="s">
        <v>12</v>
      </c>
      <c r="R21" s="456" t="s">
        <v>231</v>
      </c>
    </row>
    <row r="22" spans="1:18" ht="135">
      <c r="A22" s="63" t="s">
        <v>239</v>
      </c>
      <c r="B22" s="63" t="s">
        <v>240</v>
      </c>
      <c r="C22" s="63" t="s">
        <v>241</v>
      </c>
      <c r="D22" s="63" t="s">
        <v>242</v>
      </c>
      <c r="E22" s="63"/>
      <c r="F22" s="455" t="s">
        <v>243</v>
      </c>
      <c r="G22" s="63" t="s">
        <v>244</v>
      </c>
      <c r="H22" s="63" t="s">
        <v>204</v>
      </c>
      <c r="I22" s="63" t="s">
        <v>245</v>
      </c>
      <c r="J22" s="63" t="s">
        <v>221</v>
      </c>
      <c r="K22" s="63"/>
      <c r="L22" s="63" t="s">
        <v>191</v>
      </c>
      <c r="M22" s="256">
        <v>1</v>
      </c>
      <c r="N22" s="65" t="s">
        <v>14</v>
      </c>
      <c r="O22" s="65">
        <v>5</v>
      </c>
      <c r="P22" s="65" t="s">
        <v>199</v>
      </c>
      <c r="Q22" s="298" t="s">
        <v>12</v>
      </c>
      <c r="R22" s="456" t="s">
        <v>243</v>
      </c>
    </row>
    <row r="23" spans="1:18" ht="101.25">
      <c r="A23" s="63" t="s">
        <v>246</v>
      </c>
      <c r="B23" s="63" t="s">
        <v>247</v>
      </c>
      <c r="C23" s="63" t="s">
        <v>248</v>
      </c>
      <c r="D23" s="63" t="s">
        <v>185</v>
      </c>
      <c r="E23" s="63"/>
      <c r="F23" s="455" t="s">
        <v>218</v>
      </c>
      <c r="G23" s="63" t="s">
        <v>249</v>
      </c>
      <c r="H23" s="63" t="s">
        <v>188</v>
      </c>
      <c r="I23" s="63" t="s">
        <v>250</v>
      </c>
      <c r="J23" s="63" t="s">
        <v>190</v>
      </c>
      <c r="K23" s="63"/>
      <c r="L23" s="63" t="s">
        <v>191</v>
      </c>
      <c r="M23" s="256">
        <v>2</v>
      </c>
      <c r="N23" s="65" t="s">
        <v>12</v>
      </c>
      <c r="O23" s="65">
        <v>5</v>
      </c>
      <c r="P23" s="65" t="s">
        <v>192</v>
      </c>
      <c r="Q23" s="298" t="s">
        <v>12</v>
      </c>
      <c r="R23" s="456" t="s">
        <v>218</v>
      </c>
    </row>
    <row r="24" spans="1:18" ht="45">
      <c r="A24" s="63" t="s">
        <v>251</v>
      </c>
      <c r="B24" s="457" t="s">
        <v>252</v>
      </c>
      <c r="C24" s="63"/>
      <c r="D24" s="63" t="s">
        <v>185</v>
      </c>
      <c r="E24" s="63"/>
      <c r="F24" s="455" t="s">
        <v>253</v>
      </c>
      <c r="G24" s="43" t="s">
        <v>254</v>
      </c>
      <c r="H24" s="63" t="s">
        <v>188</v>
      </c>
      <c r="I24" s="63" t="s">
        <v>250</v>
      </c>
      <c r="J24" s="63" t="s">
        <v>221</v>
      </c>
      <c r="K24" s="63"/>
      <c r="L24" s="63" t="s">
        <v>191</v>
      </c>
      <c r="M24" s="256">
        <v>2</v>
      </c>
      <c r="N24" s="65" t="s">
        <v>12</v>
      </c>
      <c r="O24" s="65">
        <v>5</v>
      </c>
      <c r="P24" s="65" t="s">
        <v>192</v>
      </c>
      <c r="Q24" s="298" t="s">
        <v>14</v>
      </c>
      <c r="R24" s="456"/>
    </row>
    <row r="25" spans="1:18" ht="45">
      <c r="A25" s="63" t="s">
        <v>255</v>
      </c>
      <c r="B25" s="457" t="s">
        <v>256</v>
      </c>
      <c r="C25" s="63"/>
      <c r="D25" s="63" t="s">
        <v>185</v>
      </c>
      <c r="E25" s="63"/>
      <c r="F25" s="455" t="s">
        <v>257</v>
      </c>
      <c r="G25" s="43" t="s">
        <v>258</v>
      </c>
      <c r="H25" s="63" t="s">
        <v>188</v>
      </c>
      <c r="I25" s="63" t="s">
        <v>250</v>
      </c>
      <c r="J25" s="63" t="s">
        <v>221</v>
      </c>
      <c r="K25" s="63"/>
      <c r="L25" s="63" t="s">
        <v>191</v>
      </c>
      <c r="M25" s="256">
        <v>2</v>
      </c>
      <c r="N25" s="65" t="s">
        <v>12</v>
      </c>
      <c r="O25" s="65">
        <v>5</v>
      </c>
      <c r="P25" s="65" t="s">
        <v>192</v>
      </c>
      <c r="Q25" s="298" t="s">
        <v>14</v>
      </c>
      <c r="R25" s="456"/>
    </row>
    <row r="26" spans="1:18" ht="56.25">
      <c r="A26" s="63" t="s">
        <v>259</v>
      </c>
      <c r="B26" s="457" t="s">
        <v>260</v>
      </c>
      <c r="C26" s="63"/>
      <c r="D26" s="63" t="s">
        <v>185</v>
      </c>
      <c r="E26" s="63"/>
      <c r="F26" s="455" t="s">
        <v>261</v>
      </c>
      <c r="G26" s="43" t="s">
        <v>262</v>
      </c>
      <c r="H26" s="63" t="s">
        <v>188</v>
      </c>
      <c r="I26" s="63" t="s">
        <v>250</v>
      </c>
      <c r="J26" s="63" t="s">
        <v>221</v>
      </c>
      <c r="K26" s="63"/>
      <c r="L26" s="63" t="s">
        <v>191</v>
      </c>
      <c r="M26" s="256">
        <v>2</v>
      </c>
      <c r="N26" s="65" t="s">
        <v>12</v>
      </c>
      <c r="O26" s="65">
        <v>5</v>
      </c>
      <c r="P26" s="65" t="s">
        <v>192</v>
      </c>
      <c r="Q26" s="298" t="s">
        <v>14</v>
      </c>
      <c r="R26" s="456"/>
    </row>
    <row r="27" spans="1:18" ht="33.75">
      <c r="A27" s="63" t="s">
        <v>263</v>
      </c>
      <c r="B27" s="457" t="s">
        <v>264</v>
      </c>
      <c r="C27" s="63"/>
      <c r="D27" s="63" t="s">
        <v>185</v>
      </c>
      <c r="E27" s="63"/>
      <c r="F27" s="455" t="s">
        <v>253</v>
      </c>
      <c r="G27" s="43" t="s">
        <v>265</v>
      </c>
      <c r="H27" s="63" t="s">
        <v>188</v>
      </c>
      <c r="I27" s="63" t="s">
        <v>250</v>
      </c>
      <c r="J27" s="63" t="s">
        <v>221</v>
      </c>
      <c r="K27" s="63"/>
      <c r="L27" s="63" t="s">
        <v>191</v>
      </c>
      <c r="M27" s="256">
        <v>2</v>
      </c>
      <c r="N27" s="65" t="s">
        <v>12</v>
      </c>
      <c r="O27" s="65">
        <v>5</v>
      </c>
      <c r="P27" s="65" t="s">
        <v>192</v>
      </c>
      <c r="Q27" s="298" t="s">
        <v>14</v>
      </c>
      <c r="R27" s="456"/>
    </row>
    <row r="28" spans="1:18" ht="97.5" customHeight="1">
      <c r="A28" s="63" t="s">
        <v>266</v>
      </c>
      <c r="B28" s="63" t="s">
        <v>267</v>
      </c>
      <c r="C28" s="63" t="s">
        <v>268</v>
      </c>
      <c r="D28" s="63" t="s">
        <v>185</v>
      </c>
      <c r="E28" s="63"/>
      <c r="F28" s="455" t="s">
        <v>269</v>
      </c>
      <c r="G28" s="63" t="s">
        <v>270</v>
      </c>
      <c r="H28" s="63" t="s">
        <v>204</v>
      </c>
      <c r="I28" s="63" t="s">
        <v>271</v>
      </c>
      <c r="J28" s="63" t="s">
        <v>190</v>
      </c>
      <c r="K28" s="63"/>
      <c r="L28" s="63" t="s">
        <v>191</v>
      </c>
      <c r="M28" s="256">
        <v>2</v>
      </c>
      <c r="N28" s="65" t="s">
        <v>12</v>
      </c>
      <c r="O28" s="65">
        <v>5</v>
      </c>
      <c r="P28" s="65" t="s">
        <v>222</v>
      </c>
      <c r="Q28" s="298" t="s">
        <v>14</v>
      </c>
      <c r="R28" s="456"/>
    </row>
    <row r="29" spans="1:18" ht="67.5">
      <c r="A29" s="63" t="s">
        <v>272</v>
      </c>
      <c r="B29" s="63" t="s">
        <v>273</v>
      </c>
      <c r="C29" s="63" t="s">
        <v>274</v>
      </c>
      <c r="D29" s="63" t="s">
        <v>185</v>
      </c>
      <c r="E29" s="63"/>
      <c r="F29" s="455" t="s">
        <v>275</v>
      </c>
      <c r="G29" s="63" t="s">
        <v>276</v>
      </c>
      <c r="H29" s="63" t="s">
        <v>204</v>
      </c>
      <c r="I29" s="63" t="s">
        <v>277</v>
      </c>
      <c r="J29" s="63" t="s">
        <v>190</v>
      </c>
      <c r="K29" s="63"/>
      <c r="L29" s="63" t="s">
        <v>191</v>
      </c>
      <c r="M29" s="256">
        <v>1</v>
      </c>
      <c r="N29" s="65" t="s">
        <v>14</v>
      </c>
      <c r="O29" s="65">
        <v>4</v>
      </c>
      <c r="P29" s="65" t="s">
        <v>222</v>
      </c>
      <c r="Q29" s="298" t="s">
        <v>14</v>
      </c>
      <c r="R29" s="456"/>
    </row>
    <row r="30" spans="1:18" ht="202.5">
      <c r="A30" s="63" t="s">
        <v>278</v>
      </c>
      <c r="B30" s="63" t="s">
        <v>279</v>
      </c>
      <c r="C30" s="63" t="s">
        <v>280</v>
      </c>
      <c r="D30" s="63" t="s">
        <v>185</v>
      </c>
      <c r="E30" s="63"/>
      <c r="F30" s="455" t="s">
        <v>281</v>
      </c>
      <c r="G30" s="63" t="s">
        <v>282</v>
      </c>
      <c r="H30" s="63" t="s">
        <v>204</v>
      </c>
      <c r="I30" s="63" t="s">
        <v>283</v>
      </c>
      <c r="J30" s="63" t="s">
        <v>190</v>
      </c>
      <c r="K30" s="63"/>
      <c r="L30" s="63" t="s">
        <v>191</v>
      </c>
      <c r="M30" s="256">
        <v>2</v>
      </c>
      <c r="N30" s="65" t="s">
        <v>12</v>
      </c>
      <c r="O30" s="65">
        <v>5</v>
      </c>
      <c r="P30" s="65" t="s">
        <v>222</v>
      </c>
      <c r="Q30" s="298" t="s">
        <v>14</v>
      </c>
      <c r="R30" s="614"/>
    </row>
    <row r="31" spans="1:18" ht="281.25">
      <c r="A31" s="63" t="s">
        <v>284</v>
      </c>
      <c r="B31" s="63" t="s">
        <v>285</v>
      </c>
      <c r="C31" s="63" t="s">
        <v>280</v>
      </c>
      <c r="D31" s="63" t="s">
        <v>185</v>
      </c>
      <c r="E31" s="63"/>
      <c r="F31" s="455" t="s">
        <v>231</v>
      </c>
      <c r="G31" s="63" t="s">
        <v>286</v>
      </c>
      <c r="H31" s="63" t="s">
        <v>204</v>
      </c>
      <c r="I31" s="63" t="s">
        <v>287</v>
      </c>
      <c r="J31" s="63" t="s">
        <v>190</v>
      </c>
      <c r="K31" s="63"/>
      <c r="L31" s="63" t="s">
        <v>191</v>
      </c>
      <c r="M31" s="256">
        <v>2</v>
      </c>
      <c r="N31" s="65" t="s">
        <v>12</v>
      </c>
      <c r="O31" s="65">
        <v>5</v>
      </c>
      <c r="P31" s="65" t="s">
        <v>222</v>
      </c>
      <c r="Q31" s="298" t="s">
        <v>14</v>
      </c>
      <c r="R31" s="614"/>
    </row>
    <row r="32" spans="1:18" ht="168.75">
      <c r="A32" s="63" t="s">
        <v>288</v>
      </c>
      <c r="B32" s="63" t="s">
        <v>289</v>
      </c>
      <c r="C32" s="63" t="s">
        <v>290</v>
      </c>
      <c r="D32" s="63" t="s">
        <v>185</v>
      </c>
      <c r="E32" s="63"/>
      <c r="F32" s="455" t="s">
        <v>231</v>
      </c>
      <c r="G32" s="63" t="s">
        <v>291</v>
      </c>
      <c r="H32" s="63" t="s">
        <v>204</v>
      </c>
      <c r="I32" s="63" t="s">
        <v>292</v>
      </c>
      <c r="J32" s="63" t="s">
        <v>190</v>
      </c>
      <c r="K32" s="63"/>
      <c r="L32" s="63" t="s">
        <v>191</v>
      </c>
      <c r="M32" s="256">
        <v>2</v>
      </c>
      <c r="N32" s="65" t="s">
        <v>12</v>
      </c>
      <c r="O32" s="65">
        <v>5</v>
      </c>
      <c r="P32" s="65" t="s">
        <v>222</v>
      </c>
      <c r="Q32" s="298" t="s">
        <v>14</v>
      </c>
      <c r="R32" s="614"/>
    </row>
    <row r="33" spans="1:18" ht="22.5">
      <c r="A33" s="63" t="s">
        <v>293</v>
      </c>
      <c r="B33" s="63" t="s">
        <v>294</v>
      </c>
      <c r="C33" s="63" t="s">
        <v>295</v>
      </c>
      <c r="D33" s="63" t="s">
        <v>185</v>
      </c>
      <c r="E33" s="63"/>
      <c r="F33" s="455" t="s">
        <v>296</v>
      </c>
      <c r="G33" s="63" t="s">
        <v>297</v>
      </c>
      <c r="H33" s="63" t="s">
        <v>188</v>
      </c>
      <c r="I33" s="63" t="s">
        <v>250</v>
      </c>
      <c r="J33" s="63" t="s">
        <v>190</v>
      </c>
      <c r="K33" s="63"/>
      <c r="L33" s="63" t="s">
        <v>191</v>
      </c>
      <c r="M33" s="256">
        <v>2</v>
      </c>
      <c r="N33" s="65" t="s">
        <v>12</v>
      </c>
      <c r="O33" s="65">
        <v>4</v>
      </c>
      <c r="P33" s="65" t="s">
        <v>199</v>
      </c>
      <c r="Q33" s="298" t="s">
        <v>14</v>
      </c>
      <c r="R33" s="614"/>
    </row>
    <row r="34" spans="1:18" ht="45">
      <c r="A34" s="63" t="s">
        <v>298</v>
      </c>
      <c r="B34" s="63" t="s">
        <v>299</v>
      </c>
      <c r="C34" s="63" t="s">
        <v>300</v>
      </c>
      <c r="D34" s="63" t="s">
        <v>301</v>
      </c>
      <c r="E34" s="63"/>
      <c r="F34" s="455" t="s">
        <v>302</v>
      </c>
      <c r="G34" s="63" t="s">
        <v>303</v>
      </c>
      <c r="H34" s="63" t="s">
        <v>204</v>
      </c>
      <c r="I34" s="63" t="s">
        <v>304</v>
      </c>
      <c r="J34" s="63" t="s">
        <v>305</v>
      </c>
      <c r="K34" s="63"/>
      <c r="L34" s="63" t="s">
        <v>191</v>
      </c>
      <c r="M34" s="256">
        <v>1</v>
      </c>
      <c r="N34" s="65" t="s">
        <v>14</v>
      </c>
      <c r="O34" s="65">
        <v>5</v>
      </c>
      <c r="P34" s="65" t="s">
        <v>192</v>
      </c>
      <c r="Q34" s="298" t="s">
        <v>14</v>
      </c>
      <c r="R34" s="456"/>
    </row>
    <row r="35" spans="1:18" ht="101.25">
      <c r="A35" s="63" t="s">
        <v>306</v>
      </c>
      <c r="B35" s="63" t="s">
        <v>307</v>
      </c>
      <c r="C35" s="63" t="s">
        <v>308</v>
      </c>
      <c r="D35" s="63" t="s">
        <v>301</v>
      </c>
      <c r="E35" s="63"/>
      <c r="F35" s="455" t="s">
        <v>309</v>
      </c>
      <c r="G35" s="63" t="s">
        <v>310</v>
      </c>
      <c r="H35" s="63" t="s">
        <v>204</v>
      </c>
      <c r="I35" s="63" t="s">
        <v>311</v>
      </c>
      <c r="J35" s="63" t="s">
        <v>221</v>
      </c>
      <c r="K35" s="63"/>
      <c r="L35" s="63" t="s">
        <v>191</v>
      </c>
      <c r="M35" s="256">
        <v>1</v>
      </c>
      <c r="N35" s="65" t="s">
        <v>14</v>
      </c>
      <c r="O35" s="65">
        <v>5</v>
      </c>
      <c r="P35" s="65" t="s">
        <v>192</v>
      </c>
      <c r="Q35" s="298" t="s">
        <v>14</v>
      </c>
      <c r="R35" s="456"/>
    </row>
    <row r="36" spans="1:18" ht="45">
      <c r="A36" s="63" t="s">
        <v>312</v>
      </c>
      <c r="B36" s="63" t="s">
        <v>313</v>
      </c>
      <c r="C36" s="63" t="s">
        <v>314</v>
      </c>
      <c r="D36" s="63" t="s">
        <v>185</v>
      </c>
      <c r="E36" s="63"/>
      <c r="F36" s="455" t="s">
        <v>186</v>
      </c>
      <c r="G36" s="63" t="s">
        <v>315</v>
      </c>
      <c r="H36" s="63" t="s">
        <v>198</v>
      </c>
      <c r="I36" s="63"/>
      <c r="J36" s="63" t="s">
        <v>190</v>
      </c>
      <c r="K36" s="63"/>
      <c r="L36" s="63" t="s">
        <v>191</v>
      </c>
      <c r="M36" s="256">
        <v>2</v>
      </c>
      <c r="N36" s="65" t="s">
        <v>12</v>
      </c>
      <c r="O36" s="65">
        <v>5</v>
      </c>
      <c r="P36" s="65" t="s">
        <v>199</v>
      </c>
      <c r="Q36" s="298" t="s">
        <v>14</v>
      </c>
      <c r="R36" s="456"/>
    </row>
    <row r="37" spans="1:18" ht="45">
      <c r="A37" s="63" t="s">
        <v>316</v>
      </c>
      <c r="B37" s="63" t="s">
        <v>317</v>
      </c>
      <c r="C37" s="63" t="s">
        <v>318</v>
      </c>
      <c r="D37" s="63" t="s">
        <v>185</v>
      </c>
      <c r="E37" s="63"/>
      <c r="F37" s="455" t="s">
        <v>231</v>
      </c>
      <c r="G37" s="63" t="s">
        <v>319</v>
      </c>
      <c r="H37" s="63" t="s">
        <v>198</v>
      </c>
      <c r="I37" s="63"/>
      <c r="J37" s="63" t="s">
        <v>190</v>
      </c>
      <c r="K37" s="63"/>
      <c r="L37" s="63" t="s">
        <v>191</v>
      </c>
      <c r="M37" s="256">
        <v>2</v>
      </c>
      <c r="N37" s="65" t="s">
        <v>12</v>
      </c>
      <c r="O37" s="65">
        <v>5</v>
      </c>
      <c r="P37" s="65" t="s">
        <v>199</v>
      </c>
      <c r="Q37" s="298" t="s">
        <v>14</v>
      </c>
      <c r="R37" s="456"/>
    </row>
    <row r="38" spans="1:18" ht="45">
      <c r="A38" s="63" t="s">
        <v>320</v>
      </c>
      <c r="B38" s="63" t="s">
        <v>321</v>
      </c>
      <c r="C38" s="63" t="s">
        <v>322</v>
      </c>
      <c r="D38" s="63" t="s">
        <v>185</v>
      </c>
      <c r="E38" s="63"/>
      <c r="F38" s="455" t="s">
        <v>323</v>
      </c>
      <c r="G38" s="63" t="s">
        <v>324</v>
      </c>
      <c r="H38" s="63" t="s">
        <v>188</v>
      </c>
      <c r="I38" s="63" t="s">
        <v>250</v>
      </c>
      <c r="J38" s="63" t="s">
        <v>190</v>
      </c>
      <c r="K38" s="63"/>
      <c r="L38" s="63" t="s">
        <v>191</v>
      </c>
      <c r="M38" s="256">
        <v>2</v>
      </c>
      <c r="N38" s="65" t="s">
        <v>12</v>
      </c>
      <c r="O38" s="65">
        <v>5</v>
      </c>
      <c r="P38" s="65" t="s">
        <v>199</v>
      </c>
      <c r="Q38" s="298" t="s">
        <v>14</v>
      </c>
      <c r="R38" s="456"/>
    </row>
    <row r="39" spans="1:18" ht="135">
      <c r="A39" s="63" t="s">
        <v>325</v>
      </c>
      <c r="B39" s="63" t="s">
        <v>326</v>
      </c>
      <c r="C39" s="63" t="s">
        <v>327</v>
      </c>
      <c r="D39" s="63" t="s">
        <v>185</v>
      </c>
      <c r="E39" s="63"/>
      <c r="F39" s="455" t="s">
        <v>328</v>
      </c>
      <c r="G39" s="63" t="s">
        <v>329</v>
      </c>
      <c r="H39" s="63" t="s">
        <v>204</v>
      </c>
      <c r="I39" s="63" t="s">
        <v>330</v>
      </c>
      <c r="J39" s="63" t="s">
        <v>190</v>
      </c>
      <c r="K39" s="63"/>
      <c r="L39" s="63" t="s">
        <v>191</v>
      </c>
      <c r="M39" s="256">
        <v>2</v>
      </c>
      <c r="N39" s="65" t="s">
        <v>12</v>
      </c>
      <c r="O39" s="65">
        <v>4</v>
      </c>
      <c r="P39" s="65" t="s">
        <v>199</v>
      </c>
      <c r="Q39" s="298" t="s">
        <v>14</v>
      </c>
      <c r="R39" s="456"/>
    </row>
    <row r="40" spans="1:18" ht="281.25">
      <c r="A40" s="63" t="s">
        <v>331</v>
      </c>
      <c r="B40" s="63" t="s">
        <v>332</v>
      </c>
      <c r="C40" s="63" t="s">
        <v>333</v>
      </c>
      <c r="D40" s="63" t="s">
        <v>185</v>
      </c>
      <c r="E40" s="63"/>
      <c r="F40" s="455" t="s">
        <v>323</v>
      </c>
      <c r="G40" s="63" t="s">
        <v>334</v>
      </c>
      <c r="H40" s="63" t="s">
        <v>204</v>
      </c>
      <c r="I40" s="63" t="s">
        <v>335</v>
      </c>
      <c r="J40" s="63" t="s">
        <v>190</v>
      </c>
      <c r="K40" s="63"/>
      <c r="L40" s="63" t="s">
        <v>191</v>
      </c>
      <c r="M40" s="256">
        <v>2</v>
      </c>
      <c r="N40" s="65" t="s">
        <v>12</v>
      </c>
      <c r="O40" s="65">
        <v>5</v>
      </c>
      <c r="P40" s="65" t="s">
        <v>222</v>
      </c>
      <c r="Q40" s="298" t="s">
        <v>14</v>
      </c>
      <c r="R40" s="456"/>
    </row>
    <row r="41" spans="1:18" ht="157.5">
      <c r="A41" s="63" t="s">
        <v>336</v>
      </c>
      <c r="B41" s="63" t="s">
        <v>337</v>
      </c>
      <c r="C41" s="63"/>
      <c r="D41" s="63" t="s">
        <v>185</v>
      </c>
      <c r="E41" s="63"/>
      <c r="F41" s="455" t="s">
        <v>328</v>
      </c>
      <c r="G41" s="63" t="s">
        <v>338</v>
      </c>
      <c r="H41" s="63" t="s">
        <v>204</v>
      </c>
      <c r="I41" s="63" t="s">
        <v>339</v>
      </c>
      <c r="J41" s="63" t="s">
        <v>190</v>
      </c>
      <c r="K41" s="63"/>
      <c r="L41" s="63" t="s">
        <v>191</v>
      </c>
      <c r="M41" s="256">
        <v>2</v>
      </c>
      <c r="N41" s="65" t="s">
        <v>12</v>
      </c>
      <c r="O41" s="65">
        <v>5</v>
      </c>
      <c r="P41" s="65" t="s">
        <v>222</v>
      </c>
      <c r="Q41" s="298" t="s">
        <v>14</v>
      </c>
      <c r="R41" s="456"/>
    </row>
    <row r="42" spans="1:18" ht="409.5">
      <c r="A42" s="63" t="s">
        <v>340</v>
      </c>
      <c r="B42" s="63" t="s">
        <v>341</v>
      </c>
      <c r="C42" s="63" t="s">
        <v>342</v>
      </c>
      <c r="D42" s="63" t="s">
        <v>185</v>
      </c>
      <c r="E42" s="63"/>
      <c r="F42" s="455" t="s">
        <v>343</v>
      </c>
      <c r="G42" s="63" t="s">
        <v>344</v>
      </c>
      <c r="H42" s="63" t="s">
        <v>204</v>
      </c>
      <c r="I42" s="63" t="s">
        <v>345</v>
      </c>
      <c r="J42" s="63" t="s">
        <v>221</v>
      </c>
      <c r="K42" s="63"/>
      <c r="L42" s="63" t="s">
        <v>191</v>
      </c>
      <c r="M42" s="256">
        <v>1</v>
      </c>
      <c r="N42" s="65" t="s">
        <v>14</v>
      </c>
      <c r="O42" s="65">
        <v>5</v>
      </c>
      <c r="P42" s="65" t="s">
        <v>222</v>
      </c>
      <c r="Q42" s="298" t="s">
        <v>14</v>
      </c>
      <c r="R42" s="456"/>
    </row>
    <row r="43" spans="1:18" ht="33.75">
      <c r="A43" s="63" t="s">
        <v>346</v>
      </c>
      <c r="B43" s="63" t="s">
        <v>347</v>
      </c>
      <c r="C43" s="63" t="s">
        <v>348</v>
      </c>
      <c r="D43" s="63" t="s">
        <v>185</v>
      </c>
      <c r="E43" s="63"/>
      <c r="F43" s="455" t="s">
        <v>343</v>
      </c>
      <c r="G43" s="63" t="s">
        <v>349</v>
      </c>
      <c r="H43" s="63" t="s">
        <v>204</v>
      </c>
      <c r="I43" s="63" t="s">
        <v>350</v>
      </c>
      <c r="J43" s="63" t="s">
        <v>221</v>
      </c>
      <c r="K43" s="63"/>
      <c r="L43" s="63" t="s">
        <v>191</v>
      </c>
      <c r="M43" s="256">
        <v>1</v>
      </c>
      <c r="N43" s="65" t="s">
        <v>14</v>
      </c>
      <c r="O43" s="65">
        <v>5</v>
      </c>
      <c r="P43" s="65" t="s">
        <v>222</v>
      </c>
      <c r="Q43" s="298" t="s">
        <v>14</v>
      </c>
      <c r="R43" s="456"/>
    </row>
    <row r="44" spans="1:18" ht="33.75">
      <c r="A44" s="63" t="s">
        <v>351</v>
      </c>
      <c r="B44" s="63" t="s">
        <v>352</v>
      </c>
      <c r="C44" s="63" t="s">
        <v>353</v>
      </c>
      <c r="D44" s="63" t="s">
        <v>185</v>
      </c>
      <c r="E44" s="63"/>
      <c r="F44" s="455" t="s">
        <v>354</v>
      </c>
      <c r="G44" s="63" t="s">
        <v>355</v>
      </c>
      <c r="H44" s="63" t="s">
        <v>188</v>
      </c>
      <c r="I44" s="63" t="s">
        <v>250</v>
      </c>
      <c r="J44" s="63" t="s">
        <v>190</v>
      </c>
      <c r="K44" s="63"/>
      <c r="L44" s="63" t="s">
        <v>191</v>
      </c>
      <c r="M44" s="256">
        <v>2</v>
      </c>
      <c r="N44" s="65" t="s">
        <v>12</v>
      </c>
      <c r="O44" s="65">
        <v>5</v>
      </c>
      <c r="P44" s="65" t="s">
        <v>222</v>
      </c>
      <c r="Q44" s="298" t="s">
        <v>14</v>
      </c>
      <c r="R44" s="456"/>
    </row>
    <row r="45" spans="1:18" ht="45">
      <c r="A45" s="63" t="s">
        <v>356</v>
      </c>
      <c r="B45" s="63" t="s">
        <v>357</v>
      </c>
      <c r="C45" s="63" t="s">
        <v>358</v>
      </c>
      <c r="D45" s="63" t="s">
        <v>185</v>
      </c>
      <c r="E45" s="63"/>
      <c r="F45" s="455" t="s">
        <v>275</v>
      </c>
      <c r="G45" s="63" t="s">
        <v>359</v>
      </c>
      <c r="H45" s="63" t="s">
        <v>188</v>
      </c>
      <c r="I45" s="63" t="s">
        <v>250</v>
      </c>
      <c r="J45" s="63" t="s">
        <v>360</v>
      </c>
      <c r="K45" s="63"/>
      <c r="L45" s="63" t="s">
        <v>191</v>
      </c>
      <c r="M45" s="256">
        <v>2</v>
      </c>
      <c r="N45" s="65" t="s">
        <v>12</v>
      </c>
      <c r="O45" s="65">
        <v>5</v>
      </c>
      <c r="P45" s="65" t="s">
        <v>222</v>
      </c>
      <c r="Q45" s="298" t="s">
        <v>14</v>
      </c>
      <c r="R45" s="456"/>
    </row>
    <row r="46" spans="1:18" ht="45">
      <c r="A46" s="63" t="s">
        <v>361</v>
      </c>
      <c r="B46" s="63" t="s">
        <v>362</v>
      </c>
      <c r="C46" s="63" t="s">
        <v>363</v>
      </c>
      <c r="D46" s="63" t="s">
        <v>185</v>
      </c>
      <c r="E46" s="63"/>
      <c r="F46" s="455" t="s">
        <v>275</v>
      </c>
      <c r="G46" s="63" t="s">
        <v>364</v>
      </c>
      <c r="H46" s="63" t="s">
        <v>188</v>
      </c>
      <c r="I46" s="63" t="s">
        <v>250</v>
      </c>
      <c r="J46" s="63" t="s">
        <v>360</v>
      </c>
      <c r="K46" s="63"/>
      <c r="L46" s="63" t="s">
        <v>191</v>
      </c>
      <c r="M46" s="256">
        <v>2</v>
      </c>
      <c r="N46" s="65" t="s">
        <v>12</v>
      </c>
      <c r="O46" s="65">
        <v>5</v>
      </c>
      <c r="P46" s="65" t="s">
        <v>222</v>
      </c>
      <c r="Q46" s="298" t="s">
        <v>14</v>
      </c>
      <c r="R46" s="456"/>
    </row>
    <row r="47" spans="1:18" ht="22.5">
      <c r="A47" s="68" t="str">
        <f>CONCATENATE(B47,"_[term][yy]")</f>
        <v>TopUpFunding_[term][yy]</v>
      </c>
      <c r="B47" s="63" t="s">
        <v>365</v>
      </c>
      <c r="C47" s="63"/>
      <c r="D47" s="68" t="s">
        <v>185</v>
      </c>
      <c r="E47" s="63"/>
      <c r="F47" s="455" t="s">
        <v>366</v>
      </c>
      <c r="G47" s="63" t="s">
        <v>367</v>
      </c>
      <c r="H47" s="63" t="s">
        <v>188</v>
      </c>
      <c r="I47" s="63" t="s">
        <v>368</v>
      </c>
      <c r="J47" s="63" t="s">
        <v>190</v>
      </c>
      <c r="K47" s="63"/>
      <c r="L47" s="63" t="s">
        <v>191</v>
      </c>
      <c r="M47" s="256">
        <v>2</v>
      </c>
      <c r="N47" s="65" t="s">
        <v>12</v>
      </c>
      <c r="O47" s="65">
        <v>5</v>
      </c>
      <c r="P47" s="65" t="s">
        <v>199</v>
      </c>
      <c r="Q47" s="298" t="s">
        <v>14</v>
      </c>
      <c r="R47" s="456"/>
    </row>
    <row r="48" spans="1:18" ht="22.5">
      <c r="A48" s="68" t="str">
        <f>CONCATENATE(B48,"_[term][yy]")</f>
        <v>FTEmp_[term][yy]</v>
      </c>
      <c r="B48" s="63" t="s">
        <v>369</v>
      </c>
      <c r="C48" s="63"/>
      <c r="D48" s="68" t="s">
        <v>185</v>
      </c>
      <c r="E48" s="63"/>
      <c r="F48" s="455" t="s">
        <v>370</v>
      </c>
      <c r="G48" s="63" t="s">
        <v>371</v>
      </c>
      <c r="H48" s="63" t="s">
        <v>188</v>
      </c>
      <c r="I48" s="63" t="s">
        <v>372</v>
      </c>
      <c r="J48" s="63" t="s">
        <v>373</v>
      </c>
      <c r="K48" s="63"/>
      <c r="L48" s="63" t="s">
        <v>191</v>
      </c>
      <c r="M48" s="256">
        <v>2</v>
      </c>
      <c r="N48" s="65" t="s">
        <v>14</v>
      </c>
      <c r="O48" s="65">
        <v>5</v>
      </c>
      <c r="P48" s="65" t="s">
        <v>199</v>
      </c>
      <c r="Q48" s="298" t="s">
        <v>14</v>
      </c>
      <c r="R48" s="456"/>
    </row>
    <row r="49" spans="1:18">
      <c r="A49" s="63" t="s">
        <v>374</v>
      </c>
      <c r="B49" s="63" t="s">
        <v>375</v>
      </c>
      <c r="C49" s="63"/>
      <c r="D49" s="63" t="s">
        <v>185</v>
      </c>
      <c r="E49" s="63"/>
      <c r="F49" s="455" t="s">
        <v>376</v>
      </c>
      <c r="G49" s="63" t="s">
        <v>377</v>
      </c>
      <c r="H49" s="63" t="s">
        <v>204</v>
      </c>
      <c r="I49" s="63"/>
      <c r="J49" s="63" t="s">
        <v>190</v>
      </c>
      <c r="K49" s="63"/>
      <c r="L49" s="63" t="s">
        <v>191</v>
      </c>
      <c r="M49" s="256">
        <v>1</v>
      </c>
      <c r="N49" s="65" t="s">
        <v>14</v>
      </c>
      <c r="O49" s="65">
        <v>5</v>
      </c>
      <c r="P49" s="65" t="s">
        <v>222</v>
      </c>
      <c r="Q49" s="298" t="s">
        <v>14</v>
      </c>
      <c r="R49" s="456"/>
    </row>
    <row r="50" spans="1:18" ht="191.25">
      <c r="A50" s="63" t="s">
        <v>378</v>
      </c>
      <c r="B50" s="63" t="s">
        <v>379</v>
      </c>
      <c r="C50" s="63"/>
      <c r="D50" s="63" t="s">
        <v>185</v>
      </c>
      <c r="E50" s="63"/>
      <c r="F50" s="455" t="s">
        <v>218</v>
      </c>
      <c r="G50" s="63" t="s">
        <v>380</v>
      </c>
      <c r="H50" s="63" t="s">
        <v>204</v>
      </c>
      <c r="I50" s="63" t="s">
        <v>381</v>
      </c>
      <c r="J50" s="63" t="s">
        <v>221</v>
      </c>
      <c r="K50" s="63"/>
      <c r="L50" s="63" t="s">
        <v>191</v>
      </c>
      <c r="M50" s="256">
        <v>2</v>
      </c>
      <c r="N50" s="65" t="s">
        <v>12</v>
      </c>
      <c r="O50" s="65">
        <v>4</v>
      </c>
      <c r="P50" s="65" t="s">
        <v>199</v>
      </c>
      <c r="Q50" s="298" t="s">
        <v>14</v>
      </c>
      <c r="R50" s="456"/>
    </row>
    <row r="51" spans="1:18" ht="22.5">
      <c r="A51" s="63" t="s">
        <v>382</v>
      </c>
      <c r="B51" s="63" t="s">
        <v>383</v>
      </c>
      <c r="C51" s="63"/>
      <c r="D51" s="63" t="s">
        <v>185</v>
      </c>
      <c r="E51" s="63"/>
      <c r="F51" s="455" t="s">
        <v>186</v>
      </c>
      <c r="G51" s="63" t="s">
        <v>384</v>
      </c>
      <c r="H51" s="63" t="s">
        <v>198</v>
      </c>
      <c r="I51" s="63"/>
      <c r="J51" s="63" t="s">
        <v>221</v>
      </c>
      <c r="K51" s="63"/>
      <c r="L51" s="63" t="s">
        <v>191</v>
      </c>
      <c r="M51" s="256">
        <v>2</v>
      </c>
      <c r="N51" s="65" t="s">
        <v>12</v>
      </c>
      <c r="O51" s="65">
        <v>4</v>
      </c>
      <c r="P51" s="65" t="s">
        <v>199</v>
      </c>
      <c r="Q51" s="298" t="s">
        <v>14</v>
      </c>
      <c r="R51" s="456"/>
    </row>
    <row r="52" spans="1:18" ht="22.5">
      <c r="A52" s="63" t="s">
        <v>385</v>
      </c>
      <c r="B52" s="63" t="s">
        <v>386</v>
      </c>
      <c r="C52" s="63"/>
      <c r="D52" s="63" t="s">
        <v>185</v>
      </c>
      <c r="E52" s="63"/>
      <c r="F52" s="455" t="s">
        <v>186</v>
      </c>
      <c r="G52" s="63" t="s">
        <v>387</v>
      </c>
      <c r="H52" s="63" t="s">
        <v>198</v>
      </c>
      <c r="I52" s="63"/>
      <c r="J52" s="63" t="s">
        <v>221</v>
      </c>
      <c r="K52" s="63"/>
      <c r="L52" s="63" t="s">
        <v>191</v>
      </c>
      <c r="M52" s="256">
        <v>2</v>
      </c>
      <c r="N52" s="65" t="s">
        <v>12</v>
      </c>
      <c r="O52" s="65">
        <v>4</v>
      </c>
      <c r="P52" s="65" t="s">
        <v>199</v>
      </c>
      <c r="Q52" s="298" t="s">
        <v>14</v>
      </c>
      <c r="R52" s="456"/>
    </row>
    <row r="53" spans="1:18" ht="22.5">
      <c r="A53" s="63" t="s">
        <v>388</v>
      </c>
      <c r="B53" s="63" t="s">
        <v>389</v>
      </c>
      <c r="C53" s="63" t="s">
        <v>390</v>
      </c>
      <c r="D53" s="63" t="s">
        <v>185</v>
      </c>
      <c r="E53" s="63"/>
      <c r="F53" s="455" t="s">
        <v>391</v>
      </c>
      <c r="G53" s="63" t="s">
        <v>392</v>
      </c>
      <c r="H53" s="63" t="s">
        <v>204</v>
      </c>
      <c r="I53" s="63"/>
      <c r="J53" s="63" t="s">
        <v>190</v>
      </c>
      <c r="K53" s="63"/>
      <c r="L53" s="63" t="s">
        <v>191</v>
      </c>
      <c r="M53" s="256">
        <v>1</v>
      </c>
      <c r="N53" s="65" t="s">
        <v>14</v>
      </c>
      <c r="O53" s="65">
        <v>4</v>
      </c>
      <c r="P53" s="65" t="s">
        <v>199</v>
      </c>
      <c r="Q53" s="298" t="s">
        <v>14</v>
      </c>
      <c r="R53" s="456"/>
    </row>
    <row r="54" spans="1:18" ht="45">
      <c r="A54" s="63" t="s">
        <v>393</v>
      </c>
      <c r="B54" s="63" t="s">
        <v>394</v>
      </c>
      <c r="C54" s="63" t="s">
        <v>395</v>
      </c>
      <c r="D54" s="63" t="s">
        <v>185</v>
      </c>
      <c r="E54" s="63"/>
      <c r="F54" s="455" t="s">
        <v>396</v>
      </c>
      <c r="G54" s="63" t="s">
        <v>397</v>
      </c>
      <c r="H54" s="63" t="s">
        <v>204</v>
      </c>
      <c r="I54" s="63"/>
      <c r="J54" s="63" t="s">
        <v>190</v>
      </c>
      <c r="K54" s="63"/>
      <c r="L54" s="63" t="s">
        <v>191</v>
      </c>
      <c r="M54" s="256">
        <v>1</v>
      </c>
      <c r="N54" s="65" t="s">
        <v>12</v>
      </c>
      <c r="O54" s="65">
        <v>4</v>
      </c>
      <c r="P54" s="65" t="s">
        <v>199</v>
      </c>
      <c r="Q54" s="298" t="s">
        <v>12</v>
      </c>
      <c r="R54" s="456" t="s">
        <v>396</v>
      </c>
    </row>
    <row r="55" spans="1:18" ht="22.5">
      <c r="A55" s="63" t="s">
        <v>398</v>
      </c>
      <c r="B55" s="63" t="s">
        <v>399</v>
      </c>
      <c r="C55" s="63"/>
      <c r="D55" s="63" t="s">
        <v>185</v>
      </c>
      <c r="E55" s="63"/>
      <c r="F55" s="455" t="s">
        <v>400</v>
      </c>
      <c r="G55" s="63" t="s">
        <v>401</v>
      </c>
      <c r="H55" s="63" t="s">
        <v>204</v>
      </c>
      <c r="I55" s="63"/>
      <c r="J55" s="63" t="s">
        <v>190</v>
      </c>
      <c r="K55" s="63"/>
      <c r="L55" s="63" t="s">
        <v>191</v>
      </c>
      <c r="M55" s="256">
        <v>1</v>
      </c>
      <c r="N55" s="65" t="s">
        <v>12</v>
      </c>
      <c r="O55" s="65">
        <v>4</v>
      </c>
      <c r="P55" s="65" t="s">
        <v>199</v>
      </c>
      <c r="Q55" s="298" t="s">
        <v>12</v>
      </c>
      <c r="R55" s="456" t="s">
        <v>400</v>
      </c>
    </row>
    <row r="56" spans="1:18" ht="22.5">
      <c r="A56" s="63" t="s">
        <v>402</v>
      </c>
      <c r="B56" s="63" t="s">
        <v>403</v>
      </c>
      <c r="C56" s="63" t="s">
        <v>404</v>
      </c>
      <c r="D56" s="63" t="s">
        <v>185</v>
      </c>
      <c r="E56" s="63"/>
      <c r="F56" s="455" t="s">
        <v>405</v>
      </c>
      <c r="G56" s="63" t="s">
        <v>406</v>
      </c>
      <c r="H56" s="63" t="s">
        <v>198</v>
      </c>
      <c r="I56" s="63"/>
      <c r="J56" s="63" t="s">
        <v>190</v>
      </c>
      <c r="K56" s="63"/>
      <c r="L56" s="63" t="s">
        <v>191</v>
      </c>
      <c r="M56" s="256">
        <v>2</v>
      </c>
      <c r="N56" s="65" t="s">
        <v>12</v>
      </c>
      <c r="O56" s="65">
        <v>4</v>
      </c>
      <c r="P56" s="65" t="s">
        <v>199</v>
      </c>
      <c r="Q56" s="298" t="s">
        <v>14</v>
      </c>
      <c r="R56" s="456"/>
    </row>
    <row r="57" spans="1:18" ht="22.5">
      <c r="A57" s="63" t="s">
        <v>407</v>
      </c>
      <c r="B57" s="63" t="s">
        <v>408</v>
      </c>
      <c r="C57" s="63" t="s">
        <v>409</v>
      </c>
      <c r="D57" s="63" t="s">
        <v>185</v>
      </c>
      <c r="E57" s="63"/>
      <c r="F57" s="455" t="s">
        <v>405</v>
      </c>
      <c r="G57" s="63" t="s">
        <v>410</v>
      </c>
      <c r="H57" s="63" t="s">
        <v>198</v>
      </c>
      <c r="I57" s="63"/>
      <c r="J57" s="63" t="s">
        <v>190</v>
      </c>
      <c r="K57" s="63"/>
      <c r="L57" s="63" t="s">
        <v>191</v>
      </c>
      <c r="M57" s="256">
        <v>2</v>
      </c>
      <c r="N57" s="65" t="s">
        <v>12</v>
      </c>
      <c r="O57" s="65">
        <v>4</v>
      </c>
      <c r="P57" s="65" t="s">
        <v>199</v>
      </c>
      <c r="Q57" s="298" t="s">
        <v>14</v>
      </c>
      <c r="R57" s="456"/>
    </row>
    <row r="58" spans="1:18" ht="22.5">
      <c r="A58" s="63" t="s">
        <v>411</v>
      </c>
      <c r="B58" s="63" t="s">
        <v>412</v>
      </c>
      <c r="C58" s="63"/>
      <c r="D58" s="63" t="s">
        <v>185</v>
      </c>
      <c r="E58" s="63"/>
      <c r="F58" s="455" t="s">
        <v>413</v>
      </c>
      <c r="G58" s="63" t="s">
        <v>414</v>
      </c>
      <c r="H58" s="63" t="s">
        <v>198</v>
      </c>
      <c r="I58" s="63"/>
      <c r="J58" s="63" t="s">
        <v>221</v>
      </c>
      <c r="K58" s="63"/>
      <c r="L58" s="63" t="s">
        <v>191</v>
      </c>
      <c r="M58" s="256">
        <v>1</v>
      </c>
      <c r="N58" s="65" t="s">
        <v>14</v>
      </c>
      <c r="O58" s="65">
        <v>4</v>
      </c>
      <c r="P58" s="65" t="s">
        <v>199</v>
      </c>
      <c r="Q58" s="298" t="s">
        <v>14</v>
      </c>
      <c r="R58" s="456"/>
    </row>
    <row r="59" spans="1:18" ht="22.5">
      <c r="A59" s="63" t="s">
        <v>415</v>
      </c>
      <c r="B59" s="63" t="s">
        <v>416</v>
      </c>
      <c r="C59" s="63"/>
      <c r="D59" s="63" t="s">
        <v>185</v>
      </c>
      <c r="E59" s="63"/>
      <c r="F59" s="455" t="s">
        <v>413</v>
      </c>
      <c r="G59" s="63" t="s">
        <v>417</v>
      </c>
      <c r="H59" s="63" t="s">
        <v>198</v>
      </c>
      <c r="I59" s="68" t="s">
        <v>418</v>
      </c>
      <c r="J59" s="63" t="s">
        <v>221</v>
      </c>
      <c r="K59" s="63"/>
      <c r="L59" s="63" t="s">
        <v>191</v>
      </c>
      <c r="M59" s="256">
        <v>1</v>
      </c>
      <c r="N59" s="65" t="s">
        <v>14</v>
      </c>
      <c r="O59" s="65">
        <v>4</v>
      </c>
      <c r="P59" s="65" t="s">
        <v>199</v>
      </c>
      <c r="Q59" s="298" t="s">
        <v>14</v>
      </c>
      <c r="R59" s="456"/>
    </row>
    <row r="60" spans="1:18" ht="112.5">
      <c r="A60" s="63" t="s">
        <v>419</v>
      </c>
      <c r="B60" s="63" t="s">
        <v>420</v>
      </c>
      <c r="C60" s="63"/>
      <c r="D60" s="63" t="s">
        <v>185</v>
      </c>
      <c r="E60" s="63"/>
      <c r="F60" s="455" t="s">
        <v>413</v>
      </c>
      <c r="G60" s="63" t="s">
        <v>421</v>
      </c>
      <c r="H60" s="63" t="s">
        <v>198</v>
      </c>
      <c r="I60" s="63" t="s">
        <v>422</v>
      </c>
      <c r="J60" s="63" t="s">
        <v>221</v>
      </c>
      <c r="K60" s="63"/>
      <c r="L60" s="63" t="s">
        <v>191</v>
      </c>
      <c r="M60" s="256">
        <v>1</v>
      </c>
      <c r="N60" s="65" t="s">
        <v>14</v>
      </c>
      <c r="O60" s="65">
        <v>4</v>
      </c>
      <c r="P60" s="65" t="s">
        <v>199</v>
      </c>
      <c r="Q60" s="298" t="s">
        <v>14</v>
      </c>
      <c r="R60" s="456"/>
    </row>
    <row r="61" spans="1:18" ht="22.5">
      <c r="A61" s="68" t="s">
        <v>423</v>
      </c>
      <c r="B61" s="68" t="s">
        <v>424</v>
      </c>
      <c r="C61" s="68"/>
      <c r="D61" s="68" t="s">
        <v>185</v>
      </c>
      <c r="E61" s="68"/>
      <c r="F61" s="455" t="s">
        <v>413</v>
      </c>
      <c r="G61" s="68" t="s">
        <v>425</v>
      </c>
      <c r="H61" s="63" t="s">
        <v>198</v>
      </c>
      <c r="I61" s="68"/>
      <c r="J61" s="68" t="s">
        <v>221</v>
      </c>
      <c r="K61" s="68"/>
      <c r="L61" s="63" t="s">
        <v>191</v>
      </c>
      <c r="M61" s="294">
        <v>1</v>
      </c>
      <c r="N61" s="296" t="s">
        <v>14</v>
      </c>
      <c r="O61" s="65">
        <v>4</v>
      </c>
      <c r="P61" s="65" t="s">
        <v>199</v>
      </c>
      <c r="Q61" s="298" t="s">
        <v>14</v>
      </c>
      <c r="R61" s="456"/>
    </row>
    <row r="62" spans="1:18" ht="22.5">
      <c r="A62" s="68" t="s">
        <v>426</v>
      </c>
      <c r="B62" s="68" t="s">
        <v>427</v>
      </c>
      <c r="C62" s="68"/>
      <c r="D62" s="68" t="s">
        <v>185</v>
      </c>
      <c r="E62" s="68"/>
      <c r="F62" s="455" t="s">
        <v>413</v>
      </c>
      <c r="G62" s="68" t="s">
        <v>428</v>
      </c>
      <c r="H62" s="63" t="s">
        <v>198</v>
      </c>
      <c r="I62" s="68" t="s">
        <v>418</v>
      </c>
      <c r="J62" s="68" t="s">
        <v>221</v>
      </c>
      <c r="K62" s="68"/>
      <c r="L62" s="63" t="s">
        <v>191</v>
      </c>
      <c r="M62" s="294">
        <v>1</v>
      </c>
      <c r="N62" s="296" t="s">
        <v>14</v>
      </c>
      <c r="O62" s="65">
        <v>4</v>
      </c>
      <c r="P62" s="65" t="s">
        <v>199</v>
      </c>
      <c r="Q62" s="298" t="s">
        <v>14</v>
      </c>
      <c r="R62" s="456"/>
    </row>
    <row r="63" spans="1:18" ht="112.5">
      <c r="A63" s="68" t="s">
        <v>429</v>
      </c>
      <c r="B63" s="68" t="s">
        <v>430</v>
      </c>
      <c r="C63" s="68"/>
      <c r="D63" s="68" t="s">
        <v>185</v>
      </c>
      <c r="E63" s="68"/>
      <c r="F63" s="455" t="s">
        <v>413</v>
      </c>
      <c r="G63" s="68" t="s">
        <v>431</v>
      </c>
      <c r="H63" s="63" t="s">
        <v>198</v>
      </c>
      <c r="I63" s="68" t="s">
        <v>432</v>
      </c>
      <c r="J63" s="68" t="s">
        <v>221</v>
      </c>
      <c r="K63" s="68"/>
      <c r="L63" s="63" t="s">
        <v>191</v>
      </c>
      <c r="M63" s="294">
        <v>1</v>
      </c>
      <c r="N63" s="296" t="s">
        <v>14</v>
      </c>
      <c r="O63" s="65">
        <v>4</v>
      </c>
      <c r="P63" s="65" t="s">
        <v>199</v>
      </c>
      <c r="Q63" s="298" t="s">
        <v>14</v>
      </c>
      <c r="R63" s="456"/>
    </row>
    <row r="64" spans="1:18" ht="22.5">
      <c r="A64" s="458" t="s">
        <v>433</v>
      </c>
      <c r="B64" s="459" t="s">
        <v>434</v>
      </c>
      <c r="C64" s="459"/>
      <c r="D64" s="459" t="s">
        <v>185</v>
      </c>
      <c r="E64" s="459"/>
      <c r="F64" s="455" t="s">
        <v>435</v>
      </c>
      <c r="G64" s="459" t="s">
        <v>436</v>
      </c>
      <c r="H64" s="459" t="s">
        <v>188</v>
      </c>
      <c r="I64" s="459" t="s">
        <v>437</v>
      </c>
      <c r="J64" s="68" t="s">
        <v>190</v>
      </c>
      <c r="K64" s="68"/>
      <c r="L64" s="63" t="s">
        <v>191</v>
      </c>
      <c r="M64" s="460">
        <v>1</v>
      </c>
      <c r="N64" s="296" t="s">
        <v>14</v>
      </c>
      <c r="O64" s="65">
        <v>5</v>
      </c>
      <c r="P64" s="65" t="s">
        <v>222</v>
      </c>
      <c r="Q64" s="298" t="s">
        <v>14</v>
      </c>
      <c r="R64" s="456"/>
    </row>
    <row r="65" spans="1:18" ht="22.5">
      <c r="A65" s="458" t="s">
        <v>438</v>
      </c>
      <c r="B65" s="459" t="s">
        <v>439</v>
      </c>
      <c r="C65" s="459"/>
      <c r="D65" s="459" t="s">
        <v>185</v>
      </c>
      <c r="E65" s="459"/>
      <c r="F65" s="455" t="s">
        <v>435</v>
      </c>
      <c r="G65" s="459" t="s">
        <v>440</v>
      </c>
      <c r="H65" s="459"/>
      <c r="I65" s="459"/>
      <c r="J65" s="68" t="s">
        <v>441</v>
      </c>
      <c r="K65" s="68"/>
      <c r="L65" s="63" t="s">
        <v>191</v>
      </c>
      <c r="M65" s="256">
        <v>2</v>
      </c>
      <c r="N65" s="296" t="s">
        <v>14</v>
      </c>
      <c r="O65" s="65">
        <v>4</v>
      </c>
      <c r="P65" s="65" t="s">
        <v>199</v>
      </c>
      <c r="Q65" s="298" t="s">
        <v>14</v>
      </c>
      <c r="R65" s="456"/>
    </row>
    <row r="66" spans="1:18" ht="22.5">
      <c r="A66" s="458" t="s">
        <v>442</v>
      </c>
      <c r="B66" s="459" t="s">
        <v>443</v>
      </c>
      <c r="C66" s="459"/>
      <c r="D66" s="459" t="s">
        <v>301</v>
      </c>
      <c r="E66" s="459"/>
      <c r="F66" s="455" t="s">
        <v>435</v>
      </c>
      <c r="G66" s="459" t="s">
        <v>444</v>
      </c>
      <c r="H66" s="459"/>
      <c r="I66" s="459"/>
      <c r="J66" s="68" t="s">
        <v>441</v>
      </c>
      <c r="K66" s="68"/>
      <c r="L66" s="63" t="s">
        <v>191</v>
      </c>
      <c r="M66" s="256">
        <v>2</v>
      </c>
      <c r="N66" s="296" t="s">
        <v>14</v>
      </c>
      <c r="O66" s="65">
        <v>5</v>
      </c>
      <c r="P66" s="65" t="s">
        <v>192</v>
      </c>
      <c r="Q66" s="298" t="s">
        <v>14</v>
      </c>
      <c r="R66" s="456"/>
    </row>
    <row r="67" spans="1:18" s="421" customFormat="1" ht="33.75" customHeight="1">
      <c r="A67" s="209" t="s">
        <v>445</v>
      </c>
      <c r="B67" s="209" t="s">
        <v>446</v>
      </c>
      <c r="C67" s="209" t="s">
        <v>447</v>
      </c>
      <c r="D67" s="209" t="s">
        <v>185</v>
      </c>
      <c r="E67" s="209"/>
      <c r="F67" s="609" t="s">
        <v>186</v>
      </c>
      <c r="G67" s="209" t="s">
        <v>448</v>
      </c>
      <c r="H67" s="209" t="s">
        <v>204</v>
      </c>
      <c r="I67" s="209"/>
      <c r="J67" s="209" t="s">
        <v>190</v>
      </c>
      <c r="K67" s="209"/>
      <c r="L67" s="209" t="s">
        <v>191</v>
      </c>
      <c r="M67" s="610">
        <v>1</v>
      </c>
      <c r="N67" s="611" t="s">
        <v>12</v>
      </c>
      <c r="O67" s="611">
        <v>5</v>
      </c>
      <c r="P67" s="612" t="s">
        <v>199</v>
      </c>
      <c r="Q67" s="298" t="s">
        <v>14</v>
      </c>
      <c r="R67" s="614"/>
    </row>
    <row r="68" spans="1:18" s="421" customFormat="1" ht="45">
      <c r="A68" s="209" t="s">
        <v>449</v>
      </c>
      <c r="B68" s="209" t="s">
        <v>450</v>
      </c>
      <c r="C68" s="209"/>
      <c r="D68" s="209" t="s">
        <v>185</v>
      </c>
      <c r="E68" s="209"/>
      <c r="F68" s="609" t="s">
        <v>451</v>
      </c>
      <c r="G68" s="209" t="s">
        <v>452</v>
      </c>
      <c r="H68" s="209" t="s">
        <v>204</v>
      </c>
      <c r="I68" s="209"/>
      <c r="J68" s="209" t="s">
        <v>190</v>
      </c>
      <c r="K68" s="209"/>
      <c r="L68" s="209" t="s">
        <v>191</v>
      </c>
      <c r="M68" s="610">
        <v>1</v>
      </c>
      <c r="N68" s="611" t="s">
        <v>12</v>
      </c>
      <c r="O68" s="611">
        <v>5</v>
      </c>
      <c r="P68" s="612" t="s">
        <v>199</v>
      </c>
      <c r="Q68" s="298" t="s">
        <v>14</v>
      </c>
      <c r="R68" s="614"/>
    </row>
    <row r="69" spans="1:18" s="421" customFormat="1" ht="45">
      <c r="A69" s="209" t="s">
        <v>453</v>
      </c>
      <c r="B69" s="209" t="s">
        <v>454</v>
      </c>
      <c r="C69" s="209" t="s">
        <v>455</v>
      </c>
      <c r="D69" s="209" t="s">
        <v>185</v>
      </c>
      <c r="E69" s="209"/>
      <c r="F69" s="609" t="s">
        <v>186</v>
      </c>
      <c r="G69" s="209" t="s">
        <v>456</v>
      </c>
      <c r="H69" s="209" t="s">
        <v>204</v>
      </c>
      <c r="I69" s="209"/>
      <c r="J69" s="209" t="s">
        <v>190</v>
      </c>
      <c r="K69" s="209"/>
      <c r="L69" s="209" t="s">
        <v>191</v>
      </c>
      <c r="M69" s="610">
        <v>1</v>
      </c>
      <c r="N69" s="611" t="s">
        <v>12</v>
      </c>
      <c r="O69" s="611">
        <v>4</v>
      </c>
      <c r="P69" s="612" t="s">
        <v>199</v>
      </c>
      <c r="Q69" s="298" t="s">
        <v>14</v>
      </c>
      <c r="R69" s="614"/>
    </row>
    <row r="70" spans="1:18" s="421" customFormat="1" ht="45">
      <c r="A70" s="209" t="s">
        <v>457</v>
      </c>
      <c r="B70" s="209" t="s">
        <v>458</v>
      </c>
      <c r="C70" s="209" t="s">
        <v>459</v>
      </c>
      <c r="D70" s="209" t="s">
        <v>185</v>
      </c>
      <c r="E70" s="209"/>
      <c r="F70" s="609" t="s">
        <v>460</v>
      </c>
      <c r="G70" s="209" t="s">
        <v>461</v>
      </c>
      <c r="H70" s="209" t="s">
        <v>204</v>
      </c>
      <c r="I70" s="209"/>
      <c r="J70" s="209" t="s">
        <v>221</v>
      </c>
      <c r="K70" s="209"/>
      <c r="L70" s="209" t="s">
        <v>191</v>
      </c>
      <c r="M70" s="610">
        <v>1</v>
      </c>
      <c r="N70" s="611" t="s">
        <v>12</v>
      </c>
      <c r="O70" s="611">
        <v>5</v>
      </c>
      <c r="P70" s="612" t="s">
        <v>199</v>
      </c>
      <c r="Q70" s="298" t="s">
        <v>14</v>
      </c>
      <c r="R70" s="614"/>
    </row>
    <row r="71" spans="1:18" s="421" customFormat="1" ht="33.75" customHeight="1">
      <c r="A71" s="209" t="s">
        <v>462</v>
      </c>
      <c r="B71" s="209" t="s">
        <v>463</v>
      </c>
      <c r="C71" s="209" t="s">
        <v>464</v>
      </c>
      <c r="D71" s="209" t="s">
        <v>185</v>
      </c>
      <c r="E71" s="209"/>
      <c r="F71" s="609" t="s">
        <v>186</v>
      </c>
      <c r="G71" s="209" t="s">
        <v>465</v>
      </c>
      <c r="H71" s="209" t="s">
        <v>466</v>
      </c>
      <c r="I71" s="209"/>
      <c r="J71" s="209" t="s">
        <v>190</v>
      </c>
      <c r="K71" s="209"/>
      <c r="L71" s="209" t="s">
        <v>191</v>
      </c>
      <c r="M71" s="610">
        <v>1</v>
      </c>
      <c r="N71" s="611" t="s">
        <v>12</v>
      </c>
      <c r="O71" s="611">
        <v>4</v>
      </c>
      <c r="P71" s="612" t="s">
        <v>199</v>
      </c>
      <c r="Q71" s="298" t="s">
        <v>14</v>
      </c>
      <c r="R71" s="614"/>
    </row>
    <row r="72" spans="1:18" s="421" customFormat="1" ht="45">
      <c r="A72" s="209" t="s">
        <v>467</v>
      </c>
      <c r="B72" s="209" t="s">
        <v>468</v>
      </c>
      <c r="C72" s="209"/>
      <c r="D72" s="209" t="s">
        <v>185</v>
      </c>
      <c r="E72" s="209"/>
      <c r="F72" s="609" t="s">
        <v>231</v>
      </c>
      <c r="G72" s="209" t="s">
        <v>469</v>
      </c>
      <c r="H72" s="209" t="s">
        <v>204</v>
      </c>
      <c r="I72" s="209"/>
      <c r="J72" s="209" t="s">
        <v>221</v>
      </c>
      <c r="K72" s="209"/>
      <c r="L72" s="209" t="s">
        <v>191</v>
      </c>
      <c r="M72" s="610">
        <v>1</v>
      </c>
      <c r="N72" s="611" t="s">
        <v>12</v>
      </c>
      <c r="O72" s="611">
        <v>5</v>
      </c>
      <c r="P72" s="612" t="s">
        <v>199</v>
      </c>
      <c r="Q72" s="298" t="s">
        <v>14</v>
      </c>
      <c r="R72" s="614"/>
    </row>
    <row r="73" spans="1:18" s="421" customFormat="1" ht="45">
      <c r="A73" s="209" t="s">
        <v>470</v>
      </c>
      <c r="B73" s="209" t="s">
        <v>471</v>
      </c>
      <c r="C73" s="209"/>
      <c r="D73" s="209" t="s">
        <v>185</v>
      </c>
      <c r="E73" s="209"/>
      <c r="F73" s="609" t="s">
        <v>451</v>
      </c>
      <c r="G73" s="209" t="s">
        <v>452</v>
      </c>
      <c r="H73" s="209" t="s">
        <v>204</v>
      </c>
      <c r="I73" s="209"/>
      <c r="J73" s="209" t="s">
        <v>221</v>
      </c>
      <c r="K73" s="209"/>
      <c r="L73" s="209" t="s">
        <v>191</v>
      </c>
      <c r="M73" s="610">
        <v>1</v>
      </c>
      <c r="N73" s="611" t="s">
        <v>12</v>
      </c>
      <c r="O73" s="611">
        <v>5</v>
      </c>
      <c r="P73" s="612" t="s">
        <v>199</v>
      </c>
      <c r="Q73" s="298" t="s">
        <v>14</v>
      </c>
      <c r="R73" s="614"/>
    </row>
    <row r="74" spans="1:18" s="421" customFormat="1" ht="225">
      <c r="A74" s="560" t="s">
        <v>472</v>
      </c>
      <c r="B74" s="560" t="s">
        <v>473</v>
      </c>
      <c r="C74" s="615"/>
      <c r="D74" s="615"/>
      <c r="E74" s="615"/>
      <c r="F74" s="616" t="s">
        <v>474</v>
      </c>
      <c r="G74" s="617" t="s">
        <v>475</v>
      </c>
      <c r="H74" s="560" t="s">
        <v>204</v>
      </c>
      <c r="I74" s="560" t="s">
        <v>476</v>
      </c>
      <c r="J74" s="560" t="s">
        <v>373</v>
      </c>
      <c r="K74" s="560" t="s">
        <v>477</v>
      </c>
      <c r="L74" s="560" t="s">
        <v>191</v>
      </c>
      <c r="M74" s="562">
        <v>4</v>
      </c>
      <c r="N74" s="618" t="s">
        <v>14</v>
      </c>
      <c r="O74" s="618">
        <v>5</v>
      </c>
      <c r="P74" s="619" t="s">
        <v>199</v>
      </c>
      <c r="Q74" s="298" t="s">
        <v>14</v>
      </c>
      <c r="R74" s="614"/>
    </row>
    <row r="75" spans="1:18" s="421" customFormat="1" ht="225">
      <c r="A75" s="560" t="s">
        <v>478</v>
      </c>
      <c r="B75" s="694" t="s">
        <v>479</v>
      </c>
      <c r="C75" s="695"/>
      <c r="D75" s="621"/>
      <c r="E75" s="621"/>
      <c r="F75" s="616" t="s">
        <v>474</v>
      </c>
      <c r="G75" s="617" t="s">
        <v>480</v>
      </c>
      <c r="H75" s="560" t="s">
        <v>204</v>
      </c>
      <c r="I75" s="560" t="s">
        <v>476</v>
      </c>
      <c r="J75" s="560" t="s">
        <v>373</v>
      </c>
      <c r="K75" s="560" t="s">
        <v>477</v>
      </c>
      <c r="L75" s="560" t="s">
        <v>191</v>
      </c>
      <c r="M75" s="562">
        <v>4</v>
      </c>
      <c r="N75" s="618" t="s">
        <v>14</v>
      </c>
      <c r="O75" s="618">
        <v>5</v>
      </c>
      <c r="P75" s="619" t="s">
        <v>199</v>
      </c>
      <c r="Q75" s="298" t="s">
        <v>14</v>
      </c>
      <c r="R75" s="614"/>
    </row>
    <row r="76" spans="1:18" s="421" customFormat="1" ht="157.5">
      <c r="A76" s="693" t="s">
        <v>481</v>
      </c>
      <c r="B76" s="693" t="s">
        <v>482</v>
      </c>
      <c r="C76" s="696"/>
      <c r="D76" s="693"/>
      <c r="E76" s="693"/>
      <c r="F76" s="697" t="s">
        <v>474</v>
      </c>
      <c r="G76" s="693" t="s">
        <v>483</v>
      </c>
      <c r="H76" s="215" t="s">
        <v>204</v>
      </c>
      <c r="I76" s="215" t="s">
        <v>484</v>
      </c>
      <c r="J76" s="215" t="s">
        <v>373</v>
      </c>
      <c r="K76" s="215" t="s">
        <v>477</v>
      </c>
      <c r="L76" s="215" t="s">
        <v>191</v>
      </c>
      <c r="M76" s="215">
        <v>4</v>
      </c>
      <c r="N76" s="215" t="s">
        <v>14</v>
      </c>
      <c r="O76" s="215">
        <v>5</v>
      </c>
      <c r="P76" s="215" t="s">
        <v>199</v>
      </c>
      <c r="Q76" s="298" t="s">
        <v>14</v>
      </c>
      <c r="R76" s="614"/>
    </row>
    <row r="77" spans="1:18" s="421" customFormat="1" ht="157.5">
      <c r="A77" s="693" t="s">
        <v>485</v>
      </c>
      <c r="B77" s="693" t="s">
        <v>486</v>
      </c>
      <c r="C77" s="693"/>
      <c r="D77" s="693"/>
      <c r="E77" s="693"/>
      <c r="F77" s="697" t="s">
        <v>474</v>
      </c>
      <c r="G77" s="693" t="s">
        <v>487</v>
      </c>
      <c r="H77" s="215" t="s">
        <v>204</v>
      </c>
      <c r="I77" s="215" t="s">
        <v>484</v>
      </c>
      <c r="J77" s="215" t="s">
        <v>373</v>
      </c>
      <c r="K77" s="215" t="s">
        <v>477</v>
      </c>
      <c r="L77" s="215" t="s">
        <v>191</v>
      </c>
      <c r="M77" s="215">
        <v>4</v>
      </c>
      <c r="N77" s="215" t="s">
        <v>14</v>
      </c>
      <c r="O77" s="215">
        <v>5</v>
      </c>
      <c r="P77" s="215" t="s">
        <v>199</v>
      </c>
      <c r="Q77" s="298" t="s">
        <v>14</v>
      </c>
      <c r="R77" s="614"/>
    </row>
    <row r="79" spans="1:18" ht="76.5">
      <c r="A79" s="316" t="s">
        <v>488</v>
      </c>
    </row>
    <row r="80" spans="1:18" ht="76.5">
      <c r="A80" s="317" t="s">
        <v>489</v>
      </c>
      <c r="Q80" s="48"/>
      <c r="R80" s="48"/>
    </row>
    <row r="81" spans="1:18">
      <c r="Q81" s="48"/>
      <c r="R81" s="48"/>
    </row>
    <row r="82" spans="1:18" ht="33.75">
      <c r="A82" s="58" t="s">
        <v>165</v>
      </c>
      <c r="B82" s="58" t="s">
        <v>166</v>
      </c>
      <c r="C82" s="58" t="s">
        <v>167</v>
      </c>
      <c r="D82" s="58" t="s">
        <v>168</v>
      </c>
      <c r="E82" s="58" t="s">
        <v>169</v>
      </c>
      <c r="F82" s="58" t="s">
        <v>170</v>
      </c>
      <c r="G82" s="58" t="s">
        <v>20</v>
      </c>
      <c r="H82" s="58" t="s">
        <v>171</v>
      </c>
      <c r="I82" s="58" t="s">
        <v>172</v>
      </c>
      <c r="J82" s="58" t="s">
        <v>173</v>
      </c>
      <c r="K82" s="58" t="s">
        <v>174</v>
      </c>
      <c r="L82" s="58" t="s">
        <v>175</v>
      </c>
      <c r="M82" s="59" t="s">
        <v>176</v>
      </c>
      <c r="N82" s="60" t="s">
        <v>177</v>
      </c>
      <c r="O82" s="60" t="s">
        <v>178</v>
      </c>
      <c r="P82" s="60" t="s">
        <v>179</v>
      </c>
      <c r="Q82" s="48"/>
      <c r="R82" s="48"/>
    </row>
    <row r="83" spans="1:18" ht="33.75">
      <c r="A83" s="142" t="s">
        <v>490</v>
      </c>
      <c r="B83" s="142" t="s">
        <v>491</v>
      </c>
      <c r="C83" s="142" t="s">
        <v>492</v>
      </c>
      <c r="D83" s="142" t="s">
        <v>493</v>
      </c>
      <c r="E83" s="142"/>
      <c r="F83" s="141" t="s">
        <v>186</v>
      </c>
      <c r="G83" s="142" t="s">
        <v>494</v>
      </c>
      <c r="H83" s="142" t="s">
        <v>466</v>
      </c>
      <c r="I83" s="142"/>
      <c r="J83" s="142" t="s">
        <v>190</v>
      </c>
      <c r="K83" s="142"/>
      <c r="L83" s="142" t="s">
        <v>191</v>
      </c>
      <c r="M83" s="331">
        <v>4</v>
      </c>
      <c r="N83" s="144" t="s">
        <v>12</v>
      </c>
      <c r="O83" s="144">
        <v>3</v>
      </c>
      <c r="P83" s="461" t="s">
        <v>199</v>
      </c>
      <c r="Q83" s="48"/>
      <c r="R83" s="48"/>
    </row>
    <row r="84" spans="1:18" ht="409.5">
      <c r="A84" s="142" t="s">
        <v>495</v>
      </c>
      <c r="B84" s="142" t="s">
        <v>496</v>
      </c>
      <c r="C84" s="142" t="s">
        <v>497</v>
      </c>
      <c r="D84" s="142" t="s">
        <v>493</v>
      </c>
      <c r="E84" s="142"/>
      <c r="F84" s="141" t="s">
        <v>186</v>
      </c>
      <c r="G84" s="142" t="s">
        <v>498</v>
      </c>
      <c r="H84" s="142" t="s">
        <v>204</v>
      </c>
      <c r="I84" s="141" t="s">
        <v>499</v>
      </c>
      <c r="J84" s="142" t="s">
        <v>190</v>
      </c>
      <c r="K84" s="142"/>
      <c r="L84" s="142" t="s">
        <v>191</v>
      </c>
      <c r="M84" s="331">
        <v>4</v>
      </c>
      <c r="N84" s="144" t="s">
        <v>12</v>
      </c>
      <c r="O84" s="144">
        <v>5</v>
      </c>
      <c r="P84" s="461" t="s">
        <v>199</v>
      </c>
      <c r="Q84" s="48"/>
      <c r="R84" s="48"/>
    </row>
    <row r="85" spans="1:18" ht="22.5">
      <c r="A85" s="142" t="s">
        <v>500</v>
      </c>
      <c r="B85" s="142" t="s">
        <v>501</v>
      </c>
      <c r="C85" s="142" t="s">
        <v>502</v>
      </c>
      <c r="D85" s="142" t="s">
        <v>493</v>
      </c>
      <c r="E85" s="142"/>
      <c r="F85" s="141" t="s">
        <v>186</v>
      </c>
      <c r="G85" s="142" t="s">
        <v>503</v>
      </c>
      <c r="H85" s="142" t="s">
        <v>198</v>
      </c>
      <c r="I85" s="142"/>
      <c r="J85" s="142" t="s">
        <v>190</v>
      </c>
      <c r="K85" s="142"/>
      <c r="L85" s="142" t="s">
        <v>191</v>
      </c>
      <c r="M85" s="331">
        <v>4</v>
      </c>
      <c r="N85" s="144" t="s">
        <v>12</v>
      </c>
      <c r="O85" s="144">
        <v>5</v>
      </c>
      <c r="P85" s="461" t="s">
        <v>199</v>
      </c>
      <c r="Q85" s="48"/>
      <c r="R85" s="48"/>
    </row>
    <row r="86" spans="1:18" ht="22.5">
      <c r="A86" s="142" t="s">
        <v>504</v>
      </c>
      <c r="B86" s="142" t="s">
        <v>505</v>
      </c>
      <c r="C86" s="142" t="s">
        <v>506</v>
      </c>
      <c r="D86" s="142" t="s">
        <v>185</v>
      </c>
      <c r="E86" s="142"/>
      <c r="F86" s="141" t="s">
        <v>186</v>
      </c>
      <c r="G86" s="142" t="s">
        <v>507</v>
      </c>
      <c r="H86" s="142" t="s">
        <v>198</v>
      </c>
      <c r="I86" s="142"/>
      <c r="J86" s="142" t="s">
        <v>190</v>
      </c>
      <c r="K86" s="142"/>
      <c r="L86" s="142" t="s">
        <v>191</v>
      </c>
      <c r="M86" s="331">
        <v>4</v>
      </c>
      <c r="N86" s="144" t="s">
        <v>12</v>
      </c>
      <c r="O86" s="144">
        <v>5</v>
      </c>
      <c r="P86" s="461" t="s">
        <v>199</v>
      </c>
      <c r="Q86" s="48"/>
      <c r="R86" s="48"/>
    </row>
    <row r="87" spans="1:18" ht="22.5">
      <c r="A87" s="142" t="s">
        <v>508</v>
      </c>
      <c r="B87" s="142" t="s">
        <v>509</v>
      </c>
      <c r="C87" s="142" t="s">
        <v>510</v>
      </c>
      <c r="D87" s="142" t="s">
        <v>185</v>
      </c>
      <c r="E87" s="142"/>
      <c r="F87" s="141" t="s">
        <v>231</v>
      </c>
      <c r="G87" s="142" t="s">
        <v>511</v>
      </c>
      <c r="H87" s="142" t="s">
        <v>204</v>
      </c>
      <c r="I87" s="142"/>
      <c r="J87" s="142" t="s">
        <v>190</v>
      </c>
      <c r="K87" s="142"/>
      <c r="L87" s="142" t="s">
        <v>191</v>
      </c>
      <c r="M87" s="331">
        <v>4</v>
      </c>
      <c r="N87" s="144" t="s">
        <v>12</v>
      </c>
      <c r="O87" s="144">
        <v>5</v>
      </c>
      <c r="P87" s="461" t="s">
        <v>199</v>
      </c>
      <c r="Q87" s="48"/>
      <c r="R87" s="48"/>
    </row>
    <row r="88" spans="1:18" ht="22.5">
      <c r="A88" s="142" t="s">
        <v>512</v>
      </c>
      <c r="B88" s="142" t="s">
        <v>513</v>
      </c>
      <c r="C88" s="142" t="s">
        <v>514</v>
      </c>
      <c r="D88" s="142" t="s">
        <v>185</v>
      </c>
      <c r="E88" s="142"/>
      <c r="F88" s="141" t="s">
        <v>515</v>
      </c>
      <c r="G88" s="142" t="s">
        <v>516</v>
      </c>
      <c r="H88" s="142" t="s">
        <v>204</v>
      </c>
      <c r="I88" s="142"/>
      <c r="J88" s="142" t="s">
        <v>190</v>
      </c>
      <c r="K88" s="142"/>
      <c r="L88" s="142" t="s">
        <v>191</v>
      </c>
      <c r="M88" s="331">
        <v>4</v>
      </c>
      <c r="N88" s="144" t="s">
        <v>12</v>
      </c>
      <c r="O88" s="144">
        <v>5</v>
      </c>
      <c r="P88" s="461" t="s">
        <v>199</v>
      </c>
      <c r="Q88" s="48"/>
      <c r="R88" s="48"/>
    </row>
    <row r="89" spans="1:18" ht="100.15" customHeight="1">
      <c r="A89" s="142" t="s">
        <v>517</v>
      </c>
      <c r="B89" s="142" t="s">
        <v>518</v>
      </c>
      <c r="C89" s="142" t="s">
        <v>519</v>
      </c>
      <c r="D89" s="142" t="s">
        <v>493</v>
      </c>
      <c r="E89" s="142"/>
      <c r="F89" s="141" t="s">
        <v>328</v>
      </c>
      <c r="G89" s="142" t="s">
        <v>520</v>
      </c>
      <c r="H89" s="142" t="s">
        <v>188</v>
      </c>
      <c r="I89" s="142" t="s">
        <v>521</v>
      </c>
      <c r="J89" s="142" t="s">
        <v>190</v>
      </c>
      <c r="K89" s="142"/>
      <c r="L89" s="142" t="s">
        <v>191</v>
      </c>
      <c r="M89" s="331">
        <v>4</v>
      </c>
      <c r="N89" s="144" t="s">
        <v>12</v>
      </c>
      <c r="O89" s="144">
        <v>5</v>
      </c>
      <c r="P89" s="461" t="s">
        <v>199</v>
      </c>
      <c r="Q89" s="48"/>
      <c r="R89" s="48"/>
    </row>
    <row r="90" spans="1:18" ht="33.75">
      <c r="A90" s="142" t="s">
        <v>522</v>
      </c>
      <c r="B90" s="142" t="s">
        <v>523</v>
      </c>
      <c r="C90" s="142" t="s">
        <v>524</v>
      </c>
      <c r="D90" s="142" t="s">
        <v>185</v>
      </c>
      <c r="E90" s="142"/>
      <c r="F90" s="141" t="s">
        <v>525</v>
      </c>
      <c r="G90" s="142" t="s">
        <v>526</v>
      </c>
      <c r="H90" s="142" t="s">
        <v>188</v>
      </c>
      <c r="I90" s="142" t="s">
        <v>527</v>
      </c>
      <c r="J90" s="142" t="s">
        <v>190</v>
      </c>
      <c r="K90" s="142"/>
      <c r="L90" s="142" t="s">
        <v>191</v>
      </c>
      <c r="M90" s="331">
        <v>4</v>
      </c>
      <c r="N90" s="144" t="s">
        <v>12</v>
      </c>
      <c r="O90" s="144">
        <v>5</v>
      </c>
      <c r="P90" s="461" t="s">
        <v>199</v>
      </c>
      <c r="Q90" s="48"/>
      <c r="R90" s="48"/>
    </row>
    <row r="91" spans="1:18" ht="281.25">
      <c r="A91" s="142" t="s">
        <v>528</v>
      </c>
      <c r="B91" s="142" t="s">
        <v>529</v>
      </c>
      <c r="C91" s="142" t="s">
        <v>530</v>
      </c>
      <c r="D91" s="142" t="s">
        <v>185</v>
      </c>
      <c r="E91" s="142"/>
      <c r="F91" s="141" t="s">
        <v>366</v>
      </c>
      <c r="G91" s="142" t="s">
        <v>531</v>
      </c>
      <c r="H91" s="142" t="s">
        <v>204</v>
      </c>
      <c r="I91" s="142" t="s">
        <v>532</v>
      </c>
      <c r="J91" s="142" t="s">
        <v>190</v>
      </c>
      <c r="K91" s="142"/>
      <c r="L91" s="142" t="s">
        <v>191</v>
      </c>
      <c r="M91" s="331">
        <v>4</v>
      </c>
      <c r="N91" s="144" t="s">
        <v>14</v>
      </c>
      <c r="O91" s="144">
        <v>4</v>
      </c>
      <c r="P91" s="461" t="s">
        <v>199</v>
      </c>
      <c r="Q91" s="48"/>
      <c r="R91" s="48"/>
    </row>
    <row r="92" spans="1:18" ht="371.25">
      <c r="A92" s="142" t="s">
        <v>533</v>
      </c>
      <c r="B92" s="142" t="s">
        <v>534</v>
      </c>
      <c r="C92" s="142" t="s">
        <v>535</v>
      </c>
      <c r="D92" s="142" t="s">
        <v>185</v>
      </c>
      <c r="E92" s="142"/>
      <c r="F92" s="141" t="s">
        <v>218</v>
      </c>
      <c r="G92" s="142" t="s">
        <v>536</v>
      </c>
      <c r="H92" s="142" t="s">
        <v>204</v>
      </c>
      <c r="I92" s="142" t="s">
        <v>537</v>
      </c>
      <c r="J92" s="142" t="s">
        <v>190</v>
      </c>
      <c r="K92" s="142"/>
      <c r="L92" s="142" t="s">
        <v>191</v>
      </c>
      <c r="M92" s="331">
        <v>4</v>
      </c>
      <c r="N92" s="144" t="s">
        <v>12</v>
      </c>
      <c r="O92" s="144">
        <v>5</v>
      </c>
      <c r="P92" s="461" t="s">
        <v>199</v>
      </c>
      <c r="Q92" s="48"/>
      <c r="R92" s="48"/>
    </row>
    <row r="93" spans="1:18" ht="326.25">
      <c r="A93" s="142" t="s">
        <v>538</v>
      </c>
      <c r="B93" s="142" t="s">
        <v>539</v>
      </c>
      <c r="C93" s="142" t="s">
        <v>540</v>
      </c>
      <c r="D93" s="142" t="s">
        <v>185</v>
      </c>
      <c r="E93" s="142"/>
      <c r="F93" s="141" t="s">
        <v>541</v>
      </c>
      <c r="G93" s="142" t="s">
        <v>542</v>
      </c>
      <c r="H93" s="142" t="s">
        <v>204</v>
      </c>
      <c r="I93" s="142" t="s">
        <v>543</v>
      </c>
      <c r="J93" s="142" t="s">
        <v>190</v>
      </c>
      <c r="K93" s="142"/>
      <c r="L93" s="142" t="s">
        <v>191</v>
      </c>
      <c r="M93" s="331">
        <v>4</v>
      </c>
      <c r="N93" s="144" t="s">
        <v>12</v>
      </c>
      <c r="O93" s="144">
        <v>4</v>
      </c>
      <c r="P93" s="461" t="s">
        <v>199</v>
      </c>
      <c r="Q93" s="48"/>
      <c r="R93" s="48"/>
    </row>
    <row r="94" spans="1:18" ht="22.5">
      <c r="A94" s="319" t="s">
        <v>544</v>
      </c>
      <c r="B94" s="142" t="s">
        <v>545</v>
      </c>
      <c r="C94" s="142" t="s">
        <v>546</v>
      </c>
      <c r="D94" s="142" t="s">
        <v>185</v>
      </c>
      <c r="E94" s="142"/>
      <c r="F94" s="141" t="s">
        <v>547</v>
      </c>
      <c r="G94" s="142" t="s">
        <v>548</v>
      </c>
      <c r="H94" s="142" t="s">
        <v>198</v>
      </c>
      <c r="I94" s="142" t="s">
        <v>549</v>
      </c>
      <c r="J94" s="142" t="s">
        <v>190</v>
      </c>
      <c r="K94" s="142"/>
      <c r="L94" s="142" t="s">
        <v>191</v>
      </c>
      <c r="M94" s="331">
        <v>4</v>
      </c>
      <c r="N94" s="144" t="s">
        <v>12</v>
      </c>
      <c r="O94" s="144">
        <v>5</v>
      </c>
      <c r="P94" s="461" t="s">
        <v>199</v>
      </c>
      <c r="Q94" s="48"/>
      <c r="R94" s="48"/>
    </row>
    <row r="95" spans="1:18" ht="22.5">
      <c r="A95" s="319" t="s">
        <v>550</v>
      </c>
      <c r="B95" s="142" t="s">
        <v>551</v>
      </c>
      <c r="C95" s="142"/>
      <c r="D95" s="142" t="s">
        <v>185</v>
      </c>
      <c r="E95" s="142"/>
      <c r="F95" s="141" t="s">
        <v>366</v>
      </c>
      <c r="G95" s="142" t="s">
        <v>552</v>
      </c>
      <c r="H95" s="142" t="s">
        <v>198</v>
      </c>
      <c r="I95" s="142"/>
      <c r="J95" s="142" t="s">
        <v>190</v>
      </c>
      <c r="K95" s="142"/>
      <c r="L95" s="142" t="s">
        <v>191</v>
      </c>
      <c r="M95" s="331">
        <v>4</v>
      </c>
      <c r="N95" s="144" t="s">
        <v>12</v>
      </c>
      <c r="O95" s="144">
        <v>4</v>
      </c>
      <c r="P95" s="461" t="s">
        <v>199</v>
      </c>
      <c r="Q95" s="48"/>
      <c r="R95" s="48"/>
    </row>
    <row r="96" spans="1:18" ht="22.5">
      <c r="A96" s="319" t="s">
        <v>553</v>
      </c>
      <c r="B96" s="142" t="s">
        <v>554</v>
      </c>
      <c r="C96" s="142" t="s">
        <v>555</v>
      </c>
      <c r="D96" s="142" t="s">
        <v>185</v>
      </c>
      <c r="E96" s="142"/>
      <c r="F96" s="141" t="s">
        <v>253</v>
      </c>
      <c r="G96" s="142" t="s">
        <v>556</v>
      </c>
      <c r="H96" s="142" t="s">
        <v>198</v>
      </c>
      <c r="I96" s="142" t="s">
        <v>557</v>
      </c>
      <c r="J96" s="142" t="s">
        <v>190</v>
      </c>
      <c r="K96" s="142"/>
      <c r="L96" s="142" t="s">
        <v>191</v>
      </c>
      <c r="M96" s="331">
        <v>4</v>
      </c>
      <c r="N96" s="144" t="s">
        <v>12</v>
      </c>
      <c r="O96" s="144">
        <v>5</v>
      </c>
      <c r="P96" s="461" t="s">
        <v>199</v>
      </c>
      <c r="Q96" s="48"/>
      <c r="R96" s="48"/>
    </row>
    <row r="97" spans="1:18" ht="281.25">
      <c r="A97" s="142" t="s">
        <v>558</v>
      </c>
      <c r="B97" s="142" t="s">
        <v>559</v>
      </c>
      <c r="C97" s="142" t="s">
        <v>560</v>
      </c>
      <c r="D97" s="142" t="s">
        <v>185</v>
      </c>
      <c r="E97" s="142"/>
      <c r="F97" s="141" t="s">
        <v>186</v>
      </c>
      <c r="G97" s="142" t="s">
        <v>561</v>
      </c>
      <c r="H97" s="142" t="s">
        <v>204</v>
      </c>
      <c r="I97" s="142" t="s">
        <v>562</v>
      </c>
      <c r="J97" s="142" t="s">
        <v>190</v>
      </c>
      <c r="K97" s="142"/>
      <c r="L97" s="142" t="s">
        <v>191</v>
      </c>
      <c r="M97" s="331">
        <v>4</v>
      </c>
      <c r="N97" s="144" t="s">
        <v>12</v>
      </c>
      <c r="O97" s="144">
        <v>5</v>
      </c>
      <c r="P97" s="461" t="s">
        <v>199</v>
      </c>
      <c r="Q97" s="48"/>
      <c r="R97" s="48"/>
    </row>
    <row r="98" spans="1:18" ht="67.5">
      <c r="A98" s="142" t="s">
        <v>563</v>
      </c>
      <c r="B98" s="142" t="s">
        <v>564</v>
      </c>
      <c r="C98" s="142" t="s">
        <v>565</v>
      </c>
      <c r="D98" s="142" t="s">
        <v>185</v>
      </c>
      <c r="E98" s="142"/>
      <c r="F98" s="141" t="s">
        <v>186</v>
      </c>
      <c r="G98" s="142" t="s">
        <v>566</v>
      </c>
      <c r="H98" s="142" t="s">
        <v>188</v>
      </c>
      <c r="I98" s="142" t="s">
        <v>567</v>
      </c>
      <c r="J98" s="142" t="s">
        <v>190</v>
      </c>
      <c r="K98" s="142" t="s">
        <v>568</v>
      </c>
      <c r="L98" s="142" t="s">
        <v>191</v>
      </c>
      <c r="M98" s="331">
        <v>4</v>
      </c>
      <c r="N98" s="144" t="s">
        <v>12</v>
      </c>
      <c r="O98" s="144">
        <v>5</v>
      </c>
      <c r="P98" s="461" t="s">
        <v>199</v>
      </c>
      <c r="Q98" s="48"/>
      <c r="R98" s="48"/>
    </row>
    <row r="99" spans="1:18" ht="236.25">
      <c r="A99" s="142" t="s">
        <v>569</v>
      </c>
      <c r="B99" s="142" t="s">
        <v>570</v>
      </c>
      <c r="C99" s="142" t="s">
        <v>571</v>
      </c>
      <c r="D99" s="142" t="s">
        <v>185</v>
      </c>
      <c r="E99" s="142"/>
      <c r="F99" s="176" t="s">
        <v>186</v>
      </c>
      <c r="G99" s="142" t="s">
        <v>572</v>
      </c>
      <c r="H99" s="142" t="s">
        <v>204</v>
      </c>
      <c r="I99" s="142" t="s">
        <v>573</v>
      </c>
      <c r="J99" s="142" t="s">
        <v>190</v>
      </c>
      <c r="K99" s="142" t="s">
        <v>574</v>
      </c>
      <c r="L99" s="142" t="s">
        <v>191</v>
      </c>
      <c r="M99" s="331">
        <v>4</v>
      </c>
      <c r="N99" s="144" t="s">
        <v>12</v>
      </c>
      <c r="O99" s="144">
        <v>4</v>
      </c>
      <c r="P99" s="461" t="s">
        <v>199</v>
      </c>
      <c r="Q99" s="48"/>
      <c r="R99" s="48"/>
    </row>
    <row r="100" spans="1:18" ht="236.25">
      <c r="A100" s="142" t="s">
        <v>575</v>
      </c>
      <c r="B100" s="142" t="s">
        <v>576</v>
      </c>
      <c r="C100" s="142"/>
      <c r="D100" s="142" t="s">
        <v>185</v>
      </c>
      <c r="E100" s="156"/>
      <c r="F100" s="465" t="s">
        <v>400</v>
      </c>
      <c r="G100" s="462" t="s">
        <v>577</v>
      </c>
      <c r="H100" s="142" t="s">
        <v>204</v>
      </c>
      <c r="I100" s="142" t="s">
        <v>573</v>
      </c>
      <c r="J100" s="142" t="s">
        <v>373</v>
      </c>
      <c r="K100" s="142"/>
      <c r="L100" s="142" t="s">
        <v>191</v>
      </c>
      <c r="M100" s="331">
        <v>4</v>
      </c>
      <c r="N100" s="144" t="s">
        <v>12</v>
      </c>
      <c r="O100" s="144">
        <v>4</v>
      </c>
      <c r="P100" s="461" t="s">
        <v>199</v>
      </c>
      <c r="Q100" s="48"/>
      <c r="R100" s="48"/>
    </row>
    <row r="101" spans="1:18" ht="22.5">
      <c r="A101" s="142" t="s">
        <v>578</v>
      </c>
      <c r="B101" s="142" t="s">
        <v>579</v>
      </c>
      <c r="C101" s="142"/>
      <c r="D101" s="142" t="s">
        <v>185</v>
      </c>
      <c r="E101" s="156"/>
      <c r="F101" s="465" t="s">
        <v>370</v>
      </c>
      <c r="G101" s="462" t="s">
        <v>580</v>
      </c>
      <c r="H101" s="142" t="s">
        <v>188</v>
      </c>
      <c r="I101" s="142" t="s">
        <v>372</v>
      </c>
      <c r="J101" s="142" t="s">
        <v>190</v>
      </c>
      <c r="K101" s="142" t="s">
        <v>581</v>
      </c>
      <c r="L101" s="142" t="s">
        <v>191</v>
      </c>
      <c r="M101" s="331">
        <v>4</v>
      </c>
      <c r="N101" s="144" t="s">
        <v>12</v>
      </c>
      <c r="O101" s="144">
        <v>5</v>
      </c>
      <c r="P101" s="461" t="s">
        <v>199</v>
      </c>
      <c r="Q101" s="48"/>
      <c r="R101" s="48"/>
    </row>
    <row r="102" spans="1:18">
      <c r="A102" s="142" t="s">
        <v>582</v>
      </c>
      <c r="B102" s="142" t="s">
        <v>583</v>
      </c>
      <c r="C102" s="142"/>
      <c r="D102" s="142" t="s">
        <v>185</v>
      </c>
      <c r="E102" s="156"/>
      <c r="F102" s="465" t="s">
        <v>370</v>
      </c>
      <c r="G102" s="462" t="s">
        <v>584</v>
      </c>
      <c r="H102" s="142" t="s">
        <v>198</v>
      </c>
      <c r="I102" s="142"/>
      <c r="J102" s="142" t="s">
        <v>373</v>
      </c>
      <c r="K102" s="142"/>
      <c r="L102" s="142" t="s">
        <v>191</v>
      </c>
      <c r="M102" s="331">
        <v>4</v>
      </c>
      <c r="N102" s="144" t="s">
        <v>14</v>
      </c>
      <c r="O102" s="144">
        <v>5</v>
      </c>
      <c r="P102" s="461" t="s">
        <v>199</v>
      </c>
      <c r="Q102" s="48"/>
      <c r="R102" s="48"/>
    </row>
    <row r="103" spans="1:18" ht="22.5">
      <c r="A103" s="142" t="s">
        <v>585</v>
      </c>
      <c r="B103" s="142" t="s">
        <v>586</v>
      </c>
      <c r="C103" s="142"/>
      <c r="D103" s="142" t="s">
        <v>185</v>
      </c>
      <c r="E103" s="156"/>
      <c r="F103" s="465" t="s">
        <v>587</v>
      </c>
      <c r="G103" s="462" t="s">
        <v>588</v>
      </c>
      <c r="H103" s="142" t="s">
        <v>198</v>
      </c>
      <c r="I103" s="142"/>
      <c r="J103" s="142" t="s">
        <v>373</v>
      </c>
      <c r="K103" s="142"/>
      <c r="L103" s="142" t="s">
        <v>191</v>
      </c>
      <c r="M103" s="331">
        <v>4</v>
      </c>
      <c r="N103" s="144" t="s">
        <v>14</v>
      </c>
      <c r="O103" s="144">
        <v>5</v>
      </c>
      <c r="P103" s="461" t="s">
        <v>199</v>
      </c>
      <c r="Q103" s="48"/>
      <c r="R103" s="48"/>
    </row>
    <row r="104" spans="1:18" ht="22.5">
      <c r="A104" s="142" t="s">
        <v>589</v>
      </c>
      <c r="B104" s="142" t="s">
        <v>590</v>
      </c>
      <c r="C104" s="142"/>
      <c r="D104" s="142" t="s">
        <v>185</v>
      </c>
      <c r="E104" s="156"/>
      <c r="F104" s="465" t="s">
        <v>370</v>
      </c>
      <c r="G104" s="462" t="s">
        <v>591</v>
      </c>
      <c r="H104" s="142" t="s">
        <v>198</v>
      </c>
      <c r="I104" s="142"/>
      <c r="J104" s="142" t="s">
        <v>373</v>
      </c>
      <c r="K104" s="142"/>
      <c r="L104" s="142" t="s">
        <v>191</v>
      </c>
      <c r="M104" s="331">
        <v>4</v>
      </c>
      <c r="N104" s="144" t="s">
        <v>14</v>
      </c>
      <c r="O104" s="144">
        <v>5</v>
      </c>
      <c r="P104" s="461" t="s">
        <v>199</v>
      </c>
      <c r="Q104" s="48"/>
      <c r="R104" s="48"/>
    </row>
    <row r="105" spans="1:18" ht="22.5">
      <c r="A105" s="142" t="s">
        <v>592</v>
      </c>
      <c r="B105" s="142" t="s">
        <v>593</v>
      </c>
      <c r="C105" s="142"/>
      <c r="D105" s="142" t="s">
        <v>185</v>
      </c>
      <c r="E105" s="156"/>
      <c r="F105" s="465" t="s">
        <v>370</v>
      </c>
      <c r="G105" s="462" t="s">
        <v>594</v>
      </c>
      <c r="H105" s="142" t="s">
        <v>198</v>
      </c>
      <c r="I105" s="142"/>
      <c r="J105" s="142" t="s">
        <v>373</v>
      </c>
      <c r="K105" s="142" t="s">
        <v>477</v>
      </c>
      <c r="L105" s="142" t="s">
        <v>191</v>
      </c>
      <c r="M105" s="331">
        <v>4</v>
      </c>
      <c r="N105" s="144" t="s">
        <v>14</v>
      </c>
      <c r="O105" s="144">
        <v>5</v>
      </c>
      <c r="P105" s="461" t="s">
        <v>199</v>
      </c>
      <c r="Q105" s="48"/>
      <c r="R105" s="48"/>
    </row>
    <row r="106" spans="1:18" ht="22.5">
      <c r="A106" s="142" t="s">
        <v>595</v>
      </c>
      <c r="B106" s="142" t="s">
        <v>596</v>
      </c>
      <c r="C106" s="142"/>
      <c r="D106" s="142" t="s">
        <v>185</v>
      </c>
      <c r="E106" s="156"/>
      <c r="F106" s="465" t="s">
        <v>597</v>
      </c>
      <c r="G106" s="462" t="s">
        <v>588</v>
      </c>
      <c r="H106" s="142" t="s">
        <v>198</v>
      </c>
      <c r="I106" s="142"/>
      <c r="J106" s="142" t="s">
        <v>373</v>
      </c>
      <c r="K106" s="142"/>
      <c r="L106" s="142" t="s">
        <v>191</v>
      </c>
      <c r="M106" s="331">
        <v>4</v>
      </c>
      <c r="N106" s="144" t="s">
        <v>14</v>
      </c>
      <c r="O106" s="144">
        <v>5</v>
      </c>
      <c r="P106" s="461" t="s">
        <v>199</v>
      </c>
      <c r="Q106" s="48"/>
      <c r="R106" s="48"/>
    </row>
    <row r="107" spans="1:18" ht="33.75">
      <c r="A107" s="142" t="s">
        <v>598</v>
      </c>
      <c r="B107" s="142" t="s">
        <v>599</v>
      </c>
      <c r="C107" s="142"/>
      <c r="D107" s="142" t="s">
        <v>185</v>
      </c>
      <c r="E107" s="156"/>
      <c r="F107" s="465" t="s">
        <v>597</v>
      </c>
      <c r="G107" s="462" t="s">
        <v>594</v>
      </c>
      <c r="H107" s="142" t="s">
        <v>198</v>
      </c>
      <c r="I107" s="142"/>
      <c r="J107" s="142" t="s">
        <v>373</v>
      </c>
      <c r="K107" s="142"/>
      <c r="L107" s="142" t="s">
        <v>191</v>
      </c>
      <c r="M107" s="331">
        <v>4</v>
      </c>
      <c r="N107" s="144" t="s">
        <v>14</v>
      </c>
      <c r="O107" s="144">
        <v>5</v>
      </c>
      <c r="P107" s="461" t="s">
        <v>199</v>
      </c>
      <c r="Q107" s="48"/>
      <c r="R107" s="48"/>
    </row>
    <row r="108" spans="1:18" ht="22.5">
      <c r="A108" s="142" t="s">
        <v>600</v>
      </c>
      <c r="B108" s="142"/>
      <c r="C108" s="142"/>
      <c r="D108" s="142"/>
      <c r="E108" s="156"/>
      <c r="F108" s="465" t="s">
        <v>601</v>
      </c>
      <c r="G108" s="462" t="s">
        <v>602</v>
      </c>
      <c r="H108" s="142" t="s">
        <v>198</v>
      </c>
      <c r="I108" s="142"/>
      <c r="J108" s="142" t="s">
        <v>373</v>
      </c>
      <c r="K108" s="142"/>
      <c r="L108" s="142" t="s">
        <v>191</v>
      </c>
      <c r="M108" s="331">
        <v>4</v>
      </c>
      <c r="N108" s="144" t="s">
        <v>14</v>
      </c>
      <c r="O108" s="144">
        <v>5</v>
      </c>
      <c r="P108" s="461" t="s">
        <v>199</v>
      </c>
      <c r="Q108" s="48"/>
      <c r="R108" s="48"/>
    </row>
    <row r="109" spans="1:18" ht="22.5">
      <c r="A109" s="142" t="s">
        <v>603</v>
      </c>
      <c r="B109" s="142"/>
      <c r="C109" s="142"/>
      <c r="D109" s="142"/>
      <c r="E109" s="156"/>
      <c r="F109" s="465" t="s">
        <v>601</v>
      </c>
      <c r="G109" s="462" t="s">
        <v>604</v>
      </c>
      <c r="H109" s="142" t="s">
        <v>198</v>
      </c>
      <c r="I109" s="142"/>
      <c r="J109" s="142" t="s">
        <v>373</v>
      </c>
      <c r="K109" s="142"/>
      <c r="L109" s="142" t="s">
        <v>191</v>
      </c>
      <c r="M109" s="331">
        <v>4</v>
      </c>
      <c r="N109" s="144" t="s">
        <v>14</v>
      </c>
      <c r="O109" s="144">
        <v>5</v>
      </c>
      <c r="P109" s="461" t="s">
        <v>199</v>
      </c>
      <c r="Q109" s="48"/>
      <c r="R109" s="48"/>
    </row>
    <row r="110" spans="1:18" ht="45">
      <c r="A110" s="142" t="s">
        <v>605</v>
      </c>
      <c r="B110" s="142" t="s">
        <v>606</v>
      </c>
      <c r="C110" s="142" t="s">
        <v>607</v>
      </c>
      <c r="D110" s="142" t="s">
        <v>242</v>
      </c>
      <c r="E110" s="156"/>
      <c r="F110" s="465" t="s">
        <v>608</v>
      </c>
      <c r="G110" s="462" t="s">
        <v>609</v>
      </c>
      <c r="H110" s="142" t="s">
        <v>188</v>
      </c>
      <c r="I110" s="142" t="s">
        <v>250</v>
      </c>
      <c r="J110" s="142" t="s">
        <v>190</v>
      </c>
      <c r="K110" s="142" t="s">
        <v>477</v>
      </c>
      <c r="L110" s="142" t="s">
        <v>191</v>
      </c>
      <c r="M110" s="331">
        <v>4</v>
      </c>
      <c r="N110" s="144" t="s">
        <v>12</v>
      </c>
      <c r="O110" s="144">
        <v>5</v>
      </c>
      <c r="P110" s="461" t="s">
        <v>199</v>
      </c>
      <c r="Q110" s="48"/>
      <c r="R110" s="48"/>
    </row>
    <row r="111" spans="1:18" ht="45">
      <c r="A111" s="142" t="s">
        <v>610</v>
      </c>
      <c r="B111" s="142" t="s">
        <v>611</v>
      </c>
      <c r="C111" s="142" t="s">
        <v>612</v>
      </c>
      <c r="D111" s="142" t="s">
        <v>242</v>
      </c>
      <c r="E111" s="156"/>
      <c r="F111" s="465" t="s">
        <v>608</v>
      </c>
      <c r="G111" s="462" t="s">
        <v>613</v>
      </c>
      <c r="H111" s="142" t="s">
        <v>198</v>
      </c>
      <c r="I111" s="142"/>
      <c r="J111" s="142" t="s">
        <v>190</v>
      </c>
      <c r="K111" s="142" t="s">
        <v>477</v>
      </c>
      <c r="L111" s="142" t="s">
        <v>191</v>
      </c>
      <c r="M111" s="331">
        <v>4</v>
      </c>
      <c r="N111" s="144" t="s">
        <v>12</v>
      </c>
      <c r="O111" s="144">
        <v>5</v>
      </c>
      <c r="P111" s="461" t="s">
        <v>199</v>
      </c>
      <c r="Q111" s="48"/>
      <c r="R111" s="48"/>
    </row>
    <row r="112" spans="1:18">
      <c r="A112" s="142" t="s">
        <v>614</v>
      </c>
      <c r="B112" s="142" t="s">
        <v>615</v>
      </c>
      <c r="C112" s="142" t="s">
        <v>616</v>
      </c>
      <c r="D112" s="142" t="s">
        <v>242</v>
      </c>
      <c r="E112" s="156"/>
      <c r="F112" s="465" t="s">
        <v>608</v>
      </c>
      <c r="G112" s="462" t="s">
        <v>617</v>
      </c>
      <c r="H112" s="142" t="s">
        <v>198</v>
      </c>
      <c r="I112" s="142"/>
      <c r="J112" s="142" t="s">
        <v>190</v>
      </c>
      <c r="K112" s="142" t="s">
        <v>477</v>
      </c>
      <c r="L112" s="142" t="s">
        <v>191</v>
      </c>
      <c r="M112" s="331">
        <v>4</v>
      </c>
      <c r="N112" s="144" t="s">
        <v>12</v>
      </c>
      <c r="O112" s="144">
        <v>5</v>
      </c>
      <c r="P112" s="461" t="s">
        <v>199</v>
      </c>
      <c r="Q112" s="48"/>
      <c r="R112" s="48"/>
    </row>
    <row r="113" spans="1:18" ht="157.5">
      <c r="A113" s="142" t="s">
        <v>618</v>
      </c>
      <c r="B113" s="142" t="s">
        <v>619</v>
      </c>
      <c r="C113" s="142" t="s">
        <v>620</v>
      </c>
      <c r="D113" s="142" t="s">
        <v>242</v>
      </c>
      <c r="E113" s="156"/>
      <c r="F113" s="465" t="s">
        <v>608</v>
      </c>
      <c r="G113" s="462" t="s">
        <v>621</v>
      </c>
      <c r="H113" s="142" t="s">
        <v>204</v>
      </c>
      <c r="I113" s="142" t="s">
        <v>622</v>
      </c>
      <c r="J113" s="142" t="s">
        <v>190</v>
      </c>
      <c r="K113" s="142" t="s">
        <v>477</v>
      </c>
      <c r="L113" s="142" t="s">
        <v>191</v>
      </c>
      <c r="M113" s="331">
        <v>4</v>
      </c>
      <c r="N113" s="144" t="s">
        <v>12</v>
      </c>
      <c r="O113" s="144">
        <v>5</v>
      </c>
      <c r="P113" s="461" t="s">
        <v>199</v>
      </c>
      <c r="Q113" s="48"/>
      <c r="R113" s="48"/>
    </row>
    <row r="114" spans="1:18" ht="247.5">
      <c r="A114" s="142" t="s">
        <v>623</v>
      </c>
      <c r="B114" s="142" t="s">
        <v>624</v>
      </c>
      <c r="C114" s="142" t="s">
        <v>625</v>
      </c>
      <c r="D114" s="142" t="s">
        <v>242</v>
      </c>
      <c r="E114" s="156"/>
      <c r="F114" s="465" t="s">
        <v>608</v>
      </c>
      <c r="G114" s="462" t="s">
        <v>626</v>
      </c>
      <c r="H114" s="142" t="s">
        <v>204</v>
      </c>
      <c r="I114" s="142" t="s">
        <v>627</v>
      </c>
      <c r="J114" s="142" t="s">
        <v>190</v>
      </c>
      <c r="K114" s="142" t="s">
        <v>477</v>
      </c>
      <c r="L114" s="142" t="s">
        <v>191</v>
      </c>
      <c r="M114" s="331">
        <v>4</v>
      </c>
      <c r="N114" s="144" t="s">
        <v>12</v>
      </c>
      <c r="O114" s="144">
        <v>5</v>
      </c>
      <c r="P114" s="461" t="s">
        <v>199</v>
      </c>
      <c r="Q114" s="48"/>
      <c r="R114" s="48"/>
    </row>
    <row r="115" spans="1:18" ht="101.25">
      <c r="A115" s="142" t="s">
        <v>628</v>
      </c>
      <c r="B115" s="142" t="s">
        <v>629</v>
      </c>
      <c r="C115" s="142" t="s">
        <v>630</v>
      </c>
      <c r="D115" s="142" t="s">
        <v>242</v>
      </c>
      <c r="E115" s="156"/>
      <c r="F115" s="465" t="s">
        <v>608</v>
      </c>
      <c r="G115" s="462" t="s">
        <v>631</v>
      </c>
      <c r="H115" s="142" t="s">
        <v>204</v>
      </c>
      <c r="I115" s="142" t="s">
        <v>632</v>
      </c>
      <c r="J115" s="142" t="s">
        <v>190</v>
      </c>
      <c r="K115" s="142" t="s">
        <v>477</v>
      </c>
      <c r="L115" s="142" t="s">
        <v>191</v>
      </c>
      <c r="M115" s="331">
        <v>4</v>
      </c>
      <c r="N115" s="144" t="s">
        <v>12</v>
      </c>
      <c r="O115" s="144">
        <v>5</v>
      </c>
      <c r="P115" s="461" t="s">
        <v>199</v>
      </c>
      <c r="Q115" s="48"/>
      <c r="R115" s="48"/>
    </row>
    <row r="116" spans="1:18" ht="247.5">
      <c r="A116" s="142" t="s">
        <v>633</v>
      </c>
      <c r="B116" s="142" t="s">
        <v>634</v>
      </c>
      <c r="C116" s="142" t="s">
        <v>635</v>
      </c>
      <c r="D116" s="142" t="s">
        <v>242</v>
      </c>
      <c r="E116" s="156"/>
      <c r="F116" s="465" t="s">
        <v>608</v>
      </c>
      <c r="G116" s="462" t="s">
        <v>636</v>
      </c>
      <c r="H116" s="142" t="s">
        <v>204</v>
      </c>
      <c r="I116" s="142" t="s">
        <v>637</v>
      </c>
      <c r="J116" s="142" t="s">
        <v>190</v>
      </c>
      <c r="K116" s="142" t="s">
        <v>477</v>
      </c>
      <c r="L116" s="142" t="s">
        <v>191</v>
      </c>
      <c r="M116" s="331">
        <v>4</v>
      </c>
      <c r="N116" s="144" t="s">
        <v>12</v>
      </c>
      <c r="O116" s="144">
        <v>5</v>
      </c>
      <c r="P116" s="461" t="s">
        <v>199</v>
      </c>
      <c r="Q116" s="48"/>
      <c r="R116" s="48"/>
    </row>
    <row r="117" spans="1:18" ht="67.5">
      <c r="A117" s="142" t="s">
        <v>638</v>
      </c>
      <c r="B117" s="142" t="s">
        <v>639</v>
      </c>
      <c r="C117" s="142"/>
      <c r="D117" s="142" t="s">
        <v>242</v>
      </c>
      <c r="E117" s="156"/>
      <c r="F117" s="465" t="s">
        <v>261</v>
      </c>
      <c r="G117" s="464" t="s">
        <v>640</v>
      </c>
      <c r="H117" s="142" t="s">
        <v>204</v>
      </c>
      <c r="I117" s="142" t="s">
        <v>277</v>
      </c>
      <c r="J117" s="142" t="s">
        <v>373</v>
      </c>
      <c r="K117" s="142" t="s">
        <v>477</v>
      </c>
      <c r="L117" s="142" t="s">
        <v>191</v>
      </c>
      <c r="M117" s="331">
        <v>4</v>
      </c>
      <c r="N117" s="144" t="s">
        <v>14</v>
      </c>
      <c r="O117" s="144">
        <v>5</v>
      </c>
      <c r="P117" s="461" t="s">
        <v>199</v>
      </c>
      <c r="Q117" s="48"/>
      <c r="R117" s="48"/>
    </row>
    <row r="118" spans="1:18" ht="67.5">
      <c r="A118" s="142" t="s">
        <v>641</v>
      </c>
      <c r="B118" s="142" t="s">
        <v>642</v>
      </c>
      <c r="C118" s="142"/>
      <c r="D118" s="142" t="s">
        <v>242</v>
      </c>
      <c r="E118" s="156"/>
      <c r="F118" s="465" t="s">
        <v>261</v>
      </c>
      <c r="G118" s="464" t="s">
        <v>483</v>
      </c>
      <c r="H118" s="142" t="s">
        <v>204</v>
      </c>
      <c r="I118" s="142" t="s">
        <v>277</v>
      </c>
      <c r="J118" s="142" t="s">
        <v>373</v>
      </c>
      <c r="K118" s="142" t="s">
        <v>477</v>
      </c>
      <c r="L118" s="142" t="s">
        <v>191</v>
      </c>
      <c r="M118" s="331">
        <v>4</v>
      </c>
      <c r="N118" s="144" t="s">
        <v>14</v>
      </c>
      <c r="O118" s="144">
        <v>5</v>
      </c>
      <c r="P118" s="461" t="s">
        <v>199</v>
      </c>
      <c r="Q118" s="48"/>
      <c r="R118" s="48"/>
    </row>
    <row r="119" spans="1:18" ht="67.5">
      <c r="A119" s="142" t="s">
        <v>643</v>
      </c>
      <c r="B119" s="142" t="s">
        <v>644</v>
      </c>
      <c r="C119" s="142"/>
      <c r="D119" s="142" t="s">
        <v>242</v>
      </c>
      <c r="E119" s="156"/>
      <c r="F119" s="465" t="s">
        <v>261</v>
      </c>
      <c r="G119" s="464" t="s">
        <v>645</v>
      </c>
      <c r="H119" s="142" t="s">
        <v>204</v>
      </c>
      <c r="I119" s="142" t="s">
        <v>277</v>
      </c>
      <c r="J119" s="142" t="s">
        <v>373</v>
      </c>
      <c r="K119" s="142" t="s">
        <v>477</v>
      </c>
      <c r="L119" s="142" t="s">
        <v>191</v>
      </c>
      <c r="M119" s="331">
        <v>4</v>
      </c>
      <c r="N119" s="144" t="s">
        <v>14</v>
      </c>
      <c r="O119" s="144">
        <v>5</v>
      </c>
      <c r="P119" s="461" t="s">
        <v>199</v>
      </c>
      <c r="Q119" s="48"/>
      <c r="R119" s="48"/>
    </row>
    <row r="120" spans="1:18" ht="67.5">
      <c r="A120" s="142" t="s">
        <v>646</v>
      </c>
      <c r="B120" s="142" t="s">
        <v>647</v>
      </c>
      <c r="C120" s="142"/>
      <c r="D120" s="142" t="s">
        <v>242</v>
      </c>
      <c r="E120" s="142"/>
      <c r="F120" s="463" t="s">
        <v>261</v>
      </c>
      <c r="G120" s="146" t="s">
        <v>487</v>
      </c>
      <c r="H120" s="142" t="s">
        <v>204</v>
      </c>
      <c r="I120" s="142" t="s">
        <v>277</v>
      </c>
      <c r="J120" s="142" t="s">
        <v>373</v>
      </c>
      <c r="K120" s="142" t="s">
        <v>477</v>
      </c>
      <c r="L120" s="142" t="s">
        <v>191</v>
      </c>
      <c r="M120" s="331">
        <v>4</v>
      </c>
      <c r="N120" s="144" t="s">
        <v>14</v>
      </c>
      <c r="O120" s="144">
        <v>5</v>
      </c>
      <c r="P120" s="461" t="s">
        <v>199</v>
      </c>
      <c r="Q120" s="48"/>
      <c r="R120" s="48"/>
    </row>
    <row r="121" spans="1:18" ht="67.5">
      <c r="A121" s="142" t="s">
        <v>648</v>
      </c>
      <c r="B121" s="142" t="s">
        <v>649</v>
      </c>
      <c r="C121" s="142"/>
      <c r="D121" s="142" t="s">
        <v>242</v>
      </c>
      <c r="E121" s="142"/>
      <c r="F121" s="141" t="s">
        <v>261</v>
      </c>
      <c r="G121" s="146" t="s">
        <v>650</v>
      </c>
      <c r="H121" s="142" t="s">
        <v>204</v>
      </c>
      <c r="I121" s="142" t="s">
        <v>277</v>
      </c>
      <c r="J121" s="142" t="s">
        <v>373</v>
      </c>
      <c r="K121" s="142" t="s">
        <v>477</v>
      </c>
      <c r="L121" s="142" t="s">
        <v>191</v>
      </c>
      <c r="M121" s="331">
        <v>4</v>
      </c>
      <c r="N121" s="144" t="s">
        <v>14</v>
      </c>
      <c r="O121" s="144">
        <v>5</v>
      </c>
      <c r="P121" s="461" t="s">
        <v>199</v>
      </c>
      <c r="Q121" s="48"/>
      <c r="R121" s="48"/>
    </row>
    <row r="122" spans="1:18" ht="67.5">
      <c r="A122" s="142" t="s">
        <v>651</v>
      </c>
      <c r="B122" s="142" t="s">
        <v>652</v>
      </c>
      <c r="C122" s="142"/>
      <c r="D122" s="142" t="s">
        <v>242</v>
      </c>
      <c r="E122" s="142"/>
      <c r="F122" s="141" t="s">
        <v>261</v>
      </c>
      <c r="G122" s="146" t="s">
        <v>653</v>
      </c>
      <c r="H122" s="142" t="s">
        <v>204</v>
      </c>
      <c r="I122" s="142" t="s">
        <v>277</v>
      </c>
      <c r="J122" s="142" t="s">
        <v>373</v>
      </c>
      <c r="K122" s="142" t="s">
        <v>477</v>
      </c>
      <c r="L122" s="142" t="s">
        <v>191</v>
      </c>
      <c r="M122" s="331">
        <v>4</v>
      </c>
      <c r="N122" s="144" t="s">
        <v>14</v>
      </c>
      <c r="O122" s="144">
        <v>5</v>
      </c>
      <c r="P122" s="461" t="s">
        <v>199</v>
      </c>
      <c r="Q122" s="48"/>
      <c r="R122" s="48"/>
    </row>
    <row r="123" spans="1:18">
      <c r="Q123" s="48"/>
      <c r="R123" s="422"/>
    </row>
  </sheetData>
  <autoFilter ref="A12:R77" xr:uid="{00000000-0009-0000-0000-000003000000}"/>
  <phoneticPr fontId="39" type="noConversion"/>
  <conditionalFormatting sqref="Q13:Q77">
    <cfRule type="containsText" dxfId="72" priority="1" operator="containsText" text="Yes">
      <formula>NOT(ISERROR(SEARCH("Yes",Q13)))</formula>
    </cfRule>
  </conditionalFormatting>
  <dataValidations count="1">
    <dataValidation type="list" allowBlank="1" showInputMessage="1" showErrorMessage="1" sqref="Q13:Q77" xr:uid="{00000000-0002-0000-0300-000000000000}">
      <formula1>"No,Yes"</formula1>
    </dataValidation>
  </dataValidations>
  <pageMargins left="0.15748031496063003" right="0.15748031496063003" top="0.511811023622047" bottom="0.47244094488189015" header="0.15748031496063003" footer="0.15748031496063003"/>
  <pageSetup paperSize="9" scale="62" fitToWidth="0" fitToHeight="0" orientation="landscape" r:id="rId1"/>
  <headerFooter alignWithMargins="0">
    <oddHeader>&amp;C&amp;F</oddHeader>
    <oddFooter>&amp;L&amp;A&amp;CPage &amp;P of &amp;N</oddFooter>
  </headerFooter>
  <rowBreaks count="2" manualBreakCount="2">
    <brk id="22" man="1"/>
    <brk id="32" man="1"/>
  </rowBreaks>
  <colBreaks count="1" manualBreakCount="1">
    <brk id="7"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S62"/>
  <sheetViews>
    <sheetView showGridLines="0" zoomScale="90" zoomScaleNormal="90" workbookViewId="0">
      <pane xSplit="1" ySplit="6" topLeftCell="B30" activePane="bottomRight" state="frozen"/>
      <selection pane="bottomRight" activeCell="S35" sqref="S35"/>
      <selection pane="bottomLeft" activeCell="A101" sqref="A101"/>
      <selection pane="topRight" activeCell="A101" sqref="A101"/>
    </sheetView>
  </sheetViews>
  <sheetFormatPr defaultColWidth="9" defaultRowHeight="12.75"/>
  <cols>
    <col min="1" max="1" width="43.5703125" style="54" customWidth="1"/>
    <col min="2" max="2" width="30" style="54" bestFit="1" customWidth="1"/>
    <col min="3" max="3" width="15.85546875" style="54" hidden="1" customWidth="1"/>
    <col min="4" max="4" width="6.5703125" style="54" hidden="1" customWidth="1"/>
    <col min="5" max="5" width="21.28515625" style="55" bestFit="1" customWidth="1"/>
    <col min="6" max="6" width="33" style="56" customWidth="1"/>
    <col min="7" max="7" width="10" style="56" hidden="1" customWidth="1"/>
    <col min="8" max="8" width="25.5703125" style="54" customWidth="1"/>
    <col min="9" max="10" width="7.85546875" style="54" hidden="1" customWidth="1"/>
    <col min="11" max="11" width="9.42578125" style="39" customWidth="1"/>
    <col min="12" max="12" width="9" style="72" customWidth="1"/>
    <col min="13" max="13" width="8.85546875" style="72" customWidth="1"/>
    <col min="14" max="14" width="24.42578125" style="47" customWidth="1"/>
    <col min="15" max="15" width="17.85546875" style="47" customWidth="1"/>
    <col min="16" max="16" width="11.42578125" style="47" customWidth="1"/>
    <col min="17" max="17" width="17" style="47" bestFit="1" customWidth="1"/>
    <col min="18" max="18" width="17.28515625" style="47" bestFit="1" customWidth="1"/>
    <col min="19" max="19" width="9" style="53"/>
    <col min="20" max="31" width="9" style="47"/>
    <col min="32" max="33" width="20.85546875" style="47" customWidth="1"/>
    <col min="34" max="16384" width="9" style="47"/>
  </cols>
  <sheetData>
    <row r="1" spans="1:19">
      <c r="A1" s="40" t="s">
        <v>654</v>
      </c>
    </row>
    <row r="2" spans="1:19">
      <c r="A2" s="40"/>
      <c r="E2" s="56"/>
      <c r="G2" s="54"/>
      <c r="J2" s="39"/>
      <c r="K2" s="72"/>
      <c r="M2" s="47"/>
      <c r="R2" s="53"/>
      <c r="S2" s="47"/>
    </row>
    <row r="3" spans="1:19">
      <c r="A3" s="139" t="s">
        <v>159</v>
      </c>
      <c r="E3" s="56"/>
      <c r="G3" s="54"/>
      <c r="J3" s="39"/>
      <c r="K3" s="72"/>
      <c r="M3" s="47"/>
      <c r="P3" s="53"/>
      <c r="S3" s="47"/>
    </row>
    <row r="4" spans="1:19">
      <c r="A4" s="214"/>
      <c r="E4" s="56"/>
      <c r="G4" s="54"/>
      <c r="J4" s="39"/>
      <c r="K4" s="72"/>
      <c r="M4" s="47"/>
      <c r="S4" s="47"/>
    </row>
    <row r="5" spans="1:19" ht="11.25">
      <c r="E5" s="56"/>
      <c r="G5" s="54"/>
      <c r="J5" s="47"/>
      <c r="K5" s="72"/>
      <c r="M5" s="47"/>
      <c r="S5" s="47"/>
    </row>
    <row r="6" spans="1:19" s="48" customFormat="1" ht="33.75">
      <c r="A6" s="58" t="s">
        <v>165</v>
      </c>
      <c r="B6" s="58" t="s">
        <v>166</v>
      </c>
      <c r="C6" s="58" t="s">
        <v>168</v>
      </c>
      <c r="D6" s="58" t="s">
        <v>169</v>
      </c>
      <c r="E6" s="58" t="s">
        <v>170</v>
      </c>
      <c r="F6" s="58" t="s">
        <v>20</v>
      </c>
      <c r="G6" s="58" t="s">
        <v>171</v>
      </c>
      <c r="H6" s="58" t="s">
        <v>172</v>
      </c>
      <c r="I6" s="58" t="s">
        <v>174</v>
      </c>
      <c r="J6" s="58" t="s">
        <v>175</v>
      </c>
      <c r="K6" s="59" t="s">
        <v>176</v>
      </c>
      <c r="L6" s="60" t="s">
        <v>655</v>
      </c>
      <c r="M6" s="60" t="s">
        <v>179</v>
      </c>
      <c r="N6" s="291" t="s">
        <v>180</v>
      </c>
      <c r="O6" s="379" t="s">
        <v>181</v>
      </c>
    </row>
    <row r="7" spans="1:19" ht="123.75" customHeight="1">
      <c r="A7" s="61" t="s">
        <v>656</v>
      </c>
      <c r="B7" s="61" t="s">
        <v>183</v>
      </c>
      <c r="C7" s="61" t="s">
        <v>185</v>
      </c>
      <c r="D7" s="61"/>
      <c r="E7" s="222" t="s">
        <v>657</v>
      </c>
      <c r="F7" s="63" t="s">
        <v>187</v>
      </c>
      <c r="G7" s="63" t="s">
        <v>188</v>
      </c>
      <c r="H7" s="63" t="s">
        <v>189</v>
      </c>
      <c r="I7" s="63"/>
      <c r="J7" s="61" t="s">
        <v>191</v>
      </c>
      <c r="K7" s="64">
        <v>4</v>
      </c>
      <c r="L7" s="73">
        <v>5</v>
      </c>
      <c r="M7" s="73" t="s">
        <v>192</v>
      </c>
      <c r="N7" s="279"/>
      <c r="O7" s="380"/>
      <c r="S7" s="47"/>
    </row>
    <row r="8" spans="1:19" ht="22.5">
      <c r="A8" s="61" t="s">
        <v>658</v>
      </c>
      <c r="B8" s="61" t="s">
        <v>194</v>
      </c>
      <c r="C8" s="218" t="s">
        <v>185</v>
      </c>
      <c r="D8" s="218"/>
      <c r="E8" s="222" t="s">
        <v>657</v>
      </c>
      <c r="F8" s="63" t="s">
        <v>197</v>
      </c>
      <c r="G8" s="217" t="s">
        <v>198</v>
      </c>
      <c r="H8" s="61"/>
      <c r="I8" s="218"/>
      <c r="J8" s="221" t="s">
        <v>191</v>
      </c>
      <c r="K8" s="64">
        <v>2</v>
      </c>
      <c r="L8" s="73">
        <v>5</v>
      </c>
      <c r="M8" s="75" t="s">
        <v>199</v>
      </c>
      <c r="N8" s="279"/>
      <c r="O8" s="380"/>
      <c r="S8" s="47"/>
    </row>
    <row r="9" spans="1:19" ht="22.5">
      <c r="A9" s="61" t="s">
        <v>659</v>
      </c>
      <c r="B9" s="61" t="s">
        <v>201</v>
      </c>
      <c r="C9" s="218" t="s">
        <v>185</v>
      </c>
      <c r="D9" s="218"/>
      <c r="E9" s="222" t="s">
        <v>657</v>
      </c>
      <c r="F9" s="63" t="s">
        <v>203</v>
      </c>
      <c r="G9" s="217" t="s">
        <v>204</v>
      </c>
      <c r="H9" s="61" t="s">
        <v>660</v>
      </c>
      <c r="I9" s="218"/>
      <c r="J9" s="221" t="s">
        <v>191</v>
      </c>
      <c r="K9" s="64">
        <v>2</v>
      </c>
      <c r="L9" s="73">
        <v>5</v>
      </c>
      <c r="M9" s="75" t="s">
        <v>199</v>
      </c>
      <c r="N9" s="279"/>
      <c r="O9" s="380"/>
      <c r="S9" s="47"/>
    </row>
    <row r="10" spans="1:19" ht="11.25">
      <c r="A10" s="61" t="s">
        <v>661</v>
      </c>
      <c r="B10" s="61" t="s">
        <v>207</v>
      </c>
      <c r="C10" s="218" t="s">
        <v>185</v>
      </c>
      <c r="D10" s="218"/>
      <c r="E10" s="222" t="s">
        <v>657</v>
      </c>
      <c r="F10" s="63" t="s">
        <v>209</v>
      </c>
      <c r="G10" s="217" t="s">
        <v>198</v>
      </c>
      <c r="H10" s="61"/>
      <c r="I10" s="218"/>
      <c r="J10" s="221" t="s">
        <v>191</v>
      </c>
      <c r="K10" s="64">
        <v>2</v>
      </c>
      <c r="L10" s="73">
        <v>5</v>
      </c>
      <c r="M10" s="75" t="s">
        <v>199</v>
      </c>
      <c r="N10" s="279"/>
      <c r="O10" s="380"/>
      <c r="S10" s="47"/>
    </row>
    <row r="11" spans="1:19" ht="11.25">
      <c r="A11" s="61" t="s">
        <v>662</v>
      </c>
      <c r="B11" s="61" t="s">
        <v>211</v>
      </c>
      <c r="C11" s="218" t="s">
        <v>185</v>
      </c>
      <c r="D11" s="218"/>
      <c r="E11" s="222" t="s">
        <v>657</v>
      </c>
      <c r="F11" s="63" t="s">
        <v>213</v>
      </c>
      <c r="G11" s="217" t="s">
        <v>204</v>
      </c>
      <c r="H11" s="61" t="s">
        <v>663</v>
      </c>
      <c r="I11" s="218"/>
      <c r="J11" s="221" t="s">
        <v>191</v>
      </c>
      <c r="K11" s="64">
        <v>2</v>
      </c>
      <c r="L11" s="73">
        <v>5</v>
      </c>
      <c r="M11" s="75" t="s">
        <v>199</v>
      </c>
      <c r="N11" s="279"/>
      <c r="O11" s="380"/>
      <c r="S11" s="47"/>
    </row>
    <row r="12" spans="1:19" ht="11.25">
      <c r="A12" s="61" t="s">
        <v>664</v>
      </c>
      <c r="B12" s="61" t="s">
        <v>216</v>
      </c>
      <c r="C12" s="218" t="s">
        <v>185</v>
      </c>
      <c r="D12" s="218"/>
      <c r="E12" s="222" t="s">
        <v>657</v>
      </c>
      <c r="F12" s="63" t="s">
        <v>219</v>
      </c>
      <c r="G12" s="217" t="s">
        <v>204</v>
      </c>
      <c r="H12" s="63"/>
      <c r="I12" s="217"/>
      <c r="J12" s="221" t="s">
        <v>191</v>
      </c>
      <c r="K12" s="64">
        <v>1</v>
      </c>
      <c r="L12" s="73">
        <v>4</v>
      </c>
      <c r="M12" s="75" t="s">
        <v>222</v>
      </c>
      <c r="N12" s="279"/>
      <c r="O12" s="380"/>
      <c r="S12" s="47"/>
    </row>
    <row r="13" spans="1:19" ht="348.75">
      <c r="A13" s="61" t="s">
        <v>665</v>
      </c>
      <c r="B13" s="61" t="s">
        <v>230</v>
      </c>
      <c r="C13" s="218" t="s">
        <v>185</v>
      </c>
      <c r="D13" s="218"/>
      <c r="E13" s="222" t="s">
        <v>657</v>
      </c>
      <c r="F13" s="63" t="s">
        <v>666</v>
      </c>
      <c r="G13" s="217" t="s">
        <v>204</v>
      </c>
      <c r="H13" s="63" t="s">
        <v>667</v>
      </c>
      <c r="I13" s="217"/>
      <c r="J13" s="221" t="s">
        <v>191</v>
      </c>
      <c r="K13" s="64">
        <v>2</v>
      </c>
      <c r="L13" s="73">
        <v>4</v>
      </c>
      <c r="M13" s="75" t="s">
        <v>222</v>
      </c>
      <c r="N13" s="279"/>
      <c r="O13" s="380"/>
      <c r="S13" s="47"/>
    </row>
    <row r="14" spans="1:19" ht="78.75">
      <c r="A14" s="61" t="s">
        <v>668</v>
      </c>
      <c r="B14" s="61" t="s">
        <v>235</v>
      </c>
      <c r="C14" s="218" t="s">
        <v>185</v>
      </c>
      <c r="D14" s="218"/>
      <c r="E14" s="222" t="s">
        <v>657</v>
      </c>
      <c r="F14" s="63" t="s">
        <v>669</v>
      </c>
      <c r="G14" s="217" t="s">
        <v>204</v>
      </c>
      <c r="H14" s="63" t="s">
        <v>238</v>
      </c>
      <c r="I14" s="217"/>
      <c r="J14" s="221" t="s">
        <v>191</v>
      </c>
      <c r="K14" s="64">
        <v>2</v>
      </c>
      <c r="L14" s="73">
        <v>5</v>
      </c>
      <c r="M14" s="75" t="s">
        <v>222</v>
      </c>
      <c r="N14" s="279"/>
      <c r="O14" s="380"/>
      <c r="S14" s="47"/>
    </row>
    <row r="15" spans="1:19" ht="67.5">
      <c r="A15" s="63" t="s">
        <v>670</v>
      </c>
      <c r="B15" s="61" t="s">
        <v>247</v>
      </c>
      <c r="C15" s="218" t="s">
        <v>185</v>
      </c>
      <c r="D15" s="218"/>
      <c r="E15" s="222" t="s">
        <v>657</v>
      </c>
      <c r="F15" s="63" t="s">
        <v>249</v>
      </c>
      <c r="G15" s="217" t="s">
        <v>188</v>
      </c>
      <c r="H15" s="63" t="s">
        <v>250</v>
      </c>
      <c r="I15" s="217"/>
      <c r="J15" s="221" t="s">
        <v>191</v>
      </c>
      <c r="K15" s="64">
        <v>2</v>
      </c>
      <c r="L15" s="73">
        <v>5</v>
      </c>
      <c r="M15" s="75" t="s">
        <v>192</v>
      </c>
      <c r="N15" s="279"/>
      <c r="O15" s="380"/>
      <c r="S15" s="47"/>
    </row>
    <row r="16" spans="1:19" ht="22.5">
      <c r="A16" s="61" t="s">
        <v>671</v>
      </c>
      <c r="B16" s="61" t="s">
        <v>273</v>
      </c>
      <c r="C16" s="218" t="s">
        <v>185</v>
      </c>
      <c r="D16" s="218"/>
      <c r="E16" s="222" t="s">
        <v>657</v>
      </c>
      <c r="F16" s="63" t="s">
        <v>276</v>
      </c>
      <c r="G16" s="217" t="s">
        <v>204</v>
      </c>
      <c r="H16" s="63" t="s">
        <v>220</v>
      </c>
      <c r="I16" s="217"/>
      <c r="J16" s="221" t="s">
        <v>191</v>
      </c>
      <c r="K16" s="64">
        <v>1</v>
      </c>
      <c r="L16" s="73">
        <v>4</v>
      </c>
      <c r="M16" s="75" t="s">
        <v>222</v>
      </c>
      <c r="N16" s="279"/>
      <c r="O16" s="380"/>
      <c r="S16" s="47"/>
    </row>
    <row r="17" spans="1:19" ht="123.75">
      <c r="A17" s="61" t="s">
        <v>672</v>
      </c>
      <c r="B17" s="61" t="s">
        <v>285</v>
      </c>
      <c r="C17" s="218" t="s">
        <v>185</v>
      </c>
      <c r="D17" s="218"/>
      <c r="E17" s="222" t="s">
        <v>657</v>
      </c>
      <c r="F17" s="63" t="s">
        <v>286</v>
      </c>
      <c r="G17" s="217" t="s">
        <v>204</v>
      </c>
      <c r="H17" s="63" t="s">
        <v>673</v>
      </c>
      <c r="I17" s="217"/>
      <c r="J17" s="221" t="s">
        <v>191</v>
      </c>
      <c r="K17" s="64">
        <v>2</v>
      </c>
      <c r="L17" s="73">
        <v>5</v>
      </c>
      <c r="M17" s="75" t="s">
        <v>222</v>
      </c>
      <c r="N17" s="279"/>
      <c r="O17" s="380"/>
      <c r="S17" s="47"/>
    </row>
    <row r="18" spans="1:19" ht="67.5">
      <c r="A18" s="61" t="s">
        <v>674</v>
      </c>
      <c r="B18" s="61" t="s">
        <v>289</v>
      </c>
      <c r="C18" s="218" t="s">
        <v>185</v>
      </c>
      <c r="D18" s="218"/>
      <c r="E18" s="222" t="s">
        <v>657</v>
      </c>
      <c r="F18" s="63" t="s">
        <v>291</v>
      </c>
      <c r="G18" s="217" t="s">
        <v>204</v>
      </c>
      <c r="H18" s="63" t="s">
        <v>292</v>
      </c>
      <c r="I18" s="217"/>
      <c r="J18" s="221" t="s">
        <v>191</v>
      </c>
      <c r="K18" s="64">
        <v>2</v>
      </c>
      <c r="L18" s="73">
        <v>5</v>
      </c>
      <c r="M18" s="75" t="s">
        <v>222</v>
      </c>
      <c r="N18" s="279"/>
      <c r="O18" s="380"/>
      <c r="S18" s="47"/>
    </row>
    <row r="19" spans="1:19" ht="22.5">
      <c r="A19" s="61" t="s">
        <v>675</v>
      </c>
      <c r="B19" s="61" t="s">
        <v>294</v>
      </c>
      <c r="C19" s="218" t="s">
        <v>301</v>
      </c>
      <c r="D19" s="218"/>
      <c r="E19" s="222" t="s">
        <v>676</v>
      </c>
      <c r="F19" s="63" t="s">
        <v>297</v>
      </c>
      <c r="G19" s="217" t="s">
        <v>188</v>
      </c>
      <c r="H19" s="63" t="s">
        <v>250</v>
      </c>
      <c r="I19" s="217"/>
      <c r="J19" s="221" t="s">
        <v>191</v>
      </c>
      <c r="K19" s="64">
        <v>2</v>
      </c>
      <c r="L19" s="73">
        <v>4</v>
      </c>
      <c r="M19" s="75" t="s">
        <v>192</v>
      </c>
      <c r="N19" s="279"/>
      <c r="O19" s="380"/>
      <c r="S19" s="47"/>
    </row>
    <row r="20" spans="1:19" ht="11.25">
      <c r="A20" s="61" t="s">
        <v>677</v>
      </c>
      <c r="B20" s="61" t="s">
        <v>313</v>
      </c>
      <c r="C20" s="218" t="s">
        <v>185</v>
      </c>
      <c r="D20" s="218"/>
      <c r="E20" s="222" t="s">
        <v>657</v>
      </c>
      <c r="F20" s="63" t="s">
        <v>315</v>
      </c>
      <c r="G20" s="217" t="s">
        <v>198</v>
      </c>
      <c r="H20" s="63"/>
      <c r="I20" s="217"/>
      <c r="J20" s="221" t="s">
        <v>191</v>
      </c>
      <c r="K20" s="64">
        <v>2</v>
      </c>
      <c r="L20" s="73">
        <v>5</v>
      </c>
      <c r="M20" s="75" t="s">
        <v>199</v>
      </c>
      <c r="N20" s="279"/>
      <c r="O20" s="380"/>
      <c r="S20" s="47"/>
    </row>
    <row r="21" spans="1:19" ht="11.25">
      <c r="A21" s="61" t="s">
        <v>678</v>
      </c>
      <c r="B21" s="61" t="s">
        <v>317</v>
      </c>
      <c r="C21" s="218" t="s">
        <v>185</v>
      </c>
      <c r="D21" s="218"/>
      <c r="E21" s="222" t="s">
        <v>657</v>
      </c>
      <c r="F21" s="63" t="s">
        <v>319</v>
      </c>
      <c r="G21" s="217" t="s">
        <v>198</v>
      </c>
      <c r="H21" s="63"/>
      <c r="I21" s="217"/>
      <c r="J21" s="221" t="s">
        <v>191</v>
      </c>
      <c r="K21" s="64">
        <v>2</v>
      </c>
      <c r="L21" s="73">
        <v>5</v>
      </c>
      <c r="M21" s="75" t="s">
        <v>199</v>
      </c>
      <c r="N21" s="279"/>
      <c r="O21" s="380"/>
      <c r="S21" s="47"/>
    </row>
    <row r="22" spans="1:19" ht="22.5">
      <c r="A22" s="61" t="s">
        <v>679</v>
      </c>
      <c r="B22" s="61" t="s">
        <v>321</v>
      </c>
      <c r="C22" s="218" t="s">
        <v>185</v>
      </c>
      <c r="D22" s="218"/>
      <c r="E22" s="222" t="s">
        <v>657</v>
      </c>
      <c r="F22" s="63" t="s">
        <v>324</v>
      </c>
      <c r="G22" s="217" t="s">
        <v>188</v>
      </c>
      <c r="H22" s="63" t="s">
        <v>250</v>
      </c>
      <c r="I22" s="217"/>
      <c r="J22" s="221" t="s">
        <v>191</v>
      </c>
      <c r="K22" s="64">
        <v>2</v>
      </c>
      <c r="L22" s="73">
        <v>5</v>
      </c>
      <c r="M22" s="75" t="s">
        <v>199</v>
      </c>
      <c r="N22" s="279"/>
      <c r="O22" s="380"/>
      <c r="S22" s="47"/>
    </row>
    <row r="23" spans="1:19" ht="33.75">
      <c r="A23" s="61" t="s">
        <v>680</v>
      </c>
      <c r="B23" s="61" t="s">
        <v>326</v>
      </c>
      <c r="C23" s="218" t="s">
        <v>185</v>
      </c>
      <c r="D23" s="218"/>
      <c r="E23" s="222" t="s">
        <v>657</v>
      </c>
      <c r="F23" s="63" t="s">
        <v>329</v>
      </c>
      <c r="G23" s="217" t="s">
        <v>188</v>
      </c>
      <c r="H23" s="63" t="s">
        <v>681</v>
      </c>
      <c r="I23" s="217"/>
      <c r="J23" s="221" t="s">
        <v>191</v>
      </c>
      <c r="K23" s="64">
        <v>2</v>
      </c>
      <c r="L23" s="73">
        <v>4</v>
      </c>
      <c r="M23" s="75" t="s">
        <v>199</v>
      </c>
      <c r="N23" s="279"/>
      <c r="O23" s="380"/>
      <c r="S23" s="47"/>
    </row>
    <row r="24" spans="1:19" ht="67.5">
      <c r="A24" s="61" t="s">
        <v>682</v>
      </c>
      <c r="B24" s="61" t="s">
        <v>332</v>
      </c>
      <c r="C24" s="218" t="s">
        <v>185</v>
      </c>
      <c r="D24" s="218"/>
      <c r="E24" s="222" t="s">
        <v>657</v>
      </c>
      <c r="F24" s="63" t="s">
        <v>334</v>
      </c>
      <c r="G24" s="217" t="s">
        <v>204</v>
      </c>
      <c r="H24" s="63" t="s">
        <v>683</v>
      </c>
      <c r="I24" s="217"/>
      <c r="J24" s="221" t="s">
        <v>191</v>
      </c>
      <c r="K24" s="64">
        <v>2</v>
      </c>
      <c r="L24" s="73">
        <v>5</v>
      </c>
      <c r="M24" s="75" t="s">
        <v>222</v>
      </c>
      <c r="N24" s="279"/>
      <c r="O24" s="380"/>
      <c r="S24" s="47"/>
    </row>
    <row r="25" spans="1:19" ht="67.5">
      <c r="A25" s="61" t="s">
        <v>684</v>
      </c>
      <c r="B25" s="61" t="s">
        <v>337</v>
      </c>
      <c r="C25" s="218" t="s">
        <v>185</v>
      </c>
      <c r="D25" s="218"/>
      <c r="E25" s="222" t="s">
        <v>657</v>
      </c>
      <c r="F25" s="63" t="s">
        <v>338</v>
      </c>
      <c r="G25" s="217" t="s">
        <v>204</v>
      </c>
      <c r="H25" s="63" t="s">
        <v>339</v>
      </c>
      <c r="I25" s="217"/>
      <c r="J25" s="221" t="s">
        <v>191</v>
      </c>
      <c r="K25" s="64">
        <v>2</v>
      </c>
      <c r="L25" s="73">
        <v>5</v>
      </c>
      <c r="M25" s="75" t="s">
        <v>222</v>
      </c>
      <c r="N25" s="279"/>
      <c r="O25" s="380"/>
      <c r="S25" s="47"/>
    </row>
    <row r="26" spans="1:19" ht="180">
      <c r="A26" s="61" t="s">
        <v>685</v>
      </c>
      <c r="B26" s="61" t="s">
        <v>341</v>
      </c>
      <c r="C26" s="218" t="s">
        <v>185</v>
      </c>
      <c r="D26" s="218"/>
      <c r="E26" s="222" t="s">
        <v>657</v>
      </c>
      <c r="F26" s="63" t="s">
        <v>686</v>
      </c>
      <c r="G26" s="217" t="s">
        <v>204</v>
      </c>
      <c r="H26" s="63" t="s">
        <v>687</v>
      </c>
      <c r="I26" s="217"/>
      <c r="J26" s="221" t="s">
        <v>191</v>
      </c>
      <c r="K26" s="64">
        <v>1</v>
      </c>
      <c r="L26" s="73">
        <v>5</v>
      </c>
      <c r="M26" s="75" t="s">
        <v>222</v>
      </c>
      <c r="N26" s="279"/>
      <c r="O26" s="380"/>
      <c r="S26" s="47"/>
    </row>
    <row r="27" spans="1:19" ht="11.25">
      <c r="A27" s="61" t="s">
        <v>688</v>
      </c>
      <c r="B27" s="61" t="s">
        <v>347</v>
      </c>
      <c r="C27" s="218" t="s">
        <v>185</v>
      </c>
      <c r="D27" s="218"/>
      <c r="E27" s="222" t="s">
        <v>657</v>
      </c>
      <c r="F27" s="63" t="s">
        <v>689</v>
      </c>
      <c r="G27" s="217" t="s">
        <v>204</v>
      </c>
      <c r="H27" s="63" t="s">
        <v>350</v>
      </c>
      <c r="I27" s="217"/>
      <c r="J27" s="221" t="s">
        <v>191</v>
      </c>
      <c r="K27" s="64">
        <v>1</v>
      </c>
      <c r="L27" s="73">
        <v>5</v>
      </c>
      <c r="M27" s="75" t="s">
        <v>222</v>
      </c>
      <c r="N27" s="279"/>
      <c r="O27" s="380"/>
      <c r="S27" s="47"/>
    </row>
    <row r="28" spans="1:19" ht="22.5">
      <c r="A28" s="61" t="s">
        <v>690</v>
      </c>
      <c r="B28" s="61" t="s">
        <v>383</v>
      </c>
      <c r="C28" s="218" t="s">
        <v>185</v>
      </c>
      <c r="D28" s="218"/>
      <c r="E28" s="222" t="s">
        <v>657</v>
      </c>
      <c r="F28" s="63" t="s">
        <v>384</v>
      </c>
      <c r="G28" s="217" t="s">
        <v>198</v>
      </c>
      <c r="H28" s="63"/>
      <c r="I28" s="217"/>
      <c r="J28" s="221" t="s">
        <v>191</v>
      </c>
      <c r="K28" s="64">
        <v>2</v>
      </c>
      <c r="L28" s="73">
        <v>4</v>
      </c>
      <c r="M28" s="75" t="s">
        <v>199</v>
      </c>
      <c r="N28" s="279"/>
      <c r="O28" s="380"/>
      <c r="S28" s="47"/>
    </row>
    <row r="29" spans="1:19" ht="33.75">
      <c r="A29" s="61" t="s">
        <v>691</v>
      </c>
      <c r="B29" s="61" t="s">
        <v>389</v>
      </c>
      <c r="C29" s="218" t="s">
        <v>185</v>
      </c>
      <c r="D29" s="218"/>
      <c r="E29" s="222" t="s">
        <v>657</v>
      </c>
      <c r="F29" s="63" t="s">
        <v>392</v>
      </c>
      <c r="G29" s="217" t="s">
        <v>204</v>
      </c>
      <c r="H29" s="63"/>
      <c r="I29" s="217"/>
      <c r="J29" s="221" t="s">
        <v>191</v>
      </c>
      <c r="K29" s="64">
        <v>1</v>
      </c>
      <c r="L29" s="73">
        <v>4</v>
      </c>
      <c r="M29" s="75" t="s">
        <v>199</v>
      </c>
      <c r="N29" s="279"/>
      <c r="O29" s="380"/>
      <c r="S29" s="47"/>
    </row>
    <row r="30" spans="1:19" ht="33.75">
      <c r="A30" s="61" t="s">
        <v>692</v>
      </c>
      <c r="B30" s="61" t="s">
        <v>693</v>
      </c>
      <c r="C30" s="218" t="s">
        <v>185</v>
      </c>
      <c r="D30" s="218"/>
      <c r="E30" s="222" t="s">
        <v>657</v>
      </c>
      <c r="F30" s="63" t="s">
        <v>694</v>
      </c>
      <c r="G30" s="217" t="s">
        <v>204</v>
      </c>
      <c r="H30" s="63"/>
      <c r="I30" s="217"/>
      <c r="J30" s="221" t="s">
        <v>191</v>
      </c>
      <c r="K30" s="64">
        <v>1</v>
      </c>
      <c r="L30" s="73">
        <v>4</v>
      </c>
      <c r="M30" s="75" t="s">
        <v>199</v>
      </c>
      <c r="N30" s="279"/>
      <c r="O30" s="380"/>
      <c r="S30" s="47"/>
    </row>
    <row r="31" spans="1:19" ht="33.75">
      <c r="A31" s="61" t="s">
        <v>695</v>
      </c>
      <c r="B31" s="61" t="s">
        <v>403</v>
      </c>
      <c r="C31" s="218" t="s">
        <v>185</v>
      </c>
      <c r="D31" s="218"/>
      <c r="E31" s="222" t="s">
        <v>657</v>
      </c>
      <c r="F31" s="63" t="s">
        <v>406</v>
      </c>
      <c r="G31" s="217" t="s">
        <v>198</v>
      </c>
      <c r="H31" s="63"/>
      <c r="I31" s="217"/>
      <c r="J31" s="221" t="s">
        <v>191</v>
      </c>
      <c r="K31" s="64">
        <v>2</v>
      </c>
      <c r="L31" s="73">
        <v>4</v>
      </c>
      <c r="M31" s="75" t="s">
        <v>199</v>
      </c>
      <c r="N31" s="279"/>
      <c r="O31" s="380"/>
      <c r="S31" s="47"/>
    </row>
    <row r="32" spans="1:19" ht="33.75">
      <c r="A32" s="61" t="s">
        <v>696</v>
      </c>
      <c r="B32" s="61" t="s">
        <v>408</v>
      </c>
      <c r="C32" s="218" t="s">
        <v>185</v>
      </c>
      <c r="D32" s="218"/>
      <c r="E32" s="222" t="s">
        <v>657</v>
      </c>
      <c r="F32" s="63" t="s">
        <v>410</v>
      </c>
      <c r="G32" s="217" t="s">
        <v>198</v>
      </c>
      <c r="H32" s="63"/>
      <c r="I32" s="217"/>
      <c r="J32" s="221" t="s">
        <v>191</v>
      </c>
      <c r="K32" s="64">
        <v>2</v>
      </c>
      <c r="L32" s="73">
        <v>4</v>
      </c>
      <c r="M32" s="75" t="s">
        <v>199</v>
      </c>
      <c r="N32" s="279"/>
      <c r="O32" s="380"/>
      <c r="S32" s="47"/>
    </row>
    <row r="33" spans="1:19" s="211" customFormat="1" ht="78.75">
      <c r="A33" s="208" t="s">
        <v>697</v>
      </c>
      <c r="B33" s="208" t="s">
        <v>446</v>
      </c>
      <c r="C33" s="622" t="s">
        <v>185</v>
      </c>
      <c r="D33" s="622"/>
      <c r="E33" s="623" t="s">
        <v>657</v>
      </c>
      <c r="F33" s="209" t="s">
        <v>448</v>
      </c>
      <c r="G33" s="624" t="s">
        <v>204</v>
      </c>
      <c r="H33" s="209"/>
      <c r="I33" s="624"/>
      <c r="J33" s="625" t="s">
        <v>191</v>
      </c>
      <c r="K33" s="210">
        <v>1</v>
      </c>
      <c r="L33" s="213">
        <v>5</v>
      </c>
      <c r="M33" s="213" t="s">
        <v>199</v>
      </c>
      <c r="N33" s="279"/>
      <c r="O33" s="380"/>
    </row>
    <row r="34" spans="1:19" s="211" customFormat="1" ht="78.75">
      <c r="A34" s="208" t="s">
        <v>698</v>
      </c>
      <c r="B34" s="208" t="s">
        <v>450</v>
      </c>
      <c r="C34" s="622" t="s">
        <v>185</v>
      </c>
      <c r="D34" s="622"/>
      <c r="E34" s="623" t="s">
        <v>657</v>
      </c>
      <c r="F34" s="209" t="s">
        <v>699</v>
      </c>
      <c r="G34" s="624" t="s">
        <v>204</v>
      </c>
      <c r="H34" s="209"/>
      <c r="I34" s="624"/>
      <c r="J34" s="625" t="s">
        <v>191</v>
      </c>
      <c r="K34" s="210">
        <v>1</v>
      </c>
      <c r="L34" s="213">
        <v>5</v>
      </c>
      <c r="M34" s="213" t="s">
        <v>199</v>
      </c>
      <c r="N34" s="279"/>
      <c r="O34" s="380"/>
    </row>
    <row r="35" spans="1:19" s="211" customFormat="1" ht="67.5">
      <c r="A35" s="208" t="s">
        <v>700</v>
      </c>
      <c r="B35" s="208" t="s">
        <v>454</v>
      </c>
      <c r="C35" s="622" t="s">
        <v>185</v>
      </c>
      <c r="D35" s="622"/>
      <c r="E35" s="623" t="s">
        <v>657</v>
      </c>
      <c r="F35" s="209" t="s">
        <v>456</v>
      </c>
      <c r="G35" s="624" t="s">
        <v>204</v>
      </c>
      <c r="H35" s="209"/>
      <c r="I35" s="624"/>
      <c r="J35" s="625" t="s">
        <v>191</v>
      </c>
      <c r="K35" s="210">
        <v>1</v>
      </c>
      <c r="L35" s="213">
        <v>4</v>
      </c>
      <c r="M35" s="213" t="s">
        <v>199</v>
      </c>
      <c r="N35" s="279"/>
      <c r="O35" s="380"/>
    </row>
    <row r="36" spans="1:19" s="211" customFormat="1" ht="67.5">
      <c r="A36" s="208" t="s">
        <v>701</v>
      </c>
      <c r="B36" s="208" t="s">
        <v>463</v>
      </c>
      <c r="C36" s="622" t="s">
        <v>185</v>
      </c>
      <c r="D36" s="622"/>
      <c r="E36" s="623" t="s">
        <v>657</v>
      </c>
      <c r="F36" s="209" t="s">
        <v>465</v>
      </c>
      <c r="G36" s="624" t="s">
        <v>466</v>
      </c>
      <c r="H36" s="208"/>
      <c r="I36" s="622"/>
      <c r="J36" s="625" t="s">
        <v>191</v>
      </c>
      <c r="K36" s="210">
        <v>1</v>
      </c>
      <c r="L36" s="213">
        <v>4</v>
      </c>
      <c r="M36" s="213" t="s">
        <v>199</v>
      </c>
      <c r="N36" s="279"/>
      <c r="O36" s="380"/>
    </row>
    <row r="37" spans="1:19" s="211" customFormat="1" ht="67.5">
      <c r="A37" s="208" t="s">
        <v>702</v>
      </c>
      <c r="B37" s="208" t="s">
        <v>468</v>
      </c>
      <c r="C37" s="622" t="s">
        <v>185</v>
      </c>
      <c r="D37" s="622"/>
      <c r="E37" s="623" t="s">
        <v>657</v>
      </c>
      <c r="F37" s="209" t="s">
        <v>469</v>
      </c>
      <c r="G37" s="624" t="s">
        <v>204</v>
      </c>
      <c r="H37" s="208"/>
      <c r="I37" s="622"/>
      <c r="J37" s="625" t="s">
        <v>191</v>
      </c>
      <c r="K37" s="210">
        <v>1</v>
      </c>
      <c r="L37" s="213">
        <v>5</v>
      </c>
      <c r="M37" s="213" t="s">
        <v>199</v>
      </c>
      <c r="N37" s="279"/>
      <c r="O37" s="380"/>
    </row>
    <row r="38" spans="1:19" s="211" customFormat="1" ht="78.75">
      <c r="A38" s="208" t="s">
        <v>703</v>
      </c>
      <c r="B38" s="208" t="s">
        <v>471</v>
      </c>
      <c r="C38" s="622" t="s">
        <v>185</v>
      </c>
      <c r="D38" s="622"/>
      <c r="E38" s="623" t="s">
        <v>704</v>
      </c>
      <c r="F38" s="209" t="s">
        <v>699</v>
      </c>
      <c r="G38" s="624" t="s">
        <v>204</v>
      </c>
      <c r="H38" s="208"/>
      <c r="I38" s="622"/>
      <c r="J38" s="625" t="s">
        <v>191</v>
      </c>
      <c r="K38" s="210">
        <v>1</v>
      </c>
      <c r="L38" s="213">
        <v>5</v>
      </c>
      <c r="M38" s="213" t="s">
        <v>199</v>
      </c>
      <c r="N38" s="279"/>
      <c r="O38" s="380"/>
    </row>
    <row r="39" spans="1:19" ht="11.25">
      <c r="A39" s="85"/>
      <c r="B39" s="85"/>
      <c r="C39" s="85"/>
      <c r="D39" s="85"/>
      <c r="E39" s="102"/>
      <c r="F39" s="45"/>
      <c r="G39" s="45"/>
      <c r="H39" s="45"/>
      <c r="I39" s="45"/>
      <c r="J39" s="45"/>
      <c r="K39" s="101"/>
      <c r="N39" s="49"/>
      <c r="O39" s="49"/>
      <c r="S39" s="47"/>
    </row>
    <row r="40" spans="1:19">
      <c r="S40" s="47"/>
    </row>
    <row r="41" spans="1:19">
      <c r="A41" s="40" t="s">
        <v>654</v>
      </c>
      <c r="S41" s="47"/>
    </row>
    <row r="42" spans="1:19">
      <c r="A42" s="40"/>
      <c r="S42" s="47"/>
    </row>
    <row r="43" spans="1:19">
      <c r="A43" s="40" t="s">
        <v>488</v>
      </c>
      <c r="S43" s="47"/>
    </row>
    <row r="44" spans="1:19">
      <c r="A44" s="46" t="s">
        <v>489</v>
      </c>
      <c r="S44" s="47"/>
    </row>
    <row r="45" spans="1:19">
      <c r="A45" s="129"/>
      <c r="S45" s="47"/>
    </row>
    <row r="46" spans="1:19" ht="33.75">
      <c r="A46" s="58" t="s">
        <v>165</v>
      </c>
      <c r="B46" s="58" t="s">
        <v>166</v>
      </c>
      <c r="C46" s="58" t="s">
        <v>168</v>
      </c>
      <c r="D46" s="58" t="s">
        <v>169</v>
      </c>
      <c r="E46" s="58" t="s">
        <v>170</v>
      </c>
      <c r="F46" s="58" t="s">
        <v>20</v>
      </c>
      <c r="G46" s="58" t="s">
        <v>171</v>
      </c>
      <c r="H46" s="58" t="s">
        <v>172</v>
      </c>
      <c r="I46" s="58" t="s">
        <v>174</v>
      </c>
      <c r="J46" s="58" t="s">
        <v>175</v>
      </c>
      <c r="K46" s="59" t="s">
        <v>176</v>
      </c>
      <c r="L46" s="60" t="s">
        <v>655</v>
      </c>
      <c r="M46" s="130" t="s">
        <v>179</v>
      </c>
      <c r="S46" s="47"/>
    </row>
    <row r="47" spans="1:19" ht="11.25">
      <c r="A47" s="140" t="s">
        <v>705</v>
      </c>
      <c r="B47" s="140" t="s">
        <v>706</v>
      </c>
      <c r="C47" s="140" t="s">
        <v>493</v>
      </c>
      <c r="D47" s="140"/>
      <c r="E47" s="147" t="s">
        <v>657</v>
      </c>
      <c r="F47" s="142" t="s">
        <v>494</v>
      </c>
      <c r="G47" s="142" t="s">
        <v>466</v>
      </c>
      <c r="H47" s="140"/>
      <c r="I47" s="140"/>
      <c r="J47" s="140" t="s">
        <v>191</v>
      </c>
      <c r="K47" s="143">
        <v>4</v>
      </c>
      <c r="L47" s="148">
        <v>3</v>
      </c>
      <c r="M47" s="149" t="s">
        <v>199</v>
      </c>
      <c r="S47" s="47"/>
    </row>
    <row r="48" spans="1:19" ht="33.75">
      <c r="A48" s="140" t="s">
        <v>707</v>
      </c>
      <c r="B48" s="140" t="s">
        <v>496</v>
      </c>
      <c r="C48" s="140" t="s">
        <v>493</v>
      </c>
      <c r="D48" s="140"/>
      <c r="E48" s="147" t="s">
        <v>657</v>
      </c>
      <c r="F48" s="140" t="s">
        <v>498</v>
      </c>
      <c r="G48" s="140" t="s">
        <v>204</v>
      </c>
      <c r="H48" s="142" t="s">
        <v>708</v>
      </c>
      <c r="I48" s="142"/>
      <c r="J48" s="140" t="s">
        <v>191</v>
      </c>
      <c r="K48" s="143">
        <v>4</v>
      </c>
      <c r="L48" s="148">
        <v>5</v>
      </c>
      <c r="M48" s="148" t="s">
        <v>199</v>
      </c>
      <c r="S48" s="47"/>
    </row>
    <row r="49" spans="1:19" ht="11.25">
      <c r="A49" s="140" t="s">
        <v>709</v>
      </c>
      <c r="B49" s="140" t="s">
        <v>501</v>
      </c>
      <c r="C49" s="140" t="s">
        <v>493</v>
      </c>
      <c r="D49" s="140"/>
      <c r="E49" s="147" t="s">
        <v>657</v>
      </c>
      <c r="F49" s="142" t="s">
        <v>503</v>
      </c>
      <c r="G49" s="142" t="s">
        <v>198</v>
      </c>
      <c r="H49" s="142"/>
      <c r="I49" s="142"/>
      <c r="J49" s="140" t="s">
        <v>191</v>
      </c>
      <c r="K49" s="143">
        <v>4</v>
      </c>
      <c r="L49" s="148">
        <v>5</v>
      </c>
      <c r="M49" s="148" t="s">
        <v>199</v>
      </c>
      <c r="S49" s="47"/>
    </row>
    <row r="50" spans="1:19" ht="11.25">
      <c r="A50" s="140" t="s">
        <v>710</v>
      </c>
      <c r="B50" s="140" t="s">
        <v>505</v>
      </c>
      <c r="C50" s="140" t="s">
        <v>185</v>
      </c>
      <c r="D50" s="140"/>
      <c r="E50" s="147" t="s">
        <v>657</v>
      </c>
      <c r="F50" s="142" t="s">
        <v>507</v>
      </c>
      <c r="G50" s="142" t="s">
        <v>198</v>
      </c>
      <c r="H50" s="142"/>
      <c r="I50" s="142"/>
      <c r="J50" s="140" t="s">
        <v>191</v>
      </c>
      <c r="K50" s="143">
        <v>4</v>
      </c>
      <c r="L50" s="148">
        <v>5</v>
      </c>
      <c r="M50" s="148" t="s">
        <v>199</v>
      </c>
      <c r="S50" s="47"/>
    </row>
    <row r="51" spans="1:19" ht="22.5">
      <c r="A51" s="140" t="s">
        <v>711</v>
      </c>
      <c r="B51" s="140" t="s">
        <v>509</v>
      </c>
      <c r="C51" s="140" t="s">
        <v>185</v>
      </c>
      <c r="D51" s="140"/>
      <c r="E51" s="147" t="s">
        <v>657</v>
      </c>
      <c r="F51" s="142" t="s">
        <v>712</v>
      </c>
      <c r="G51" s="142" t="s">
        <v>204</v>
      </c>
      <c r="H51" s="142" t="s">
        <v>713</v>
      </c>
      <c r="I51" s="142"/>
      <c r="J51" s="140" t="s">
        <v>191</v>
      </c>
      <c r="K51" s="143">
        <v>4</v>
      </c>
      <c r="L51" s="148">
        <v>5</v>
      </c>
      <c r="M51" s="148" t="s">
        <v>199</v>
      </c>
      <c r="S51" s="47"/>
    </row>
    <row r="52" spans="1:19" ht="22.5">
      <c r="A52" s="140" t="s">
        <v>714</v>
      </c>
      <c r="B52" s="140" t="s">
        <v>518</v>
      </c>
      <c r="C52" s="140" t="s">
        <v>493</v>
      </c>
      <c r="D52" s="140"/>
      <c r="E52" s="147" t="s">
        <v>657</v>
      </c>
      <c r="F52" s="142" t="s">
        <v>520</v>
      </c>
      <c r="G52" s="142" t="s">
        <v>188</v>
      </c>
      <c r="H52" s="142" t="s">
        <v>521</v>
      </c>
      <c r="I52" s="142"/>
      <c r="J52" s="140" t="s">
        <v>191</v>
      </c>
      <c r="K52" s="143">
        <v>4</v>
      </c>
      <c r="L52" s="148">
        <v>5</v>
      </c>
      <c r="M52" s="148" t="s">
        <v>199</v>
      </c>
      <c r="S52" s="47"/>
    </row>
    <row r="53" spans="1:19" ht="112.5">
      <c r="A53" s="142" t="s">
        <v>715</v>
      </c>
      <c r="B53" s="140" t="s">
        <v>534</v>
      </c>
      <c r="C53" s="140" t="s">
        <v>185</v>
      </c>
      <c r="D53" s="140"/>
      <c r="E53" s="147" t="s">
        <v>657</v>
      </c>
      <c r="F53" s="142" t="s">
        <v>536</v>
      </c>
      <c r="G53" s="142" t="s">
        <v>204</v>
      </c>
      <c r="H53" s="142" t="s">
        <v>716</v>
      </c>
      <c r="I53" s="142"/>
      <c r="J53" s="140" t="s">
        <v>191</v>
      </c>
      <c r="K53" s="143">
        <v>4</v>
      </c>
      <c r="L53" s="148">
        <v>5</v>
      </c>
      <c r="M53" s="148" t="s">
        <v>199</v>
      </c>
      <c r="S53" s="47"/>
    </row>
    <row r="54" spans="1:19" ht="101.25">
      <c r="A54" s="140" t="s">
        <v>717</v>
      </c>
      <c r="B54" s="140" t="s">
        <v>559</v>
      </c>
      <c r="C54" s="140" t="s">
        <v>185</v>
      </c>
      <c r="D54" s="140"/>
      <c r="E54" s="147" t="s">
        <v>657</v>
      </c>
      <c r="F54" s="142" t="s">
        <v>561</v>
      </c>
      <c r="G54" s="142" t="s">
        <v>204</v>
      </c>
      <c r="H54" s="142" t="s">
        <v>718</v>
      </c>
      <c r="I54" s="142"/>
      <c r="J54" s="140" t="s">
        <v>191</v>
      </c>
      <c r="K54" s="143">
        <v>4</v>
      </c>
      <c r="L54" s="148">
        <v>5</v>
      </c>
      <c r="M54" s="148" t="s">
        <v>199</v>
      </c>
      <c r="S54" s="47"/>
    </row>
    <row r="55" spans="1:19" ht="168.75">
      <c r="A55" s="140" t="s">
        <v>719</v>
      </c>
      <c r="B55" s="140" t="s">
        <v>539</v>
      </c>
      <c r="C55" s="140" t="s">
        <v>185</v>
      </c>
      <c r="D55" s="140"/>
      <c r="E55" s="147" t="s">
        <v>676</v>
      </c>
      <c r="F55" s="142" t="s">
        <v>542</v>
      </c>
      <c r="G55" s="142" t="s">
        <v>204</v>
      </c>
      <c r="H55" s="142" t="s">
        <v>543</v>
      </c>
      <c r="I55" s="142"/>
      <c r="J55" s="140" t="s">
        <v>191</v>
      </c>
      <c r="K55" s="143">
        <v>4</v>
      </c>
      <c r="L55" s="148">
        <v>4</v>
      </c>
      <c r="M55" s="148" t="s">
        <v>199</v>
      </c>
      <c r="S55" s="47"/>
    </row>
    <row r="56" spans="1:19" ht="33.75">
      <c r="A56" s="140" t="s">
        <v>720</v>
      </c>
      <c r="B56" s="140" t="s">
        <v>554</v>
      </c>
      <c r="C56" s="140" t="s">
        <v>185</v>
      </c>
      <c r="D56" s="140"/>
      <c r="E56" s="147" t="s">
        <v>657</v>
      </c>
      <c r="F56" s="142" t="s">
        <v>721</v>
      </c>
      <c r="G56" s="142" t="s">
        <v>198</v>
      </c>
      <c r="H56" s="142" t="s">
        <v>549</v>
      </c>
      <c r="I56" s="142"/>
      <c r="J56" s="140" t="s">
        <v>191</v>
      </c>
      <c r="K56" s="143">
        <v>4</v>
      </c>
      <c r="L56" s="148">
        <v>5</v>
      </c>
      <c r="M56" s="148" t="s">
        <v>199</v>
      </c>
      <c r="S56" s="47"/>
    </row>
    <row r="57" spans="1:19" ht="33.75">
      <c r="A57" s="140" t="s">
        <v>722</v>
      </c>
      <c r="B57" s="140" t="s">
        <v>545</v>
      </c>
      <c r="C57" s="140" t="s">
        <v>185</v>
      </c>
      <c r="D57" s="140"/>
      <c r="E57" s="147" t="s">
        <v>723</v>
      </c>
      <c r="F57" s="142" t="s">
        <v>724</v>
      </c>
      <c r="G57" s="142" t="s">
        <v>198</v>
      </c>
      <c r="H57" s="142" t="s">
        <v>549</v>
      </c>
      <c r="I57" s="142"/>
      <c r="J57" s="140" t="s">
        <v>191</v>
      </c>
      <c r="K57" s="143">
        <v>4</v>
      </c>
      <c r="L57" s="148">
        <v>5</v>
      </c>
      <c r="M57" s="148" t="s">
        <v>199</v>
      </c>
      <c r="S57" s="47"/>
    </row>
    <row r="58" spans="1:19" ht="22.5">
      <c r="A58" s="140" t="s">
        <v>725</v>
      </c>
      <c r="B58" s="140" t="s">
        <v>551</v>
      </c>
      <c r="C58" s="140" t="s">
        <v>185</v>
      </c>
      <c r="D58" s="140"/>
      <c r="E58" s="147" t="s">
        <v>657</v>
      </c>
      <c r="F58" s="142" t="s">
        <v>726</v>
      </c>
      <c r="G58" s="142" t="s">
        <v>198</v>
      </c>
      <c r="H58" s="142"/>
      <c r="I58" s="142"/>
      <c r="J58" s="140" t="s">
        <v>191</v>
      </c>
      <c r="K58" s="143">
        <v>4</v>
      </c>
      <c r="L58" s="148">
        <v>4</v>
      </c>
      <c r="M58" s="148" t="s">
        <v>199</v>
      </c>
      <c r="S58" s="47"/>
    </row>
    <row r="59" spans="1:19" ht="78.75">
      <c r="A59" s="140" t="s">
        <v>727</v>
      </c>
      <c r="B59" s="140" t="s">
        <v>570</v>
      </c>
      <c r="C59" s="140" t="s">
        <v>185</v>
      </c>
      <c r="D59" s="140"/>
      <c r="E59" s="147" t="s">
        <v>657</v>
      </c>
      <c r="F59" s="142" t="s">
        <v>572</v>
      </c>
      <c r="G59" s="142" t="s">
        <v>204</v>
      </c>
      <c r="H59" s="142" t="s">
        <v>728</v>
      </c>
      <c r="I59" s="142"/>
      <c r="J59" s="140" t="s">
        <v>191</v>
      </c>
      <c r="K59" s="143">
        <v>4</v>
      </c>
      <c r="L59" s="148">
        <v>4</v>
      </c>
      <c r="M59" s="148" t="s">
        <v>199</v>
      </c>
      <c r="S59" s="47"/>
    </row>
    <row r="60" spans="1:19">
      <c r="S60" s="47"/>
    </row>
    <row r="61" spans="1:19">
      <c r="S61" s="47"/>
    </row>
    <row r="62" spans="1:19">
      <c r="S62" s="47"/>
    </row>
  </sheetData>
  <autoFilter ref="A6:O38" xr:uid="{00000000-0009-0000-0000-000005000000}"/>
  <phoneticPr fontId="39" type="noConversion"/>
  <conditionalFormatting sqref="N7:N39">
    <cfRule type="containsText" dxfId="71" priority="1" operator="containsText" text="Yes">
      <formula>NOT(ISERROR(SEARCH("Yes",N7)))</formula>
    </cfRule>
  </conditionalFormatting>
  <dataValidations count="1">
    <dataValidation type="list" allowBlank="1" showInputMessage="1" showErrorMessage="1" sqref="N7:N39" xr:uid="{00000000-0002-0000-0500-000000000000}">
      <formula1>"No,Yes"</formula1>
    </dataValidation>
  </dataValidations>
  <pageMargins left="0.17" right="0.17" top="0.34" bottom="0.35000000000000003" header="0.17" footer="0.17"/>
  <pageSetup paperSize="9" scale="71" fitToWidth="0" fitToHeight="0" orientation="landscape" r:id="rId1"/>
  <headerFooter alignWithMargins="0">
    <oddHeader>&amp;C&amp;F</oddHeader>
    <oddFooter>&amp;L&amp;A&amp;CPage &amp;P of &amp;N</oddFooter>
  </headerFooter>
  <rowBreaks count="2" manualBreakCount="2">
    <brk id="14" man="1"/>
    <brk id="18" man="1"/>
  </rowBreaks>
  <colBreaks count="1" manualBreakCount="1">
    <brk id="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39997558519241921"/>
  </sheetPr>
  <dimension ref="A1:N170"/>
  <sheetViews>
    <sheetView showGridLines="0" zoomScale="90" zoomScaleNormal="90" workbookViewId="0">
      <pane xSplit="1" ySplit="5" topLeftCell="B6" activePane="bottomRight" state="frozen"/>
      <selection pane="bottomRight" activeCell="N19" sqref="N19"/>
      <selection pane="bottomLeft" activeCell="A101" sqref="A101"/>
      <selection pane="topRight" activeCell="A101" sqref="A101"/>
    </sheetView>
  </sheetViews>
  <sheetFormatPr defaultColWidth="9" defaultRowHeight="11.25" customHeight="1"/>
  <cols>
    <col min="1" max="1" width="27.85546875" style="39" customWidth="1"/>
    <col min="2" max="2" width="25.5703125" style="39" customWidth="1"/>
    <col min="3" max="3" width="18.5703125" style="39" customWidth="1"/>
    <col min="4" max="4" width="21" style="40" customWidth="1"/>
    <col min="5" max="5" width="39.28515625" style="42" customWidth="1"/>
    <col min="6" max="6" width="13.85546875" style="42" hidden="1" customWidth="1"/>
    <col min="7" max="7" width="20.85546875" style="42" customWidth="1"/>
    <col min="8" max="9" width="5" style="42" hidden="1" customWidth="1"/>
    <col min="10" max="10" width="14" style="39" customWidth="1"/>
    <col min="11" max="11" width="10.85546875" style="72" customWidth="1"/>
    <col min="12" max="12" width="9.42578125" style="72" customWidth="1"/>
    <col min="13" max="13" width="14" style="268" customWidth="1"/>
    <col min="14" max="14" width="29.42578125" style="268" customWidth="1"/>
    <col min="15" max="16384" width="9" style="50"/>
  </cols>
  <sheetData>
    <row r="1" spans="1:14" ht="15">
      <c r="A1" s="791" t="s">
        <v>122</v>
      </c>
      <c r="B1" s="791"/>
      <c r="C1" s="40"/>
      <c r="D1" s="42"/>
      <c r="I1" s="39"/>
      <c r="J1" s="72"/>
      <c r="L1" s="268"/>
      <c r="N1" s="50"/>
    </row>
    <row r="2" spans="1:14" ht="15">
      <c r="C2" s="40"/>
      <c r="D2" s="42"/>
      <c r="I2" s="50"/>
      <c r="J2" s="72"/>
      <c r="L2" s="268"/>
      <c r="N2" s="50"/>
    </row>
    <row r="3" spans="1:14" ht="15">
      <c r="A3" s="139" t="s">
        <v>159</v>
      </c>
      <c r="C3" s="40"/>
      <c r="D3" s="42"/>
      <c r="I3" s="129"/>
      <c r="J3" s="72"/>
      <c r="L3" s="268"/>
      <c r="N3" s="50"/>
    </row>
    <row r="4" spans="1:14" ht="15">
      <c r="C4" s="40"/>
      <c r="D4" s="42"/>
      <c r="I4" s="129"/>
      <c r="J4" s="72"/>
      <c r="L4" s="268"/>
      <c r="N4" s="50"/>
    </row>
    <row r="5" spans="1:14" ht="56.25">
      <c r="A5" s="76" t="s">
        <v>165</v>
      </c>
      <c r="B5" s="79" t="s">
        <v>166</v>
      </c>
      <c r="C5" s="76" t="s">
        <v>167</v>
      </c>
      <c r="D5" s="77" t="s">
        <v>729</v>
      </c>
      <c r="E5" s="58" t="s">
        <v>20</v>
      </c>
      <c r="F5" s="58" t="s">
        <v>171</v>
      </c>
      <c r="G5" s="77" t="s">
        <v>172</v>
      </c>
      <c r="H5" s="58" t="s">
        <v>174</v>
      </c>
      <c r="I5" s="58" t="s">
        <v>175</v>
      </c>
      <c r="J5" s="59" t="s">
        <v>176</v>
      </c>
      <c r="K5" s="60" t="s">
        <v>655</v>
      </c>
      <c r="L5" s="60" t="s">
        <v>179</v>
      </c>
      <c r="M5" s="264" t="s">
        <v>180</v>
      </c>
      <c r="N5" s="382" t="s">
        <v>181</v>
      </c>
    </row>
    <row r="6" spans="1:14" ht="112.5">
      <c r="A6" s="61" t="s">
        <v>730</v>
      </c>
      <c r="B6" s="61" t="s">
        <v>731</v>
      </c>
      <c r="C6" s="61" t="s">
        <v>732</v>
      </c>
      <c r="D6" s="269" t="s">
        <v>733</v>
      </c>
      <c r="E6" s="63" t="s">
        <v>187</v>
      </c>
      <c r="F6" s="63" t="s">
        <v>188</v>
      </c>
      <c r="G6" s="63" t="s">
        <v>189</v>
      </c>
      <c r="H6" s="63"/>
      <c r="I6" s="63" t="s">
        <v>191</v>
      </c>
      <c r="J6" s="64">
        <v>4</v>
      </c>
      <c r="K6" s="73">
        <v>5</v>
      </c>
      <c r="L6" s="73" t="s">
        <v>192</v>
      </c>
      <c r="M6" s="381"/>
      <c r="N6" s="383"/>
    </row>
    <row r="7" spans="1:14" ht="11.25" customHeight="1">
      <c r="A7" s="61" t="s">
        <v>734</v>
      </c>
      <c r="B7" s="61" t="s">
        <v>735</v>
      </c>
      <c r="C7" s="61" t="s">
        <v>736</v>
      </c>
      <c r="D7" s="269" t="s">
        <v>733</v>
      </c>
      <c r="E7" s="63" t="s">
        <v>197</v>
      </c>
      <c r="F7" s="63" t="s">
        <v>198</v>
      </c>
      <c r="G7" s="63"/>
      <c r="H7" s="63"/>
      <c r="I7" s="63" t="s">
        <v>191</v>
      </c>
      <c r="J7" s="64">
        <v>2</v>
      </c>
      <c r="K7" s="73">
        <v>5</v>
      </c>
      <c r="L7" s="75" t="s">
        <v>199</v>
      </c>
      <c r="M7" s="381"/>
      <c r="N7" s="383"/>
    </row>
    <row r="8" spans="1:14" ht="11.25" customHeight="1">
      <c r="A8" s="61" t="s">
        <v>737</v>
      </c>
      <c r="B8" s="61" t="s">
        <v>738</v>
      </c>
      <c r="C8" s="61" t="s">
        <v>739</v>
      </c>
      <c r="D8" s="269" t="s">
        <v>733</v>
      </c>
      <c r="E8" s="63" t="s">
        <v>203</v>
      </c>
      <c r="F8" s="63" t="s">
        <v>740</v>
      </c>
      <c r="G8" s="63"/>
      <c r="H8" s="63"/>
      <c r="I8" s="63" t="s">
        <v>191</v>
      </c>
      <c r="J8" s="64">
        <v>2</v>
      </c>
      <c r="K8" s="73">
        <v>5</v>
      </c>
      <c r="L8" s="75" t="s">
        <v>199</v>
      </c>
      <c r="M8" s="381"/>
      <c r="N8" s="383"/>
    </row>
    <row r="9" spans="1:14" ht="11.25" customHeight="1">
      <c r="A9" s="61" t="s">
        <v>741</v>
      </c>
      <c r="B9" s="61" t="s">
        <v>742</v>
      </c>
      <c r="C9" s="61" t="s">
        <v>743</v>
      </c>
      <c r="D9" s="269" t="s">
        <v>733</v>
      </c>
      <c r="E9" s="63" t="s">
        <v>209</v>
      </c>
      <c r="F9" s="63" t="s">
        <v>198</v>
      </c>
      <c r="G9" s="63"/>
      <c r="H9" s="63"/>
      <c r="I9" s="63" t="s">
        <v>191</v>
      </c>
      <c r="J9" s="64">
        <v>2</v>
      </c>
      <c r="K9" s="73">
        <v>5</v>
      </c>
      <c r="L9" s="75" t="s">
        <v>199</v>
      </c>
      <c r="M9" s="381"/>
      <c r="N9" s="383"/>
    </row>
    <row r="10" spans="1:14" ht="11.25" customHeight="1">
      <c r="A10" s="61" t="s">
        <v>744</v>
      </c>
      <c r="B10" s="61" t="s">
        <v>745</v>
      </c>
      <c r="C10" s="61" t="s">
        <v>746</v>
      </c>
      <c r="D10" s="269" t="s">
        <v>733</v>
      </c>
      <c r="E10" s="63" t="s">
        <v>213</v>
      </c>
      <c r="F10" s="63" t="s">
        <v>740</v>
      </c>
      <c r="G10" s="63"/>
      <c r="H10" s="63"/>
      <c r="I10" s="63" t="s">
        <v>191</v>
      </c>
      <c r="J10" s="64">
        <v>2</v>
      </c>
      <c r="K10" s="73">
        <v>5</v>
      </c>
      <c r="L10" s="75" t="s">
        <v>199</v>
      </c>
      <c r="M10" s="381"/>
      <c r="N10" s="383"/>
    </row>
    <row r="11" spans="1:14" ht="36" customHeight="1">
      <c r="A11" s="61" t="s">
        <v>747</v>
      </c>
      <c r="B11" s="61" t="s">
        <v>394</v>
      </c>
      <c r="C11" s="61" t="s">
        <v>748</v>
      </c>
      <c r="D11" s="269" t="s">
        <v>749</v>
      </c>
      <c r="E11" s="63" t="s">
        <v>750</v>
      </c>
      <c r="F11" s="63" t="s">
        <v>740</v>
      </c>
      <c r="G11" s="63"/>
      <c r="H11" s="63"/>
      <c r="I11" s="63" t="s">
        <v>191</v>
      </c>
      <c r="J11" s="64">
        <v>1</v>
      </c>
      <c r="K11" s="73">
        <v>4</v>
      </c>
      <c r="L11" s="75" t="s">
        <v>199</v>
      </c>
      <c r="M11" s="381"/>
      <c r="N11" s="383"/>
    </row>
    <row r="12" spans="1:14" s="629" customFormat="1" ht="36" customHeight="1">
      <c r="A12" s="208" t="s">
        <v>751</v>
      </c>
      <c r="B12" s="208" t="s">
        <v>403</v>
      </c>
      <c r="C12" s="208"/>
      <c r="D12" s="627" t="s">
        <v>752</v>
      </c>
      <c r="E12" s="209" t="s">
        <v>753</v>
      </c>
      <c r="F12" s="209" t="s">
        <v>198</v>
      </c>
      <c r="G12" s="209"/>
      <c r="H12" s="209"/>
      <c r="I12" s="209" t="s">
        <v>191</v>
      </c>
      <c r="J12" s="210">
        <v>2</v>
      </c>
      <c r="K12" s="213">
        <v>4</v>
      </c>
      <c r="L12" s="628" t="s">
        <v>199</v>
      </c>
      <c r="M12" s="381"/>
      <c r="N12" s="383"/>
    </row>
    <row r="13" spans="1:14" s="629" customFormat="1" ht="36" customHeight="1">
      <c r="A13" s="208" t="s">
        <v>754</v>
      </c>
      <c r="B13" s="208" t="s">
        <v>408</v>
      </c>
      <c r="C13" s="208"/>
      <c r="D13" s="627" t="s">
        <v>752</v>
      </c>
      <c r="E13" s="209" t="s">
        <v>755</v>
      </c>
      <c r="F13" s="209" t="s">
        <v>740</v>
      </c>
      <c r="G13" s="209"/>
      <c r="H13" s="209"/>
      <c r="I13" s="209" t="s">
        <v>191</v>
      </c>
      <c r="J13" s="210">
        <v>2</v>
      </c>
      <c r="K13" s="213">
        <v>4</v>
      </c>
      <c r="L13" s="628" t="s">
        <v>199</v>
      </c>
      <c r="M13" s="381"/>
      <c r="N13" s="383"/>
    </row>
    <row r="14" spans="1:14" ht="52.5" customHeight="1">
      <c r="A14" s="61" t="s">
        <v>756</v>
      </c>
      <c r="B14" s="61" t="s">
        <v>757</v>
      </c>
      <c r="C14" s="61" t="s">
        <v>758</v>
      </c>
      <c r="D14" s="269" t="s">
        <v>759</v>
      </c>
      <c r="E14" s="63" t="s">
        <v>760</v>
      </c>
      <c r="F14" s="63" t="s">
        <v>198</v>
      </c>
      <c r="G14" s="63"/>
      <c r="H14" s="63"/>
      <c r="I14" s="63" t="s">
        <v>191</v>
      </c>
      <c r="J14" s="64">
        <v>1</v>
      </c>
      <c r="K14" s="73">
        <v>5</v>
      </c>
      <c r="L14" s="75" t="s">
        <v>199</v>
      </c>
      <c r="M14" s="381"/>
      <c r="N14" s="383"/>
    </row>
    <row r="15" spans="1:14" s="629" customFormat="1" ht="11.25" customHeight="1">
      <c r="A15" s="208" t="s">
        <v>761</v>
      </c>
      <c r="B15" s="208" t="s">
        <v>446</v>
      </c>
      <c r="C15" s="208" t="s">
        <v>762</v>
      </c>
      <c r="D15" s="627" t="s">
        <v>733</v>
      </c>
      <c r="E15" s="209" t="s">
        <v>448</v>
      </c>
      <c r="F15" s="209" t="s">
        <v>740</v>
      </c>
      <c r="G15" s="209"/>
      <c r="H15" s="209"/>
      <c r="I15" s="209" t="s">
        <v>191</v>
      </c>
      <c r="J15" s="210">
        <v>1</v>
      </c>
      <c r="K15" s="213">
        <v>5</v>
      </c>
      <c r="L15" s="213" t="s">
        <v>199</v>
      </c>
      <c r="M15" s="381"/>
      <c r="N15" s="383"/>
    </row>
    <row r="16" spans="1:14" s="629" customFormat="1" ht="11.25" customHeight="1">
      <c r="A16" s="208" t="s">
        <v>763</v>
      </c>
      <c r="B16" s="208" t="s">
        <v>764</v>
      </c>
      <c r="C16" s="208" t="s">
        <v>765</v>
      </c>
      <c r="D16" s="627" t="s">
        <v>733</v>
      </c>
      <c r="E16" s="209" t="s">
        <v>456</v>
      </c>
      <c r="F16" s="209" t="s">
        <v>740</v>
      </c>
      <c r="G16" s="209"/>
      <c r="H16" s="209"/>
      <c r="I16" s="209" t="s">
        <v>191</v>
      </c>
      <c r="J16" s="210">
        <v>1</v>
      </c>
      <c r="K16" s="213">
        <v>4</v>
      </c>
      <c r="L16" s="213" t="s">
        <v>199</v>
      </c>
      <c r="M16" s="381"/>
      <c r="N16" s="383"/>
    </row>
    <row r="17" spans="1:14" s="629" customFormat="1" ht="11.25" customHeight="1">
      <c r="A17" s="208" t="s">
        <v>766</v>
      </c>
      <c r="B17" s="208" t="s">
        <v>463</v>
      </c>
      <c r="C17" s="208" t="s">
        <v>767</v>
      </c>
      <c r="D17" s="627" t="s">
        <v>733</v>
      </c>
      <c r="E17" s="209" t="s">
        <v>768</v>
      </c>
      <c r="F17" s="209" t="s">
        <v>740</v>
      </c>
      <c r="G17" s="209"/>
      <c r="H17" s="209"/>
      <c r="I17" s="209" t="s">
        <v>191</v>
      </c>
      <c r="J17" s="210">
        <v>1</v>
      </c>
      <c r="K17" s="213">
        <v>4</v>
      </c>
      <c r="L17" s="213" t="s">
        <v>199</v>
      </c>
      <c r="M17" s="381"/>
      <c r="N17" s="383"/>
    </row>
    <row r="19" spans="1:14" ht="11.25" customHeight="1">
      <c r="A19" s="791" t="s">
        <v>122</v>
      </c>
      <c r="B19" s="791"/>
    </row>
    <row r="21" spans="1:14" ht="11.25" customHeight="1">
      <c r="A21" s="40" t="s">
        <v>488</v>
      </c>
    </row>
    <row r="22" spans="1:14" ht="11.25" customHeight="1">
      <c r="A22" s="46" t="s">
        <v>489</v>
      </c>
    </row>
    <row r="23" spans="1:14" ht="11.25" customHeight="1">
      <c r="A23" s="46"/>
    </row>
    <row r="24" spans="1:14" ht="11.25" customHeight="1">
      <c r="N24" s="50"/>
    </row>
    <row r="25" spans="1:14" ht="56.25">
      <c r="A25" s="76" t="s">
        <v>165</v>
      </c>
      <c r="B25" s="79" t="s">
        <v>166</v>
      </c>
      <c r="C25" s="76" t="s">
        <v>167</v>
      </c>
      <c r="D25" s="77" t="s">
        <v>729</v>
      </c>
      <c r="E25" s="58" t="s">
        <v>20</v>
      </c>
      <c r="F25" s="58" t="s">
        <v>171</v>
      </c>
      <c r="G25" s="77" t="s">
        <v>172</v>
      </c>
      <c r="H25" s="77" t="s">
        <v>174</v>
      </c>
      <c r="I25" s="77" t="s">
        <v>175</v>
      </c>
      <c r="J25" s="59" t="s">
        <v>176</v>
      </c>
      <c r="K25" s="60" t="s">
        <v>655</v>
      </c>
      <c r="L25" s="130" t="s">
        <v>179</v>
      </c>
      <c r="N25" s="50"/>
    </row>
    <row r="26" spans="1:14" ht="11.25" customHeight="1">
      <c r="A26" s="140" t="s">
        <v>769</v>
      </c>
      <c r="B26" s="140" t="s">
        <v>770</v>
      </c>
      <c r="C26" s="140" t="s">
        <v>771</v>
      </c>
      <c r="D26" s="147" t="s">
        <v>772</v>
      </c>
      <c r="E26" s="142" t="s">
        <v>503</v>
      </c>
      <c r="F26" s="142" t="s">
        <v>198</v>
      </c>
      <c r="G26" s="142"/>
      <c r="H26" s="142"/>
      <c r="I26" s="142" t="s">
        <v>191</v>
      </c>
      <c r="J26" s="143">
        <v>4</v>
      </c>
      <c r="K26" s="148">
        <v>5</v>
      </c>
      <c r="L26" s="149" t="s">
        <v>199</v>
      </c>
      <c r="N26" s="50"/>
    </row>
    <row r="27" spans="1:14" ht="11.25" customHeight="1">
      <c r="A27" s="140" t="s">
        <v>773</v>
      </c>
      <c r="B27" s="140" t="s">
        <v>491</v>
      </c>
      <c r="C27" s="140" t="s">
        <v>774</v>
      </c>
      <c r="D27" s="147" t="s">
        <v>772</v>
      </c>
      <c r="E27" s="142" t="s">
        <v>494</v>
      </c>
      <c r="F27" s="142" t="s">
        <v>466</v>
      </c>
      <c r="G27" s="142"/>
      <c r="H27" s="142"/>
      <c r="I27" s="142" t="s">
        <v>191</v>
      </c>
      <c r="J27" s="143">
        <v>4</v>
      </c>
      <c r="K27" s="148">
        <v>3</v>
      </c>
      <c r="L27" s="148" t="s">
        <v>199</v>
      </c>
      <c r="N27" s="50"/>
    </row>
    <row r="28" spans="1:14" ht="11.25" customHeight="1">
      <c r="A28" s="140" t="s">
        <v>775</v>
      </c>
      <c r="B28" s="140" t="s">
        <v>776</v>
      </c>
      <c r="C28" s="140"/>
      <c r="D28" s="147" t="s">
        <v>777</v>
      </c>
      <c r="E28" s="142" t="s">
        <v>778</v>
      </c>
      <c r="F28" s="142" t="s">
        <v>204</v>
      </c>
      <c r="G28" s="142"/>
      <c r="H28" s="142"/>
      <c r="I28" s="142" t="s">
        <v>191</v>
      </c>
      <c r="J28" s="143">
        <v>4</v>
      </c>
      <c r="K28" s="148">
        <v>5</v>
      </c>
      <c r="L28" s="148" t="s">
        <v>199</v>
      </c>
      <c r="N28" s="50"/>
    </row>
    <row r="29" spans="1:14" ht="11.25" customHeight="1">
      <c r="A29" s="140" t="s">
        <v>779</v>
      </c>
      <c r="B29" s="140" t="s">
        <v>780</v>
      </c>
      <c r="C29" s="140" t="s">
        <v>758</v>
      </c>
      <c r="D29" s="147" t="s">
        <v>309</v>
      </c>
      <c r="E29" s="142" t="s">
        <v>781</v>
      </c>
      <c r="F29" s="142" t="s">
        <v>204</v>
      </c>
      <c r="G29" s="142" t="s">
        <v>782</v>
      </c>
      <c r="H29" s="142"/>
      <c r="I29" s="142" t="s">
        <v>191</v>
      </c>
      <c r="J29" s="143">
        <v>4</v>
      </c>
      <c r="K29" s="148">
        <v>5</v>
      </c>
      <c r="L29" s="148" t="s">
        <v>199</v>
      </c>
      <c r="N29" s="50"/>
    </row>
    <row r="30" spans="1:14" ht="11.25" customHeight="1">
      <c r="A30" s="140" t="s">
        <v>783</v>
      </c>
      <c r="B30" s="140" t="s">
        <v>784</v>
      </c>
      <c r="C30" s="140"/>
      <c r="D30" s="147" t="s">
        <v>785</v>
      </c>
      <c r="E30" s="142" t="s">
        <v>786</v>
      </c>
      <c r="F30" s="142" t="s">
        <v>188</v>
      </c>
      <c r="G30" s="142" t="s">
        <v>787</v>
      </c>
      <c r="H30" s="142"/>
      <c r="I30" s="142" t="s">
        <v>191</v>
      </c>
      <c r="J30" s="143">
        <v>4</v>
      </c>
      <c r="K30" s="148">
        <v>5</v>
      </c>
      <c r="L30" s="148" t="s">
        <v>199</v>
      </c>
      <c r="N30" s="50"/>
    </row>
    <row r="31" spans="1:14" ht="11.25" customHeight="1">
      <c r="A31" s="140" t="s">
        <v>788</v>
      </c>
      <c r="B31" s="140" t="s">
        <v>789</v>
      </c>
      <c r="C31" s="140" t="s">
        <v>790</v>
      </c>
      <c r="D31" s="147" t="s">
        <v>772</v>
      </c>
      <c r="E31" s="142" t="s">
        <v>791</v>
      </c>
      <c r="F31" s="142" t="s">
        <v>204</v>
      </c>
      <c r="G31" s="142" t="s">
        <v>792</v>
      </c>
      <c r="H31" s="142"/>
      <c r="I31" s="142" t="s">
        <v>191</v>
      </c>
      <c r="J31" s="143">
        <v>4</v>
      </c>
      <c r="K31" s="148">
        <v>5</v>
      </c>
      <c r="L31" s="148" t="s">
        <v>199</v>
      </c>
      <c r="N31" s="50"/>
    </row>
    <row r="32" spans="1:14" ht="11.25" customHeight="1">
      <c r="A32" s="140" t="s">
        <v>793</v>
      </c>
      <c r="B32" s="140" t="s">
        <v>794</v>
      </c>
      <c r="C32" s="140" t="s">
        <v>795</v>
      </c>
      <c r="D32" s="147" t="s">
        <v>796</v>
      </c>
      <c r="E32" s="142" t="s">
        <v>797</v>
      </c>
      <c r="F32" s="142" t="s">
        <v>204</v>
      </c>
      <c r="G32" s="142" t="s">
        <v>798</v>
      </c>
      <c r="H32" s="142"/>
      <c r="I32" s="142" t="s">
        <v>191</v>
      </c>
      <c r="J32" s="143">
        <v>4</v>
      </c>
      <c r="K32" s="148">
        <v>5</v>
      </c>
      <c r="L32" s="148" t="s">
        <v>199</v>
      </c>
      <c r="N32" s="50"/>
    </row>
    <row r="33" spans="1:14" ht="11.25" customHeight="1">
      <c r="A33" s="140" t="s">
        <v>799</v>
      </c>
      <c r="B33" s="140" t="s">
        <v>800</v>
      </c>
      <c r="C33" s="140" t="s">
        <v>801</v>
      </c>
      <c r="D33" s="147" t="s">
        <v>796</v>
      </c>
      <c r="E33" s="142" t="s">
        <v>802</v>
      </c>
      <c r="F33" s="142" t="s">
        <v>204</v>
      </c>
      <c r="G33" s="142" t="s">
        <v>798</v>
      </c>
      <c r="H33" s="142"/>
      <c r="I33" s="142" t="s">
        <v>191</v>
      </c>
      <c r="J33" s="143">
        <v>4</v>
      </c>
      <c r="K33" s="148">
        <v>5</v>
      </c>
      <c r="L33" s="148" t="s">
        <v>199</v>
      </c>
      <c r="N33" s="50"/>
    </row>
    <row r="34" spans="1:14" ht="11.25" customHeight="1">
      <c r="A34" s="140" t="s">
        <v>803</v>
      </c>
      <c r="B34" s="140" t="s">
        <v>804</v>
      </c>
      <c r="C34" s="140" t="s">
        <v>805</v>
      </c>
      <c r="D34" s="147" t="s">
        <v>796</v>
      </c>
      <c r="E34" s="142" t="s">
        <v>806</v>
      </c>
      <c r="F34" s="142" t="s">
        <v>204</v>
      </c>
      <c r="G34" s="142" t="s">
        <v>798</v>
      </c>
      <c r="H34" s="142"/>
      <c r="I34" s="142" t="s">
        <v>191</v>
      </c>
      <c r="J34" s="143">
        <v>4</v>
      </c>
      <c r="K34" s="148">
        <v>5</v>
      </c>
      <c r="L34" s="148" t="s">
        <v>199</v>
      </c>
      <c r="N34" s="50"/>
    </row>
    <row r="35" spans="1:14" ht="11.25" customHeight="1">
      <c r="A35" s="140" t="s">
        <v>807</v>
      </c>
      <c r="B35" s="140" t="s">
        <v>808</v>
      </c>
      <c r="C35" s="140" t="s">
        <v>809</v>
      </c>
      <c r="D35" s="147" t="s">
        <v>796</v>
      </c>
      <c r="E35" s="142" t="s">
        <v>810</v>
      </c>
      <c r="F35" s="142" t="s">
        <v>204</v>
      </c>
      <c r="G35" s="142" t="s">
        <v>798</v>
      </c>
      <c r="H35" s="142"/>
      <c r="I35" s="142" t="s">
        <v>191</v>
      </c>
      <c r="J35" s="143">
        <v>4</v>
      </c>
      <c r="K35" s="148">
        <v>5</v>
      </c>
      <c r="L35" s="148" t="s">
        <v>199</v>
      </c>
      <c r="N35" s="50"/>
    </row>
    <row r="36" spans="1:14" ht="11.25" customHeight="1">
      <c r="A36" s="140" t="s">
        <v>811</v>
      </c>
      <c r="B36" s="140" t="s">
        <v>812</v>
      </c>
      <c r="C36" s="140" t="s">
        <v>813</v>
      </c>
      <c r="D36" s="147" t="s">
        <v>796</v>
      </c>
      <c r="E36" s="142" t="s">
        <v>814</v>
      </c>
      <c r="F36" s="142" t="s">
        <v>204</v>
      </c>
      <c r="G36" s="142" t="s">
        <v>798</v>
      </c>
      <c r="H36" s="142"/>
      <c r="I36" s="142" t="s">
        <v>191</v>
      </c>
      <c r="J36" s="143">
        <v>4</v>
      </c>
      <c r="K36" s="148">
        <v>5</v>
      </c>
      <c r="L36" s="148" t="s">
        <v>199</v>
      </c>
      <c r="N36" s="50"/>
    </row>
    <row r="37" spans="1:14" ht="11.25" customHeight="1">
      <c r="A37" s="140" t="s">
        <v>815</v>
      </c>
      <c r="B37" s="140" t="s">
        <v>816</v>
      </c>
      <c r="C37" s="140" t="s">
        <v>817</v>
      </c>
      <c r="D37" s="147" t="s">
        <v>796</v>
      </c>
      <c r="E37" s="142" t="s">
        <v>818</v>
      </c>
      <c r="F37" s="142" t="s">
        <v>204</v>
      </c>
      <c r="G37" s="142" t="s">
        <v>798</v>
      </c>
      <c r="H37" s="142"/>
      <c r="I37" s="142" t="s">
        <v>191</v>
      </c>
      <c r="J37" s="143">
        <v>4</v>
      </c>
      <c r="K37" s="148">
        <v>5</v>
      </c>
      <c r="L37" s="148" t="s">
        <v>199</v>
      </c>
      <c r="N37" s="50"/>
    </row>
    <row r="38" spans="1:14" ht="11.25" customHeight="1">
      <c r="A38" s="140" t="s">
        <v>819</v>
      </c>
      <c r="B38" s="140" t="s">
        <v>820</v>
      </c>
      <c r="C38" s="140" t="s">
        <v>821</v>
      </c>
      <c r="D38" s="147" t="s">
        <v>796</v>
      </c>
      <c r="E38" s="142" t="s">
        <v>822</v>
      </c>
      <c r="F38" s="142" t="s">
        <v>204</v>
      </c>
      <c r="G38" s="142" t="s">
        <v>798</v>
      </c>
      <c r="H38" s="142"/>
      <c r="I38" s="142" t="s">
        <v>191</v>
      </c>
      <c r="J38" s="143">
        <v>4</v>
      </c>
      <c r="K38" s="148">
        <v>5</v>
      </c>
      <c r="L38" s="148" t="s">
        <v>199</v>
      </c>
      <c r="N38" s="50"/>
    </row>
    <row r="39" spans="1:14" ht="11.25" customHeight="1">
      <c r="A39" s="140" t="s">
        <v>823</v>
      </c>
      <c r="B39" s="140" t="s">
        <v>824</v>
      </c>
      <c r="C39" s="140" t="s">
        <v>825</v>
      </c>
      <c r="D39" s="147" t="s">
        <v>796</v>
      </c>
      <c r="E39" s="142" t="s">
        <v>826</v>
      </c>
      <c r="F39" s="142" t="s">
        <v>204</v>
      </c>
      <c r="G39" s="142" t="s">
        <v>798</v>
      </c>
      <c r="H39" s="142"/>
      <c r="I39" s="142" t="s">
        <v>191</v>
      </c>
      <c r="J39" s="143">
        <v>4</v>
      </c>
      <c r="K39" s="148">
        <v>5</v>
      </c>
      <c r="L39" s="148" t="s">
        <v>199</v>
      </c>
      <c r="N39" s="50"/>
    </row>
    <row r="40" spans="1:14" ht="11.25" customHeight="1">
      <c r="A40" s="140" t="s">
        <v>827</v>
      </c>
      <c r="B40" s="140" t="s">
        <v>828</v>
      </c>
      <c r="C40" s="140" t="s">
        <v>829</v>
      </c>
      <c r="D40" s="147" t="s">
        <v>796</v>
      </c>
      <c r="E40" s="142" t="s">
        <v>830</v>
      </c>
      <c r="F40" s="142" t="s">
        <v>204</v>
      </c>
      <c r="G40" s="142" t="s">
        <v>798</v>
      </c>
      <c r="H40" s="142"/>
      <c r="I40" s="142" t="s">
        <v>191</v>
      </c>
      <c r="J40" s="143">
        <v>4</v>
      </c>
      <c r="K40" s="148">
        <v>5</v>
      </c>
      <c r="L40" s="148" t="s">
        <v>199</v>
      </c>
      <c r="N40" s="50"/>
    </row>
    <row r="41" spans="1:14" ht="11.25" customHeight="1">
      <c r="A41" s="140" t="s">
        <v>831</v>
      </c>
      <c r="B41" s="140" t="s">
        <v>832</v>
      </c>
      <c r="C41" s="140" t="s">
        <v>833</v>
      </c>
      <c r="D41" s="147" t="s">
        <v>772</v>
      </c>
      <c r="E41" s="142" t="s">
        <v>834</v>
      </c>
      <c r="F41" s="142" t="s">
        <v>204</v>
      </c>
      <c r="G41" s="142" t="s">
        <v>792</v>
      </c>
      <c r="H41" s="142"/>
      <c r="I41" s="142" t="s">
        <v>191</v>
      </c>
      <c r="J41" s="143">
        <v>4</v>
      </c>
      <c r="K41" s="148">
        <v>5</v>
      </c>
      <c r="L41" s="148" t="s">
        <v>199</v>
      </c>
      <c r="N41" s="50"/>
    </row>
    <row r="42" spans="1:14" ht="11.25" customHeight="1">
      <c r="A42" s="140" t="s">
        <v>835</v>
      </c>
      <c r="B42" s="140" t="s">
        <v>836</v>
      </c>
      <c r="C42" s="140" t="s">
        <v>837</v>
      </c>
      <c r="D42" s="147" t="s">
        <v>796</v>
      </c>
      <c r="E42" s="142" t="s">
        <v>838</v>
      </c>
      <c r="F42" s="142" t="s">
        <v>204</v>
      </c>
      <c r="G42" s="142" t="s">
        <v>798</v>
      </c>
      <c r="H42" s="142"/>
      <c r="I42" s="142" t="s">
        <v>191</v>
      </c>
      <c r="J42" s="143">
        <v>4</v>
      </c>
      <c r="K42" s="148">
        <v>5</v>
      </c>
      <c r="L42" s="148" t="s">
        <v>199</v>
      </c>
      <c r="N42" s="50"/>
    </row>
    <row r="43" spans="1:14" ht="11.25" customHeight="1">
      <c r="A43" s="140" t="s">
        <v>839</v>
      </c>
      <c r="B43" s="140" t="s">
        <v>840</v>
      </c>
      <c r="C43" s="140" t="s">
        <v>841</v>
      </c>
      <c r="D43" s="147" t="s">
        <v>796</v>
      </c>
      <c r="E43" s="142" t="s">
        <v>842</v>
      </c>
      <c r="F43" s="142" t="s">
        <v>204</v>
      </c>
      <c r="G43" s="142" t="s">
        <v>798</v>
      </c>
      <c r="H43" s="142"/>
      <c r="I43" s="142" t="s">
        <v>191</v>
      </c>
      <c r="J43" s="143">
        <v>4</v>
      </c>
      <c r="K43" s="148">
        <v>5</v>
      </c>
      <c r="L43" s="148" t="s">
        <v>199</v>
      </c>
      <c r="N43" s="50"/>
    </row>
    <row r="44" spans="1:14" ht="11.25" customHeight="1">
      <c r="A44" s="140" t="s">
        <v>843</v>
      </c>
      <c r="B44" s="140" t="s">
        <v>844</v>
      </c>
      <c r="C44" s="140" t="s">
        <v>845</v>
      </c>
      <c r="D44" s="147" t="s">
        <v>796</v>
      </c>
      <c r="E44" s="142" t="s">
        <v>846</v>
      </c>
      <c r="F44" s="142" t="s">
        <v>204</v>
      </c>
      <c r="G44" s="142" t="s">
        <v>798</v>
      </c>
      <c r="H44" s="142"/>
      <c r="I44" s="142" t="s">
        <v>191</v>
      </c>
      <c r="J44" s="143">
        <v>4</v>
      </c>
      <c r="K44" s="148">
        <v>5</v>
      </c>
      <c r="L44" s="148" t="s">
        <v>199</v>
      </c>
      <c r="N44" s="50"/>
    </row>
    <row r="45" spans="1:14" ht="11.25" customHeight="1">
      <c r="A45" s="140" t="s">
        <v>847</v>
      </c>
      <c r="B45" s="140" t="s">
        <v>848</v>
      </c>
      <c r="C45" s="140" t="s">
        <v>849</v>
      </c>
      <c r="D45" s="147" t="s">
        <v>796</v>
      </c>
      <c r="E45" s="142" t="s">
        <v>850</v>
      </c>
      <c r="F45" s="142" t="s">
        <v>204</v>
      </c>
      <c r="G45" s="142" t="s">
        <v>798</v>
      </c>
      <c r="H45" s="142"/>
      <c r="I45" s="142" t="s">
        <v>191</v>
      </c>
      <c r="J45" s="143">
        <v>4</v>
      </c>
      <c r="K45" s="148">
        <v>5</v>
      </c>
      <c r="L45" s="148" t="s">
        <v>199</v>
      </c>
      <c r="N45" s="50"/>
    </row>
    <row r="46" spans="1:14" ht="11.25" customHeight="1">
      <c r="A46" s="140" t="s">
        <v>851</v>
      </c>
      <c r="B46" s="140" t="s">
        <v>852</v>
      </c>
      <c r="C46" s="140" t="s">
        <v>853</v>
      </c>
      <c r="D46" s="147" t="s">
        <v>796</v>
      </c>
      <c r="E46" s="142" t="s">
        <v>854</v>
      </c>
      <c r="F46" s="142" t="s">
        <v>204</v>
      </c>
      <c r="G46" s="142" t="s">
        <v>798</v>
      </c>
      <c r="H46" s="142"/>
      <c r="I46" s="142" t="s">
        <v>191</v>
      </c>
      <c r="J46" s="143">
        <v>4</v>
      </c>
      <c r="K46" s="148">
        <v>5</v>
      </c>
      <c r="L46" s="148" t="s">
        <v>199</v>
      </c>
      <c r="N46" s="50"/>
    </row>
    <row r="47" spans="1:14" ht="11.25" customHeight="1">
      <c r="A47" s="140" t="s">
        <v>855</v>
      </c>
      <c r="B47" s="140" t="s">
        <v>856</v>
      </c>
      <c r="C47" s="140" t="s">
        <v>857</v>
      </c>
      <c r="D47" s="147" t="s">
        <v>796</v>
      </c>
      <c r="E47" s="142" t="s">
        <v>858</v>
      </c>
      <c r="F47" s="142" t="s">
        <v>204</v>
      </c>
      <c r="G47" s="142" t="s">
        <v>798</v>
      </c>
      <c r="H47" s="142"/>
      <c r="I47" s="142" t="s">
        <v>191</v>
      </c>
      <c r="J47" s="143">
        <v>4</v>
      </c>
      <c r="K47" s="148">
        <v>5</v>
      </c>
      <c r="L47" s="148" t="s">
        <v>199</v>
      </c>
      <c r="N47" s="50"/>
    </row>
    <row r="48" spans="1:14" ht="11.25" customHeight="1">
      <c r="A48" s="140" t="s">
        <v>859</v>
      </c>
      <c r="B48" s="140" t="s">
        <v>860</v>
      </c>
      <c r="C48" s="140" t="s">
        <v>861</v>
      </c>
      <c r="D48" s="147" t="s">
        <v>796</v>
      </c>
      <c r="E48" s="142" t="s">
        <v>862</v>
      </c>
      <c r="F48" s="142" t="s">
        <v>204</v>
      </c>
      <c r="G48" s="142" t="s">
        <v>798</v>
      </c>
      <c r="H48" s="142"/>
      <c r="I48" s="142" t="s">
        <v>191</v>
      </c>
      <c r="J48" s="143">
        <v>4</v>
      </c>
      <c r="K48" s="148">
        <v>5</v>
      </c>
      <c r="L48" s="148" t="s">
        <v>199</v>
      </c>
      <c r="N48" s="50"/>
    </row>
    <row r="49" spans="1:14" ht="11.25" customHeight="1">
      <c r="A49" s="140" t="s">
        <v>863</v>
      </c>
      <c r="B49" s="140" t="s">
        <v>864</v>
      </c>
      <c r="C49" s="140" t="s">
        <v>865</v>
      </c>
      <c r="D49" s="147" t="s">
        <v>796</v>
      </c>
      <c r="E49" s="142" t="s">
        <v>866</v>
      </c>
      <c r="F49" s="142" t="s">
        <v>204</v>
      </c>
      <c r="G49" s="142" t="s">
        <v>798</v>
      </c>
      <c r="H49" s="142"/>
      <c r="I49" s="142" t="s">
        <v>191</v>
      </c>
      <c r="J49" s="143">
        <v>4</v>
      </c>
      <c r="K49" s="148">
        <v>5</v>
      </c>
      <c r="L49" s="148" t="s">
        <v>199</v>
      </c>
      <c r="N49" s="50"/>
    </row>
    <row r="50" spans="1:14" ht="11.25" customHeight="1">
      <c r="A50" s="140" t="s">
        <v>867</v>
      </c>
      <c r="B50" s="140" t="s">
        <v>868</v>
      </c>
      <c r="C50" s="140" t="s">
        <v>869</v>
      </c>
      <c r="D50" s="147" t="s">
        <v>796</v>
      </c>
      <c r="E50" s="142" t="s">
        <v>870</v>
      </c>
      <c r="F50" s="142" t="s">
        <v>204</v>
      </c>
      <c r="G50" s="142" t="s">
        <v>798</v>
      </c>
      <c r="H50" s="142"/>
      <c r="I50" s="142" t="s">
        <v>191</v>
      </c>
      <c r="J50" s="143">
        <v>4</v>
      </c>
      <c r="K50" s="148">
        <v>5</v>
      </c>
      <c r="L50" s="148" t="s">
        <v>199</v>
      </c>
      <c r="N50" s="50"/>
    </row>
    <row r="51" spans="1:14" ht="11.25" customHeight="1">
      <c r="A51" s="140" t="s">
        <v>871</v>
      </c>
      <c r="B51" s="140" t="s">
        <v>872</v>
      </c>
      <c r="C51" s="140" t="s">
        <v>873</v>
      </c>
      <c r="D51" s="147" t="s">
        <v>772</v>
      </c>
      <c r="E51" s="142" t="s">
        <v>874</v>
      </c>
      <c r="F51" s="142" t="s">
        <v>204</v>
      </c>
      <c r="G51" s="142" t="s">
        <v>792</v>
      </c>
      <c r="H51" s="142"/>
      <c r="I51" s="142" t="s">
        <v>191</v>
      </c>
      <c r="J51" s="143">
        <v>4</v>
      </c>
      <c r="K51" s="148">
        <v>5</v>
      </c>
      <c r="L51" s="148" t="s">
        <v>199</v>
      </c>
      <c r="N51" s="50"/>
    </row>
    <row r="52" spans="1:14" ht="11.25" customHeight="1">
      <c r="A52" s="140" t="s">
        <v>875</v>
      </c>
      <c r="B52" s="140" t="s">
        <v>876</v>
      </c>
      <c r="C52" s="140" t="s">
        <v>877</v>
      </c>
      <c r="D52" s="147" t="s">
        <v>796</v>
      </c>
      <c r="E52" s="142" t="s">
        <v>878</v>
      </c>
      <c r="F52" s="142" t="s">
        <v>204</v>
      </c>
      <c r="G52" s="142" t="s">
        <v>798</v>
      </c>
      <c r="H52" s="142"/>
      <c r="I52" s="142" t="s">
        <v>191</v>
      </c>
      <c r="J52" s="143">
        <v>4</v>
      </c>
      <c r="K52" s="148">
        <v>5</v>
      </c>
      <c r="L52" s="148" t="s">
        <v>199</v>
      </c>
      <c r="N52" s="50"/>
    </row>
    <row r="53" spans="1:14" ht="11.25" customHeight="1">
      <c r="A53" s="140" t="s">
        <v>879</v>
      </c>
      <c r="B53" s="140" t="s">
        <v>880</v>
      </c>
      <c r="C53" s="140" t="s">
        <v>881</v>
      </c>
      <c r="D53" s="147" t="s">
        <v>796</v>
      </c>
      <c r="E53" s="142" t="s">
        <v>882</v>
      </c>
      <c r="F53" s="142" t="s">
        <v>204</v>
      </c>
      <c r="G53" s="142" t="s">
        <v>798</v>
      </c>
      <c r="H53" s="142"/>
      <c r="I53" s="142" t="s">
        <v>191</v>
      </c>
      <c r="J53" s="143">
        <v>4</v>
      </c>
      <c r="K53" s="148">
        <v>5</v>
      </c>
      <c r="L53" s="148" t="s">
        <v>199</v>
      </c>
      <c r="N53" s="50"/>
    </row>
    <row r="54" spans="1:14" ht="11.25" customHeight="1">
      <c r="A54" s="140" t="s">
        <v>883</v>
      </c>
      <c r="B54" s="140" t="s">
        <v>884</v>
      </c>
      <c r="C54" s="140" t="s">
        <v>885</v>
      </c>
      <c r="D54" s="147" t="s">
        <v>796</v>
      </c>
      <c r="E54" s="142" t="s">
        <v>886</v>
      </c>
      <c r="F54" s="142" t="s">
        <v>204</v>
      </c>
      <c r="G54" s="142" t="s">
        <v>798</v>
      </c>
      <c r="H54" s="142"/>
      <c r="I54" s="142" t="s">
        <v>191</v>
      </c>
      <c r="J54" s="143">
        <v>4</v>
      </c>
      <c r="K54" s="148">
        <v>5</v>
      </c>
      <c r="L54" s="148" t="s">
        <v>199</v>
      </c>
      <c r="N54" s="50"/>
    </row>
    <row r="55" spans="1:14" ht="11.25" customHeight="1">
      <c r="A55" s="140" t="s">
        <v>887</v>
      </c>
      <c r="B55" s="140" t="s">
        <v>888</v>
      </c>
      <c r="C55" s="140" t="s">
        <v>889</v>
      </c>
      <c r="D55" s="147" t="s">
        <v>796</v>
      </c>
      <c r="E55" s="142" t="s">
        <v>890</v>
      </c>
      <c r="F55" s="142" t="s">
        <v>204</v>
      </c>
      <c r="G55" s="142" t="s">
        <v>798</v>
      </c>
      <c r="H55" s="142"/>
      <c r="I55" s="142" t="s">
        <v>191</v>
      </c>
      <c r="J55" s="143">
        <v>4</v>
      </c>
      <c r="K55" s="148">
        <v>5</v>
      </c>
      <c r="L55" s="148" t="s">
        <v>199</v>
      </c>
      <c r="N55" s="50"/>
    </row>
    <row r="56" spans="1:14" ht="11.25" customHeight="1">
      <c r="A56" s="140" t="s">
        <v>891</v>
      </c>
      <c r="B56" s="140" t="s">
        <v>892</v>
      </c>
      <c r="C56" s="140" t="s">
        <v>893</v>
      </c>
      <c r="D56" s="147" t="s">
        <v>796</v>
      </c>
      <c r="E56" s="142" t="s">
        <v>894</v>
      </c>
      <c r="F56" s="142" t="s">
        <v>204</v>
      </c>
      <c r="G56" s="142" t="s">
        <v>798</v>
      </c>
      <c r="H56" s="142"/>
      <c r="I56" s="142" t="s">
        <v>191</v>
      </c>
      <c r="J56" s="143">
        <v>4</v>
      </c>
      <c r="K56" s="148">
        <v>5</v>
      </c>
      <c r="L56" s="148" t="s">
        <v>199</v>
      </c>
      <c r="N56" s="50"/>
    </row>
    <row r="57" spans="1:14" ht="11.25" customHeight="1">
      <c r="A57" s="140" t="s">
        <v>895</v>
      </c>
      <c r="B57" s="140" t="s">
        <v>896</v>
      </c>
      <c r="C57" s="140" t="s">
        <v>897</v>
      </c>
      <c r="D57" s="147" t="s">
        <v>796</v>
      </c>
      <c r="E57" s="142" t="s">
        <v>898</v>
      </c>
      <c r="F57" s="142" t="s">
        <v>204</v>
      </c>
      <c r="G57" s="142" t="s">
        <v>798</v>
      </c>
      <c r="H57" s="142"/>
      <c r="I57" s="142" t="s">
        <v>191</v>
      </c>
      <c r="J57" s="143">
        <v>4</v>
      </c>
      <c r="K57" s="148">
        <v>5</v>
      </c>
      <c r="L57" s="148" t="s">
        <v>199</v>
      </c>
      <c r="N57" s="50"/>
    </row>
    <row r="58" spans="1:14" ht="11.25" customHeight="1">
      <c r="A58" s="140" t="s">
        <v>899</v>
      </c>
      <c r="B58" s="140" t="s">
        <v>900</v>
      </c>
      <c r="C58" s="140" t="s">
        <v>901</v>
      </c>
      <c r="D58" s="147" t="s">
        <v>796</v>
      </c>
      <c r="E58" s="142" t="s">
        <v>902</v>
      </c>
      <c r="F58" s="142" t="s">
        <v>204</v>
      </c>
      <c r="G58" s="142" t="s">
        <v>798</v>
      </c>
      <c r="H58" s="142"/>
      <c r="I58" s="142" t="s">
        <v>191</v>
      </c>
      <c r="J58" s="143">
        <v>4</v>
      </c>
      <c r="K58" s="148">
        <v>5</v>
      </c>
      <c r="L58" s="148" t="s">
        <v>199</v>
      </c>
      <c r="N58" s="50"/>
    </row>
    <row r="59" spans="1:14" ht="11.25" customHeight="1">
      <c r="A59" s="140" t="s">
        <v>903</v>
      </c>
      <c r="B59" s="140" t="s">
        <v>904</v>
      </c>
      <c r="C59" s="140" t="s">
        <v>905</v>
      </c>
      <c r="D59" s="147" t="s">
        <v>796</v>
      </c>
      <c r="E59" s="142" t="s">
        <v>906</v>
      </c>
      <c r="F59" s="142" t="s">
        <v>204</v>
      </c>
      <c r="G59" s="142" t="s">
        <v>798</v>
      </c>
      <c r="H59" s="142"/>
      <c r="I59" s="142" t="s">
        <v>191</v>
      </c>
      <c r="J59" s="143">
        <v>4</v>
      </c>
      <c r="K59" s="148">
        <v>5</v>
      </c>
      <c r="L59" s="148" t="s">
        <v>199</v>
      </c>
      <c r="N59" s="50"/>
    </row>
    <row r="60" spans="1:14" ht="11.25" customHeight="1">
      <c r="A60" s="140" t="s">
        <v>907</v>
      </c>
      <c r="B60" s="140" t="s">
        <v>908</v>
      </c>
      <c r="C60" s="140" t="s">
        <v>909</v>
      </c>
      <c r="D60" s="147" t="s">
        <v>796</v>
      </c>
      <c r="E60" s="142" t="s">
        <v>910</v>
      </c>
      <c r="F60" s="142" t="s">
        <v>204</v>
      </c>
      <c r="G60" s="142" t="s">
        <v>798</v>
      </c>
      <c r="H60" s="142"/>
      <c r="I60" s="142" t="s">
        <v>191</v>
      </c>
      <c r="J60" s="143">
        <v>4</v>
      </c>
      <c r="K60" s="148">
        <v>5</v>
      </c>
      <c r="L60" s="148" t="s">
        <v>199</v>
      </c>
      <c r="N60" s="50"/>
    </row>
    <row r="61" spans="1:14" ht="11.25" customHeight="1">
      <c r="A61" s="140" t="s">
        <v>911</v>
      </c>
      <c r="B61" s="140" t="s">
        <v>912</v>
      </c>
      <c r="C61" s="140" t="s">
        <v>913</v>
      </c>
      <c r="D61" s="147" t="s">
        <v>772</v>
      </c>
      <c r="E61" s="142" t="s">
        <v>914</v>
      </c>
      <c r="F61" s="142" t="s">
        <v>204</v>
      </c>
      <c r="G61" s="142" t="s">
        <v>915</v>
      </c>
      <c r="H61" s="142"/>
      <c r="I61" s="142" t="s">
        <v>191</v>
      </c>
      <c r="J61" s="143">
        <v>4</v>
      </c>
      <c r="K61" s="148">
        <v>5</v>
      </c>
      <c r="L61" s="148" t="s">
        <v>199</v>
      </c>
      <c r="N61" s="50"/>
    </row>
    <row r="62" spans="1:14" ht="11.25" customHeight="1">
      <c r="A62" s="140" t="s">
        <v>916</v>
      </c>
      <c r="B62" s="140" t="s">
        <v>917</v>
      </c>
      <c r="C62" s="140" t="s">
        <v>918</v>
      </c>
      <c r="D62" s="147" t="s">
        <v>772</v>
      </c>
      <c r="E62" s="142" t="s">
        <v>919</v>
      </c>
      <c r="F62" s="142" t="s">
        <v>204</v>
      </c>
      <c r="G62" s="142" t="s">
        <v>792</v>
      </c>
      <c r="H62" s="142"/>
      <c r="I62" s="142" t="s">
        <v>191</v>
      </c>
      <c r="J62" s="143">
        <v>4</v>
      </c>
      <c r="K62" s="148">
        <v>5</v>
      </c>
      <c r="L62" s="148" t="s">
        <v>199</v>
      </c>
      <c r="N62" s="50"/>
    </row>
    <row r="63" spans="1:14" ht="11.25" customHeight="1">
      <c r="A63" s="140" t="s">
        <v>920</v>
      </c>
      <c r="B63" s="140" t="s">
        <v>921</v>
      </c>
      <c r="C63" s="140" t="s">
        <v>922</v>
      </c>
      <c r="D63" s="147" t="s">
        <v>796</v>
      </c>
      <c r="E63" s="142" t="s">
        <v>923</v>
      </c>
      <c r="F63" s="142" t="s">
        <v>204</v>
      </c>
      <c r="G63" s="142" t="s">
        <v>798</v>
      </c>
      <c r="H63" s="142"/>
      <c r="I63" s="142" t="s">
        <v>191</v>
      </c>
      <c r="J63" s="143">
        <v>4</v>
      </c>
      <c r="K63" s="148">
        <v>5</v>
      </c>
      <c r="L63" s="148" t="s">
        <v>199</v>
      </c>
      <c r="N63" s="50"/>
    </row>
    <row r="64" spans="1:14" ht="11.25" customHeight="1">
      <c r="A64" s="140" t="s">
        <v>924</v>
      </c>
      <c r="B64" s="140" t="s">
        <v>925</v>
      </c>
      <c r="C64" s="140" t="s">
        <v>926</v>
      </c>
      <c r="D64" s="147" t="s">
        <v>796</v>
      </c>
      <c r="E64" s="142" t="s">
        <v>927</v>
      </c>
      <c r="F64" s="142" t="s">
        <v>204</v>
      </c>
      <c r="G64" s="142" t="s">
        <v>798</v>
      </c>
      <c r="H64" s="142"/>
      <c r="I64" s="142" t="s">
        <v>191</v>
      </c>
      <c r="J64" s="143">
        <v>4</v>
      </c>
      <c r="K64" s="148">
        <v>5</v>
      </c>
      <c r="L64" s="148" t="s">
        <v>199</v>
      </c>
      <c r="N64" s="50"/>
    </row>
    <row r="65" spans="1:14" ht="11.25" customHeight="1">
      <c r="A65" s="140" t="s">
        <v>928</v>
      </c>
      <c r="B65" s="140" t="s">
        <v>929</v>
      </c>
      <c r="C65" s="140" t="s">
        <v>930</v>
      </c>
      <c r="D65" s="147" t="s">
        <v>796</v>
      </c>
      <c r="E65" s="142" t="s">
        <v>931</v>
      </c>
      <c r="F65" s="142" t="s">
        <v>204</v>
      </c>
      <c r="G65" s="142" t="s">
        <v>798</v>
      </c>
      <c r="H65" s="142"/>
      <c r="I65" s="142" t="s">
        <v>191</v>
      </c>
      <c r="J65" s="143">
        <v>4</v>
      </c>
      <c r="K65" s="148">
        <v>5</v>
      </c>
      <c r="L65" s="148" t="s">
        <v>199</v>
      </c>
      <c r="N65" s="50"/>
    </row>
    <row r="66" spans="1:14" ht="11.25" customHeight="1">
      <c r="A66" s="140" t="s">
        <v>932</v>
      </c>
      <c r="B66" s="140" t="s">
        <v>933</v>
      </c>
      <c r="C66" s="140" t="s">
        <v>934</v>
      </c>
      <c r="D66" s="147" t="s">
        <v>796</v>
      </c>
      <c r="E66" s="142" t="s">
        <v>935</v>
      </c>
      <c r="F66" s="142" t="s">
        <v>204</v>
      </c>
      <c r="G66" s="142" t="s">
        <v>798</v>
      </c>
      <c r="H66" s="142"/>
      <c r="I66" s="142" t="s">
        <v>191</v>
      </c>
      <c r="J66" s="143">
        <v>4</v>
      </c>
      <c r="K66" s="148">
        <v>5</v>
      </c>
      <c r="L66" s="148" t="s">
        <v>199</v>
      </c>
      <c r="N66" s="50"/>
    </row>
    <row r="67" spans="1:14" ht="11.25" customHeight="1">
      <c r="A67" s="140" t="s">
        <v>936</v>
      </c>
      <c r="B67" s="140" t="s">
        <v>937</v>
      </c>
      <c r="C67" s="140" t="s">
        <v>938</v>
      </c>
      <c r="D67" s="147" t="s">
        <v>796</v>
      </c>
      <c r="E67" s="142" t="s">
        <v>939</v>
      </c>
      <c r="F67" s="142" t="s">
        <v>204</v>
      </c>
      <c r="G67" s="142" t="s">
        <v>798</v>
      </c>
      <c r="H67" s="142"/>
      <c r="I67" s="142" t="s">
        <v>191</v>
      </c>
      <c r="J67" s="143">
        <v>4</v>
      </c>
      <c r="K67" s="148">
        <v>5</v>
      </c>
      <c r="L67" s="148" t="s">
        <v>199</v>
      </c>
      <c r="N67" s="50"/>
    </row>
    <row r="68" spans="1:14" ht="11.25" customHeight="1">
      <c r="A68" s="140" t="s">
        <v>940</v>
      </c>
      <c r="B68" s="140" t="s">
        <v>941</v>
      </c>
      <c r="C68" s="140" t="s">
        <v>942</v>
      </c>
      <c r="D68" s="147" t="s">
        <v>796</v>
      </c>
      <c r="E68" s="142" t="s">
        <v>943</v>
      </c>
      <c r="F68" s="142" t="s">
        <v>204</v>
      </c>
      <c r="G68" s="142" t="s">
        <v>798</v>
      </c>
      <c r="H68" s="142"/>
      <c r="I68" s="142" t="s">
        <v>191</v>
      </c>
      <c r="J68" s="143">
        <v>4</v>
      </c>
      <c r="K68" s="148">
        <v>5</v>
      </c>
      <c r="L68" s="148" t="s">
        <v>199</v>
      </c>
      <c r="N68" s="50"/>
    </row>
    <row r="69" spans="1:14" ht="11.25" customHeight="1">
      <c r="A69" s="140" t="s">
        <v>944</v>
      </c>
      <c r="B69" s="140" t="s">
        <v>945</v>
      </c>
      <c r="C69" s="140" t="s">
        <v>946</v>
      </c>
      <c r="D69" s="147" t="s">
        <v>796</v>
      </c>
      <c r="E69" s="142" t="s">
        <v>947</v>
      </c>
      <c r="F69" s="142" t="s">
        <v>204</v>
      </c>
      <c r="G69" s="142" t="s">
        <v>798</v>
      </c>
      <c r="H69" s="142"/>
      <c r="I69" s="142" t="s">
        <v>191</v>
      </c>
      <c r="J69" s="143">
        <v>4</v>
      </c>
      <c r="K69" s="148">
        <v>5</v>
      </c>
      <c r="L69" s="148" t="s">
        <v>199</v>
      </c>
      <c r="N69" s="50"/>
    </row>
    <row r="70" spans="1:14" ht="11.25" customHeight="1">
      <c r="A70" s="140" t="s">
        <v>948</v>
      </c>
      <c r="B70" s="140" t="s">
        <v>949</v>
      </c>
      <c r="C70" s="140" t="s">
        <v>950</v>
      </c>
      <c r="D70" s="147" t="s">
        <v>796</v>
      </c>
      <c r="E70" s="142" t="s">
        <v>951</v>
      </c>
      <c r="F70" s="142" t="s">
        <v>204</v>
      </c>
      <c r="G70" s="142" t="s">
        <v>798</v>
      </c>
      <c r="H70" s="142"/>
      <c r="I70" s="142" t="s">
        <v>191</v>
      </c>
      <c r="J70" s="143">
        <v>4</v>
      </c>
      <c r="K70" s="148">
        <v>5</v>
      </c>
      <c r="L70" s="148" t="s">
        <v>199</v>
      </c>
      <c r="N70" s="50"/>
    </row>
    <row r="71" spans="1:14" ht="11.25" customHeight="1">
      <c r="A71" s="140" t="s">
        <v>952</v>
      </c>
      <c r="B71" s="140" t="s">
        <v>953</v>
      </c>
      <c r="C71" s="140" t="s">
        <v>954</v>
      </c>
      <c r="D71" s="147" t="s">
        <v>796</v>
      </c>
      <c r="E71" s="142" t="s">
        <v>955</v>
      </c>
      <c r="F71" s="142" t="s">
        <v>204</v>
      </c>
      <c r="G71" s="142" t="s">
        <v>798</v>
      </c>
      <c r="H71" s="142"/>
      <c r="I71" s="142" t="s">
        <v>191</v>
      </c>
      <c r="J71" s="143">
        <v>4</v>
      </c>
      <c r="K71" s="148">
        <v>5</v>
      </c>
      <c r="L71" s="148" t="s">
        <v>199</v>
      </c>
      <c r="N71" s="50"/>
    </row>
    <row r="72" spans="1:14" ht="11.25" customHeight="1">
      <c r="A72" s="140" t="s">
        <v>956</v>
      </c>
      <c r="B72" s="140" t="s">
        <v>957</v>
      </c>
      <c r="C72" s="140" t="s">
        <v>958</v>
      </c>
      <c r="D72" s="147" t="s">
        <v>772</v>
      </c>
      <c r="E72" s="142" t="s">
        <v>959</v>
      </c>
      <c r="F72" s="142" t="s">
        <v>204</v>
      </c>
      <c r="G72" s="142" t="s">
        <v>792</v>
      </c>
      <c r="H72" s="142"/>
      <c r="I72" s="142" t="s">
        <v>191</v>
      </c>
      <c r="J72" s="143">
        <v>4</v>
      </c>
      <c r="K72" s="148">
        <v>5</v>
      </c>
      <c r="L72" s="148" t="s">
        <v>199</v>
      </c>
      <c r="N72" s="50"/>
    </row>
    <row r="73" spans="1:14" ht="11.25" customHeight="1">
      <c r="A73" s="140" t="s">
        <v>960</v>
      </c>
      <c r="B73" s="140" t="s">
        <v>961</v>
      </c>
      <c r="C73" s="140" t="s">
        <v>962</v>
      </c>
      <c r="D73" s="147" t="s">
        <v>796</v>
      </c>
      <c r="E73" s="142" t="s">
        <v>963</v>
      </c>
      <c r="F73" s="142" t="s">
        <v>204</v>
      </c>
      <c r="G73" s="142" t="s">
        <v>798</v>
      </c>
      <c r="H73" s="142"/>
      <c r="I73" s="142" t="s">
        <v>191</v>
      </c>
      <c r="J73" s="143">
        <v>4</v>
      </c>
      <c r="K73" s="148">
        <v>5</v>
      </c>
      <c r="L73" s="148" t="s">
        <v>199</v>
      </c>
      <c r="N73" s="50"/>
    </row>
    <row r="74" spans="1:14" ht="11.25" customHeight="1">
      <c r="A74" s="140" t="s">
        <v>964</v>
      </c>
      <c r="B74" s="140" t="s">
        <v>965</v>
      </c>
      <c r="C74" s="140" t="s">
        <v>966</v>
      </c>
      <c r="D74" s="147" t="s">
        <v>796</v>
      </c>
      <c r="E74" s="142" t="s">
        <v>967</v>
      </c>
      <c r="F74" s="142" t="s">
        <v>204</v>
      </c>
      <c r="G74" s="142" t="s">
        <v>798</v>
      </c>
      <c r="H74" s="142"/>
      <c r="I74" s="142" t="s">
        <v>191</v>
      </c>
      <c r="J74" s="143">
        <v>4</v>
      </c>
      <c r="K74" s="148">
        <v>5</v>
      </c>
      <c r="L74" s="148" t="s">
        <v>199</v>
      </c>
      <c r="N74" s="50"/>
    </row>
    <row r="75" spans="1:14" ht="11.25" customHeight="1">
      <c r="A75" s="140" t="s">
        <v>968</v>
      </c>
      <c r="B75" s="140" t="s">
        <v>969</v>
      </c>
      <c r="C75" s="140" t="s">
        <v>970</v>
      </c>
      <c r="D75" s="147" t="s">
        <v>796</v>
      </c>
      <c r="E75" s="142" t="s">
        <v>971</v>
      </c>
      <c r="F75" s="142" t="s">
        <v>204</v>
      </c>
      <c r="G75" s="142" t="s">
        <v>798</v>
      </c>
      <c r="H75" s="142"/>
      <c r="I75" s="142" t="s">
        <v>191</v>
      </c>
      <c r="J75" s="143">
        <v>4</v>
      </c>
      <c r="K75" s="148">
        <v>5</v>
      </c>
      <c r="L75" s="148" t="s">
        <v>199</v>
      </c>
      <c r="N75" s="50"/>
    </row>
    <row r="76" spans="1:14" ht="11.25" customHeight="1">
      <c r="A76" s="140" t="s">
        <v>972</v>
      </c>
      <c r="B76" s="140" t="s">
        <v>973</v>
      </c>
      <c r="C76" s="140" t="s">
        <v>974</v>
      </c>
      <c r="D76" s="147" t="s">
        <v>796</v>
      </c>
      <c r="E76" s="142" t="s">
        <v>975</v>
      </c>
      <c r="F76" s="142" t="s">
        <v>204</v>
      </c>
      <c r="G76" s="142" t="s">
        <v>798</v>
      </c>
      <c r="H76" s="142"/>
      <c r="I76" s="142" t="s">
        <v>191</v>
      </c>
      <c r="J76" s="143">
        <v>4</v>
      </c>
      <c r="K76" s="148">
        <v>5</v>
      </c>
      <c r="L76" s="148" t="s">
        <v>199</v>
      </c>
      <c r="N76" s="50"/>
    </row>
    <row r="77" spans="1:14" ht="11.25" customHeight="1">
      <c r="A77" s="140" t="s">
        <v>976</v>
      </c>
      <c r="B77" s="140" t="s">
        <v>977</v>
      </c>
      <c r="C77" s="140" t="s">
        <v>978</v>
      </c>
      <c r="D77" s="147" t="s">
        <v>796</v>
      </c>
      <c r="E77" s="142" t="s">
        <v>979</v>
      </c>
      <c r="F77" s="142" t="s">
        <v>204</v>
      </c>
      <c r="G77" s="142" t="s">
        <v>798</v>
      </c>
      <c r="H77" s="142"/>
      <c r="I77" s="142" t="s">
        <v>191</v>
      </c>
      <c r="J77" s="143">
        <v>4</v>
      </c>
      <c r="K77" s="148">
        <v>5</v>
      </c>
      <c r="L77" s="148" t="s">
        <v>199</v>
      </c>
      <c r="N77" s="50"/>
    </row>
    <row r="78" spans="1:14" ht="11.25" customHeight="1">
      <c r="A78" s="140" t="s">
        <v>980</v>
      </c>
      <c r="B78" s="140" t="s">
        <v>981</v>
      </c>
      <c r="C78" s="140" t="s">
        <v>982</v>
      </c>
      <c r="D78" s="147" t="s">
        <v>796</v>
      </c>
      <c r="E78" s="142" t="s">
        <v>983</v>
      </c>
      <c r="F78" s="142" t="s">
        <v>204</v>
      </c>
      <c r="G78" s="142" t="s">
        <v>798</v>
      </c>
      <c r="H78" s="142"/>
      <c r="I78" s="142" t="s">
        <v>191</v>
      </c>
      <c r="J78" s="143">
        <v>4</v>
      </c>
      <c r="K78" s="148">
        <v>5</v>
      </c>
      <c r="L78" s="148" t="s">
        <v>199</v>
      </c>
      <c r="N78" s="50"/>
    </row>
    <row r="79" spans="1:14" ht="11.25" customHeight="1">
      <c r="A79" s="140" t="s">
        <v>984</v>
      </c>
      <c r="B79" s="140" t="s">
        <v>985</v>
      </c>
      <c r="C79" s="140" t="s">
        <v>986</v>
      </c>
      <c r="D79" s="147" t="s">
        <v>796</v>
      </c>
      <c r="E79" s="142" t="s">
        <v>987</v>
      </c>
      <c r="F79" s="142" t="s">
        <v>204</v>
      </c>
      <c r="G79" s="142" t="s">
        <v>798</v>
      </c>
      <c r="H79" s="142"/>
      <c r="I79" s="142" t="s">
        <v>191</v>
      </c>
      <c r="J79" s="143">
        <v>4</v>
      </c>
      <c r="K79" s="148">
        <v>5</v>
      </c>
      <c r="L79" s="148" t="s">
        <v>199</v>
      </c>
      <c r="N79" s="50"/>
    </row>
    <row r="80" spans="1:14" ht="11.25" customHeight="1">
      <c r="A80" s="140" t="s">
        <v>988</v>
      </c>
      <c r="B80" s="140" t="s">
        <v>989</v>
      </c>
      <c r="C80" s="140" t="s">
        <v>990</v>
      </c>
      <c r="D80" s="147" t="s">
        <v>796</v>
      </c>
      <c r="E80" s="142" t="s">
        <v>991</v>
      </c>
      <c r="F80" s="142" t="s">
        <v>204</v>
      </c>
      <c r="G80" s="142" t="s">
        <v>798</v>
      </c>
      <c r="H80" s="142"/>
      <c r="I80" s="142" t="s">
        <v>191</v>
      </c>
      <c r="J80" s="143">
        <v>4</v>
      </c>
      <c r="K80" s="148">
        <v>5</v>
      </c>
      <c r="L80" s="148" t="s">
        <v>199</v>
      </c>
      <c r="N80" s="50"/>
    </row>
    <row r="81" spans="1:14" ht="11.25" customHeight="1">
      <c r="A81" s="140" t="s">
        <v>992</v>
      </c>
      <c r="B81" s="140" t="s">
        <v>993</v>
      </c>
      <c r="C81" s="140" t="s">
        <v>994</v>
      </c>
      <c r="D81" s="147" t="s">
        <v>796</v>
      </c>
      <c r="E81" s="142" t="s">
        <v>995</v>
      </c>
      <c r="F81" s="142" t="s">
        <v>204</v>
      </c>
      <c r="G81" s="142" t="s">
        <v>798</v>
      </c>
      <c r="H81" s="142"/>
      <c r="I81" s="142" t="s">
        <v>191</v>
      </c>
      <c r="J81" s="143">
        <v>4</v>
      </c>
      <c r="K81" s="148">
        <v>5</v>
      </c>
      <c r="L81" s="148" t="s">
        <v>199</v>
      </c>
      <c r="N81" s="50"/>
    </row>
    <row r="82" spans="1:14" ht="11.25" customHeight="1">
      <c r="A82" s="140" t="s">
        <v>996</v>
      </c>
      <c r="B82" s="140" t="s">
        <v>997</v>
      </c>
      <c r="C82" s="140" t="s">
        <v>998</v>
      </c>
      <c r="D82" s="147" t="s">
        <v>999</v>
      </c>
      <c r="E82" s="142" t="s">
        <v>1000</v>
      </c>
      <c r="F82" s="142" t="s">
        <v>204</v>
      </c>
      <c r="G82" s="142" t="s">
        <v>792</v>
      </c>
      <c r="H82" s="142"/>
      <c r="I82" s="142" t="s">
        <v>191</v>
      </c>
      <c r="J82" s="143">
        <v>4</v>
      </c>
      <c r="K82" s="148">
        <v>5</v>
      </c>
      <c r="L82" s="148" t="s">
        <v>199</v>
      </c>
      <c r="N82" s="50"/>
    </row>
    <row r="83" spans="1:14" ht="11.25" customHeight="1">
      <c r="A83" s="140" t="s">
        <v>1001</v>
      </c>
      <c r="B83" s="140" t="s">
        <v>1002</v>
      </c>
      <c r="C83" s="140" t="s">
        <v>1003</v>
      </c>
      <c r="D83" s="147" t="s">
        <v>796</v>
      </c>
      <c r="E83" s="142" t="s">
        <v>1004</v>
      </c>
      <c r="F83" s="142" t="s">
        <v>204</v>
      </c>
      <c r="G83" s="142" t="s">
        <v>798</v>
      </c>
      <c r="H83" s="142"/>
      <c r="I83" s="142" t="s">
        <v>191</v>
      </c>
      <c r="J83" s="143">
        <v>4</v>
      </c>
      <c r="K83" s="148">
        <v>5</v>
      </c>
      <c r="L83" s="148" t="s">
        <v>199</v>
      </c>
      <c r="N83" s="50"/>
    </row>
    <row r="84" spans="1:14" ht="11.25" customHeight="1">
      <c r="A84" s="140" t="s">
        <v>1005</v>
      </c>
      <c r="B84" s="140" t="s">
        <v>1006</v>
      </c>
      <c r="C84" s="140" t="s">
        <v>1007</v>
      </c>
      <c r="D84" s="147" t="s">
        <v>796</v>
      </c>
      <c r="E84" s="142" t="s">
        <v>1008</v>
      </c>
      <c r="F84" s="142" t="s">
        <v>204</v>
      </c>
      <c r="G84" s="142" t="s">
        <v>798</v>
      </c>
      <c r="H84" s="142"/>
      <c r="I84" s="142" t="s">
        <v>191</v>
      </c>
      <c r="J84" s="143">
        <v>4</v>
      </c>
      <c r="K84" s="148">
        <v>5</v>
      </c>
      <c r="L84" s="148" t="s">
        <v>199</v>
      </c>
      <c r="N84" s="50"/>
    </row>
    <row r="85" spans="1:14" ht="11.25" customHeight="1">
      <c r="A85" s="140" t="s">
        <v>1009</v>
      </c>
      <c r="B85" s="140" t="s">
        <v>1010</v>
      </c>
      <c r="C85" s="140" t="s">
        <v>1011</v>
      </c>
      <c r="D85" s="147" t="s">
        <v>796</v>
      </c>
      <c r="E85" s="142" t="s">
        <v>1012</v>
      </c>
      <c r="F85" s="142" t="s">
        <v>204</v>
      </c>
      <c r="G85" s="142" t="s">
        <v>798</v>
      </c>
      <c r="H85" s="142"/>
      <c r="I85" s="142" t="s">
        <v>191</v>
      </c>
      <c r="J85" s="143">
        <v>4</v>
      </c>
      <c r="K85" s="148">
        <v>5</v>
      </c>
      <c r="L85" s="148" t="s">
        <v>199</v>
      </c>
      <c r="N85" s="50"/>
    </row>
    <row r="86" spans="1:14" ht="11.25" customHeight="1">
      <c r="A86" s="140" t="s">
        <v>1013</v>
      </c>
      <c r="B86" s="140" t="s">
        <v>1014</v>
      </c>
      <c r="C86" s="140" t="s">
        <v>1015</v>
      </c>
      <c r="D86" s="147" t="s">
        <v>796</v>
      </c>
      <c r="E86" s="142" t="s">
        <v>1016</v>
      </c>
      <c r="F86" s="142" t="s">
        <v>204</v>
      </c>
      <c r="G86" s="142" t="s">
        <v>798</v>
      </c>
      <c r="H86" s="142"/>
      <c r="I86" s="142" t="s">
        <v>191</v>
      </c>
      <c r="J86" s="143">
        <v>4</v>
      </c>
      <c r="K86" s="148">
        <v>5</v>
      </c>
      <c r="L86" s="148" t="s">
        <v>199</v>
      </c>
      <c r="N86" s="50"/>
    </row>
    <row r="87" spans="1:14" ht="11.25" customHeight="1">
      <c r="A87" s="140" t="s">
        <v>1017</v>
      </c>
      <c r="B87" s="140" t="s">
        <v>1018</v>
      </c>
      <c r="C87" s="140" t="s">
        <v>1019</v>
      </c>
      <c r="D87" s="147" t="s">
        <v>796</v>
      </c>
      <c r="E87" s="142" t="s">
        <v>1020</v>
      </c>
      <c r="F87" s="142" t="s">
        <v>204</v>
      </c>
      <c r="G87" s="142" t="s">
        <v>798</v>
      </c>
      <c r="H87" s="142"/>
      <c r="I87" s="142" t="s">
        <v>191</v>
      </c>
      <c r="J87" s="143">
        <v>4</v>
      </c>
      <c r="K87" s="148">
        <v>5</v>
      </c>
      <c r="L87" s="148" t="s">
        <v>199</v>
      </c>
      <c r="N87" s="50"/>
    </row>
    <row r="88" spans="1:14" ht="11.25" customHeight="1">
      <c r="A88" s="140" t="s">
        <v>1021</v>
      </c>
      <c r="B88" s="140" t="s">
        <v>1022</v>
      </c>
      <c r="C88" s="140" t="s">
        <v>1023</v>
      </c>
      <c r="D88" s="147" t="s">
        <v>796</v>
      </c>
      <c r="E88" s="142" t="s">
        <v>1024</v>
      </c>
      <c r="F88" s="142" t="s">
        <v>204</v>
      </c>
      <c r="G88" s="142" t="s">
        <v>798</v>
      </c>
      <c r="H88" s="142"/>
      <c r="I88" s="142" t="s">
        <v>191</v>
      </c>
      <c r="J88" s="143">
        <v>4</v>
      </c>
      <c r="K88" s="148">
        <v>5</v>
      </c>
      <c r="L88" s="148" t="s">
        <v>199</v>
      </c>
      <c r="N88" s="50"/>
    </row>
    <row r="89" spans="1:14" ht="11.25" customHeight="1">
      <c r="A89" s="140" t="s">
        <v>1025</v>
      </c>
      <c r="B89" s="140" t="s">
        <v>1026</v>
      </c>
      <c r="C89" s="140" t="s">
        <v>1027</v>
      </c>
      <c r="D89" s="147" t="s">
        <v>796</v>
      </c>
      <c r="E89" s="142" t="s">
        <v>1028</v>
      </c>
      <c r="F89" s="142" t="s">
        <v>204</v>
      </c>
      <c r="G89" s="142" t="s">
        <v>798</v>
      </c>
      <c r="H89" s="142"/>
      <c r="I89" s="142" t="s">
        <v>191</v>
      </c>
      <c r="J89" s="143">
        <v>4</v>
      </c>
      <c r="K89" s="148">
        <v>5</v>
      </c>
      <c r="L89" s="148" t="s">
        <v>199</v>
      </c>
      <c r="N89" s="50"/>
    </row>
    <row r="90" spans="1:14" ht="11.25" customHeight="1">
      <c r="A90" s="140" t="s">
        <v>1029</v>
      </c>
      <c r="B90" s="140" t="s">
        <v>1030</v>
      </c>
      <c r="C90" s="140" t="s">
        <v>1031</v>
      </c>
      <c r="D90" s="147" t="s">
        <v>796</v>
      </c>
      <c r="E90" s="142" t="s">
        <v>1032</v>
      </c>
      <c r="F90" s="142" t="s">
        <v>204</v>
      </c>
      <c r="G90" s="142" t="s">
        <v>798</v>
      </c>
      <c r="H90" s="142"/>
      <c r="I90" s="142" t="s">
        <v>191</v>
      </c>
      <c r="J90" s="143">
        <v>4</v>
      </c>
      <c r="K90" s="148">
        <v>5</v>
      </c>
      <c r="L90" s="148" t="s">
        <v>199</v>
      </c>
      <c r="N90" s="50"/>
    </row>
    <row r="91" spans="1:14" ht="11.25" customHeight="1">
      <c r="A91" s="140" t="s">
        <v>1033</v>
      </c>
      <c r="B91" s="140" t="s">
        <v>1034</v>
      </c>
      <c r="C91" s="140" t="s">
        <v>1035</v>
      </c>
      <c r="D91" s="147" t="s">
        <v>796</v>
      </c>
      <c r="E91" s="142" t="s">
        <v>1036</v>
      </c>
      <c r="F91" s="142" t="s">
        <v>204</v>
      </c>
      <c r="G91" s="142" t="s">
        <v>798</v>
      </c>
      <c r="H91" s="142"/>
      <c r="I91" s="142" t="s">
        <v>191</v>
      </c>
      <c r="J91" s="143">
        <v>4</v>
      </c>
      <c r="K91" s="148">
        <v>5</v>
      </c>
      <c r="L91" s="148" t="s">
        <v>199</v>
      </c>
      <c r="N91" s="50"/>
    </row>
    <row r="92" spans="1:14" ht="11.25" customHeight="1">
      <c r="A92" s="140" t="s">
        <v>1037</v>
      </c>
      <c r="B92" s="140" t="s">
        <v>1038</v>
      </c>
      <c r="C92" s="140" t="s">
        <v>1039</v>
      </c>
      <c r="D92" s="147" t="s">
        <v>772</v>
      </c>
      <c r="E92" s="142" t="s">
        <v>1040</v>
      </c>
      <c r="F92" s="142" t="s">
        <v>204</v>
      </c>
      <c r="G92" s="142" t="s">
        <v>792</v>
      </c>
      <c r="H92" s="142"/>
      <c r="I92" s="142" t="s">
        <v>191</v>
      </c>
      <c r="J92" s="143">
        <v>4</v>
      </c>
      <c r="K92" s="148">
        <v>5</v>
      </c>
      <c r="L92" s="148" t="s">
        <v>199</v>
      </c>
      <c r="N92" s="50"/>
    </row>
    <row r="93" spans="1:14" ht="11.25" customHeight="1">
      <c r="A93" s="140" t="s">
        <v>1041</v>
      </c>
      <c r="B93" s="140" t="s">
        <v>1042</v>
      </c>
      <c r="C93" s="140" t="s">
        <v>1043</v>
      </c>
      <c r="D93" s="147" t="s">
        <v>796</v>
      </c>
      <c r="E93" s="142" t="s">
        <v>1044</v>
      </c>
      <c r="F93" s="142" t="s">
        <v>204</v>
      </c>
      <c r="G93" s="142" t="s">
        <v>798</v>
      </c>
      <c r="H93" s="142"/>
      <c r="I93" s="142" t="s">
        <v>191</v>
      </c>
      <c r="J93" s="143">
        <v>4</v>
      </c>
      <c r="K93" s="148">
        <v>5</v>
      </c>
      <c r="L93" s="148" t="s">
        <v>199</v>
      </c>
      <c r="N93" s="50"/>
    </row>
    <row r="94" spans="1:14" ht="11.25" customHeight="1">
      <c r="A94" s="140" t="s">
        <v>1045</v>
      </c>
      <c r="B94" s="140" t="s">
        <v>1046</v>
      </c>
      <c r="C94" s="140" t="s">
        <v>1047</v>
      </c>
      <c r="D94" s="147" t="s">
        <v>796</v>
      </c>
      <c r="E94" s="142" t="s">
        <v>1048</v>
      </c>
      <c r="F94" s="142" t="s">
        <v>204</v>
      </c>
      <c r="G94" s="142" t="s">
        <v>798</v>
      </c>
      <c r="H94" s="142"/>
      <c r="I94" s="142" t="s">
        <v>191</v>
      </c>
      <c r="J94" s="143">
        <v>4</v>
      </c>
      <c r="K94" s="148">
        <v>5</v>
      </c>
      <c r="L94" s="148" t="s">
        <v>199</v>
      </c>
      <c r="N94" s="50"/>
    </row>
    <row r="95" spans="1:14" ht="11.25" customHeight="1">
      <c r="A95" s="140" t="s">
        <v>1049</v>
      </c>
      <c r="B95" s="140" t="s">
        <v>1050</v>
      </c>
      <c r="C95" s="140" t="s">
        <v>1051</v>
      </c>
      <c r="D95" s="147" t="s">
        <v>796</v>
      </c>
      <c r="E95" s="142" t="s">
        <v>1052</v>
      </c>
      <c r="F95" s="142" t="s">
        <v>204</v>
      </c>
      <c r="G95" s="142" t="s">
        <v>798</v>
      </c>
      <c r="H95" s="142"/>
      <c r="I95" s="142" t="s">
        <v>191</v>
      </c>
      <c r="J95" s="143">
        <v>4</v>
      </c>
      <c r="K95" s="148">
        <v>5</v>
      </c>
      <c r="L95" s="148" t="s">
        <v>199</v>
      </c>
      <c r="N95" s="50"/>
    </row>
    <row r="96" spans="1:14" ht="11.25" customHeight="1">
      <c r="A96" s="140" t="s">
        <v>1053</v>
      </c>
      <c r="B96" s="140" t="s">
        <v>1054</v>
      </c>
      <c r="C96" s="140" t="s">
        <v>1055</v>
      </c>
      <c r="D96" s="147" t="s">
        <v>796</v>
      </c>
      <c r="E96" s="142" t="s">
        <v>1056</v>
      </c>
      <c r="F96" s="142" t="s">
        <v>204</v>
      </c>
      <c r="G96" s="142" t="s">
        <v>798</v>
      </c>
      <c r="H96" s="142"/>
      <c r="I96" s="142" t="s">
        <v>191</v>
      </c>
      <c r="J96" s="143">
        <v>4</v>
      </c>
      <c r="K96" s="148">
        <v>5</v>
      </c>
      <c r="L96" s="148" t="s">
        <v>199</v>
      </c>
      <c r="N96" s="50"/>
    </row>
    <row r="97" spans="1:14" ht="11.25" customHeight="1">
      <c r="A97" s="140" t="s">
        <v>1057</v>
      </c>
      <c r="B97" s="140" t="s">
        <v>1058</v>
      </c>
      <c r="C97" s="140" t="s">
        <v>1059</v>
      </c>
      <c r="D97" s="147" t="s">
        <v>796</v>
      </c>
      <c r="E97" s="142" t="s">
        <v>1060</v>
      </c>
      <c r="F97" s="142" t="s">
        <v>204</v>
      </c>
      <c r="G97" s="142" t="s">
        <v>798</v>
      </c>
      <c r="H97" s="142"/>
      <c r="I97" s="142" t="s">
        <v>191</v>
      </c>
      <c r="J97" s="143">
        <v>4</v>
      </c>
      <c r="K97" s="148">
        <v>5</v>
      </c>
      <c r="L97" s="148" t="s">
        <v>199</v>
      </c>
      <c r="N97" s="50"/>
    </row>
    <row r="98" spans="1:14" ht="11.25" customHeight="1">
      <c r="A98" s="140" t="s">
        <v>1061</v>
      </c>
      <c r="B98" s="140" t="s">
        <v>1062</v>
      </c>
      <c r="C98" s="140" t="s">
        <v>1063</v>
      </c>
      <c r="D98" s="147" t="s">
        <v>796</v>
      </c>
      <c r="E98" s="142" t="s">
        <v>1064</v>
      </c>
      <c r="F98" s="142" t="s">
        <v>204</v>
      </c>
      <c r="G98" s="142" t="s">
        <v>798</v>
      </c>
      <c r="H98" s="142"/>
      <c r="I98" s="142" t="s">
        <v>191</v>
      </c>
      <c r="J98" s="143">
        <v>4</v>
      </c>
      <c r="K98" s="148">
        <v>5</v>
      </c>
      <c r="L98" s="148" t="s">
        <v>199</v>
      </c>
      <c r="N98" s="50"/>
    </row>
    <row r="99" spans="1:14" ht="11.25" customHeight="1">
      <c r="A99" s="140" t="s">
        <v>1065</v>
      </c>
      <c r="B99" s="140" t="s">
        <v>1066</v>
      </c>
      <c r="C99" s="140" t="s">
        <v>1067</v>
      </c>
      <c r="D99" s="147" t="s">
        <v>796</v>
      </c>
      <c r="E99" s="142" t="s">
        <v>1068</v>
      </c>
      <c r="F99" s="142" t="s">
        <v>204</v>
      </c>
      <c r="G99" s="142" t="s">
        <v>798</v>
      </c>
      <c r="H99" s="142"/>
      <c r="I99" s="142" t="s">
        <v>191</v>
      </c>
      <c r="J99" s="143">
        <v>4</v>
      </c>
      <c r="K99" s="148">
        <v>5</v>
      </c>
      <c r="L99" s="148" t="s">
        <v>199</v>
      </c>
      <c r="N99" s="50"/>
    </row>
    <row r="100" spans="1:14" ht="11.25" customHeight="1">
      <c r="A100" s="140" t="s">
        <v>1069</v>
      </c>
      <c r="B100" s="140" t="s">
        <v>1070</v>
      </c>
      <c r="C100" s="140" t="s">
        <v>1071</v>
      </c>
      <c r="D100" s="147" t="s">
        <v>796</v>
      </c>
      <c r="E100" s="142" t="s">
        <v>1072</v>
      </c>
      <c r="F100" s="142" t="s">
        <v>204</v>
      </c>
      <c r="G100" s="142" t="s">
        <v>798</v>
      </c>
      <c r="H100" s="142"/>
      <c r="I100" s="142" t="s">
        <v>191</v>
      </c>
      <c r="J100" s="143">
        <v>4</v>
      </c>
      <c r="K100" s="148">
        <v>5</v>
      </c>
      <c r="L100" s="148" t="s">
        <v>199</v>
      </c>
      <c r="N100" s="50"/>
    </row>
    <row r="101" spans="1:14" ht="11.25" customHeight="1">
      <c r="A101" s="140" t="s">
        <v>1073</v>
      </c>
      <c r="B101" s="140" t="s">
        <v>1074</v>
      </c>
      <c r="C101" s="140" t="s">
        <v>1075</v>
      </c>
      <c r="D101" s="147" t="s">
        <v>796</v>
      </c>
      <c r="E101" s="142" t="s">
        <v>1076</v>
      </c>
      <c r="F101" s="142" t="s">
        <v>204</v>
      </c>
      <c r="G101" s="142" t="s">
        <v>798</v>
      </c>
      <c r="H101" s="142"/>
      <c r="I101" s="142" t="s">
        <v>191</v>
      </c>
      <c r="J101" s="143">
        <v>4</v>
      </c>
      <c r="K101" s="148">
        <v>5</v>
      </c>
      <c r="L101" s="148" t="s">
        <v>199</v>
      </c>
      <c r="N101" s="50"/>
    </row>
    <row r="102" spans="1:14" ht="11.25" customHeight="1">
      <c r="A102" s="140" t="s">
        <v>1077</v>
      </c>
      <c r="B102" s="140" t="s">
        <v>1078</v>
      </c>
      <c r="C102" s="140" t="s">
        <v>1079</v>
      </c>
      <c r="D102" s="147" t="s">
        <v>772</v>
      </c>
      <c r="E102" s="142" t="s">
        <v>1080</v>
      </c>
      <c r="F102" s="142" t="s">
        <v>204</v>
      </c>
      <c r="G102" s="142" t="s">
        <v>1081</v>
      </c>
      <c r="H102" s="142"/>
      <c r="I102" s="142" t="s">
        <v>191</v>
      </c>
      <c r="J102" s="143">
        <v>4</v>
      </c>
      <c r="K102" s="148">
        <v>5</v>
      </c>
      <c r="L102" s="148" t="s">
        <v>199</v>
      </c>
      <c r="N102" s="50"/>
    </row>
    <row r="103" spans="1:14" ht="11.25" customHeight="1">
      <c r="A103" s="140" t="s">
        <v>1082</v>
      </c>
      <c r="B103" s="140" t="s">
        <v>1083</v>
      </c>
      <c r="C103" s="140" t="s">
        <v>1084</v>
      </c>
      <c r="D103" s="147" t="s">
        <v>796</v>
      </c>
      <c r="E103" s="142" t="s">
        <v>1085</v>
      </c>
      <c r="F103" s="142" t="s">
        <v>204</v>
      </c>
      <c r="G103" s="142" t="s">
        <v>1086</v>
      </c>
      <c r="H103" s="142"/>
      <c r="I103" s="142" t="s">
        <v>191</v>
      </c>
      <c r="J103" s="143">
        <v>4</v>
      </c>
      <c r="K103" s="148">
        <v>5</v>
      </c>
      <c r="L103" s="148" t="s">
        <v>199</v>
      </c>
      <c r="N103" s="50"/>
    </row>
    <row r="104" spans="1:14" ht="11.25" customHeight="1">
      <c r="A104" s="140" t="s">
        <v>1087</v>
      </c>
      <c r="B104" s="140" t="s">
        <v>1088</v>
      </c>
      <c r="C104" s="140" t="s">
        <v>1089</v>
      </c>
      <c r="D104" s="147" t="s">
        <v>796</v>
      </c>
      <c r="E104" s="142" t="s">
        <v>1090</v>
      </c>
      <c r="F104" s="142" t="s">
        <v>204</v>
      </c>
      <c r="G104" s="142" t="s">
        <v>798</v>
      </c>
      <c r="H104" s="142"/>
      <c r="I104" s="142" t="s">
        <v>191</v>
      </c>
      <c r="J104" s="143">
        <v>4</v>
      </c>
      <c r="K104" s="148">
        <v>5</v>
      </c>
      <c r="L104" s="148" t="s">
        <v>199</v>
      </c>
      <c r="N104" s="50"/>
    </row>
    <row r="105" spans="1:14" ht="11.25" customHeight="1">
      <c r="A105" s="140" t="s">
        <v>1091</v>
      </c>
      <c r="B105" s="140" t="s">
        <v>1092</v>
      </c>
      <c r="C105" s="140" t="s">
        <v>1093</v>
      </c>
      <c r="D105" s="147" t="s">
        <v>796</v>
      </c>
      <c r="E105" s="142" t="s">
        <v>1094</v>
      </c>
      <c r="F105" s="142" t="s">
        <v>204</v>
      </c>
      <c r="G105" s="142" t="s">
        <v>798</v>
      </c>
      <c r="H105" s="142"/>
      <c r="I105" s="142" t="s">
        <v>191</v>
      </c>
      <c r="J105" s="143">
        <v>4</v>
      </c>
      <c r="K105" s="148">
        <v>5</v>
      </c>
      <c r="L105" s="148" t="s">
        <v>199</v>
      </c>
      <c r="N105" s="50"/>
    </row>
    <row r="106" spans="1:14" ht="11.25" customHeight="1">
      <c r="A106" s="140" t="s">
        <v>1095</v>
      </c>
      <c r="B106" s="140" t="s">
        <v>1096</v>
      </c>
      <c r="C106" s="140" t="s">
        <v>1097</v>
      </c>
      <c r="D106" s="147" t="s">
        <v>796</v>
      </c>
      <c r="E106" s="142" t="s">
        <v>1098</v>
      </c>
      <c r="F106" s="142" t="s">
        <v>204</v>
      </c>
      <c r="G106" s="142" t="s">
        <v>798</v>
      </c>
      <c r="H106" s="142"/>
      <c r="I106" s="142" t="s">
        <v>191</v>
      </c>
      <c r="J106" s="143">
        <v>4</v>
      </c>
      <c r="K106" s="148">
        <v>5</v>
      </c>
      <c r="L106" s="148" t="s">
        <v>199</v>
      </c>
      <c r="N106" s="50"/>
    </row>
    <row r="107" spans="1:14" ht="11.25" customHeight="1">
      <c r="A107" s="140" t="s">
        <v>1099</v>
      </c>
      <c r="B107" s="140" t="s">
        <v>1100</v>
      </c>
      <c r="C107" s="140" t="s">
        <v>1101</v>
      </c>
      <c r="D107" s="147" t="s">
        <v>796</v>
      </c>
      <c r="E107" s="142" t="s">
        <v>1102</v>
      </c>
      <c r="F107" s="142" t="s">
        <v>204</v>
      </c>
      <c r="G107" s="142" t="s">
        <v>798</v>
      </c>
      <c r="H107" s="142"/>
      <c r="I107" s="142" t="s">
        <v>191</v>
      </c>
      <c r="J107" s="143">
        <v>4</v>
      </c>
      <c r="K107" s="148">
        <v>5</v>
      </c>
      <c r="L107" s="148" t="s">
        <v>199</v>
      </c>
      <c r="N107" s="50"/>
    </row>
    <row r="108" spans="1:14" ht="11.25" customHeight="1">
      <c r="A108" s="140" t="s">
        <v>1103</v>
      </c>
      <c r="B108" s="140" t="s">
        <v>1104</v>
      </c>
      <c r="C108" s="140" t="s">
        <v>1105</v>
      </c>
      <c r="D108" s="147" t="s">
        <v>796</v>
      </c>
      <c r="E108" s="142" t="s">
        <v>1106</v>
      </c>
      <c r="F108" s="142" t="s">
        <v>204</v>
      </c>
      <c r="G108" s="142" t="s">
        <v>798</v>
      </c>
      <c r="H108" s="142"/>
      <c r="I108" s="142" t="s">
        <v>191</v>
      </c>
      <c r="J108" s="143">
        <v>4</v>
      </c>
      <c r="K108" s="148">
        <v>5</v>
      </c>
      <c r="L108" s="148" t="s">
        <v>199</v>
      </c>
      <c r="N108" s="50"/>
    </row>
    <row r="109" spans="1:14" ht="11.25" customHeight="1">
      <c r="A109" s="140" t="s">
        <v>1107</v>
      </c>
      <c r="B109" s="140" t="s">
        <v>1108</v>
      </c>
      <c r="C109" s="140" t="s">
        <v>1109</v>
      </c>
      <c r="D109" s="147" t="s">
        <v>796</v>
      </c>
      <c r="E109" s="142" t="s">
        <v>1110</v>
      </c>
      <c r="F109" s="142" t="s">
        <v>204</v>
      </c>
      <c r="G109" s="142" t="s">
        <v>798</v>
      </c>
      <c r="H109" s="142"/>
      <c r="I109" s="142" t="s">
        <v>191</v>
      </c>
      <c r="J109" s="143">
        <v>4</v>
      </c>
      <c r="K109" s="148">
        <v>5</v>
      </c>
      <c r="L109" s="148" t="s">
        <v>199</v>
      </c>
      <c r="N109" s="50"/>
    </row>
    <row r="110" spans="1:14" ht="11.25" customHeight="1">
      <c r="A110" s="140" t="s">
        <v>1111</v>
      </c>
      <c r="B110" s="140" t="s">
        <v>1112</v>
      </c>
      <c r="C110" s="140" t="s">
        <v>1113</v>
      </c>
      <c r="D110" s="147" t="s">
        <v>796</v>
      </c>
      <c r="E110" s="142" t="s">
        <v>1114</v>
      </c>
      <c r="F110" s="142" t="s">
        <v>204</v>
      </c>
      <c r="G110" s="142" t="s">
        <v>798</v>
      </c>
      <c r="H110" s="142"/>
      <c r="I110" s="142" t="s">
        <v>191</v>
      </c>
      <c r="J110" s="143">
        <v>4</v>
      </c>
      <c r="K110" s="148">
        <v>5</v>
      </c>
      <c r="L110" s="148" t="s">
        <v>199</v>
      </c>
      <c r="N110" s="50"/>
    </row>
    <row r="111" spans="1:14" ht="11.25" customHeight="1">
      <c r="A111" s="140" t="s">
        <v>1115</v>
      </c>
      <c r="B111" s="140" t="s">
        <v>1116</v>
      </c>
      <c r="C111" s="140" t="s">
        <v>1117</v>
      </c>
      <c r="D111" s="147" t="s">
        <v>796</v>
      </c>
      <c r="E111" s="142" t="s">
        <v>1118</v>
      </c>
      <c r="F111" s="142" t="s">
        <v>204</v>
      </c>
      <c r="G111" s="142" t="s">
        <v>798</v>
      </c>
      <c r="H111" s="142"/>
      <c r="I111" s="142" t="s">
        <v>191</v>
      </c>
      <c r="J111" s="143">
        <v>4</v>
      </c>
      <c r="K111" s="148">
        <v>5</v>
      </c>
      <c r="L111" s="148" t="s">
        <v>199</v>
      </c>
      <c r="N111" s="50"/>
    </row>
    <row r="112" spans="1:14" ht="11.25" customHeight="1">
      <c r="A112" s="140" t="s">
        <v>1119</v>
      </c>
      <c r="B112" s="140" t="s">
        <v>1120</v>
      </c>
      <c r="C112" s="140" t="s">
        <v>1121</v>
      </c>
      <c r="D112" s="147" t="s">
        <v>796</v>
      </c>
      <c r="E112" s="142" t="s">
        <v>1122</v>
      </c>
      <c r="F112" s="142" t="s">
        <v>204</v>
      </c>
      <c r="G112" s="142" t="s">
        <v>798</v>
      </c>
      <c r="H112" s="142"/>
      <c r="I112" s="142" t="s">
        <v>191</v>
      </c>
      <c r="J112" s="143">
        <v>4</v>
      </c>
      <c r="K112" s="148">
        <v>5</v>
      </c>
      <c r="L112" s="148" t="s">
        <v>199</v>
      </c>
      <c r="N112" s="50"/>
    </row>
    <row r="113" spans="1:14" ht="11.25" customHeight="1">
      <c r="A113" s="140" t="s">
        <v>1123</v>
      </c>
      <c r="B113" s="140" t="s">
        <v>1124</v>
      </c>
      <c r="C113" s="140" t="s">
        <v>1125</v>
      </c>
      <c r="D113" s="147" t="s">
        <v>796</v>
      </c>
      <c r="E113" s="142" t="s">
        <v>1126</v>
      </c>
      <c r="F113" s="142" t="s">
        <v>204</v>
      </c>
      <c r="G113" s="142" t="s">
        <v>792</v>
      </c>
      <c r="H113" s="142"/>
      <c r="I113" s="142" t="s">
        <v>191</v>
      </c>
      <c r="J113" s="143">
        <v>4</v>
      </c>
      <c r="K113" s="148">
        <v>5</v>
      </c>
      <c r="L113" s="148" t="s">
        <v>199</v>
      </c>
      <c r="N113" s="50"/>
    </row>
    <row r="114" spans="1:14" ht="11.25" customHeight="1">
      <c r="A114" s="140" t="s">
        <v>1127</v>
      </c>
      <c r="B114" s="140" t="s">
        <v>1128</v>
      </c>
      <c r="C114" s="140" t="s">
        <v>1129</v>
      </c>
      <c r="D114" s="147" t="s">
        <v>796</v>
      </c>
      <c r="E114" s="142" t="s">
        <v>1130</v>
      </c>
      <c r="F114" s="142" t="s">
        <v>204</v>
      </c>
      <c r="G114" s="142" t="s">
        <v>798</v>
      </c>
      <c r="H114" s="142"/>
      <c r="I114" s="142" t="s">
        <v>191</v>
      </c>
      <c r="J114" s="143">
        <v>4</v>
      </c>
      <c r="K114" s="148">
        <v>5</v>
      </c>
      <c r="L114" s="148" t="s">
        <v>199</v>
      </c>
      <c r="N114" s="50"/>
    </row>
    <row r="115" spans="1:14" ht="11.25" customHeight="1">
      <c r="A115" s="140" t="s">
        <v>1131</v>
      </c>
      <c r="B115" s="140" t="s">
        <v>1132</v>
      </c>
      <c r="C115" s="140" t="s">
        <v>1133</v>
      </c>
      <c r="D115" s="147" t="s">
        <v>796</v>
      </c>
      <c r="E115" s="142" t="s">
        <v>1134</v>
      </c>
      <c r="F115" s="142" t="s">
        <v>204</v>
      </c>
      <c r="G115" s="142" t="s">
        <v>798</v>
      </c>
      <c r="H115" s="142"/>
      <c r="I115" s="142" t="s">
        <v>191</v>
      </c>
      <c r="J115" s="143">
        <v>4</v>
      </c>
      <c r="K115" s="148">
        <v>5</v>
      </c>
      <c r="L115" s="148" t="s">
        <v>199</v>
      </c>
      <c r="N115" s="50"/>
    </row>
    <row r="116" spans="1:14" ht="11.25" customHeight="1">
      <c r="A116" s="140" t="s">
        <v>1135</v>
      </c>
      <c r="B116" s="140" t="s">
        <v>1136</v>
      </c>
      <c r="C116" s="140" t="s">
        <v>1137</v>
      </c>
      <c r="D116" s="147" t="s">
        <v>796</v>
      </c>
      <c r="E116" s="142" t="s">
        <v>1138</v>
      </c>
      <c r="F116" s="142" t="s">
        <v>204</v>
      </c>
      <c r="G116" s="142" t="s">
        <v>798</v>
      </c>
      <c r="H116" s="142"/>
      <c r="I116" s="142" t="s">
        <v>191</v>
      </c>
      <c r="J116" s="143">
        <v>4</v>
      </c>
      <c r="K116" s="148">
        <v>5</v>
      </c>
      <c r="L116" s="148" t="s">
        <v>199</v>
      </c>
      <c r="N116" s="50"/>
    </row>
    <row r="117" spans="1:14" ht="11.25" customHeight="1">
      <c r="A117" s="140" t="s">
        <v>1139</v>
      </c>
      <c r="B117" s="140" t="s">
        <v>1140</v>
      </c>
      <c r="C117" s="140" t="s">
        <v>1141</v>
      </c>
      <c r="D117" s="147" t="s">
        <v>796</v>
      </c>
      <c r="E117" s="142" t="s">
        <v>1142</v>
      </c>
      <c r="F117" s="142" t="s">
        <v>204</v>
      </c>
      <c r="G117" s="142" t="s">
        <v>798</v>
      </c>
      <c r="H117" s="142"/>
      <c r="I117" s="142" t="s">
        <v>191</v>
      </c>
      <c r="J117" s="143">
        <v>4</v>
      </c>
      <c r="K117" s="148">
        <v>5</v>
      </c>
      <c r="L117" s="148" t="s">
        <v>199</v>
      </c>
      <c r="N117" s="50"/>
    </row>
    <row r="118" spans="1:14" ht="11.25" customHeight="1">
      <c r="A118" s="140" t="s">
        <v>1143</v>
      </c>
      <c r="B118" s="140" t="s">
        <v>1144</v>
      </c>
      <c r="C118" s="140" t="s">
        <v>1145</v>
      </c>
      <c r="D118" s="147" t="s">
        <v>796</v>
      </c>
      <c r="E118" s="142" t="s">
        <v>1146</v>
      </c>
      <c r="F118" s="142" t="s">
        <v>204</v>
      </c>
      <c r="G118" s="142" t="s">
        <v>798</v>
      </c>
      <c r="H118" s="142"/>
      <c r="I118" s="142" t="s">
        <v>191</v>
      </c>
      <c r="J118" s="143">
        <v>4</v>
      </c>
      <c r="K118" s="148">
        <v>5</v>
      </c>
      <c r="L118" s="148" t="s">
        <v>199</v>
      </c>
      <c r="N118" s="50"/>
    </row>
    <row r="119" spans="1:14" ht="11.25" customHeight="1">
      <c r="A119" s="140" t="s">
        <v>1147</v>
      </c>
      <c r="B119" s="140" t="s">
        <v>1148</v>
      </c>
      <c r="C119" s="140" t="s">
        <v>1149</v>
      </c>
      <c r="D119" s="147" t="s">
        <v>796</v>
      </c>
      <c r="E119" s="142" t="s">
        <v>1150</v>
      </c>
      <c r="F119" s="142" t="s">
        <v>204</v>
      </c>
      <c r="G119" s="142" t="s">
        <v>798</v>
      </c>
      <c r="H119" s="142"/>
      <c r="I119" s="142" t="s">
        <v>191</v>
      </c>
      <c r="J119" s="143">
        <v>4</v>
      </c>
      <c r="K119" s="148">
        <v>5</v>
      </c>
      <c r="L119" s="148" t="s">
        <v>199</v>
      </c>
      <c r="N119" s="50"/>
    </row>
    <row r="120" spans="1:14" ht="11.25" customHeight="1">
      <c r="A120" s="140" t="s">
        <v>1151</v>
      </c>
      <c r="B120" s="140" t="s">
        <v>1152</v>
      </c>
      <c r="C120" s="140" t="s">
        <v>1153</v>
      </c>
      <c r="D120" s="147" t="s">
        <v>796</v>
      </c>
      <c r="E120" s="142" t="s">
        <v>1154</v>
      </c>
      <c r="F120" s="142" t="s">
        <v>204</v>
      </c>
      <c r="G120" s="142" t="s">
        <v>798</v>
      </c>
      <c r="H120" s="142"/>
      <c r="I120" s="142" t="s">
        <v>191</v>
      </c>
      <c r="J120" s="143">
        <v>4</v>
      </c>
      <c r="K120" s="148">
        <v>5</v>
      </c>
      <c r="L120" s="148" t="s">
        <v>199</v>
      </c>
      <c r="N120" s="50"/>
    </row>
    <row r="121" spans="1:14" ht="11.25" customHeight="1">
      <c r="A121" s="140" t="s">
        <v>1155</v>
      </c>
      <c r="B121" s="140" t="s">
        <v>1156</v>
      </c>
      <c r="C121" s="140" t="s">
        <v>1157</v>
      </c>
      <c r="D121" s="147" t="s">
        <v>796</v>
      </c>
      <c r="E121" s="142" t="s">
        <v>1118</v>
      </c>
      <c r="F121" s="142" t="s">
        <v>204</v>
      </c>
      <c r="G121" s="142" t="s">
        <v>798</v>
      </c>
      <c r="H121" s="142"/>
      <c r="I121" s="142" t="s">
        <v>191</v>
      </c>
      <c r="J121" s="143">
        <v>4</v>
      </c>
      <c r="K121" s="148">
        <v>5</v>
      </c>
      <c r="L121" s="148" t="s">
        <v>199</v>
      </c>
      <c r="N121" s="50"/>
    </row>
    <row r="122" spans="1:14" ht="11.25" customHeight="1">
      <c r="A122" s="140" t="s">
        <v>1158</v>
      </c>
      <c r="B122" s="140" t="s">
        <v>1159</v>
      </c>
      <c r="C122" s="140" t="s">
        <v>1160</v>
      </c>
      <c r="D122" s="147" t="s">
        <v>796</v>
      </c>
      <c r="E122" s="142" t="s">
        <v>1161</v>
      </c>
      <c r="F122" s="142" t="s">
        <v>204</v>
      </c>
      <c r="G122" s="142" t="s">
        <v>798</v>
      </c>
      <c r="H122" s="142"/>
      <c r="I122" s="142" t="s">
        <v>191</v>
      </c>
      <c r="J122" s="143">
        <v>4</v>
      </c>
      <c r="K122" s="148">
        <v>5</v>
      </c>
      <c r="L122" s="148" t="s">
        <v>199</v>
      </c>
      <c r="N122" s="50"/>
    </row>
    <row r="123" spans="1:14" ht="11.25" customHeight="1">
      <c r="A123" s="140" t="s">
        <v>1162</v>
      </c>
      <c r="B123" s="140" t="s">
        <v>1163</v>
      </c>
      <c r="C123" s="140" t="s">
        <v>1164</v>
      </c>
      <c r="D123" s="147" t="s">
        <v>796</v>
      </c>
      <c r="E123" s="142" t="s">
        <v>1165</v>
      </c>
      <c r="F123" s="142" t="s">
        <v>204</v>
      </c>
      <c r="G123" s="142" t="s">
        <v>792</v>
      </c>
      <c r="H123" s="142"/>
      <c r="I123" s="142" t="s">
        <v>191</v>
      </c>
      <c r="J123" s="143">
        <v>4</v>
      </c>
      <c r="K123" s="148">
        <v>5</v>
      </c>
      <c r="L123" s="148" t="s">
        <v>199</v>
      </c>
      <c r="N123" s="50"/>
    </row>
    <row r="124" spans="1:14" ht="11.25" customHeight="1">
      <c r="A124" s="140" t="s">
        <v>1166</v>
      </c>
      <c r="B124" s="140" t="s">
        <v>1167</v>
      </c>
      <c r="C124" s="140" t="s">
        <v>1168</v>
      </c>
      <c r="D124" s="147" t="s">
        <v>796</v>
      </c>
      <c r="E124" s="142" t="s">
        <v>1169</v>
      </c>
      <c r="F124" s="142" t="s">
        <v>204</v>
      </c>
      <c r="G124" s="142" t="s">
        <v>798</v>
      </c>
      <c r="H124" s="142"/>
      <c r="I124" s="142" t="s">
        <v>191</v>
      </c>
      <c r="J124" s="143">
        <v>4</v>
      </c>
      <c r="K124" s="148">
        <v>5</v>
      </c>
      <c r="L124" s="148" t="s">
        <v>199</v>
      </c>
      <c r="N124" s="50"/>
    </row>
    <row r="125" spans="1:14" ht="11.25" customHeight="1">
      <c r="A125" s="140" t="s">
        <v>1170</v>
      </c>
      <c r="B125" s="140" t="s">
        <v>1171</v>
      </c>
      <c r="C125" s="140" t="s">
        <v>1172</v>
      </c>
      <c r="D125" s="147" t="s">
        <v>796</v>
      </c>
      <c r="E125" s="142" t="s">
        <v>1173</v>
      </c>
      <c r="F125" s="142" t="s">
        <v>204</v>
      </c>
      <c r="G125" s="142" t="s">
        <v>798</v>
      </c>
      <c r="H125" s="142"/>
      <c r="I125" s="142" t="s">
        <v>191</v>
      </c>
      <c r="J125" s="143">
        <v>4</v>
      </c>
      <c r="K125" s="148">
        <v>5</v>
      </c>
      <c r="L125" s="148" t="s">
        <v>199</v>
      </c>
      <c r="N125" s="50"/>
    </row>
    <row r="126" spans="1:14" ht="11.25" customHeight="1">
      <c r="A126" s="140" t="s">
        <v>1174</v>
      </c>
      <c r="B126" s="140" t="s">
        <v>1175</v>
      </c>
      <c r="C126" s="140" t="s">
        <v>1176</v>
      </c>
      <c r="D126" s="147" t="s">
        <v>796</v>
      </c>
      <c r="E126" s="142" t="s">
        <v>1177</v>
      </c>
      <c r="F126" s="142" t="s">
        <v>204</v>
      </c>
      <c r="G126" s="142" t="s">
        <v>798</v>
      </c>
      <c r="H126" s="142"/>
      <c r="I126" s="142" t="s">
        <v>191</v>
      </c>
      <c r="J126" s="143">
        <v>4</v>
      </c>
      <c r="K126" s="148">
        <v>5</v>
      </c>
      <c r="L126" s="148" t="s">
        <v>199</v>
      </c>
      <c r="N126" s="50"/>
    </row>
    <row r="127" spans="1:14" ht="11.25" customHeight="1">
      <c r="A127" s="140" t="s">
        <v>1178</v>
      </c>
      <c r="B127" s="140" t="s">
        <v>1179</v>
      </c>
      <c r="C127" s="140" t="s">
        <v>1180</v>
      </c>
      <c r="D127" s="147" t="s">
        <v>796</v>
      </c>
      <c r="E127" s="142" t="s">
        <v>1181</v>
      </c>
      <c r="F127" s="142" t="s">
        <v>204</v>
      </c>
      <c r="G127" s="142" t="s">
        <v>798</v>
      </c>
      <c r="H127" s="142"/>
      <c r="I127" s="142" t="s">
        <v>191</v>
      </c>
      <c r="J127" s="143">
        <v>4</v>
      </c>
      <c r="K127" s="148">
        <v>5</v>
      </c>
      <c r="L127" s="148" t="s">
        <v>199</v>
      </c>
      <c r="N127" s="50"/>
    </row>
    <row r="128" spans="1:14" ht="11.25" customHeight="1">
      <c r="A128" s="140" t="s">
        <v>1182</v>
      </c>
      <c r="B128" s="140" t="s">
        <v>1183</v>
      </c>
      <c r="C128" s="140" t="s">
        <v>1184</v>
      </c>
      <c r="D128" s="147" t="s">
        <v>796</v>
      </c>
      <c r="E128" s="142" t="s">
        <v>1185</v>
      </c>
      <c r="F128" s="142" t="s">
        <v>204</v>
      </c>
      <c r="G128" s="142" t="s">
        <v>798</v>
      </c>
      <c r="H128" s="142"/>
      <c r="I128" s="142" t="s">
        <v>191</v>
      </c>
      <c r="J128" s="143">
        <v>4</v>
      </c>
      <c r="K128" s="148">
        <v>5</v>
      </c>
      <c r="L128" s="148" t="s">
        <v>199</v>
      </c>
      <c r="N128" s="50"/>
    </row>
    <row r="129" spans="1:14" ht="11.25" customHeight="1">
      <c r="A129" s="140" t="s">
        <v>1186</v>
      </c>
      <c r="B129" s="140" t="s">
        <v>1187</v>
      </c>
      <c r="C129" s="140" t="s">
        <v>1188</v>
      </c>
      <c r="D129" s="147" t="s">
        <v>796</v>
      </c>
      <c r="E129" s="142" t="s">
        <v>1189</v>
      </c>
      <c r="F129" s="142" t="s">
        <v>204</v>
      </c>
      <c r="G129" s="142" t="s">
        <v>798</v>
      </c>
      <c r="H129" s="142"/>
      <c r="I129" s="142" t="s">
        <v>191</v>
      </c>
      <c r="J129" s="143">
        <v>4</v>
      </c>
      <c r="K129" s="148">
        <v>5</v>
      </c>
      <c r="L129" s="148" t="s">
        <v>199</v>
      </c>
      <c r="N129" s="50"/>
    </row>
    <row r="130" spans="1:14" ht="11.25" customHeight="1">
      <c r="A130" s="140" t="s">
        <v>1190</v>
      </c>
      <c r="B130" s="140" t="s">
        <v>1191</v>
      </c>
      <c r="C130" s="140" t="s">
        <v>1192</v>
      </c>
      <c r="D130" s="147" t="s">
        <v>796</v>
      </c>
      <c r="E130" s="142" t="s">
        <v>1193</v>
      </c>
      <c r="F130" s="142" t="s">
        <v>204</v>
      </c>
      <c r="G130" s="142" t="s">
        <v>798</v>
      </c>
      <c r="H130" s="142"/>
      <c r="I130" s="142" t="s">
        <v>191</v>
      </c>
      <c r="J130" s="143">
        <v>4</v>
      </c>
      <c r="K130" s="148">
        <v>5</v>
      </c>
      <c r="L130" s="148" t="s">
        <v>199</v>
      </c>
      <c r="N130" s="50"/>
    </row>
    <row r="131" spans="1:14" ht="11.25" customHeight="1">
      <c r="A131" s="140" t="s">
        <v>1194</v>
      </c>
      <c r="B131" s="140" t="s">
        <v>1195</v>
      </c>
      <c r="C131" s="140" t="s">
        <v>1196</v>
      </c>
      <c r="D131" s="147" t="s">
        <v>796</v>
      </c>
      <c r="E131" s="142" t="s">
        <v>1118</v>
      </c>
      <c r="F131" s="142" t="s">
        <v>204</v>
      </c>
      <c r="G131" s="142" t="s">
        <v>798</v>
      </c>
      <c r="H131" s="142"/>
      <c r="I131" s="142" t="s">
        <v>191</v>
      </c>
      <c r="J131" s="143">
        <v>4</v>
      </c>
      <c r="K131" s="148">
        <v>5</v>
      </c>
      <c r="L131" s="148" t="s">
        <v>199</v>
      </c>
      <c r="N131" s="50"/>
    </row>
    <row r="132" spans="1:14" ht="11.25" customHeight="1">
      <c r="A132" s="140" t="s">
        <v>1197</v>
      </c>
      <c r="B132" s="140" t="s">
        <v>1198</v>
      </c>
      <c r="C132" s="140" t="s">
        <v>1199</v>
      </c>
      <c r="D132" s="147" t="s">
        <v>796</v>
      </c>
      <c r="E132" s="142" t="s">
        <v>1200</v>
      </c>
      <c r="F132" s="142" t="s">
        <v>204</v>
      </c>
      <c r="G132" s="142" t="s">
        <v>798</v>
      </c>
      <c r="H132" s="142"/>
      <c r="I132" s="142" t="s">
        <v>191</v>
      </c>
      <c r="J132" s="143">
        <v>4</v>
      </c>
      <c r="K132" s="148">
        <v>5</v>
      </c>
      <c r="L132" s="148" t="s">
        <v>199</v>
      </c>
      <c r="N132" s="50"/>
    </row>
    <row r="133" spans="1:14" ht="11.25" customHeight="1">
      <c r="A133" s="140" t="s">
        <v>1201</v>
      </c>
      <c r="B133" s="140" t="s">
        <v>1202</v>
      </c>
      <c r="C133" s="140"/>
      <c r="D133" s="147" t="s">
        <v>772</v>
      </c>
      <c r="E133" s="142" t="s">
        <v>1203</v>
      </c>
      <c r="F133" s="142" t="s">
        <v>204</v>
      </c>
      <c r="G133" s="142" t="s">
        <v>792</v>
      </c>
      <c r="H133" s="142"/>
      <c r="I133" s="142" t="s">
        <v>191</v>
      </c>
      <c r="J133" s="143">
        <v>4</v>
      </c>
      <c r="K133" s="148">
        <v>5</v>
      </c>
      <c r="L133" s="148" t="s">
        <v>199</v>
      </c>
      <c r="N133" s="50"/>
    </row>
    <row r="134" spans="1:14" ht="11.25" customHeight="1">
      <c r="A134" s="140" t="s">
        <v>1204</v>
      </c>
      <c r="B134" s="140" t="s">
        <v>1205</v>
      </c>
      <c r="C134" s="140" t="s">
        <v>1206</v>
      </c>
      <c r="D134" s="147" t="s">
        <v>796</v>
      </c>
      <c r="E134" s="142" t="s">
        <v>1207</v>
      </c>
      <c r="F134" s="142" t="s">
        <v>204</v>
      </c>
      <c r="G134" s="142" t="s">
        <v>792</v>
      </c>
      <c r="H134" s="142"/>
      <c r="I134" s="142" t="s">
        <v>191</v>
      </c>
      <c r="J134" s="143">
        <v>4</v>
      </c>
      <c r="K134" s="148">
        <v>5</v>
      </c>
      <c r="L134" s="148" t="s">
        <v>199</v>
      </c>
      <c r="N134" s="50"/>
    </row>
    <row r="135" spans="1:14" ht="11.25" customHeight="1">
      <c r="A135" s="140" t="s">
        <v>1208</v>
      </c>
      <c r="B135" s="140" t="s">
        <v>1209</v>
      </c>
      <c r="C135" s="140" t="s">
        <v>1210</v>
      </c>
      <c r="D135" s="147" t="s">
        <v>796</v>
      </c>
      <c r="E135" s="142" t="s">
        <v>1211</v>
      </c>
      <c r="F135" s="142" t="s">
        <v>204</v>
      </c>
      <c r="G135" s="142" t="s">
        <v>798</v>
      </c>
      <c r="H135" s="142"/>
      <c r="I135" s="142" t="s">
        <v>191</v>
      </c>
      <c r="J135" s="143">
        <v>4</v>
      </c>
      <c r="K135" s="148">
        <v>5</v>
      </c>
      <c r="L135" s="148" t="s">
        <v>199</v>
      </c>
      <c r="N135" s="50"/>
    </row>
    <row r="136" spans="1:14" ht="11.25" customHeight="1">
      <c r="A136" s="140" t="s">
        <v>1212</v>
      </c>
      <c r="B136" s="140" t="s">
        <v>1213</v>
      </c>
      <c r="C136" s="140" t="s">
        <v>1214</v>
      </c>
      <c r="D136" s="147" t="s">
        <v>796</v>
      </c>
      <c r="E136" s="142" t="s">
        <v>1215</v>
      </c>
      <c r="F136" s="142" t="s">
        <v>204</v>
      </c>
      <c r="G136" s="142" t="s">
        <v>798</v>
      </c>
      <c r="H136" s="142"/>
      <c r="I136" s="142" t="s">
        <v>191</v>
      </c>
      <c r="J136" s="143">
        <v>4</v>
      </c>
      <c r="K136" s="148">
        <v>5</v>
      </c>
      <c r="L136" s="148" t="s">
        <v>199</v>
      </c>
      <c r="N136" s="50"/>
    </row>
    <row r="137" spans="1:14" ht="11.25" customHeight="1">
      <c r="A137" s="140" t="s">
        <v>1216</v>
      </c>
      <c r="B137" s="140" t="s">
        <v>1217</v>
      </c>
      <c r="C137" s="140" t="s">
        <v>1218</v>
      </c>
      <c r="D137" s="147" t="s">
        <v>796</v>
      </c>
      <c r="E137" s="142" t="s">
        <v>1219</v>
      </c>
      <c r="F137" s="142" t="s">
        <v>204</v>
      </c>
      <c r="G137" s="142" t="s">
        <v>798</v>
      </c>
      <c r="H137" s="142"/>
      <c r="I137" s="142" t="s">
        <v>191</v>
      </c>
      <c r="J137" s="143">
        <v>4</v>
      </c>
      <c r="K137" s="148">
        <v>5</v>
      </c>
      <c r="L137" s="148" t="s">
        <v>199</v>
      </c>
      <c r="N137" s="50"/>
    </row>
    <row r="138" spans="1:14" ht="11.25" customHeight="1">
      <c r="A138" s="140" t="s">
        <v>1220</v>
      </c>
      <c r="B138" s="140" t="s">
        <v>1221</v>
      </c>
      <c r="C138" s="140" t="s">
        <v>1222</v>
      </c>
      <c r="D138" s="147" t="s">
        <v>796</v>
      </c>
      <c r="E138" s="142" t="s">
        <v>1223</v>
      </c>
      <c r="F138" s="142" t="s">
        <v>204</v>
      </c>
      <c r="G138" s="142" t="s">
        <v>798</v>
      </c>
      <c r="H138" s="142"/>
      <c r="I138" s="142" t="s">
        <v>191</v>
      </c>
      <c r="J138" s="143">
        <v>4</v>
      </c>
      <c r="K138" s="148">
        <v>5</v>
      </c>
      <c r="L138" s="148" t="s">
        <v>199</v>
      </c>
      <c r="N138" s="50"/>
    </row>
    <row r="139" spans="1:14" ht="11.25" customHeight="1">
      <c r="A139" s="140" t="s">
        <v>1224</v>
      </c>
      <c r="B139" s="140" t="s">
        <v>1225</v>
      </c>
      <c r="C139" s="140" t="s">
        <v>1226</v>
      </c>
      <c r="D139" s="147" t="s">
        <v>796</v>
      </c>
      <c r="E139" s="142" t="s">
        <v>1227</v>
      </c>
      <c r="F139" s="142" t="s">
        <v>204</v>
      </c>
      <c r="G139" s="142" t="s">
        <v>798</v>
      </c>
      <c r="H139" s="142"/>
      <c r="I139" s="142" t="s">
        <v>191</v>
      </c>
      <c r="J139" s="143">
        <v>4</v>
      </c>
      <c r="K139" s="148">
        <v>5</v>
      </c>
      <c r="L139" s="148" t="s">
        <v>199</v>
      </c>
      <c r="N139" s="50"/>
    </row>
    <row r="140" spans="1:14" ht="11.25" customHeight="1">
      <c r="A140" s="140" t="s">
        <v>1228</v>
      </c>
      <c r="B140" s="140" t="s">
        <v>1229</v>
      </c>
      <c r="C140" s="140" t="s">
        <v>1230</v>
      </c>
      <c r="D140" s="147" t="s">
        <v>796</v>
      </c>
      <c r="E140" s="142" t="s">
        <v>1231</v>
      </c>
      <c r="F140" s="142" t="s">
        <v>204</v>
      </c>
      <c r="G140" s="142" t="s">
        <v>798</v>
      </c>
      <c r="H140" s="142"/>
      <c r="I140" s="142" t="s">
        <v>191</v>
      </c>
      <c r="J140" s="143">
        <v>4</v>
      </c>
      <c r="K140" s="148">
        <v>5</v>
      </c>
      <c r="L140" s="148" t="s">
        <v>199</v>
      </c>
      <c r="N140" s="50"/>
    </row>
    <row r="141" spans="1:14" ht="11.25" customHeight="1">
      <c r="A141" s="140" t="s">
        <v>1232</v>
      </c>
      <c r="B141" s="140" t="s">
        <v>1233</v>
      </c>
      <c r="C141" s="140" t="s">
        <v>1234</v>
      </c>
      <c r="D141" s="147" t="s">
        <v>796</v>
      </c>
      <c r="E141" s="142" t="s">
        <v>1235</v>
      </c>
      <c r="F141" s="142" t="s">
        <v>204</v>
      </c>
      <c r="G141" s="142" t="s">
        <v>798</v>
      </c>
      <c r="H141" s="142"/>
      <c r="I141" s="142" t="s">
        <v>191</v>
      </c>
      <c r="J141" s="143">
        <v>4</v>
      </c>
      <c r="K141" s="148">
        <v>5</v>
      </c>
      <c r="L141" s="148" t="s">
        <v>199</v>
      </c>
      <c r="N141" s="50"/>
    </row>
    <row r="142" spans="1:14" ht="11.25" customHeight="1">
      <c r="A142" s="140" t="s">
        <v>1236</v>
      </c>
      <c r="B142" s="140" t="s">
        <v>1237</v>
      </c>
      <c r="C142" s="140" t="s">
        <v>1238</v>
      </c>
      <c r="D142" s="147" t="s">
        <v>796</v>
      </c>
      <c r="E142" s="142" t="s">
        <v>1239</v>
      </c>
      <c r="F142" s="142" t="s">
        <v>204</v>
      </c>
      <c r="G142" s="142" t="s">
        <v>798</v>
      </c>
      <c r="H142" s="142"/>
      <c r="I142" s="142" t="s">
        <v>191</v>
      </c>
      <c r="J142" s="143">
        <v>4</v>
      </c>
      <c r="K142" s="148">
        <v>5</v>
      </c>
      <c r="L142" s="148" t="s">
        <v>199</v>
      </c>
      <c r="N142" s="50"/>
    </row>
    <row r="143" spans="1:14" ht="11.25" customHeight="1">
      <c r="A143" s="140" t="s">
        <v>1240</v>
      </c>
      <c r="B143" s="140" t="s">
        <v>1241</v>
      </c>
      <c r="C143" s="140" t="s">
        <v>1242</v>
      </c>
      <c r="D143" s="147" t="s">
        <v>796</v>
      </c>
      <c r="E143" s="142" t="s">
        <v>1243</v>
      </c>
      <c r="F143" s="142" t="s">
        <v>204</v>
      </c>
      <c r="G143" s="142" t="s">
        <v>798</v>
      </c>
      <c r="H143" s="142"/>
      <c r="I143" s="142" t="s">
        <v>191</v>
      </c>
      <c r="J143" s="143">
        <v>4</v>
      </c>
      <c r="K143" s="148">
        <v>5</v>
      </c>
      <c r="L143" s="148" t="s">
        <v>199</v>
      </c>
      <c r="N143" s="50"/>
    </row>
    <row r="144" spans="1:14" ht="11.25" customHeight="1">
      <c r="A144" s="140" t="s">
        <v>1244</v>
      </c>
      <c r="B144" s="140" t="s">
        <v>1245</v>
      </c>
      <c r="C144" s="140" t="s">
        <v>1246</v>
      </c>
      <c r="D144" s="147" t="s">
        <v>796</v>
      </c>
      <c r="E144" s="142" t="s">
        <v>1247</v>
      </c>
      <c r="F144" s="142" t="s">
        <v>204</v>
      </c>
      <c r="G144" s="142" t="s">
        <v>792</v>
      </c>
      <c r="H144" s="142"/>
      <c r="I144" s="142" t="s">
        <v>191</v>
      </c>
      <c r="J144" s="143">
        <v>4</v>
      </c>
      <c r="K144" s="148">
        <v>5</v>
      </c>
      <c r="L144" s="148" t="s">
        <v>199</v>
      </c>
      <c r="N144" s="50"/>
    </row>
    <row r="145" spans="1:14" ht="11.25" customHeight="1">
      <c r="A145" s="140" t="s">
        <v>1248</v>
      </c>
      <c r="B145" s="140" t="s">
        <v>1249</v>
      </c>
      <c r="C145" s="140" t="s">
        <v>1250</v>
      </c>
      <c r="D145" s="147" t="s">
        <v>796</v>
      </c>
      <c r="E145" s="142" t="s">
        <v>1251</v>
      </c>
      <c r="F145" s="142" t="s">
        <v>204</v>
      </c>
      <c r="G145" s="142" t="s">
        <v>798</v>
      </c>
      <c r="H145" s="142"/>
      <c r="I145" s="142" t="s">
        <v>191</v>
      </c>
      <c r="J145" s="143">
        <v>4</v>
      </c>
      <c r="K145" s="148">
        <v>5</v>
      </c>
      <c r="L145" s="148" t="s">
        <v>199</v>
      </c>
      <c r="N145" s="50"/>
    </row>
    <row r="146" spans="1:14" ht="11.25" customHeight="1">
      <c r="A146" s="140" t="s">
        <v>1252</v>
      </c>
      <c r="B146" s="140" t="s">
        <v>1253</v>
      </c>
      <c r="C146" s="140" t="s">
        <v>1254</v>
      </c>
      <c r="D146" s="147" t="s">
        <v>796</v>
      </c>
      <c r="E146" s="142" t="s">
        <v>1255</v>
      </c>
      <c r="F146" s="142" t="s">
        <v>204</v>
      </c>
      <c r="G146" s="142" t="s">
        <v>798</v>
      </c>
      <c r="H146" s="142"/>
      <c r="I146" s="142" t="s">
        <v>191</v>
      </c>
      <c r="J146" s="143">
        <v>4</v>
      </c>
      <c r="K146" s="148">
        <v>5</v>
      </c>
      <c r="L146" s="148" t="s">
        <v>199</v>
      </c>
      <c r="N146" s="50"/>
    </row>
    <row r="147" spans="1:14" ht="11.25" customHeight="1">
      <c r="A147" s="140" t="s">
        <v>1256</v>
      </c>
      <c r="B147" s="140" t="s">
        <v>1257</v>
      </c>
      <c r="C147" s="140" t="s">
        <v>1258</v>
      </c>
      <c r="D147" s="147" t="s">
        <v>796</v>
      </c>
      <c r="E147" s="142" t="s">
        <v>1259</v>
      </c>
      <c r="F147" s="142" t="s">
        <v>204</v>
      </c>
      <c r="G147" s="142" t="s">
        <v>798</v>
      </c>
      <c r="H147" s="142"/>
      <c r="I147" s="142" t="s">
        <v>191</v>
      </c>
      <c r="J147" s="143">
        <v>4</v>
      </c>
      <c r="K147" s="148">
        <v>5</v>
      </c>
      <c r="L147" s="148" t="s">
        <v>199</v>
      </c>
      <c r="N147" s="50"/>
    </row>
    <row r="148" spans="1:14" ht="11.25" customHeight="1">
      <c r="A148" s="140" t="s">
        <v>1260</v>
      </c>
      <c r="B148" s="140" t="s">
        <v>1261</v>
      </c>
      <c r="C148" s="140" t="s">
        <v>1262</v>
      </c>
      <c r="D148" s="147" t="s">
        <v>796</v>
      </c>
      <c r="E148" s="142" t="s">
        <v>1263</v>
      </c>
      <c r="F148" s="142" t="s">
        <v>204</v>
      </c>
      <c r="G148" s="142" t="s">
        <v>798</v>
      </c>
      <c r="H148" s="142"/>
      <c r="I148" s="142" t="s">
        <v>191</v>
      </c>
      <c r="J148" s="143">
        <v>4</v>
      </c>
      <c r="K148" s="148">
        <v>5</v>
      </c>
      <c r="L148" s="148" t="s">
        <v>199</v>
      </c>
      <c r="N148" s="50"/>
    </row>
    <row r="149" spans="1:14" ht="11.25" customHeight="1">
      <c r="A149" s="140" t="s">
        <v>1264</v>
      </c>
      <c r="B149" s="140" t="s">
        <v>1265</v>
      </c>
      <c r="C149" s="140" t="s">
        <v>1266</v>
      </c>
      <c r="D149" s="147" t="s">
        <v>796</v>
      </c>
      <c r="E149" s="142" t="s">
        <v>1267</v>
      </c>
      <c r="F149" s="142" t="s">
        <v>204</v>
      </c>
      <c r="G149" s="142" t="s">
        <v>798</v>
      </c>
      <c r="H149" s="142"/>
      <c r="I149" s="142" t="s">
        <v>191</v>
      </c>
      <c r="J149" s="143">
        <v>4</v>
      </c>
      <c r="K149" s="148">
        <v>5</v>
      </c>
      <c r="L149" s="148" t="s">
        <v>199</v>
      </c>
      <c r="N149" s="50"/>
    </row>
    <row r="150" spans="1:14" ht="11.25" customHeight="1">
      <c r="A150" s="140" t="s">
        <v>1268</v>
      </c>
      <c r="B150" s="140" t="s">
        <v>1269</v>
      </c>
      <c r="C150" s="140" t="s">
        <v>1270</v>
      </c>
      <c r="D150" s="147" t="s">
        <v>796</v>
      </c>
      <c r="E150" s="142" t="s">
        <v>1271</v>
      </c>
      <c r="F150" s="142" t="s">
        <v>204</v>
      </c>
      <c r="G150" s="142" t="s">
        <v>798</v>
      </c>
      <c r="H150" s="142"/>
      <c r="I150" s="142" t="s">
        <v>191</v>
      </c>
      <c r="J150" s="143">
        <v>4</v>
      </c>
      <c r="K150" s="148">
        <v>5</v>
      </c>
      <c r="L150" s="148" t="s">
        <v>199</v>
      </c>
      <c r="N150" s="50"/>
    </row>
    <row r="151" spans="1:14" ht="11.25" customHeight="1">
      <c r="A151" s="140" t="s">
        <v>1272</v>
      </c>
      <c r="B151" s="140" t="s">
        <v>1273</v>
      </c>
      <c r="C151" s="140" t="s">
        <v>1274</v>
      </c>
      <c r="D151" s="147" t="s">
        <v>796</v>
      </c>
      <c r="E151" s="142" t="s">
        <v>1275</v>
      </c>
      <c r="F151" s="142" t="s">
        <v>204</v>
      </c>
      <c r="G151" s="142" t="s">
        <v>798</v>
      </c>
      <c r="H151" s="142"/>
      <c r="I151" s="142" t="s">
        <v>191</v>
      </c>
      <c r="J151" s="143">
        <v>4</v>
      </c>
      <c r="K151" s="148">
        <v>5</v>
      </c>
      <c r="L151" s="148" t="s">
        <v>199</v>
      </c>
      <c r="N151" s="50"/>
    </row>
    <row r="152" spans="1:14" ht="11.25" customHeight="1">
      <c r="A152" s="140" t="s">
        <v>1276</v>
      </c>
      <c r="B152" s="140" t="s">
        <v>1277</v>
      </c>
      <c r="C152" s="140" t="s">
        <v>1278</v>
      </c>
      <c r="D152" s="147" t="s">
        <v>796</v>
      </c>
      <c r="E152" s="142" t="s">
        <v>1279</v>
      </c>
      <c r="F152" s="142" t="s">
        <v>204</v>
      </c>
      <c r="G152" s="142" t="s">
        <v>798</v>
      </c>
      <c r="H152" s="142"/>
      <c r="I152" s="142" t="s">
        <v>191</v>
      </c>
      <c r="J152" s="143">
        <v>4</v>
      </c>
      <c r="K152" s="148">
        <v>5</v>
      </c>
      <c r="L152" s="148" t="s">
        <v>199</v>
      </c>
      <c r="N152" s="50"/>
    </row>
    <row r="153" spans="1:14" ht="11.25" customHeight="1">
      <c r="A153" s="140" t="s">
        <v>1280</v>
      </c>
      <c r="B153" s="140" t="s">
        <v>1281</v>
      </c>
      <c r="C153" s="140" t="s">
        <v>1282</v>
      </c>
      <c r="D153" s="147" t="s">
        <v>796</v>
      </c>
      <c r="E153" s="142" t="s">
        <v>1283</v>
      </c>
      <c r="F153" s="142" t="s">
        <v>204</v>
      </c>
      <c r="G153" s="142" t="s">
        <v>798</v>
      </c>
      <c r="H153" s="142"/>
      <c r="I153" s="142" t="s">
        <v>191</v>
      </c>
      <c r="J153" s="143">
        <v>4</v>
      </c>
      <c r="K153" s="148">
        <v>5</v>
      </c>
      <c r="L153" s="148" t="s">
        <v>199</v>
      </c>
      <c r="N153" s="50"/>
    </row>
    <row r="154" spans="1:14" ht="11.25" customHeight="1">
      <c r="A154" s="140" t="s">
        <v>1284</v>
      </c>
      <c r="B154" s="140" t="s">
        <v>1285</v>
      </c>
      <c r="C154" s="140" t="s">
        <v>1286</v>
      </c>
      <c r="D154" s="147" t="s">
        <v>796</v>
      </c>
      <c r="E154" s="142" t="s">
        <v>1287</v>
      </c>
      <c r="F154" s="142" t="s">
        <v>204</v>
      </c>
      <c r="G154" s="142" t="s">
        <v>792</v>
      </c>
      <c r="H154" s="142"/>
      <c r="I154" s="142" t="s">
        <v>191</v>
      </c>
      <c r="J154" s="143">
        <v>4</v>
      </c>
      <c r="K154" s="148">
        <v>5</v>
      </c>
      <c r="L154" s="148" t="s">
        <v>199</v>
      </c>
      <c r="N154" s="50"/>
    </row>
    <row r="155" spans="1:14" ht="11.25" customHeight="1">
      <c r="A155" s="140" t="s">
        <v>1288</v>
      </c>
      <c r="B155" s="140" t="s">
        <v>1289</v>
      </c>
      <c r="C155" s="140" t="s">
        <v>1290</v>
      </c>
      <c r="D155" s="147" t="s">
        <v>796</v>
      </c>
      <c r="E155" s="142" t="s">
        <v>1291</v>
      </c>
      <c r="F155" s="142" t="s">
        <v>204</v>
      </c>
      <c r="G155" s="142" t="s">
        <v>798</v>
      </c>
      <c r="H155" s="142"/>
      <c r="I155" s="142" t="s">
        <v>191</v>
      </c>
      <c r="J155" s="143">
        <v>4</v>
      </c>
      <c r="K155" s="148">
        <v>5</v>
      </c>
      <c r="L155" s="148" t="s">
        <v>199</v>
      </c>
      <c r="N155" s="50"/>
    </row>
    <row r="156" spans="1:14" ht="11.25" customHeight="1">
      <c r="A156" s="140" t="s">
        <v>1292</v>
      </c>
      <c r="B156" s="140" t="s">
        <v>1293</v>
      </c>
      <c r="C156" s="140" t="s">
        <v>1294</v>
      </c>
      <c r="D156" s="147" t="s">
        <v>796</v>
      </c>
      <c r="E156" s="142" t="s">
        <v>1295</v>
      </c>
      <c r="F156" s="142" t="s">
        <v>204</v>
      </c>
      <c r="G156" s="142" t="s">
        <v>798</v>
      </c>
      <c r="H156" s="142"/>
      <c r="I156" s="142" t="s">
        <v>191</v>
      </c>
      <c r="J156" s="143">
        <v>4</v>
      </c>
      <c r="K156" s="148">
        <v>5</v>
      </c>
      <c r="L156" s="148" t="s">
        <v>199</v>
      </c>
      <c r="N156" s="50"/>
    </row>
    <row r="157" spans="1:14" ht="11.25" customHeight="1">
      <c r="A157" s="140" t="s">
        <v>1296</v>
      </c>
      <c r="B157" s="140" t="s">
        <v>1297</v>
      </c>
      <c r="C157" s="140" t="s">
        <v>1298</v>
      </c>
      <c r="D157" s="147" t="s">
        <v>796</v>
      </c>
      <c r="E157" s="142" t="s">
        <v>1299</v>
      </c>
      <c r="F157" s="142" t="s">
        <v>204</v>
      </c>
      <c r="G157" s="142" t="s">
        <v>798</v>
      </c>
      <c r="H157" s="142"/>
      <c r="I157" s="142" t="s">
        <v>191</v>
      </c>
      <c r="J157" s="143">
        <v>4</v>
      </c>
      <c r="K157" s="148">
        <v>5</v>
      </c>
      <c r="L157" s="148" t="s">
        <v>199</v>
      </c>
      <c r="N157" s="50"/>
    </row>
    <row r="158" spans="1:14" ht="11.25" customHeight="1">
      <c r="A158" s="140" t="s">
        <v>1300</v>
      </c>
      <c r="B158" s="140" t="s">
        <v>1301</v>
      </c>
      <c r="C158" s="140" t="s">
        <v>1302</v>
      </c>
      <c r="D158" s="147" t="s">
        <v>796</v>
      </c>
      <c r="E158" s="142" t="s">
        <v>1303</v>
      </c>
      <c r="F158" s="142" t="s">
        <v>204</v>
      </c>
      <c r="G158" s="142" t="s">
        <v>798</v>
      </c>
      <c r="H158" s="142"/>
      <c r="I158" s="142" t="s">
        <v>191</v>
      </c>
      <c r="J158" s="143">
        <v>4</v>
      </c>
      <c r="K158" s="148">
        <v>5</v>
      </c>
      <c r="L158" s="148" t="s">
        <v>199</v>
      </c>
      <c r="N158" s="50"/>
    </row>
    <row r="159" spans="1:14" ht="11.25" customHeight="1">
      <c r="A159" s="140" t="s">
        <v>1304</v>
      </c>
      <c r="B159" s="140" t="s">
        <v>1305</v>
      </c>
      <c r="C159" s="140" t="s">
        <v>1306</v>
      </c>
      <c r="D159" s="147" t="s">
        <v>796</v>
      </c>
      <c r="E159" s="142" t="s">
        <v>1307</v>
      </c>
      <c r="F159" s="142" t="s">
        <v>204</v>
      </c>
      <c r="G159" s="142" t="s">
        <v>798</v>
      </c>
      <c r="H159" s="142"/>
      <c r="I159" s="142" t="s">
        <v>191</v>
      </c>
      <c r="J159" s="143">
        <v>4</v>
      </c>
      <c r="K159" s="148">
        <v>5</v>
      </c>
      <c r="L159" s="148" t="s">
        <v>199</v>
      </c>
      <c r="N159" s="50"/>
    </row>
    <row r="160" spans="1:14" ht="11.25" customHeight="1">
      <c r="A160" s="140" t="s">
        <v>1308</v>
      </c>
      <c r="B160" s="140" t="s">
        <v>1309</v>
      </c>
      <c r="C160" s="140" t="s">
        <v>1310</v>
      </c>
      <c r="D160" s="147" t="s">
        <v>796</v>
      </c>
      <c r="E160" s="142" t="s">
        <v>1311</v>
      </c>
      <c r="F160" s="142" t="s">
        <v>204</v>
      </c>
      <c r="G160" s="142" t="s">
        <v>798</v>
      </c>
      <c r="H160" s="142"/>
      <c r="I160" s="142" t="s">
        <v>191</v>
      </c>
      <c r="J160" s="143">
        <v>4</v>
      </c>
      <c r="K160" s="148">
        <v>5</v>
      </c>
      <c r="L160" s="148" t="s">
        <v>199</v>
      </c>
      <c r="N160" s="50"/>
    </row>
    <row r="161" spans="1:14" ht="11.25" customHeight="1">
      <c r="A161" s="140" t="s">
        <v>1312</v>
      </c>
      <c r="B161" s="140" t="s">
        <v>1313</v>
      </c>
      <c r="C161" s="140" t="s">
        <v>1314</v>
      </c>
      <c r="D161" s="147" t="s">
        <v>796</v>
      </c>
      <c r="E161" s="142" t="s">
        <v>1315</v>
      </c>
      <c r="F161" s="142" t="s">
        <v>204</v>
      </c>
      <c r="G161" s="142" t="s">
        <v>798</v>
      </c>
      <c r="H161" s="142"/>
      <c r="I161" s="142" t="s">
        <v>191</v>
      </c>
      <c r="J161" s="143">
        <v>4</v>
      </c>
      <c r="K161" s="148">
        <v>5</v>
      </c>
      <c r="L161" s="148" t="s">
        <v>199</v>
      </c>
      <c r="N161" s="50"/>
    </row>
    <row r="162" spans="1:14" ht="11.25" customHeight="1">
      <c r="A162" s="140" t="s">
        <v>1316</v>
      </c>
      <c r="B162" s="140" t="s">
        <v>1317</v>
      </c>
      <c r="C162" s="140" t="s">
        <v>1318</v>
      </c>
      <c r="D162" s="147" t="s">
        <v>796</v>
      </c>
      <c r="E162" s="142" t="s">
        <v>1319</v>
      </c>
      <c r="F162" s="142" t="s">
        <v>204</v>
      </c>
      <c r="G162" s="142" t="s">
        <v>798</v>
      </c>
      <c r="H162" s="142"/>
      <c r="I162" s="142" t="s">
        <v>191</v>
      </c>
      <c r="J162" s="143">
        <v>4</v>
      </c>
      <c r="K162" s="148">
        <v>5</v>
      </c>
      <c r="L162" s="148" t="s">
        <v>199</v>
      </c>
      <c r="N162" s="50"/>
    </row>
    <row r="163" spans="1:14" ht="11.25" customHeight="1">
      <c r="A163" s="140" t="s">
        <v>1320</v>
      </c>
      <c r="B163" s="140" t="s">
        <v>1321</v>
      </c>
      <c r="C163" s="140" t="s">
        <v>1322</v>
      </c>
      <c r="D163" s="147" t="s">
        <v>796</v>
      </c>
      <c r="E163" s="142" t="s">
        <v>1323</v>
      </c>
      <c r="F163" s="142" t="s">
        <v>204</v>
      </c>
      <c r="G163" s="142" t="s">
        <v>798</v>
      </c>
      <c r="H163" s="142"/>
      <c r="I163" s="142" t="s">
        <v>191</v>
      </c>
      <c r="J163" s="143">
        <v>4</v>
      </c>
      <c r="K163" s="148">
        <v>5</v>
      </c>
      <c r="L163" s="148" t="s">
        <v>199</v>
      </c>
      <c r="N163" s="50"/>
    </row>
    <row r="164" spans="1:14" ht="11.25" customHeight="1">
      <c r="A164" s="140" t="s">
        <v>1324</v>
      </c>
      <c r="B164" s="140" t="s">
        <v>1325</v>
      </c>
      <c r="C164" s="140" t="s">
        <v>1326</v>
      </c>
      <c r="D164" s="147" t="s">
        <v>772</v>
      </c>
      <c r="E164" s="142" t="s">
        <v>1327</v>
      </c>
      <c r="F164" s="142" t="s">
        <v>204</v>
      </c>
      <c r="G164" s="142" t="s">
        <v>1328</v>
      </c>
      <c r="H164" s="142"/>
      <c r="I164" s="142" t="s">
        <v>191</v>
      </c>
      <c r="J164" s="143">
        <v>4</v>
      </c>
      <c r="K164" s="148">
        <v>5</v>
      </c>
      <c r="L164" s="148" t="s">
        <v>199</v>
      </c>
      <c r="N164" s="50"/>
    </row>
    <row r="165" spans="1:14" ht="11.25" customHeight="1">
      <c r="A165" s="140" t="s">
        <v>1329</v>
      </c>
      <c r="B165" s="140" t="s">
        <v>1330</v>
      </c>
      <c r="C165" s="140" t="s">
        <v>1331</v>
      </c>
      <c r="D165" s="147" t="s">
        <v>772</v>
      </c>
      <c r="E165" s="145" t="s">
        <v>1332</v>
      </c>
      <c r="F165" s="142" t="s">
        <v>204</v>
      </c>
      <c r="G165" s="142" t="s">
        <v>1333</v>
      </c>
      <c r="H165" s="142"/>
      <c r="I165" s="142" t="s">
        <v>191</v>
      </c>
      <c r="J165" s="143">
        <v>4</v>
      </c>
      <c r="K165" s="148">
        <v>5</v>
      </c>
      <c r="L165" s="148" t="s">
        <v>199</v>
      </c>
      <c r="N165" s="50"/>
    </row>
    <row r="166" spans="1:14" ht="11.25" customHeight="1">
      <c r="N166" s="50"/>
    </row>
    <row r="167" spans="1:14" ht="11.25" customHeight="1">
      <c r="N167" s="50"/>
    </row>
    <row r="168" spans="1:14" ht="11.25" customHeight="1">
      <c r="N168" s="50"/>
    </row>
    <row r="169" spans="1:14" ht="11.25" customHeight="1">
      <c r="N169" s="50"/>
    </row>
    <row r="170" spans="1:14" ht="11.25" customHeight="1">
      <c r="N170" s="50"/>
    </row>
  </sheetData>
  <autoFilter ref="A5:N17" xr:uid="{00000000-0009-0000-0000-000007000000}"/>
  <mergeCells count="2">
    <mergeCell ref="A1:B1"/>
    <mergeCell ref="A19:B19"/>
  </mergeCells>
  <phoneticPr fontId="39" type="noConversion"/>
  <conditionalFormatting sqref="M6:M17">
    <cfRule type="containsText" dxfId="70" priority="1" operator="containsText" text="Yes">
      <formula>NOT(ISERROR(SEARCH("Yes",M6)))</formula>
    </cfRule>
  </conditionalFormatting>
  <dataValidations count="1">
    <dataValidation type="list" allowBlank="1" showInputMessage="1" showErrorMessage="1" sqref="M6:M17" xr:uid="{00000000-0002-0000-0700-000000000000}">
      <formula1>"No,Yes"</formula1>
    </dataValidation>
  </dataValidations>
  <pageMargins left="0.17" right="0.17" top="0.36000000000000004" bottom="0.35000000000000003" header="0.17" footer="0.17"/>
  <pageSetup paperSize="9" scale="70" fitToWidth="0" fitToHeight="0" orientation="landscape" r:id="rId1"/>
  <headerFooter alignWithMargins="0">
    <oddHeader>&amp;C&amp;F</oddHeader>
    <oddFooter>&amp;L&amp;8&amp;A&amp;CPage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39997558519241921"/>
  </sheetPr>
  <dimension ref="A1:AI43"/>
  <sheetViews>
    <sheetView showGridLines="0" zoomScale="85" zoomScaleNormal="85" workbookViewId="0">
      <pane xSplit="1" ySplit="5" topLeftCell="F29" activePane="bottomRight" state="frozen"/>
      <selection pane="bottomRight" activeCell="O36" sqref="O36"/>
      <selection pane="bottomLeft" activeCell="A101" sqref="A101"/>
      <selection pane="topRight" activeCell="A101" sqref="A101"/>
    </sheetView>
  </sheetViews>
  <sheetFormatPr defaultColWidth="9" defaultRowHeight="15"/>
  <cols>
    <col min="1" max="1" width="27" style="39" customWidth="1"/>
    <col min="2" max="2" width="25" style="39" customWidth="1"/>
    <col min="3" max="3" width="25" style="39" hidden="1" customWidth="1"/>
    <col min="4" max="4" width="7" style="39" hidden="1" customWidth="1"/>
    <col min="5" max="5" width="14.5703125" style="40" customWidth="1"/>
    <col min="6" max="6" width="39" style="39" customWidth="1"/>
    <col min="7" max="7" width="11.28515625" style="39" hidden="1" customWidth="1"/>
    <col min="8" max="8" width="33.5703125" style="39" customWidth="1"/>
    <col min="9" max="10" width="5.5703125" style="39" hidden="1" customWidth="1"/>
    <col min="11" max="11" width="12" style="39" customWidth="1"/>
    <col min="12" max="12" width="10.28515625" style="72" customWidth="1"/>
    <col min="13" max="13" width="14.140625" style="72" customWidth="1"/>
    <col min="14" max="14" width="15" style="50" customWidth="1"/>
    <col min="15" max="15" width="20.42578125" style="50" customWidth="1"/>
    <col min="16" max="16" width="17" style="50" customWidth="1"/>
    <col min="17" max="17" width="19.85546875" style="50" customWidth="1"/>
    <col min="18" max="18" width="9" style="50"/>
    <col min="19" max="19" width="9" style="105"/>
    <col min="20" max="31" width="9" style="50"/>
    <col min="32" max="33" width="16" style="50" customWidth="1"/>
    <col min="36" max="16384" width="9" style="50"/>
  </cols>
  <sheetData>
    <row r="1" spans="1:35">
      <c r="A1" s="40" t="s">
        <v>1334</v>
      </c>
      <c r="B1" s="40"/>
      <c r="C1" s="40"/>
      <c r="D1" s="40"/>
      <c r="E1" s="39"/>
      <c r="K1" s="72"/>
      <c r="M1" s="50"/>
      <c r="R1" s="105"/>
      <c r="S1" s="50"/>
      <c r="AG1"/>
      <c r="AI1" s="50"/>
    </row>
    <row r="2" spans="1:35">
      <c r="A2" s="40"/>
      <c r="B2" s="40"/>
      <c r="C2" s="40"/>
      <c r="D2" s="40"/>
      <c r="E2" s="39"/>
      <c r="K2" s="72"/>
      <c r="M2" s="50"/>
      <c r="R2" s="105"/>
      <c r="S2" s="50"/>
      <c r="AG2"/>
      <c r="AI2" s="50"/>
    </row>
    <row r="3" spans="1:35">
      <c r="A3" s="139" t="s">
        <v>159</v>
      </c>
      <c r="B3" s="40"/>
      <c r="C3" s="40"/>
      <c r="D3" s="40"/>
      <c r="E3" s="39"/>
      <c r="K3" s="72"/>
      <c r="M3" s="50"/>
      <c r="O3"/>
      <c r="S3" s="50"/>
      <c r="AH3" s="50"/>
      <c r="AI3" s="50"/>
    </row>
    <row r="4" spans="1:35">
      <c r="D4" s="40"/>
      <c r="E4" s="39"/>
      <c r="J4" s="50"/>
      <c r="K4" s="72"/>
      <c r="M4" s="50"/>
      <c r="O4"/>
      <c r="S4" s="50"/>
      <c r="AH4" s="50"/>
      <c r="AI4" s="50"/>
    </row>
    <row r="5" spans="1:35" ht="45">
      <c r="A5" s="79" t="s">
        <v>165</v>
      </c>
      <c r="B5" s="79" t="s">
        <v>166</v>
      </c>
      <c r="C5" s="58" t="s">
        <v>168</v>
      </c>
      <c r="D5" s="58" t="s">
        <v>169</v>
      </c>
      <c r="E5" s="80" t="s">
        <v>170</v>
      </c>
      <c r="F5" s="81" t="s">
        <v>20</v>
      </c>
      <c r="G5" s="58" t="s">
        <v>171</v>
      </c>
      <c r="H5" s="82" t="s">
        <v>172</v>
      </c>
      <c r="I5" s="58" t="s">
        <v>174</v>
      </c>
      <c r="J5" s="58" t="s">
        <v>175</v>
      </c>
      <c r="K5" s="59" t="s">
        <v>176</v>
      </c>
      <c r="L5" s="60" t="s">
        <v>655</v>
      </c>
      <c r="M5" s="60" t="s">
        <v>179</v>
      </c>
      <c r="N5" s="384" t="s">
        <v>180</v>
      </c>
      <c r="O5" s="379" t="s">
        <v>181</v>
      </c>
      <c r="S5" s="50"/>
      <c r="AH5" s="50"/>
      <c r="AI5" s="50"/>
    </row>
    <row r="6" spans="1:35" ht="112.5">
      <c r="A6" s="61" t="s">
        <v>1335</v>
      </c>
      <c r="B6" s="43" t="s">
        <v>183</v>
      </c>
      <c r="C6" s="43" t="s">
        <v>185</v>
      </c>
      <c r="D6" s="43"/>
      <c r="E6" s="266" t="s">
        <v>1336</v>
      </c>
      <c r="F6" s="63" t="s">
        <v>187</v>
      </c>
      <c r="G6" s="63" t="s">
        <v>204</v>
      </c>
      <c r="H6" s="43" t="s">
        <v>1337</v>
      </c>
      <c r="I6" s="43"/>
      <c r="J6" s="43" t="s">
        <v>191</v>
      </c>
      <c r="K6" s="64">
        <v>4</v>
      </c>
      <c r="L6" s="78">
        <v>5</v>
      </c>
      <c r="M6" s="239" t="s">
        <v>192</v>
      </c>
      <c r="N6" s="385"/>
      <c r="O6" s="371"/>
      <c r="S6" s="50"/>
      <c r="AH6" s="50"/>
      <c r="AI6" s="50"/>
    </row>
    <row r="7" spans="1:35" ht="22.5">
      <c r="A7" s="61" t="s">
        <v>1338</v>
      </c>
      <c r="B7" s="61" t="s">
        <v>1339</v>
      </c>
      <c r="C7" s="218" t="s">
        <v>185</v>
      </c>
      <c r="D7" s="218"/>
      <c r="E7" s="266" t="s">
        <v>1336</v>
      </c>
      <c r="F7" s="63" t="s">
        <v>197</v>
      </c>
      <c r="G7" s="217" t="s">
        <v>198</v>
      </c>
      <c r="H7" s="43"/>
      <c r="I7" s="219"/>
      <c r="J7" s="219" t="s">
        <v>191</v>
      </c>
      <c r="K7" s="64">
        <v>2</v>
      </c>
      <c r="L7" s="73">
        <v>5</v>
      </c>
      <c r="M7" s="239" t="s">
        <v>199</v>
      </c>
      <c r="N7" s="385"/>
      <c r="O7" s="371"/>
      <c r="S7" s="50"/>
      <c r="AH7" s="50"/>
      <c r="AI7" s="50"/>
    </row>
    <row r="8" spans="1:35" ht="22.5">
      <c r="A8" s="61" t="s">
        <v>1340</v>
      </c>
      <c r="B8" s="61" t="s">
        <v>1341</v>
      </c>
      <c r="C8" s="218" t="s">
        <v>185</v>
      </c>
      <c r="D8" s="218"/>
      <c r="E8" s="266" t="s">
        <v>1336</v>
      </c>
      <c r="F8" s="63" t="s">
        <v>203</v>
      </c>
      <c r="G8" s="217" t="s">
        <v>204</v>
      </c>
      <c r="H8" s="43" t="s">
        <v>1342</v>
      </c>
      <c r="I8" s="219"/>
      <c r="J8" s="219" t="s">
        <v>191</v>
      </c>
      <c r="K8" s="64">
        <v>2</v>
      </c>
      <c r="L8" s="73">
        <v>5</v>
      </c>
      <c r="M8" s="239" t="s">
        <v>199</v>
      </c>
      <c r="N8" s="385"/>
      <c r="O8" s="371"/>
      <c r="S8" s="50"/>
      <c r="AH8" s="50"/>
      <c r="AI8" s="50"/>
    </row>
    <row r="9" spans="1:35" ht="12.75">
      <c r="A9" s="61" t="s">
        <v>1343</v>
      </c>
      <c r="B9" s="61" t="s">
        <v>207</v>
      </c>
      <c r="C9" s="218" t="s">
        <v>185</v>
      </c>
      <c r="D9" s="218"/>
      <c r="E9" s="266" t="s">
        <v>1336</v>
      </c>
      <c r="F9" s="63" t="s">
        <v>209</v>
      </c>
      <c r="G9" s="217" t="s">
        <v>198</v>
      </c>
      <c r="H9" s="43"/>
      <c r="I9" s="219"/>
      <c r="J9" s="219" t="s">
        <v>191</v>
      </c>
      <c r="K9" s="64">
        <v>2</v>
      </c>
      <c r="L9" s="73">
        <v>5</v>
      </c>
      <c r="M9" s="239" t="s">
        <v>199</v>
      </c>
      <c r="N9" s="385"/>
      <c r="O9" s="371"/>
      <c r="S9" s="50"/>
      <c r="AH9" s="50"/>
      <c r="AI9" s="50"/>
    </row>
    <row r="10" spans="1:35" ht="16.5" customHeight="1">
      <c r="A10" s="61" t="s">
        <v>1344</v>
      </c>
      <c r="B10" s="61" t="s">
        <v>211</v>
      </c>
      <c r="C10" s="218" t="s">
        <v>185</v>
      </c>
      <c r="D10" s="218"/>
      <c r="E10" s="266" t="s">
        <v>1336</v>
      </c>
      <c r="F10" s="63" t="s">
        <v>213</v>
      </c>
      <c r="G10" s="217" t="s">
        <v>204</v>
      </c>
      <c r="H10" s="43" t="s">
        <v>1345</v>
      </c>
      <c r="I10" s="219"/>
      <c r="J10" s="219" t="s">
        <v>191</v>
      </c>
      <c r="K10" s="64">
        <v>2</v>
      </c>
      <c r="L10" s="73">
        <v>5</v>
      </c>
      <c r="M10" s="239" t="s">
        <v>199</v>
      </c>
      <c r="N10" s="385"/>
      <c r="O10" s="371"/>
      <c r="S10" s="50"/>
      <c r="AH10" s="50"/>
      <c r="AI10" s="50"/>
    </row>
    <row r="11" spans="1:35" ht="12.75">
      <c r="A11" s="61" t="s">
        <v>1346</v>
      </c>
      <c r="B11" s="43" t="s">
        <v>216</v>
      </c>
      <c r="C11" s="219" t="s">
        <v>185</v>
      </c>
      <c r="D11" s="219"/>
      <c r="E11" s="266" t="s">
        <v>1336</v>
      </c>
      <c r="F11" s="63" t="s">
        <v>1347</v>
      </c>
      <c r="G11" s="217" t="s">
        <v>204</v>
      </c>
      <c r="H11" s="43"/>
      <c r="I11" s="219"/>
      <c r="J11" s="219" t="s">
        <v>191</v>
      </c>
      <c r="K11" s="64">
        <v>1</v>
      </c>
      <c r="L11" s="78">
        <v>4</v>
      </c>
      <c r="M11" s="239" t="s">
        <v>222</v>
      </c>
      <c r="N11" s="385"/>
      <c r="O11" s="371"/>
      <c r="S11" s="50"/>
      <c r="AH11" s="50"/>
      <c r="AI11" s="50"/>
    </row>
    <row r="12" spans="1:35" ht="258.75">
      <c r="A12" s="43" t="s">
        <v>1348</v>
      </c>
      <c r="B12" s="43" t="s">
        <v>230</v>
      </c>
      <c r="C12" s="219" t="s">
        <v>185</v>
      </c>
      <c r="D12" s="219"/>
      <c r="E12" s="266" t="s">
        <v>1336</v>
      </c>
      <c r="F12" s="63" t="s">
        <v>666</v>
      </c>
      <c r="G12" s="217" t="s">
        <v>204</v>
      </c>
      <c r="H12" s="63" t="s">
        <v>233</v>
      </c>
      <c r="I12" s="217"/>
      <c r="J12" s="219" t="s">
        <v>191</v>
      </c>
      <c r="K12" s="64">
        <v>2</v>
      </c>
      <c r="L12" s="73">
        <v>4</v>
      </c>
      <c r="M12" s="239" t="s">
        <v>222</v>
      </c>
      <c r="N12" s="385"/>
      <c r="O12" s="371"/>
      <c r="S12" s="50"/>
      <c r="AH12" s="50"/>
      <c r="AI12" s="50"/>
    </row>
    <row r="13" spans="1:35" ht="78.75">
      <c r="A13" s="43" t="s">
        <v>1349</v>
      </c>
      <c r="B13" s="43" t="s">
        <v>235</v>
      </c>
      <c r="C13" s="219" t="s">
        <v>185</v>
      </c>
      <c r="D13" s="219"/>
      <c r="E13" s="266" t="s">
        <v>1336</v>
      </c>
      <c r="F13" s="63" t="s">
        <v>669</v>
      </c>
      <c r="G13" s="217" t="s">
        <v>204</v>
      </c>
      <c r="H13" s="63" t="s">
        <v>238</v>
      </c>
      <c r="I13" s="217"/>
      <c r="J13" s="219" t="s">
        <v>191</v>
      </c>
      <c r="K13" s="64">
        <v>2</v>
      </c>
      <c r="L13" s="73">
        <v>5</v>
      </c>
      <c r="M13" s="239" t="s">
        <v>222</v>
      </c>
      <c r="N13" s="385"/>
      <c r="O13" s="371"/>
      <c r="S13" s="50"/>
      <c r="AH13" s="50"/>
      <c r="AI13" s="50"/>
    </row>
    <row r="14" spans="1:35" ht="56.25">
      <c r="A14" s="61" t="s">
        <v>1350</v>
      </c>
      <c r="B14" s="43" t="s">
        <v>1351</v>
      </c>
      <c r="C14" s="219" t="s">
        <v>185</v>
      </c>
      <c r="D14" s="219"/>
      <c r="E14" s="267" t="s">
        <v>1352</v>
      </c>
      <c r="F14" s="63" t="s">
        <v>249</v>
      </c>
      <c r="G14" s="217" t="s">
        <v>188</v>
      </c>
      <c r="H14" s="43" t="s">
        <v>250</v>
      </c>
      <c r="I14" s="219"/>
      <c r="J14" s="219" t="s">
        <v>191</v>
      </c>
      <c r="K14" s="64">
        <v>2</v>
      </c>
      <c r="L14" s="73">
        <v>5</v>
      </c>
      <c r="M14" s="239" t="s">
        <v>192</v>
      </c>
      <c r="N14" s="385"/>
      <c r="O14" s="371"/>
      <c r="S14" s="50"/>
      <c r="AH14" s="50"/>
      <c r="AI14" s="50"/>
    </row>
    <row r="15" spans="1:35" ht="56.25">
      <c r="A15" s="61" t="s">
        <v>1350</v>
      </c>
      <c r="B15" s="43" t="s">
        <v>247</v>
      </c>
      <c r="C15" s="219" t="s">
        <v>185</v>
      </c>
      <c r="D15" s="219"/>
      <c r="E15" s="266" t="s">
        <v>1352</v>
      </c>
      <c r="F15" s="63" t="s">
        <v>1353</v>
      </c>
      <c r="G15" s="217" t="s">
        <v>188</v>
      </c>
      <c r="H15" s="43" t="s">
        <v>250</v>
      </c>
      <c r="I15" s="219"/>
      <c r="J15" s="219" t="s">
        <v>191</v>
      </c>
      <c r="K15" s="64">
        <v>2</v>
      </c>
      <c r="L15" s="73">
        <v>5</v>
      </c>
      <c r="M15" s="239" t="s">
        <v>192</v>
      </c>
      <c r="N15" s="385"/>
      <c r="O15" s="371"/>
      <c r="S15" s="50"/>
      <c r="AH15" s="50"/>
      <c r="AI15" s="50"/>
    </row>
    <row r="16" spans="1:35" ht="45">
      <c r="A16" s="61" t="s">
        <v>1354</v>
      </c>
      <c r="B16" s="43" t="s">
        <v>299</v>
      </c>
      <c r="C16" s="219" t="s">
        <v>301</v>
      </c>
      <c r="D16" s="219"/>
      <c r="E16" s="266" t="s">
        <v>1355</v>
      </c>
      <c r="F16" s="43" t="s">
        <v>303</v>
      </c>
      <c r="G16" s="219" t="s">
        <v>204</v>
      </c>
      <c r="H16" s="43" t="s">
        <v>304</v>
      </c>
      <c r="I16" s="219"/>
      <c r="J16" s="219" t="s">
        <v>191</v>
      </c>
      <c r="K16" s="64">
        <v>1</v>
      </c>
      <c r="L16" s="73">
        <v>5</v>
      </c>
      <c r="M16" s="239" t="s">
        <v>192</v>
      </c>
      <c r="N16" s="385"/>
      <c r="O16" s="371"/>
      <c r="S16" s="50"/>
      <c r="AH16" s="50"/>
      <c r="AI16" s="50"/>
    </row>
    <row r="17" spans="1:35" ht="101.25">
      <c r="A17" s="61" t="s">
        <v>1356</v>
      </c>
      <c r="B17" s="43" t="s">
        <v>1357</v>
      </c>
      <c r="C17" s="219" t="s">
        <v>185</v>
      </c>
      <c r="D17" s="219"/>
      <c r="E17" s="266" t="s">
        <v>1336</v>
      </c>
      <c r="F17" s="63" t="s">
        <v>1358</v>
      </c>
      <c r="G17" s="217" t="s">
        <v>204</v>
      </c>
      <c r="H17" s="43" t="s">
        <v>1359</v>
      </c>
      <c r="I17" s="219"/>
      <c r="J17" s="219" t="s">
        <v>191</v>
      </c>
      <c r="K17" s="64">
        <v>2</v>
      </c>
      <c r="L17" s="73">
        <v>5</v>
      </c>
      <c r="M17" s="239" t="s">
        <v>222</v>
      </c>
      <c r="N17" s="385"/>
      <c r="O17" s="371"/>
      <c r="S17" s="50"/>
      <c r="AH17" s="50"/>
      <c r="AI17" s="50"/>
    </row>
    <row r="18" spans="1:35" ht="180">
      <c r="A18" s="61" t="s">
        <v>1360</v>
      </c>
      <c r="B18" s="43" t="s">
        <v>341</v>
      </c>
      <c r="C18" s="219" t="s">
        <v>185</v>
      </c>
      <c r="D18" s="219"/>
      <c r="E18" s="266" t="s">
        <v>1361</v>
      </c>
      <c r="F18" s="63" t="s">
        <v>1362</v>
      </c>
      <c r="G18" s="217" t="s">
        <v>204</v>
      </c>
      <c r="H18" s="43" t="s">
        <v>1363</v>
      </c>
      <c r="I18" s="219"/>
      <c r="J18" s="219" t="s">
        <v>191</v>
      </c>
      <c r="K18" s="64">
        <v>1</v>
      </c>
      <c r="L18" s="73">
        <v>5</v>
      </c>
      <c r="M18" s="239" t="s">
        <v>222</v>
      </c>
      <c r="N18" s="385"/>
      <c r="O18" s="371"/>
      <c r="S18" s="50"/>
      <c r="AH18" s="50"/>
      <c r="AI18" s="50"/>
    </row>
    <row r="19" spans="1:35" ht="180">
      <c r="A19" s="61" t="s">
        <v>1364</v>
      </c>
      <c r="B19" s="43" t="s">
        <v>347</v>
      </c>
      <c r="C19" s="219" t="s">
        <v>185</v>
      </c>
      <c r="D19" s="219"/>
      <c r="E19" s="266" t="s">
        <v>1361</v>
      </c>
      <c r="F19" s="63" t="s">
        <v>1365</v>
      </c>
      <c r="G19" s="217" t="s">
        <v>204</v>
      </c>
      <c r="H19" s="43" t="s">
        <v>1363</v>
      </c>
      <c r="I19" s="219"/>
      <c r="J19" s="219" t="s">
        <v>191</v>
      </c>
      <c r="K19" s="64">
        <v>1</v>
      </c>
      <c r="L19" s="73">
        <v>5</v>
      </c>
      <c r="M19" s="239" t="s">
        <v>222</v>
      </c>
      <c r="N19" s="385"/>
      <c r="O19" s="371"/>
      <c r="S19" s="50"/>
      <c r="AH19" s="50"/>
      <c r="AI19" s="50"/>
    </row>
    <row r="20" spans="1:35" ht="67.5">
      <c r="A20" s="61" t="s">
        <v>1366</v>
      </c>
      <c r="B20" s="43" t="s">
        <v>1367</v>
      </c>
      <c r="C20" s="219" t="s">
        <v>185</v>
      </c>
      <c r="D20" s="219"/>
      <c r="E20" s="266" t="s">
        <v>1368</v>
      </c>
      <c r="F20" s="43" t="s">
        <v>1369</v>
      </c>
      <c r="G20" s="219" t="s">
        <v>204</v>
      </c>
      <c r="H20" s="43"/>
      <c r="I20" s="219"/>
      <c r="J20" s="219" t="s">
        <v>191</v>
      </c>
      <c r="K20" s="64">
        <v>1</v>
      </c>
      <c r="L20" s="73">
        <v>4</v>
      </c>
      <c r="M20" s="239" t="s">
        <v>199</v>
      </c>
      <c r="N20" s="385"/>
      <c r="O20" s="371"/>
      <c r="S20" s="50"/>
      <c r="AH20" s="50"/>
      <c r="AI20" s="50"/>
    </row>
    <row r="21" spans="1:35" ht="45">
      <c r="A21" s="61" t="s">
        <v>1370</v>
      </c>
      <c r="B21" s="43" t="s">
        <v>1371</v>
      </c>
      <c r="C21" s="219" t="s">
        <v>185</v>
      </c>
      <c r="D21" s="219"/>
      <c r="E21" s="266" t="s">
        <v>1368</v>
      </c>
      <c r="F21" s="43" t="s">
        <v>1372</v>
      </c>
      <c r="G21" s="219" t="s">
        <v>204</v>
      </c>
      <c r="H21" s="43"/>
      <c r="I21" s="219"/>
      <c r="J21" s="219" t="s">
        <v>191</v>
      </c>
      <c r="K21" s="64">
        <v>1</v>
      </c>
      <c r="L21" s="73">
        <v>4</v>
      </c>
      <c r="M21" s="239" t="s">
        <v>199</v>
      </c>
      <c r="N21" s="385"/>
      <c r="O21" s="371"/>
      <c r="S21" s="50"/>
      <c r="AH21" s="50"/>
      <c r="AI21" s="50"/>
    </row>
    <row r="22" spans="1:35" ht="45">
      <c r="A22" s="61" t="s">
        <v>1373</v>
      </c>
      <c r="B22" s="43" t="s">
        <v>1374</v>
      </c>
      <c r="C22" s="219" t="s">
        <v>185</v>
      </c>
      <c r="D22" s="219"/>
      <c r="E22" s="266" t="s">
        <v>1368</v>
      </c>
      <c r="F22" s="43" t="s">
        <v>1375</v>
      </c>
      <c r="G22" s="219" t="s">
        <v>204</v>
      </c>
      <c r="H22" s="43"/>
      <c r="I22" s="219"/>
      <c r="J22" s="219" t="s">
        <v>191</v>
      </c>
      <c r="K22" s="64">
        <v>1</v>
      </c>
      <c r="L22" s="73">
        <v>4</v>
      </c>
      <c r="M22" s="239" t="s">
        <v>199</v>
      </c>
      <c r="N22" s="385"/>
      <c r="O22" s="371"/>
      <c r="S22" s="50"/>
      <c r="AH22" s="50"/>
      <c r="AI22" s="50"/>
    </row>
    <row r="23" spans="1:35" ht="22.5">
      <c r="A23" s="61" t="s">
        <v>1376</v>
      </c>
      <c r="B23" s="43" t="s">
        <v>1377</v>
      </c>
      <c r="C23" s="219" t="s">
        <v>185</v>
      </c>
      <c r="D23" s="219"/>
      <c r="E23" s="266" t="s">
        <v>1368</v>
      </c>
      <c r="F23" s="43" t="s">
        <v>1378</v>
      </c>
      <c r="G23" s="219" t="s">
        <v>204</v>
      </c>
      <c r="H23" s="43"/>
      <c r="I23" s="219"/>
      <c r="J23" s="219" t="s">
        <v>191</v>
      </c>
      <c r="K23" s="64">
        <v>1</v>
      </c>
      <c r="L23" s="78">
        <v>4</v>
      </c>
      <c r="M23" s="239" t="s">
        <v>199</v>
      </c>
      <c r="N23" s="385"/>
      <c r="O23" s="371"/>
      <c r="S23" s="50"/>
      <c r="AH23" s="50"/>
      <c r="AI23" s="50"/>
    </row>
    <row r="24" spans="1:35" s="629" customFormat="1" ht="56.25">
      <c r="A24" s="208" t="s">
        <v>1379</v>
      </c>
      <c r="B24" s="212" t="s">
        <v>446</v>
      </c>
      <c r="C24" s="630" t="s">
        <v>185</v>
      </c>
      <c r="D24" s="630"/>
      <c r="E24" s="631" t="s">
        <v>1336</v>
      </c>
      <c r="F24" s="212" t="s">
        <v>1380</v>
      </c>
      <c r="G24" s="630" t="s">
        <v>204</v>
      </c>
      <c r="H24" s="212"/>
      <c r="I24" s="630"/>
      <c r="J24" s="630" t="s">
        <v>191</v>
      </c>
      <c r="K24" s="210">
        <v>4</v>
      </c>
      <c r="L24" s="213">
        <v>5</v>
      </c>
      <c r="M24" s="632" t="s">
        <v>199</v>
      </c>
      <c r="N24" s="385"/>
      <c r="O24" s="633"/>
    </row>
    <row r="25" spans="1:35" ht="12.75">
      <c r="A25" s="85"/>
      <c r="B25" s="85"/>
      <c r="C25" s="85"/>
      <c r="D25" s="85"/>
      <c r="E25" s="138"/>
      <c r="F25" s="85"/>
      <c r="G25" s="85"/>
      <c r="H25" s="44"/>
      <c r="I25" s="44"/>
      <c r="J25" s="44"/>
      <c r="K25" s="101"/>
      <c r="N25" s="49"/>
      <c r="O25" s="49"/>
      <c r="S25" s="50"/>
      <c r="AH25" s="50"/>
      <c r="AI25" s="50"/>
    </row>
    <row r="26" spans="1:35">
      <c r="Q26" s="105"/>
      <c r="S26" s="50"/>
      <c r="AF26"/>
      <c r="AG26"/>
      <c r="AH26" s="50"/>
      <c r="AI26" s="50"/>
    </row>
    <row r="27" spans="1:35">
      <c r="A27" s="40" t="s">
        <v>1334</v>
      </c>
    </row>
    <row r="28" spans="1:35">
      <c r="A28" s="40"/>
    </row>
    <row r="29" spans="1:35">
      <c r="A29" s="40" t="s">
        <v>488</v>
      </c>
    </row>
    <row r="30" spans="1:35">
      <c r="A30" s="46" t="s">
        <v>489</v>
      </c>
      <c r="O30"/>
      <c r="P30"/>
      <c r="S30" s="50"/>
      <c r="AH30" s="50"/>
      <c r="AI30" s="50"/>
    </row>
    <row r="31" spans="1:35" ht="12.75">
      <c r="A31" s="40"/>
      <c r="S31" s="50"/>
      <c r="AH31" s="50"/>
      <c r="AI31" s="50"/>
    </row>
    <row r="32" spans="1:35" ht="45">
      <c r="A32" s="79" t="s">
        <v>165</v>
      </c>
      <c r="B32" s="79" t="s">
        <v>166</v>
      </c>
      <c r="C32" s="58" t="s">
        <v>168</v>
      </c>
      <c r="D32" s="58" t="s">
        <v>169</v>
      </c>
      <c r="E32" s="80" t="s">
        <v>170</v>
      </c>
      <c r="F32" s="81" t="s">
        <v>20</v>
      </c>
      <c r="G32" s="58" t="s">
        <v>171</v>
      </c>
      <c r="H32" s="82" t="s">
        <v>172</v>
      </c>
      <c r="I32" s="58" t="s">
        <v>174</v>
      </c>
      <c r="J32" s="58" t="s">
        <v>175</v>
      </c>
      <c r="K32" s="59" t="s">
        <v>176</v>
      </c>
      <c r="L32" s="60" t="s">
        <v>655</v>
      </c>
      <c r="M32" s="130" t="s">
        <v>179</v>
      </c>
      <c r="S32" s="50"/>
      <c r="AH32" s="50"/>
      <c r="AI32" s="50"/>
    </row>
    <row r="33" spans="1:35" ht="22.5">
      <c r="A33" s="140" t="s">
        <v>1381</v>
      </c>
      <c r="B33" s="140" t="s">
        <v>770</v>
      </c>
      <c r="C33" s="140" t="s">
        <v>493</v>
      </c>
      <c r="D33" s="140"/>
      <c r="E33" s="141" t="s">
        <v>1352</v>
      </c>
      <c r="F33" s="142" t="s">
        <v>503</v>
      </c>
      <c r="G33" s="142" t="s">
        <v>198</v>
      </c>
      <c r="H33" s="145"/>
      <c r="I33" s="145"/>
      <c r="J33" s="145" t="s">
        <v>191</v>
      </c>
      <c r="K33" s="143">
        <v>4</v>
      </c>
      <c r="L33" s="148">
        <v>5</v>
      </c>
      <c r="M33" s="149" t="s">
        <v>199</v>
      </c>
      <c r="S33" s="50"/>
      <c r="AH33" s="50"/>
      <c r="AI33" s="50"/>
    </row>
    <row r="34" spans="1:35" ht="22.5">
      <c r="A34" s="140" t="s">
        <v>1382</v>
      </c>
      <c r="B34" s="145" t="s">
        <v>1382</v>
      </c>
      <c r="C34" s="145" t="s">
        <v>185</v>
      </c>
      <c r="D34" s="145"/>
      <c r="E34" s="141" t="s">
        <v>1352</v>
      </c>
      <c r="F34" s="145" t="s">
        <v>1383</v>
      </c>
      <c r="G34" s="145" t="s">
        <v>198</v>
      </c>
      <c r="H34" s="145"/>
      <c r="I34" s="145"/>
      <c r="J34" s="145" t="s">
        <v>191</v>
      </c>
      <c r="K34" s="143">
        <v>4</v>
      </c>
      <c r="L34" s="151">
        <v>5</v>
      </c>
      <c r="M34" s="148" t="s">
        <v>199</v>
      </c>
      <c r="S34" s="50"/>
      <c r="AH34" s="50"/>
      <c r="AI34" s="50"/>
    </row>
    <row r="35" spans="1:35" ht="22.5">
      <c r="A35" s="140" t="s">
        <v>1384</v>
      </c>
      <c r="B35" s="140" t="s">
        <v>491</v>
      </c>
      <c r="C35" s="140" t="s">
        <v>493</v>
      </c>
      <c r="D35" s="140"/>
      <c r="E35" s="141" t="s">
        <v>1352</v>
      </c>
      <c r="F35" s="142" t="s">
        <v>494</v>
      </c>
      <c r="G35" s="142" t="s">
        <v>466</v>
      </c>
      <c r="H35" s="145"/>
      <c r="I35" s="145"/>
      <c r="J35" s="145" t="s">
        <v>191</v>
      </c>
      <c r="K35" s="143">
        <v>4</v>
      </c>
      <c r="L35" s="151">
        <v>3</v>
      </c>
      <c r="M35" s="148" t="s">
        <v>199</v>
      </c>
      <c r="S35" s="50"/>
      <c r="AH35" s="50"/>
      <c r="AI35" s="50"/>
    </row>
    <row r="36" spans="1:35" ht="360">
      <c r="A36" s="140" t="s">
        <v>1385</v>
      </c>
      <c r="B36" s="140" t="s">
        <v>1386</v>
      </c>
      <c r="C36" s="220" t="s">
        <v>493</v>
      </c>
      <c r="D36" s="140"/>
      <c r="E36" s="141" t="s">
        <v>1387</v>
      </c>
      <c r="F36" s="142" t="s">
        <v>498</v>
      </c>
      <c r="G36" s="142" t="s">
        <v>204</v>
      </c>
      <c r="H36" s="145" t="s">
        <v>1388</v>
      </c>
      <c r="I36" s="145"/>
      <c r="J36" s="145" t="s">
        <v>191</v>
      </c>
      <c r="K36" s="143">
        <v>4</v>
      </c>
      <c r="L36" s="151">
        <v>5</v>
      </c>
      <c r="M36" s="148" t="s">
        <v>199</v>
      </c>
      <c r="S36" s="50"/>
      <c r="AH36" s="50"/>
      <c r="AI36" s="50"/>
    </row>
    <row r="37" spans="1:35" ht="56.25">
      <c r="A37" s="140" t="s">
        <v>1389</v>
      </c>
      <c r="B37" s="145" t="s">
        <v>1390</v>
      </c>
      <c r="C37" s="145" t="s">
        <v>185</v>
      </c>
      <c r="D37" s="145"/>
      <c r="E37" s="141" t="s">
        <v>1387</v>
      </c>
      <c r="F37" s="145" t="s">
        <v>1391</v>
      </c>
      <c r="G37" s="145" t="s">
        <v>188</v>
      </c>
      <c r="H37" s="145" t="s">
        <v>250</v>
      </c>
      <c r="I37" s="145"/>
      <c r="J37" s="145" t="s">
        <v>191</v>
      </c>
      <c r="K37" s="143">
        <v>4</v>
      </c>
      <c r="L37" s="151">
        <v>5</v>
      </c>
      <c r="M37" s="148" t="s">
        <v>199</v>
      </c>
      <c r="S37" s="50"/>
      <c r="AH37" s="50"/>
      <c r="AI37" s="50"/>
    </row>
    <row r="38" spans="1:35" ht="56.25">
      <c r="A38" s="140" t="s">
        <v>1392</v>
      </c>
      <c r="B38" s="145" t="s">
        <v>1393</v>
      </c>
      <c r="C38" s="145" t="s">
        <v>185</v>
      </c>
      <c r="D38" s="145"/>
      <c r="E38" s="141" t="s">
        <v>1394</v>
      </c>
      <c r="F38" s="142" t="s">
        <v>1395</v>
      </c>
      <c r="G38" s="142" t="s">
        <v>204</v>
      </c>
      <c r="H38" s="145" t="s">
        <v>1396</v>
      </c>
      <c r="I38" s="145"/>
      <c r="J38" s="145" t="s">
        <v>191</v>
      </c>
      <c r="K38" s="143">
        <v>4</v>
      </c>
      <c r="L38" s="148">
        <v>5</v>
      </c>
      <c r="M38" s="148" t="s">
        <v>199</v>
      </c>
      <c r="S38" s="50"/>
      <c r="AH38" s="50"/>
      <c r="AI38" s="50"/>
    </row>
    <row r="39" spans="1:35" ht="45">
      <c r="A39" s="140" t="s">
        <v>1392</v>
      </c>
      <c r="B39" s="145" t="s">
        <v>1397</v>
      </c>
      <c r="C39" s="145" t="s">
        <v>185</v>
      </c>
      <c r="D39" s="145"/>
      <c r="E39" s="141" t="s">
        <v>1398</v>
      </c>
      <c r="F39" s="142" t="s">
        <v>1395</v>
      </c>
      <c r="G39" s="142" t="s">
        <v>204</v>
      </c>
      <c r="H39" s="145" t="s">
        <v>1399</v>
      </c>
      <c r="I39" s="145"/>
      <c r="J39" s="145" t="s">
        <v>191</v>
      </c>
      <c r="K39" s="143">
        <v>4</v>
      </c>
      <c r="L39" s="148">
        <v>5</v>
      </c>
      <c r="M39" s="148" t="s">
        <v>199</v>
      </c>
      <c r="S39" s="50"/>
      <c r="AH39" s="50"/>
      <c r="AI39" s="50"/>
    </row>
    <row r="40" spans="1:35" ht="56.25">
      <c r="A40" s="140" t="s">
        <v>1389</v>
      </c>
      <c r="B40" s="145" t="s">
        <v>1400</v>
      </c>
      <c r="C40" s="145" t="s">
        <v>185</v>
      </c>
      <c r="D40" s="145"/>
      <c r="E40" s="141" t="s">
        <v>1387</v>
      </c>
      <c r="F40" s="142" t="s">
        <v>1391</v>
      </c>
      <c r="G40" s="142" t="s">
        <v>188</v>
      </c>
      <c r="H40" s="145" t="s">
        <v>787</v>
      </c>
      <c r="I40" s="145"/>
      <c r="J40" s="145" t="s">
        <v>191</v>
      </c>
      <c r="K40" s="143">
        <v>4</v>
      </c>
      <c r="L40" s="148">
        <v>5</v>
      </c>
      <c r="M40" s="148" t="s">
        <v>199</v>
      </c>
      <c r="S40" s="50"/>
      <c r="AH40" s="50"/>
      <c r="AI40" s="50"/>
    </row>
    <row r="41" spans="1:35" ht="12.75">
      <c r="S41" s="50"/>
      <c r="AH41" s="50"/>
      <c r="AI41" s="50"/>
    </row>
    <row r="42" spans="1:35" ht="12.75">
      <c r="S42" s="50"/>
      <c r="AH42" s="50"/>
      <c r="AI42" s="50"/>
    </row>
    <row r="43" spans="1:35">
      <c r="O43"/>
      <c r="P43"/>
      <c r="S43" s="50"/>
      <c r="AH43" s="50"/>
      <c r="AI43" s="50"/>
    </row>
  </sheetData>
  <autoFilter ref="A5:O24" xr:uid="{00000000-0009-0000-0000-000006000000}"/>
  <phoneticPr fontId="39" type="noConversion"/>
  <conditionalFormatting sqref="N6:N25">
    <cfRule type="containsText" dxfId="69" priority="1" operator="containsText" text="Yes">
      <formula>NOT(ISERROR(SEARCH("Yes",N6)))</formula>
    </cfRule>
  </conditionalFormatting>
  <dataValidations count="1">
    <dataValidation type="list" allowBlank="1" showInputMessage="1" showErrorMessage="1" sqref="N6:N25" xr:uid="{00000000-0002-0000-0600-000000000000}">
      <formula1>"No,Yes"</formula1>
    </dataValidation>
  </dataValidations>
  <pageMargins left="0.15748031496063003" right="0.15748031496063003" top="0.47244094488189015" bottom="0.43307086614173201" header="0.15748031496063003" footer="0.15748031496063003"/>
  <pageSetup paperSize="9" scale="80" fitToWidth="0" fitToHeight="0" orientation="landscape" r:id="rId1"/>
  <headerFooter alignWithMargins="0">
    <oddHeader>&amp;C&amp;F</oddHeader>
    <oddFooter>&amp;L&amp;A&amp;CPage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P129"/>
  <sheetViews>
    <sheetView showGridLines="0" zoomScale="80" zoomScaleNormal="80" workbookViewId="0">
      <pane xSplit="1" ySplit="5" topLeftCell="B6" activePane="bottomRight" state="frozen"/>
      <selection pane="bottomRight" activeCell="P11" sqref="P11"/>
      <selection pane="bottomLeft" activeCell="A101" sqref="A101"/>
      <selection pane="topRight" activeCell="A101" sqref="A101"/>
    </sheetView>
  </sheetViews>
  <sheetFormatPr defaultColWidth="9" defaultRowHeight="12.75"/>
  <cols>
    <col min="1" max="1" width="28.5703125" style="54" customWidth="1"/>
    <col min="2" max="2" width="25.5703125" style="54" bestFit="1" customWidth="1"/>
    <col min="3" max="3" width="11" style="54" customWidth="1"/>
    <col min="4" max="5" width="11" style="85" hidden="1" customWidth="1"/>
    <col min="6" max="6" width="32.140625" style="86" customWidth="1"/>
    <col min="7" max="7" width="46.5703125" style="54" customWidth="1"/>
    <col min="8" max="8" width="9" style="54" hidden="1" customWidth="1"/>
    <col min="9" max="9" width="36" style="54" customWidth="1"/>
    <col min="10" max="11" width="4" style="54" hidden="1" customWidth="1"/>
    <col min="12" max="12" width="12.28515625" style="39" customWidth="1"/>
    <col min="13" max="13" width="10.5703125" style="72" customWidth="1"/>
    <col min="14" max="14" width="12.42578125" style="72" customWidth="1"/>
    <col min="15" max="15" width="14.85546875" style="50" customWidth="1"/>
    <col min="16" max="16" width="25.85546875" style="50" customWidth="1"/>
    <col min="17" max="17" width="31.28515625" style="50" customWidth="1"/>
    <col min="18" max="28" width="9" style="50"/>
    <col min="29" max="29" width="26" style="50" customWidth="1"/>
    <col min="30" max="30" width="26.85546875" style="50" customWidth="1"/>
    <col min="31" max="31" width="19" style="50" customWidth="1"/>
    <col min="32" max="32" width="17.28515625" style="50" customWidth="1"/>
    <col min="33" max="16384" width="9" style="50"/>
  </cols>
  <sheetData>
    <row r="1" spans="1:16">
      <c r="A1" s="40" t="s">
        <v>126</v>
      </c>
      <c r="B1" s="40"/>
      <c r="C1" s="100"/>
      <c r="D1" s="100"/>
      <c r="E1" s="86"/>
      <c r="F1" s="54"/>
      <c r="K1" s="39"/>
      <c r="L1" s="72"/>
      <c r="N1" s="50"/>
    </row>
    <row r="2" spans="1:16">
      <c r="A2" s="40"/>
      <c r="B2" s="40"/>
      <c r="C2" s="100"/>
      <c r="D2" s="100"/>
      <c r="E2" s="86"/>
      <c r="F2" s="54"/>
      <c r="K2" s="39"/>
      <c r="L2" s="72"/>
      <c r="N2" s="50"/>
    </row>
    <row r="3" spans="1:16">
      <c r="A3" s="139" t="s">
        <v>159</v>
      </c>
      <c r="B3" s="40"/>
      <c r="C3" s="100"/>
      <c r="D3" s="100"/>
      <c r="E3" s="86"/>
      <c r="F3" s="54"/>
      <c r="K3" s="39"/>
      <c r="L3" s="72"/>
      <c r="N3" s="50"/>
    </row>
    <row r="4" spans="1:16">
      <c r="C4" s="85"/>
      <c r="E4" s="86"/>
      <c r="F4" s="54"/>
      <c r="K4" s="50"/>
      <c r="L4" s="72"/>
      <c r="N4" s="50"/>
    </row>
    <row r="5" spans="1:16" ht="67.5">
      <c r="A5" s="76" t="s">
        <v>165</v>
      </c>
      <c r="B5" s="79" t="s">
        <v>166</v>
      </c>
      <c r="C5" s="76" t="s">
        <v>167</v>
      </c>
      <c r="D5" s="58" t="s">
        <v>168</v>
      </c>
      <c r="E5" s="58" t="s">
        <v>169</v>
      </c>
      <c r="F5" s="83" t="s">
        <v>170</v>
      </c>
      <c r="G5" s="76" t="s">
        <v>20</v>
      </c>
      <c r="H5" s="58" t="s">
        <v>171</v>
      </c>
      <c r="I5" s="76" t="s">
        <v>172</v>
      </c>
      <c r="J5" s="58" t="s">
        <v>174</v>
      </c>
      <c r="K5" s="58" t="s">
        <v>175</v>
      </c>
      <c r="L5" s="59" t="s">
        <v>176</v>
      </c>
      <c r="M5" s="60" t="s">
        <v>655</v>
      </c>
      <c r="N5" s="60" t="s">
        <v>179</v>
      </c>
      <c r="O5" s="291" t="s">
        <v>180</v>
      </c>
      <c r="P5" s="379" t="s">
        <v>181</v>
      </c>
    </row>
    <row r="6" spans="1:16" ht="101.25">
      <c r="A6" s="61" t="s">
        <v>1401</v>
      </c>
      <c r="B6" s="61" t="s">
        <v>731</v>
      </c>
      <c r="C6" s="87" t="s">
        <v>1402</v>
      </c>
      <c r="D6" s="87" t="s">
        <v>185</v>
      </c>
      <c r="E6" s="87"/>
      <c r="F6" s="254" t="s">
        <v>1403</v>
      </c>
      <c r="G6" s="63" t="s">
        <v>187</v>
      </c>
      <c r="H6" s="228" t="s">
        <v>188</v>
      </c>
      <c r="I6" s="90" t="s">
        <v>189</v>
      </c>
      <c r="J6" s="90"/>
      <c r="K6" s="89" t="s">
        <v>191</v>
      </c>
      <c r="L6" s="64">
        <v>4</v>
      </c>
      <c r="M6" s="73">
        <v>5</v>
      </c>
      <c r="N6" s="73" t="s">
        <v>192</v>
      </c>
      <c r="O6" s="387" t="s">
        <v>12</v>
      </c>
      <c r="P6" s="371" t="s">
        <v>1404</v>
      </c>
    </row>
    <row r="7" spans="1:16">
      <c r="A7" s="61" t="s">
        <v>1405</v>
      </c>
      <c r="B7" s="61" t="s">
        <v>735</v>
      </c>
      <c r="C7" s="87" t="s">
        <v>1406</v>
      </c>
      <c r="D7" s="87" t="s">
        <v>185</v>
      </c>
      <c r="E7" s="87"/>
      <c r="F7" s="254" t="s">
        <v>1403</v>
      </c>
      <c r="G7" s="61" t="s">
        <v>197</v>
      </c>
      <c r="H7" s="228" t="s">
        <v>198</v>
      </c>
      <c r="I7" s="89"/>
      <c r="J7" s="89"/>
      <c r="K7" s="89" t="s">
        <v>191</v>
      </c>
      <c r="L7" s="70">
        <v>2</v>
      </c>
      <c r="M7" s="73">
        <v>5</v>
      </c>
      <c r="N7" s="75" t="s">
        <v>199</v>
      </c>
      <c r="O7" s="387" t="s">
        <v>12</v>
      </c>
      <c r="P7" s="371" t="s">
        <v>1404</v>
      </c>
    </row>
    <row r="8" spans="1:16">
      <c r="A8" s="61" t="s">
        <v>1407</v>
      </c>
      <c r="B8" s="61" t="s">
        <v>738</v>
      </c>
      <c r="C8" s="87" t="s">
        <v>1408</v>
      </c>
      <c r="D8" s="87" t="s">
        <v>185</v>
      </c>
      <c r="E8" s="87"/>
      <c r="F8" s="254" t="s">
        <v>1403</v>
      </c>
      <c r="G8" s="61" t="s">
        <v>203</v>
      </c>
      <c r="H8" s="228" t="s">
        <v>204</v>
      </c>
      <c r="I8" s="89"/>
      <c r="J8" s="89"/>
      <c r="K8" s="89" t="s">
        <v>191</v>
      </c>
      <c r="L8" s="70">
        <v>2</v>
      </c>
      <c r="M8" s="73">
        <v>5</v>
      </c>
      <c r="N8" s="74" t="s">
        <v>199</v>
      </c>
      <c r="O8" s="387" t="s">
        <v>12</v>
      </c>
      <c r="P8" s="371" t="s">
        <v>1404</v>
      </c>
    </row>
    <row r="9" spans="1:16">
      <c r="A9" s="61" t="s">
        <v>1409</v>
      </c>
      <c r="B9" s="61" t="s">
        <v>742</v>
      </c>
      <c r="C9" s="87" t="s">
        <v>1410</v>
      </c>
      <c r="D9" s="87" t="s">
        <v>185</v>
      </c>
      <c r="E9" s="87"/>
      <c r="F9" s="254" t="s">
        <v>1403</v>
      </c>
      <c r="G9" s="61" t="s">
        <v>209</v>
      </c>
      <c r="H9" s="228" t="s">
        <v>198</v>
      </c>
      <c r="I9" s="89"/>
      <c r="J9" s="89"/>
      <c r="K9" s="89" t="s">
        <v>191</v>
      </c>
      <c r="L9" s="70">
        <v>2</v>
      </c>
      <c r="M9" s="73">
        <v>5</v>
      </c>
      <c r="N9" s="75" t="s">
        <v>199</v>
      </c>
      <c r="O9" s="387" t="s">
        <v>14</v>
      </c>
      <c r="P9" s="371"/>
    </row>
    <row r="10" spans="1:16">
      <c r="A10" s="61" t="s">
        <v>1411</v>
      </c>
      <c r="B10" s="61" t="s">
        <v>745</v>
      </c>
      <c r="C10" s="87" t="s">
        <v>1412</v>
      </c>
      <c r="D10" s="87" t="s">
        <v>185</v>
      </c>
      <c r="E10" s="87"/>
      <c r="F10" s="254" t="s">
        <v>1403</v>
      </c>
      <c r="G10" s="61" t="s">
        <v>213</v>
      </c>
      <c r="H10" s="228" t="s">
        <v>204</v>
      </c>
      <c r="I10" s="89"/>
      <c r="J10" s="89"/>
      <c r="K10" s="89" t="s">
        <v>191</v>
      </c>
      <c r="L10" s="70">
        <v>2</v>
      </c>
      <c r="M10" s="73">
        <v>5</v>
      </c>
      <c r="N10" s="74" t="s">
        <v>199</v>
      </c>
      <c r="O10" s="387" t="s">
        <v>14</v>
      </c>
      <c r="P10" s="371"/>
    </row>
    <row r="11" spans="1:16" ht="33.75">
      <c r="A11" s="61" t="s">
        <v>1413</v>
      </c>
      <c r="B11" s="61" t="s">
        <v>757</v>
      </c>
      <c r="C11" s="61" t="s">
        <v>1414</v>
      </c>
      <c r="D11" s="61" t="s">
        <v>185</v>
      </c>
      <c r="E11" s="61"/>
      <c r="F11" s="254" t="s">
        <v>1415</v>
      </c>
      <c r="G11" s="63" t="s">
        <v>760</v>
      </c>
      <c r="H11" s="91" t="s">
        <v>198</v>
      </c>
      <c r="I11" s="90"/>
      <c r="J11" s="90"/>
      <c r="K11" s="89" t="s">
        <v>191</v>
      </c>
      <c r="L11" s="64">
        <v>1</v>
      </c>
      <c r="M11" s="73">
        <v>5</v>
      </c>
      <c r="N11" s="74" t="s">
        <v>199</v>
      </c>
      <c r="O11" s="387" t="s">
        <v>12</v>
      </c>
      <c r="P11" s="371" t="s">
        <v>1404</v>
      </c>
    </row>
    <row r="12" spans="1:16" s="629" customFormat="1" ht="56.25">
      <c r="A12" s="208" t="s">
        <v>1416</v>
      </c>
      <c r="B12" s="208" t="s">
        <v>446</v>
      </c>
      <c r="C12" s="634" t="s">
        <v>1417</v>
      </c>
      <c r="D12" s="634" t="s">
        <v>185</v>
      </c>
      <c r="E12" s="634"/>
      <c r="F12" s="635" t="s">
        <v>1403</v>
      </c>
      <c r="G12" s="209" t="s">
        <v>448</v>
      </c>
      <c r="H12" s="636" t="s">
        <v>204</v>
      </c>
      <c r="I12" s="637" t="s">
        <v>1418</v>
      </c>
      <c r="J12" s="637"/>
      <c r="K12" s="637" t="s">
        <v>191</v>
      </c>
      <c r="L12" s="210">
        <v>1</v>
      </c>
      <c r="M12" s="213">
        <v>5</v>
      </c>
      <c r="N12" s="638" t="s">
        <v>199</v>
      </c>
      <c r="O12" s="387" t="s">
        <v>12</v>
      </c>
      <c r="P12" s="371" t="s">
        <v>1404</v>
      </c>
    </row>
    <row r="13" spans="1:16" s="629" customFormat="1" ht="56.25">
      <c r="A13" s="208" t="s">
        <v>1419</v>
      </c>
      <c r="B13" s="208" t="s">
        <v>764</v>
      </c>
      <c r="C13" s="634" t="s">
        <v>1420</v>
      </c>
      <c r="D13" s="634" t="s">
        <v>185</v>
      </c>
      <c r="E13" s="634"/>
      <c r="F13" s="635" t="s">
        <v>1403</v>
      </c>
      <c r="G13" s="209" t="s">
        <v>456</v>
      </c>
      <c r="H13" s="636" t="s">
        <v>204</v>
      </c>
      <c r="I13" s="636" t="s">
        <v>1421</v>
      </c>
      <c r="J13" s="636"/>
      <c r="K13" s="637" t="s">
        <v>191</v>
      </c>
      <c r="L13" s="210">
        <v>1</v>
      </c>
      <c r="M13" s="213">
        <v>4</v>
      </c>
      <c r="N13" s="213" t="s">
        <v>199</v>
      </c>
      <c r="O13" s="387" t="s">
        <v>12</v>
      </c>
      <c r="P13" s="371" t="s">
        <v>1404</v>
      </c>
    </row>
    <row r="14" spans="1:16" s="629" customFormat="1">
      <c r="A14" s="208" t="s">
        <v>1422</v>
      </c>
      <c r="B14" s="208" t="s">
        <v>463</v>
      </c>
      <c r="C14" s="634" t="s">
        <v>1423</v>
      </c>
      <c r="D14" s="634" t="s">
        <v>185</v>
      </c>
      <c r="E14" s="634"/>
      <c r="F14" s="635" t="s">
        <v>1403</v>
      </c>
      <c r="G14" s="208" t="s">
        <v>1424</v>
      </c>
      <c r="H14" s="639" t="s">
        <v>466</v>
      </c>
      <c r="I14" s="636"/>
      <c r="J14" s="636"/>
      <c r="K14" s="637" t="s">
        <v>191</v>
      </c>
      <c r="L14" s="210">
        <v>1</v>
      </c>
      <c r="M14" s="213">
        <v>4</v>
      </c>
      <c r="N14" s="638" t="s">
        <v>199</v>
      </c>
      <c r="O14" s="387" t="s">
        <v>12</v>
      </c>
      <c r="P14" s="371" t="s">
        <v>1404</v>
      </c>
    </row>
    <row r="15" spans="1:16">
      <c r="A15" s="85"/>
      <c r="B15" s="85"/>
      <c r="C15" s="85"/>
      <c r="F15" s="122"/>
      <c r="G15" s="45"/>
      <c r="H15" s="45"/>
      <c r="I15" s="44"/>
      <c r="J15" s="44"/>
      <c r="K15" s="44"/>
      <c r="L15" s="101"/>
      <c r="O15" s="49"/>
      <c r="P15" s="49"/>
    </row>
    <row r="17" spans="1:14">
      <c r="A17" s="40" t="s">
        <v>126</v>
      </c>
    </row>
    <row r="18" spans="1:14">
      <c r="A18" s="40"/>
    </row>
    <row r="19" spans="1:14">
      <c r="A19" s="40" t="s">
        <v>488</v>
      </c>
    </row>
    <row r="20" spans="1:14">
      <c r="A20" s="46" t="s">
        <v>489</v>
      </c>
    </row>
    <row r="21" spans="1:14">
      <c r="A21" s="46"/>
    </row>
    <row r="22" spans="1:14" ht="67.5">
      <c r="A22" s="76" t="s">
        <v>165</v>
      </c>
      <c r="B22" s="79" t="s">
        <v>166</v>
      </c>
      <c r="C22" s="76" t="s">
        <v>167</v>
      </c>
      <c r="D22" s="58" t="s">
        <v>168</v>
      </c>
      <c r="E22" s="58" t="s">
        <v>169</v>
      </c>
      <c r="F22" s="83" t="s">
        <v>170</v>
      </c>
      <c r="G22" s="76" t="s">
        <v>20</v>
      </c>
      <c r="H22" s="58" t="s">
        <v>171</v>
      </c>
      <c r="I22" s="76" t="s">
        <v>172</v>
      </c>
      <c r="J22" s="58" t="s">
        <v>174</v>
      </c>
      <c r="K22" s="58" t="s">
        <v>175</v>
      </c>
      <c r="L22" s="59" t="s">
        <v>176</v>
      </c>
      <c r="M22" s="60" t="s">
        <v>655</v>
      </c>
      <c r="N22" s="130" t="s">
        <v>179</v>
      </c>
    </row>
    <row r="23" spans="1:14">
      <c r="A23" s="140" t="s">
        <v>1425</v>
      </c>
      <c r="B23" s="140" t="s">
        <v>770</v>
      </c>
      <c r="C23" s="152" t="s">
        <v>1426</v>
      </c>
      <c r="D23" s="152" t="s">
        <v>493</v>
      </c>
      <c r="E23" s="152"/>
      <c r="F23" s="153" t="s">
        <v>1427</v>
      </c>
      <c r="G23" s="142" t="s">
        <v>503</v>
      </c>
      <c r="H23" s="156" t="s">
        <v>198</v>
      </c>
      <c r="I23" s="154"/>
      <c r="J23" s="154"/>
      <c r="K23" s="154" t="s">
        <v>191</v>
      </c>
      <c r="L23" s="143">
        <v>4</v>
      </c>
      <c r="M23" s="148">
        <v>4</v>
      </c>
      <c r="N23" s="149" t="s">
        <v>199</v>
      </c>
    </row>
    <row r="24" spans="1:14">
      <c r="A24" s="140" t="s">
        <v>1428</v>
      </c>
      <c r="B24" s="140" t="s">
        <v>491</v>
      </c>
      <c r="C24" s="152" t="s">
        <v>1429</v>
      </c>
      <c r="D24" s="152" t="s">
        <v>493</v>
      </c>
      <c r="E24" s="152"/>
      <c r="F24" s="153" t="s">
        <v>1427</v>
      </c>
      <c r="G24" s="140" t="s">
        <v>494</v>
      </c>
      <c r="H24" s="229" t="s">
        <v>466</v>
      </c>
      <c r="I24" s="154"/>
      <c r="J24" s="154"/>
      <c r="K24" s="154" t="s">
        <v>191</v>
      </c>
      <c r="L24" s="143">
        <v>4</v>
      </c>
      <c r="M24" s="148">
        <v>3</v>
      </c>
      <c r="N24" s="148" t="s">
        <v>199</v>
      </c>
    </row>
    <row r="25" spans="1:14">
      <c r="A25" s="140" t="s">
        <v>1430</v>
      </c>
      <c r="B25" s="140" t="s">
        <v>1431</v>
      </c>
      <c r="C25" s="152" t="s">
        <v>1432</v>
      </c>
      <c r="D25" s="152" t="s">
        <v>493</v>
      </c>
      <c r="E25" s="152"/>
      <c r="F25" s="153" t="s">
        <v>1433</v>
      </c>
      <c r="G25" s="142" t="s">
        <v>1434</v>
      </c>
      <c r="H25" s="156" t="s">
        <v>204</v>
      </c>
      <c r="I25" s="154"/>
      <c r="J25" s="154"/>
      <c r="K25" s="154" t="s">
        <v>191</v>
      </c>
      <c r="L25" s="143">
        <v>4</v>
      </c>
      <c r="M25" s="148">
        <v>5</v>
      </c>
      <c r="N25" s="148" t="s">
        <v>199</v>
      </c>
    </row>
    <row r="26" spans="1:14">
      <c r="A26" s="140" t="s">
        <v>1435</v>
      </c>
      <c r="B26" s="140" t="s">
        <v>1436</v>
      </c>
      <c r="C26" s="152" t="s">
        <v>1437</v>
      </c>
      <c r="D26" s="152" t="s">
        <v>185</v>
      </c>
      <c r="E26" s="152"/>
      <c r="F26" s="153" t="s">
        <v>1427</v>
      </c>
      <c r="G26" s="142" t="s">
        <v>1438</v>
      </c>
      <c r="H26" s="156" t="s">
        <v>204</v>
      </c>
      <c r="I26" s="155" t="s">
        <v>782</v>
      </c>
      <c r="J26" s="155"/>
      <c r="K26" s="154" t="s">
        <v>191</v>
      </c>
      <c r="L26" s="143">
        <v>4</v>
      </c>
      <c r="M26" s="148">
        <v>4</v>
      </c>
      <c r="N26" s="148" t="s">
        <v>199</v>
      </c>
    </row>
    <row r="27" spans="1:14">
      <c r="A27" s="140" t="s">
        <v>1439</v>
      </c>
      <c r="B27" s="140" t="s">
        <v>1440</v>
      </c>
      <c r="C27" s="152" t="s">
        <v>1441</v>
      </c>
      <c r="D27" s="152" t="s">
        <v>185</v>
      </c>
      <c r="E27" s="152"/>
      <c r="F27" s="153" t="s">
        <v>1442</v>
      </c>
      <c r="G27" s="140" t="s">
        <v>1443</v>
      </c>
      <c r="H27" s="229" t="s">
        <v>204</v>
      </c>
      <c r="I27" s="155"/>
      <c r="J27" s="155"/>
      <c r="K27" s="154" t="s">
        <v>191</v>
      </c>
      <c r="L27" s="143">
        <v>4</v>
      </c>
      <c r="M27" s="148">
        <v>4</v>
      </c>
      <c r="N27" s="149" t="s">
        <v>199</v>
      </c>
    </row>
    <row r="28" spans="1:14">
      <c r="A28" s="140" t="s">
        <v>1444</v>
      </c>
      <c r="B28" s="140" t="s">
        <v>780</v>
      </c>
      <c r="C28" s="152" t="s">
        <v>1445</v>
      </c>
      <c r="D28" s="152" t="s">
        <v>185</v>
      </c>
      <c r="E28" s="152"/>
      <c r="F28" s="153" t="s">
        <v>1446</v>
      </c>
      <c r="G28" s="140" t="s">
        <v>1447</v>
      </c>
      <c r="H28" s="229" t="s">
        <v>204</v>
      </c>
      <c r="I28" s="155" t="s">
        <v>782</v>
      </c>
      <c r="J28" s="155"/>
      <c r="K28" s="154" t="s">
        <v>191</v>
      </c>
      <c r="L28" s="143">
        <v>4</v>
      </c>
      <c r="M28" s="148">
        <v>4</v>
      </c>
      <c r="N28" s="148" t="s">
        <v>199</v>
      </c>
    </row>
    <row r="29" spans="1:14" ht="33.75">
      <c r="A29" s="140" t="s">
        <v>1448</v>
      </c>
      <c r="B29" s="140" t="s">
        <v>1449</v>
      </c>
      <c r="C29" s="140" t="s">
        <v>1450</v>
      </c>
      <c r="D29" s="140" t="s">
        <v>185</v>
      </c>
      <c r="E29" s="140"/>
      <c r="F29" s="147" t="s">
        <v>1451</v>
      </c>
      <c r="G29" s="142" t="s">
        <v>1452</v>
      </c>
      <c r="H29" s="156" t="s">
        <v>188</v>
      </c>
      <c r="I29" s="156" t="s">
        <v>1453</v>
      </c>
      <c r="J29" s="156"/>
      <c r="K29" s="154" t="s">
        <v>191</v>
      </c>
      <c r="L29" s="143">
        <v>4</v>
      </c>
      <c r="M29" s="148">
        <v>4</v>
      </c>
      <c r="N29" s="149" t="s">
        <v>199</v>
      </c>
    </row>
    <row r="30" spans="1:14" ht="22.5">
      <c r="A30" s="140" t="s">
        <v>1454</v>
      </c>
      <c r="B30" s="140" t="s">
        <v>1455</v>
      </c>
      <c r="C30" s="140" t="s">
        <v>1456</v>
      </c>
      <c r="D30" s="140" t="s">
        <v>185</v>
      </c>
      <c r="E30" s="140"/>
      <c r="F30" s="147" t="s">
        <v>1451</v>
      </c>
      <c r="G30" s="142" t="s">
        <v>1457</v>
      </c>
      <c r="H30" s="156" t="s">
        <v>188</v>
      </c>
      <c r="I30" s="156" t="s">
        <v>1453</v>
      </c>
      <c r="J30" s="156"/>
      <c r="K30" s="154" t="s">
        <v>191</v>
      </c>
      <c r="L30" s="143">
        <v>4</v>
      </c>
      <c r="M30" s="148">
        <v>4</v>
      </c>
      <c r="N30" s="148" t="s">
        <v>199</v>
      </c>
    </row>
    <row r="31" spans="1:14" ht="33.75">
      <c r="A31" s="140" t="s">
        <v>1458</v>
      </c>
      <c r="B31" s="140" t="s">
        <v>1459</v>
      </c>
      <c r="C31" s="140" t="s">
        <v>1460</v>
      </c>
      <c r="D31" s="140" t="s">
        <v>185</v>
      </c>
      <c r="E31" s="140"/>
      <c r="F31" s="147" t="s">
        <v>1451</v>
      </c>
      <c r="G31" s="142" t="s">
        <v>1461</v>
      </c>
      <c r="H31" s="156" t="s">
        <v>188</v>
      </c>
      <c r="I31" s="156" t="s">
        <v>1453</v>
      </c>
      <c r="J31" s="156"/>
      <c r="K31" s="154" t="s">
        <v>191</v>
      </c>
      <c r="L31" s="143">
        <v>4</v>
      </c>
      <c r="M31" s="148">
        <v>4</v>
      </c>
      <c r="N31" s="149" t="s">
        <v>199</v>
      </c>
    </row>
    <row r="32" spans="1:14" ht="33.75">
      <c r="A32" s="140" t="s">
        <v>1462</v>
      </c>
      <c r="B32" s="140" t="s">
        <v>1463</v>
      </c>
      <c r="C32" s="140" t="s">
        <v>1464</v>
      </c>
      <c r="D32" s="140" t="s">
        <v>185</v>
      </c>
      <c r="E32" s="140"/>
      <c r="F32" s="147" t="s">
        <v>1451</v>
      </c>
      <c r="G32" s="142" t="s">
        <v>1465</v>
      </c>
      <c r="H32" s="156" t="s">
        <v>188</v>
      </c>
      <c r="I32" s="156" t="s">
        <v>1453</v>
      </c>
      <c r="J32" s="156"/>
      <c r="K32" s="154" t="s">
        <v>191</v>
      </c>
      <c r="L32" s="143">
        <v>4</v>
      </c>
      <c r="M32" s="148">
        <v>4</v>
      </c>
      <c r="N32" s="148" t="s">
        <v>199</v>
      </c>
    </row>
    <row r="33" spans="1:14" ht="22.5">
      <c r="A33" s="140" t="s">
        <v>1466</v>
      </c>
      <c r="B33" s="140" t="s">
        <v>1467</v>
      </c>
      <c r="C33" s="140" t="s">
        <v>1468</v>
      </c>
      <c r="D33" s="140" t="s">
        <v>185</v>
      </c>
      <c r="E33" s="140"/>
      <c r="F33" s="153" t="s">
        <v>1451</v>
      </c>
      <c r="G33" s="145" t="s">
        <v>1469</v>
      </c>
      <c r="H33" s="155" t="s">
        <v>188</v>
      </c>
      <c r="I33" s="155" t="s">
        <v>1453</v>
      </c>
      <c r="J33" s="155"/>
      <c r="K33" s="154" t="s">
        <v>191</v>
      </c>
      <c r="L33" s="143">
        <v>4</v>
      </c>
      <c r="M33" s="148">
        <v>4</v>
      </c>
      <c r="N33" s="149" t="s">
        <v>199</v>
      </c>
    </row>
    <row r="34" spans="1:14" ht="22.5">
      <c r="A34" s="140" t="s">
        <v>1470</v>
      </c>
      <c r="B34" s="140" t="s">
        <v>1471</v>
      </c>
      <c r="C34" s="140" t="s">
        <v>1472</v>
      </c>
      <c r="D34" s="140" t="s">
        <v>185</v>
      </c>
      <c r="E34" s="140"/>
      <c r="F34" s="153" t="s">
        <v>1451</v>
      </c>
      <c r="G34" s="145" t="s">
        <v>1473</v>
      </c>
      <c r="H34" s="155" t="s">
        <v>188</v>
      </c>
      <c r="I34" s="155" t="s">
        <v>1453</v>
      </c>
      <c r="J34" s="155"/>
      <c r="K34" s="154" t="s">
        <v>191</v>
      </c>
      <c r="L34" s="143">
        <v>4</v>
      </c>
      <c r="M34" s="148">
        <v>4</v>
      </c>
      <c r="N34" s="148" t="s">
        <v>199</v>
      </c>
    </row>
    <row r="35" spans="1:14" ht="22.5">
      <c r="A35" s="140" t="s">
        <v>1474</v>
      </c>
      <c r="B35" s="140" t="s">
        <v>1475</v>
      </c>
      <c r="C35" s="157" t="s">
        <v>1476</v>
      </c>
      <c r="D35" s="140" t="s">
        <v>242</v>
      </c>
      <c r="E35" s="140"/>
      <c r="F35" s="153" t="s">
        <v>1477</v>
      </c>
      <c r="G35" s="140" t="s">
        <v>1478</v>
      </c>
      <c r="H35" s="155" t="s">
        <v>188</v>
      </c>
      <c r="I35" s="155" t="s">
        <v>1479</v>
      </c>
      <c r="J35" s="155"/>
      <c r="K35" s="154" t="s">
        <v>191</v>
      </c>
      <c r="L35" s="143">
        <v>4</v>
      </c>
      <c r="M35" s="148">
        <v>4</v>
      </c>
      <c r="N35" s="148" t="s">
        <v>199</v>
      </c>
    </row>
    <row r="36" spans="1:14" ht="22.5">
      <c r="A36" s="140" t="s">
        <v>1480</v>
      </c>
      <c r="B36" s="140" t="s">
        <v>1481</v>
      </c>
      <c r="C36" s="157" t="s">
        <v>1482</v>
      </c>
      <c r="D36" s="140" t="s">
        <v>242</v>
      </c>
      <c r="E36" s="140"/>
      <c r="F36" s="153" t="s">
        <v>1451</v>
      </c>
      <c r="G36" s="140" t="s">
        <v>1478</v>
      </c>
      <c r="H36" s="155" t="s">
        <v>188</v>
      </c>
      <c r="I36" s="155" t="s">
        <v>1479</v>
      </c>
      <c r="J36" s="155"/>
      <c r="K36" s="154" t="s">
        <v>191</v>
      </c>
      <c r="L36" s="143">
        <v>4</v>
      </c>
      <c r="M36" s="148">
        <v>4</v>
      </c>
      <c r="N36" s="149" t="s">
        <v>199</v>
      </c>
    </row>
    <row r="37" spans="1:14" ht="22.5">
      <c r="A37" s="140" t="s">
        <v>1483</v>
      </c>
      <c r="B37" s="140" t="s">
        <v>1484</v>
      </c>
      <c r="C37" s="157" t="s">
        <v>1485</v>
      </c>
      <c r="D37" s="140" t="s">
        <v>242</v>
      </c>
      <c r="E37" s="140"/>
      <c r="F37" s="153" t="s">
        <v>1451</v>
      </c>
      <c r="G37" s="140" t="s">
        <v>1478</v>
      </c>
      <c r="H37" s="155" t="s">
        <v>188</v>
      </c>
      <c r="I37" s="155" t="s">
        <v>1479</v>
      </c>
      <c r="J37" s="155"/>
      <c r="K37" s="154" t="s">
        <v>191</v>
      </c>
      <c r="L37" s="143">
        <v>4</v>
      </c>
      <c r="M37" s="148">
        <v>4</v>
      </c>
      <c r="N37" s="148" t="s">
        <v>199</v>
      </c>
    </row>
    <row r="38" spans="1:14" ht="22.5">
      <c r="A38" s="140" t="s">
        <v>1486</v>
      </c>
      <c r="B38" s="140" t="s">
        <v>1487</v>
      </c>
      <c r="C38" s="157" t="s">
        <v>1488</v>
      </c>
      <c r="D38" s="140" t="s">
        <v>242</v>
      </c>
      <c r="E38" s="140"/>
      <c r="F38" s="153" t="s">
        <v>1451</v>
      </c>
      <c r="G38" s="140" t="s">
        <v>1478</v>
      </c>
      <c r="H38" s="155" t="s">
        <v>188</v>
      </c>
      <c r="I38" s="155" t="s">
        <v>1479</v>
      </c>
      <c r="J38" s="155"/>
      <c r="K38" s="154" t="s">
        <v>191</v>
      </c>
      <c r="L38" s="143">
        <v>4</v>
      </c>
      <c r="M38" s="148">
        <v>4</v>
      </c>
      <c r="N38" s="149" t="s">
        <v>199</v>
      </c>
    </row>
    <row r="39" spans="1:14" ht="22.5">
      <c r="A39" s="140" t="s">
        <v>1489</v>
      </c>
      <c r="B39" s="140" t="s">
        <v>1490</v>
      </c>
      <c r="C39" s="157" t="s">
        <v>1491</v>
      </c>
      <c r="D39" s="140" t="s">
        <v>242</v>
      </c>
      <c r="E39" s="140"/>
      <c r="F39" s="153" t="s">
        <v>1451</v>
      </c>
      <c r="G39" s="140" t="s">
        <v>1478</v>
      </c>
      <c r="H39" s="155" t="s">
        <v>188</v>
      </c>
      <c r="I39" s="155" t="s">
        <v>1479</v>
      </c>
      <c r="J39" s="155"/>
      <c r="K39" s="154" t="s">
        <v>191</v>
      </c>
      <c r="L39" s="143">
        <v>4</v>
      </c>
      <c r="M39" s="148">
        <v>4</v>
      </c>
      <c r="N39" s="148" t="s">
        <v>199</v>
      </c>
    </row>
    <row r="40" spans="1:14">
      <c r="A40" s="145" t="s">
        <v>1492</v>
      </c>
      <c r="B40" s="145" t="s">
        <v>1493</v>
      </c>
      <c r="C40" s="157"/>
      <c r="D40" s="140" t="s">
        <v>242</v>
      </c>
      <c r="E40" s="140"/>
      <c r="F40" s="153" t="s">
        <v>1494</v>
      </c>
      <c r="G40" s="145" t="s">
        <v>1495</v>
      </c>
      <c r="H40" s="240" t="s">
        <v>204</v>
      </c>
      <c r="I40" s="156"/>
      <c r="J40" s="155"/>
      <c r="K40" s="154" t="s">
        <v>191</v>
      </c>
      <c r="L40" s="143">
        <v>4</v>
      </c>
      <c r="M40" s="148">
        <v>4</v>
      </c>
      <c r="N40" s="149" t="s">
        <v>199</v>
      </c>
    </row>
    <row r="41" spans="1:14">
      <c r="A41" s="145" t="s">
        <v>1496</v>
      </c>
      <c r="B41" s="145" t="s">
        <v>1497</v>
      </c>
      <c r="C41" s="157"/>
      <c r="D41" s="140" t="s">
        <v>242</v>
      </c>
      <c r="E41" s="140"/>
      <c r="F41" s="153" t="s">
        <v>1494</v>
      </c>
      <c r="G41" s="145" t="s">
        <v>1498</v>
      </c>
      <c r="H41" s="240" t="s">
        <v>204</v>
      </c>
      <c r="I41" s="156"/>
      <c r="J41" s="155"/>
      <c r="K41" s="154" t="s">
        <v>191</v>
      </c>
      <c r="L41" s="143">
        <v>4</v>
      </c>
      <c r="M41" s="148">
        <v>4</v>
      </c>
      <c r="N41" s="148" t="s">
        <v>199</v>
      </c>
    </row>
    <row r="42" spans="1:14">
      <c r="A42" s="145" t="s">
        <v>1499</v>
      </c>
      <c r="B42" s="145" t="s">
        <v>1500</v>
      </c>
      <c r="C42" s="157"/>
      <c r="D42" s="140" t="s">
        <v>242</v>
      </c>
      <c r="E42" s="140"/>
      <c r="F42" s="153" t="s">
        <v>1494</v>
      </c>
      <c r="G42" s="145" t="s">
        <v>1501</v>
      </c>
      <c r="H42" s="240" t="s">
        <v>204</v>
      </c>
      <c r="I42" s="156"/>
      <c r="J42" s="155"/>
      <c r="K42" s="154" t="s">
        <v>191</v>
      </c>
      <c r="L42" s="143">
        <v>4</v>
      </c>
      <c r="M42" s="148">
        <v>4</v>
      </c>
      <c r="N42" s="149" t="s">
        <v>199</v>
      </c>
    </row>
    <row r="43" spans="1:14">
      <c r="A43" s="145" t="s">
        <v>1502</v>
      </c>
      <c r="B43" s="145" t="s">
        <v>1503</v>
      </c>
      <c r="C43" s="157"/>
      <c r="D43" s="140" t="s">
        <v>242</v>
      </c>
      <c r="E43" s="140"/>
      <c r="F43" s="153" t="s">
        <v>1494</v>
      </c>
      <c r="G43" s="145" t="s">
        <v>1504</v>
      </c>
      <c r="H43" s="240" t="s">
        <v>204</v>
      </c>
      <c r="I43" s="156"/>
      <c r="J43" s="155"/>
      <c r="K43" s="154" t="s">
        <v>191</v>
      </c>
      <c r="L43" s="143">
        <v>4</v>
      </c>
      <c r="M43" s="148">
        <v>4</v>
      </c>
      <c r="N43" s="148" t="s">
        <v>199</v>
      </c>
    </row>
    <row r="44" spans="1:14">
      <c r="A44" s="145" t="s">
        <v>1505</v>
      </c>
      <c r="B44" s="145" t="s">
        <v>1506</v>
      </c>
      <c r="C44" s="157"/>
      <c r="D44" s="140" t="s">
        <v>242</v>
      </c>
      <c r="E44" s="140"/>
      <c r="F44" s="153" t="s">
        <v>1494</v>
      </c>
      <c r="G44" s="145" t="s">
        <v>1507</v>
      </c>
      <c r="H44" s="240" t="s">
        <v>204</v>
      </c>
      <c r="I44" s="156"/>
      <c r="J44" s="155"/>
      <c r="K44" s="154" t="s">
        <v>191</v>
      </c>
      <c r="L44" s="143">
        <v>4</v>
      </c>
      <c r="M44" s="148">
        <v>4</v>
      </c>
      <c r="N44" s="149" t="s">
        <v>199</v>
      </c>
    </row>
    <row r="45" spans="1:14">
      <c r="A45" s="145" t="s">
        <v>1508</v>
      </c>
      <c r="B45" s="145" t="s">
        <v>1509</v>
      </c>
      <c r="C45" s="157"/>
      <c r="D45" s="140" t="s">
        <v>242</v>
      </c>
      <c r="E45" s="140"/>
      <c r="F45" s="153" t="s">
        <v>1494</v>
      </c>
      <c r="G45" s="145" t="s">
        <v>1510</v>
      </c>
      <c r="H45" s="240" t="s">
        <v>204</v>
      </c>
      <c r="I45" s="156"/>
      <c r="J45" s="155"/>
      <c r="K45" s="154" t="s">
        <v>191</v>
      </c>
      <c r="L45" s="143">
        <v>4</v>
      </c>
      <c r="M45" s="148">
        <v>4</v>
      </c>
      <c r="N45" s="148" t="s">
        <v>199</v>
      </c>
    </row>
    <row r="46" spans="1:14">
      <c r="A46" s="145" t="s">
        <v>1511</v>
      </c>
      <c r="B46" s="145" t="s">
        <v>1512</v>
      </c>
      <c r="C46" s="157"/>
      <c r="D46" s="140" t="s">
        <v>242</v>
      </c>
      <c r="E46" s="140"/>
      <c r="F46" s="153" t="s">
        <v>1494</v>
      </c>
      <c r="G46" s="145" t="s">
        <v>1513</v>
      </c>
      <c r="H46" s="240" t="s">
        <v>204</v>
      </c>
      <c r="I46" s="156"/>
      <c r="J46" s="155"/>
      <c r="K46" s="154" t="s">
        <v>191</v>
      </c>
      <c r="L46" s="143">
        <v>4</v>
      </c>
      <c r="M46" s="148">
        <v>4</v>
      </c>
      <c r="N46" s="149" t="s">
        <v>199</v>
      </c>
    </row>
    <row r="47" spans="1:14">
      <c r="A47" s="145" t="s">
        <v>1514</v>
      </c>
      <c r="B47" s="145" t="s">
        <v>1515</v>
      </c>
      <c r="C47" s="157"/>
      <c r="D47" s="140" t="s">
        <v>242</v>
      </c>
      <c r="E47" s="140"/>
      <c r="F47" s="153" t="s">
        <v>1494</v>
      </c>
      <c r="G47" s="145" t="s">
        <v>1516</v>
      </c>
      <c r="H47" s="240" t="s">
        <v>204</v>
      </c>
      <c r="I47" s="156"/>
      <c r="J47" s="155"/>
      <c r="K47" s="154" t="s">
        <v>191</v>
      </c>
      <c r="L47" s="143">
        <v>4</v>
      </c>
      <c r="M47" s="148">
        <v>4</v>
      </c>
      <c r="N47" s="148" t="s">
        <v>199</v>
      </c>
    </row>
    <row r="48" spans="1:14">
      <c r="A48" s="145" t="s">
        <v>1517</v>
      </c>
      <c r="B48" s="145" t="s">
        <v>1518</v>
      </c>
      <c r="C48" s="157"/>
      <c r="D48" s="140" t="s">
        <v>242</v>
      </c>
      <c r="E48" s="140"/>
      <c r="F48" s="153" t="s">
        <v>1494</v>
      </c>
      <c r="G48" s="145" t="s">
        <v>1519</v>
      </c>
      <c r="H48" s="240" t="s">
        <v>204</v>
      </c>
      <c r="I48" s="156"/>
      <c r="J48" s="155"/>
      <c r="K48" s="154" t="s">
        <v>191</v>
      </c>
      <c r="L48" s="143">
        <v>4</v>
      </c>
      <c r="M48" s="148">
        <v>4</v>
      </c>
      <c r="N48" s="149" t="s">
        <v>199</v>
      </c>
    </row>
    <row r="49" spans="1:14">
      <c r="A49" s="145" t="s">
        <v>1520</v>
      </c>
      <c r="B49" s="145" t="s">
        <v>1521</v>
      </c>
      <c r="C49" s="157"/>
      <c r="D49" s="140" t="s">
        <v>242</v>
      </c>
      <c r="E49" s="140"/>
      <c r="F49" s="153" t="s">
        <v>1494</v>
      </c>
      <c r="G49" s="145" t="s">
        <v>1522</v>
      </c>
      <c r="H49" s="240" t="s">
        <v>204</v>
      </c>
      <c r="I49" s="156"/>
      <c r="J49" s="155"/>
      <c r="K49" s="154" t="s">
        <v>191</v>
      </c>
      <c r="L49" s="143">
        <v>4</v>
      </c>
      <c r="M49" s="148">
        <v>4</v>
      </c>
      <c r="N49" s="148" t="s">
        <v>199</v>
      </c>
    </row>
    <row r="50" spans="1:14" ht="22.5">
      <c r="A50" s="140" t="s">
        <v>1523</v>
      </c>
      <c r="B50" s="140" t="s">
        <v>1524</v>
      </c>
      <c r="C50" s="152" t="s">
        <v>1525</v>
      </c>
      <c r="D50" s="140" t="s">
        <v>242</v>
      </c>
      <c r="E50" s="140"/>
      <c r="F50" s="153" t="s">
        <v>1526</v>
      </c>
      <c r="G50" s="140" t="s">
        <v>1527</v>
      </c>
      <c r="H50" s="229" t="s">
        <v>188</v>
      </c>
      <c r="I50" s="155" t="s">
        <v>1528</v>
      </c>
      <c r="J50" s="155"/>
      <c r="K50" s="154" t="s">
        <v>191</v>
      </c>
      <c r="L50" s="143">
        <v>4</v>
      </c>
      <c r="M50" s="148">
        <v>4</v>
      </c>
      <c r="N50" s="149" t="s">
        <v>199</v>
      </c>
    </row>
    <row r="51" spans="1:14" ht="22.5">
      <c r="A51" s="140" t="s">
        <v>1529</v>
      </c>
      <c r="B51" s="140" t="s">
        <v>1530</v>
      </c>
      <c r="C51" s="152" t="s">
        <v>1531</v>
      </c>
      <c r="D51" s="140" t="s">
        <v>242</v>
      </c>
      <c r="E51" s="140"/>
      <c r="F51" s="153" t="s">
        <v>1532</v>
      </c>
      <c r="G51" s="140" t="s">
        <v>1533</v>
      </c>
      <c r="H51" s="229" t="s">
        <v>188</v>
      </c>
      <c r="I51" s="155" t="s">
        <v>1534</v>
      </c>
      <c r="J51" s="155"/>
      <c r="K51" s="154" t="s">
        <v>191</v>
      </c>
      <c r="L51" s="143">
        <v>4</v>
      </c>
      <c r="M51" s="148">
        <v>4</v>
      </c>
      <c r="N51" s="148" t="s">
        <v>199</v>
      </c>
    </row>
    <row r="52" spans="1:14" ht="33.75">
      <c r="A52" s="140" t="s">
        <v>1535</v>
      </c>
      <c r="B52" s="140" t="s">
        <v>1536</v>
      </c>
      <c r="C52" s="152" t="s">
        <v>1537</v>
      </c>
      <c r="D52" s="140" t="s">
        <v>242</v>
      </c>
      <c r="E52" s="140"/>
      <c r="F52" s="153" t="s">
        <v>1442</v>
      </c>
      <c r="G52" s="140" t="s">
        <v>1538</v>
      </c>
      <c r="H52" s="229" t="s">
        <v>204</v>
      </c>
      <c r="I52" s="155" t="s">
        <v>1539</v>
      </c>
      <c r="J52" s="155"/>
      <c r="K52" s="154" t="s">
        <v>191</v>
      </c>
      <c r="L52" s="143">
        <v>4</v>
      </c>
      <c r="M52" s="148">
        <v>4</v>
      </c>
      <c r="N52" s="149" t="s">
        <v>199</v>
      </c>
    </row>
    <row r="53" spans="1:14" ht="22.5">
      <c r="A53" s="140" t="s">
        <v>1540</v>
      </c>
      <c r="B53" s="140" t="s">
        <v>1541</v>
      </c>
      <c r="C53" s="152" t="s">
        <v>1542</v>
      </c>
      <c r="D53" s="140" t="s">
        <v>242</v>
      </c>
      <c r="E53" s="140"/>
      <c r="F53" s="153" t="s">
        <v>1442</v>
      </c>
      <c r="G53" s="140" t="s">
        <v>1543</v>
      </c>
      <c r="H53" s="229" t="s">
        <v>188</v>
      </c>
      <c r="I53" s="155" t="s">
        <v>1453</v>
      </c>
      <c r="J53" s="155"/>
      <c r="K53" s="154" t="s">
        <v>191</v>
      </c>
      <c r="L53" s="143">
        <v>4</v>
      </c>
      <c r="M53" s="148">
        <v>4</v>
      </c>
      <c r="N53" s="148" t="s">
        <v>199</v>
      </c>
    </row>
    <row r="54" spans="1:14" ht="22.5">
      <c r="A54" s="140" t="s">
        <v>1544</v>
      </c>
      <c r="B54" s="140" t="s">
        <v>1545</v>
      </c>
      <c r="C54" s="152" t="s">
        <v>1546</v>
      </c>
      <c r="D54" s="140" t="s">
        <v>242</v>
      </c>
      <c r="E54" s="140"/>
      <c r="F54" s="153" t="s">
        <v>1442</v>
      </c>
      <c r="G54" s="140" t="s">
        <v>1547</v>
      </c>
      <c r="H54" s="229" t="s">
        <v>188</v>
      </c>
      <c r="I54" s="155" t="s">
        <v>1453</v>
      </c>
      <c r="J54" s="155"/>
      <c r="K54" s="154" t="s">
        <v>191</v>
      </c>
      <c r="L54" s="143">
        <v>4</v>
      </c>
      <c r="M54" s="148">
        <v>4</v>
      </c>
      <c r="N54" s="149" t="s">
        <v>199</v>
      </c>
    </row>
    <row r="55" spans="1:14" ht="22.5">
      <c r="A55" s="140" t="s">
        <v>1548</v>
      </c>
      <c r="B55" s="140" t="s">
        <v>1549</v>
      </c>
      <c r="C55" s="152" t="s">
        <v>1550</v>
      </c>
      <c r="D55" s="140" t="s">
        <v>242</v>
      </c>
      <c r="E55" s="140"/>
      <c r="F55" s="153" t="s">
        <v>1442</v>
      </c>
      <c r="G55" s="140" t="s">
        <v>1551</v>
      </c>
      <c r="H55" s="229" t="s">
        <v>188</v>
      </c>
      <c r="I55" s="155" t="s">
        <v>1453</v>
      </c>
      <c r="J55" s="155"/>
      <c r="K55" s="154" t="s">
        <v>191</v>
      </c>
      <c r="L55" s="143">
        <v>4</v>
      </c>
      <c r="M55" s="148">
        <v>4</v>
      </c>
      <c r="N55" s="148" t="s">
        <v>199</v>
      </c>
    </row>
    <row r="56" spans="1:14" ht="22.5">
      <c r="A56" s="140" t="s">
        <v>1552</v>
      </c>
      <c r="B56" s="140" t="s">
        <v>1553</v>
      </c>
      <c r="C56" s="152" t="s">
        <v>1554</v>
      </c>
      <c r="D56" s="140" t="s">
        <v>242</v>
      </c>
      <c r="E56" s="140"/>
      <c r="F56" s="153" t="s">
        <v>1442</v>
      </c>
      <c r="G56" s="140" t="s">
        <v>1555</v>
      </c>
      <c r="H56" s="229" t="s">
        <v>188</v>
      </c>
      <c r="I56" s="155" t="s">
        <v>1453</v>
      </c>
      <c r="J56" s="155"/>
      <c r="K56" s="154" t="s">
        <v>191</v>
      </c>
      <c r="L56" s="143">
        <v>4</v>
      </c>
      <c r="M56" s="148">
        <v>4</v>
      </c>
      <c r="N56" s="149" t="s">
        <v>199</v>
      </c>
    </row>
    <row r="57" spans="1:14" ht="123.75">
      <c r="A57" s="140" t="s">
        <v>1556</v>
      </c>
      <c r="B57" s="140" t="s">
        <v>1557</v>
      </c>
      <c r="C57" s="152" t="s">
        <v>1558</v>
      </c>
      <c r="D57" s="140" t="s">
        <v>242</v>
      </c>
      <c r="E57" s="140"/>
      <c r="F57" s="153" t="s">
        <v>1427</v>
      </c>
      <c r="G57" s="142" t="s">
        <v>1559</v>
      </c>
      <c r="H57" s="156" t="s">
        <v>204</v>
      </c>
      <c r="I57" s="155" t="s">
        <v>1560</v>
      </c>
      <c r="J57" s="155"/>
      <c r="K57" s="154" t="s">
        <v>191</v>
      </c>
      <c r="L57" s="143">
        <v>4</v>
      </c>
      <c r="M57" s="148">
        <v>4</v>
      </c>
      <c r="N57" s="148" t="s">
        <v>199</v>
      </c>
    </row>
    <row r="58" spans="1:14" ht="112.5">
      <c r="A58" s="140" t="s">
        <v>1561</v>
      </c>
      <c r="B58" s="140" t="s">
        <v>1562</v>
      </c>
      <c r="C58" s="152" t="s">
        <v>1563</v>
      </c>
      <c r="D58" s="140" t="s">
        <v>242</v>
      </c>
      <c r="E58" s="140"/>
      <c r="F58" s="153" t="s">
        <v>1564</v>
      </c>
      <c r="G58" s="140" t="s">
        <v>1565</v>
      </c>
      <c r="H58" s="229" t="s">
        <v>204</v>
      </c>
      <c r="I58" s="155" t="s">
        <v>1566</v>
      </c>
      <c r="J58" s="155"/>
      <c r="K58" s="154" t="s">
        <v>191</v>
      </c>
      <c r="L58" s="143">
        <v>4</v>
      </c>
      <c r="M58" s="148">
        <v>4</v>
      </c>
      <c r="N58" s="149" t="s">
        <v>199</v>
      </c>
    </row>
    <row r="59" spans="1:14" ht="123.75">
      <c r="A59" s="140" t="s">
        <v>1567</v>
      </c>
      <c r="B59" s="140" t="s">
        <v>1568</v>
      </c>
      <c r="C59" s="152" t="s">
        <v>1569</v>
      </c>
      <c r="D59" s="140" t="s">
        <v>242</v>
      </c>
      <c r="E59" s="140"/>
      <c r="F59" s="153" t="s">
        <v>1564</v>
      </c>
      <c r="G59" s="140" t="s">
        <v>1570</v>
      </c>
      <c r="H59" s="229" t="s">
        <v>204</v>
      </c>
      <c r="I59" s="155" t="s">
        <v>1571</v>
      </c>
      <c r="J59" s="155"/>
      <c r="K59" s="154" t="s">
        <v>191</v>
      </c>
      <c r="L59" s="143">
        <v>4</v>
      </c>
      <c r="M59" s="148">
        <v>4</v>
      </c>
      <c r="N59" s="148" t="s">
        <v>199</v>
      </c>
    </row>
    <row r="60" spans="1:14" ht="90">
      <c r="A60" s="140" t="s">
        <v>1572</v>
      </c>
      <c r="B60" s="140" t="s">
        <v>1573</v>
      </c>
      <c r="C60" s="152" t="s">
        <v>1574</v>
      </c>
      <c r="D60" s="140" t="s">
        <v>242</v>
      </c>
      <c r="E60" s="140"/>
      <c r="F60" s="153" t="s">
        <v>1442</v>
      </c>
      <c r="G60" s="140" t="s">
        <v>1575</v>
      </c>
      <c r="H60" s="229" t="s">
        <v>204</v>
      </c>
      <c r="I60" s="155" t="s">
        <v>1576</v>
      </c>
      <c r="J60" s="155"/>
      <c r="K60" s="154" t="s">
        <v>191</v>
      </c>
      <c r="L60" s="143">
        <v>4</v>
      </c>
      <c r="M60" s="148">
        <v>4</v>
      </c>
      <c r="N60" s="149" t="s">
        <v>199</v>
      </c>
    </row>
    <row r="61" spans="1:14" ht="146.25">
      <c r="A61" s="140" t="s">
        <v>1577</v>
      </c>
      <c r="B61" s="140" t="s">
        <v>1578</v>
      </c>
      <c r="C61" s="152" t="s">
        <v>1579</v>
      </c>
      <c r="D61" s="140" t="s">
        <v>242</v>
      </c>
      <c r="E61" s="140"/>
      <c r="F61" s="153" t="s">
        <v>1580</v>
      </c>
      <c r="G61" s="142" t="s">
        <v>1581</v>
      </c>
      <c r="H61" s="156" t="s">
        <v>204</v>
      </c>
      <c r="I61" s="155" t="s">
        <v>1582</v>
      </c>
      <c r="J61" s="155"/>
      <c r="K61" s="154" t="s">
        <v>191</v>
      </c>
      <c r="L61" s="143">
        <v>4</v>
      </c>
      <c r="M61" s="148">
        <v>4</v>
      </c>
      <c r="N61" s="148" t="s">
        <v>199</v>
      </c>
    </row>
    <row r="62" spans="1:14" ht="112.5">
      <c r="A62" s="140" t="s">
        <v>1583</v>
      </c>
      <c r="B62" s="140" t="s">
        <v>1584</v>
      </c>
      <c r="C62" s="152" t="s">
        <v>1585</v>
      </c>
      <c r="D62" s="140" t="s">
        <v>242</v>
      </c>
      <c r="E62" s="140"/>
      <c r="F62" s="153" t="s">
        <v>1564</v>
      </c>
      <c r="G62" s="140" t="s">
        <v>1586</v>
      </c>
      <c r="H62" s="229" t="s">
        <v>204</v>
      </c>
      <c r="I62" s="155" t="s">
        <v>1587</v>
      </c>
      <c r="J62" s="155"/>
      <c r="K62" s="154" t="s">
        <v>191</v>
      </c>
      <c r="L62" s="143">
        <v>4</v>
      </c>
      <c r="M62" s="148">
        <v>4</v>
      </c>
      <c r="N62" s="149" t="s">
        <v>199</v>
      </c>
    </row>
    <row r="63" spans="1:14" ht="78.75">
      <c r="A63" s="140" t="s">
        <v>1588</v>
      </c>
      <c r="B63" s="140" t="s">
        <v>1589</v>
      </c>
      <c r="C63" s="152" t="s">
        <v>1590</v>
      </c>
      <c r="D63" s="140" t="s">
        <v>242</v>
      </c>
      <c r="E63" s="140"/>
      <c r="F63" s="153" t="s">
        <v>1591</v>
      </c>
      <c r="G63" s="140" t="s">
        <v>1592</v>
      </c>
      <c r="H63" s="229" t="s">
        <v>204</v>
      </c>
      <c r="I63" s="155" t="s">
        <v>1593</v>
      </c>
      <c r="J63" s="155"/>
      <c r="K63" s="154" t="s">
        <v>191</v>
      </c>
      <c r="L63" s="143">
        <v>4</v>
      </c>
      <c r="M63" s="148">
        <v>4</v>
      </c>
      <c r="N63" s="148" t="s">
        <v>199</v>
      </c>
    </row>
    <row r="64" spans="1:14" ht="146.25">
      <c r="A64" s="140" t="s">
        <v>1594</v>
      </c>
      <c r="B64" s="140" t="s">
        <v>1595</v>
      </c>
      <c r="C64" s="152" t="s">
        <v>1596</v>
      </c>
      <c r="D64" s="140" t="s">
        <v>242</v>
      </c>
      <c r="E64" s="140"/>
      <c r="F64" s="153" t="s">
        <v>1597</v>
      </c>
      <c r="G64" s="142" t="s">
        <v>1598</v>
      </c>
      <c r="H64" s="156" t="s">
        <v>204</v>
      </c>
      <c r="I64" s="155" t="s">
        <v>1599</v>
      </c>
      <c r="J64" s="155"/>
      <c r="K64" s="154" t="s">
        <v>191</v>
      </c>
      <c r="L64" s="143">
        <v>4</v>
      </c>
      <c r="M64" s="148">
        <v>4</v>
      </c>
      <c r="N64" s="149" t="s">
        <v>199</v>
      </c>
    </row>
    <row r="65" spans="1:14" ht="101.25">
      <c r="A65" s="158" t="s">
        <v>1600</v>
      </c>
      <c r="B65" s="152" t="s">
        <v>1601</v>
      </c>
      <c r="C65" s="152" t="s">
        <v>1602</v>
      </c>
      <c r="D65" s="140" t="s">
        <v>242</v>
      </c>
      <c r="E65" s="140"/>
      <c r="F65" s="153" t="s">
        <v>1603</v>
      </c>
      <c r="G65" s="142" t="s">
        <v>1604</v>
      </c>
      <c r="H65" s="156" t="s">
        <v>204</v>
      </c>
      <c r="I65" s="155" t="s">
        <v>1605</v>
      </c>
      <c r="J65" s="155"/>
      <c r="K65" s="154" t="s">
        <v>191</v>
      </c>
      <c r="L65" s="143">
        <v>4</v>
      </c>
      <c r="M65" s="148">
        <v>4</v>
      </c>
      <c r="N65" s="148" t="s">
        <v>199</v>
      </c>
    </row>
    <row r="66" spans="1:14" ht="146.25">
      <c r="A66" s="140" t="s">
        <v>1606</v>
      </c>
      <c r="B66" s="142" t="s">
        <v>1607</v>
      </c>
      <c r="C66" s="152" t="s">
        <v>1608</v>
      </c>
      <c r="D66" s="140" t="s">
        <v>242</v>
      </c>
      <c r="E66" s="140"/>
      <c r="F66" s="153" t="s">
        <v>1609</v>
      </c>
      <c r="G66" s="142" t="s">
        <v>1604</v>
      </c>
      <c r="H66" s="156" t="s">
        <v>204</v>
      </c>
      <c r="I66" s="155" t="s">
        <v>1610</v>
      </c>
      <c r="J66" s="155"/>
      <c r="K66" s="154" t="s">
        <v>191</v>
      </c>
      <c r="L66" s="143">
        <v>4</v>
      </c>
      <c r="M66" s="148">
        <v>4</v>
      </c>
      <c r="N66" s="149" t="s">
        <v>199</v>
      </c>
    </row>
    <row r="67" spans="1:14" ht="101.25">
      <c r="A67" s="140" t="s">
        <v>1611</v>
      </c>
      <c r="B67" s="140" t="s">
        <v>1612</v>
      </c>
      <c r="C67" s="152" t="s">
        <v>1613</v>
      </c>
      <c r="D67" s="140" t="s">
        <v>242</v>
      </c>
      <c r="E67" s="140"/>
      <c r="F67" s="153" t="s">
        <v>1564</v>
      </c>
      <c r="G67" s="140" t="s">
        <v>1614</v>
      </c>
      <c r="H67" s="229" t="s">
        <v>204</v>
      </c>
      <c r="I67" s="155" t="s">
        <v>1615</v>
      </c>
      <c r="J67" s="155"/>
      <c r="K67" s="154" t="s">
        <v>191</v>
      </c>
      <c r="L67" s="143">
        <v>4</v>
      </c>
      <c r="M67" s="148">
        <v>4</v>
      </c>
      <c r="N67" s="148" t="s">
        <v>199</v>
      </c>
    </row>
    <row r="68" spans="1:14" ht="101.25">
      <c r="A68" s="140" t="s">
        <v>1616</v>
      </c>
      <c r="B68" s="140" t="s">
        <v>1617</v>
      </c>
      <c r="C68" s="152" t="s">
        <v>1618</v>
      </c>
      <c r="D68" s="140" t="s">
        <v>242</v>
      </c>
      <c r="E68" s="140"/>
      <c r="F68" s="153" t="s">
        <v>1564</v>
      </c>
      <c r="G68" s="140" t="s">
        <v>1619</v>
      </c>
      <c r="H68" s="229" t="s">
        <v>204</v>
      </c>
      <c r="I68" s="155" t="s">
        <v>1615</v>
      </c>
      <c r="J68" s="155"/>
      <c r="K68" s="154" t="s">
        <v>191</v>
      </c>
      <c r="L68" s="143">
        <v>4</v>
      </c>
      <c r="M68" s="148">
        <v>4</v>
      </c>
      <c r="N68" s="149" t="s">
        <v>199</v>
      </c>
    </row>
    <row r="69" spans="1:14" ht="101.25">
      <c r="A69" s="140" t="s">
        <v>1620</v>
      </c>
      <c r="B69" s="140" t="s">
        <v>1621</v>
      </c>
      <c r="C69" s="152" t="s">
        <v>1622</v>
      </c>
      <c r="D69" s="140" t="s">
        <v>242</v>
      </c>
      <c r="E69" s="140"/>
      <c r="F69" s="153" t="s">
        <v>1564</v>
      </c>
      <c r="G69" s="140" t="s">
        <v>1623</v>
      </c>
      <c r="H69" s="229" t="s">
        <v>204</v>
      </c>
      <c r="I69" s="155" t="s">
        <v>1615</v>
      </c>
      <c r="J69" s="155"/>
      <c r="K69" s="154" t="s">
        <v>191</v>
      </c>
      <c r="L69" s="143">
        <v>4</v>
      </c>
      <c r="M69" s="148">
        <v>4</v>
      </c>
      <c r="N69" s="148" t="s">
        <v>199</v>
      </c>
    </row>
    <row r="70" spans="1:14" ht="101.25">
      <c r="A70" s="140" t="s">
        <v>1624</v>
      </c>
      <c r="B70" s="140" t="s">
        <v>1625</v>
      </c>
      <c r="C70" s="152" t="s">
        <v>1626</v>
      </c>
      <c r="D70" s="140" t="s">
        <v>242</v>
      </c>
      <c r="E70" s="140"/>
      <c r="F70" s="153" t="s">
        <v>1564</v>
      </c>
      <c r="G70" s="140" t="s">
        <v>1627</v>
      </c>
      <c r="H70" s="229" t="s">
        <v>204</v>
      </c>
      <c r="I70" s="155" t="s">
        <v>1615</v>
      </c>
      <c r="J70" s="155"/>
      <c r="K70" s="154" t="s">
        <v>191</v>
      </c>
      <c r="L70" s="143">
        <v>4</v>
      </c>
      <c r="M70" s="148">
        <v>4</v>
      </c>
      <c r="N70" s="149" t="s">
        <v>199</v>
      </c>
    </row>
    <row r="71" spans="1:14" ht="112.5">
      <c r="A71" s="140" t="s">
        <v>1628</v>
      </c>
      <c r="B71" s="140" t="s">
        <v>1629</v>
      </c>
      <c r="C71" s="152" t="s">
        <v>1630</v>
      </c>
      <c r="D71" s="140" t="s">
        <v>242</v>
      </c>
      <c r="E71" s="140"/>
      <c r="F71" s="153" t="s">
        <v>1564</v>
      </c>
      <c r="G71" s="140" t="s">
        <v>1631</v>
      </c>
      <c r="H71" s="229" t="s">
        <v>204</v>
      </c>
      <c r="I71" s="155" t="s">
        <v>1587</v>
      </c>
      <c r="J71" s="155"/>
      <c r="K71" s="154" t="s">
        <v>191</v>
      </c>
      <c r="L71" s="143">
        <v>4</v>
      </c>
      <c r="M71" s="148">
        <v>4</v>
      </c>
      <c r="N71" s="148" t="s">
        <v>199</v>
      </c>
    </row>
    <row r="72" spans="1:14" ht="146.25">
      <c r="A72" s="140" t="s">
        <v>1632</v>
      </c>
      <c r="B72" s="140" t="s">
        <v>1633</v>
      </c>
      <c r="C72" s="152" t="s">
        <v>1634</v>
      </c>
      <c r="D72" s="140" t="s">
        <v>242</v>
      </c>
      <c r="E72" s="140"/>
      <c r="F72" s="153" t="s">
        <v>1597</v>
      </c>
      <c r="G72" s="142" t="s">
        <v>1635</v>
      </c>
      <c r="H72" s="156" t="s">
        <v>204</v>
      </c>
      <c r="I72" s="155" t="s">
        <v>1636</v>
      </c>
      <c r="J72" s="155"/>
      <c r="K72" s="154" t="s">
        <v>191</v>
      </c>
      <c r="L72" s="143">
        <v>4</v>
      </c>
      <c r="M72" s="148">
        <v>4</v>
      </c>
      <c r="N72" s="149" t="s">
        <v>199</v>
      </c>
    </row>
    <row r="73" spans="1:14" ht="123.75">
      <c r="A73" s="140" t="s">
        <v>1637</v>
      </c>
      <c r="B73" s="140" t="s">
        <v>1638</v>
      </c>
      <c r="C73" s="152" t="s">
        <v>1639</v>
      </c>
      <c r="D73" s="140" t="s">
        <v>242</v>
      </c>
      <c r="E73" s="140"/>
      <c r="F73" s="153" t="s">
        <v>1597</v>
      </c>
      <c r="G73" s="142" t="s">
        <v>1640</v>
      </c>
      <c r="H73" s="156" t="s">
        <v>204</v>
      </c>
      <c r="I73" s="155" t="s">
        <v>1641</v>
      </c>
      <c r="J73" s="155"/>
      <c r="K73" s="154" t="s">
        <v>191</v>
      </c>
      <c r="L73" s="143">
        <v>4</v>
      </c>
      <c r="M73" s="148">
        <v>4</v>
      </c>
      <c r="N73" s="148" t="s">
        <v>199</v>
      </c>
    </row>
    <row r="74" spans="1:14" ht="123.75">
      <c r="A74" s="140" t="s">
        <v>1642</v>
      </c>
      <c r="B74" s="140" t="s">
        <v>1643</v>
      </c>
      <c r="C74" s="152" t="s">
        <v>1644</v>
      </c>
      <c r="D74" s="140" t="s">
        <v>242</v>
      </c>
      <c r="E74" s="140"/>
      <c r="F74" s="153" t="s">
        <v>1597</v>
      </c>
      <c r="G74" s="142" t="s">
        <v>1645</v>
      </c>
      <c r="H74" s="156" t="s">
        <v>204</v>
      </c>
      <c r="I74" s="155" t="s">
        <v>1641</v>
      </c>
      <c r="J74" s="155"/>
      <c r="K74" s="154" t="s">
        <v>191</v>
      </c>
      <c r="L74" s="143">
        <v>4</v>
      </c>
      <c r="M74" s="148">
        <v>4</v>
      </c>
      <c r="N74" s="149" t="s">
        <v>199</v>
      </c>
    </row>
    <row r="75" spans="1:14" ht="123.75">
      <c r="A75" s="140" t="s">
        <v>1646</v>
      </c>
      <c r="B75" s="140" t="s">
        <v>1647</v>
      </c>
      <c r="C75" s="152" t="s">
        <v>1648</v>
      </c>
      <c r="D75" s="140" t="s">
        <v>242</v>
      </c>
      <c r="E75" s="140"/>
      <c r="F75" s="153" t="s">
        <v>1597</v>
      </c>
      <c r="G75" s="142" t="s">
        <v>1649</v>
      </c>
      <c r="H75" s="156" t="s">
        <v>204</v>
      </c>
      <c r="I75" s="155" t="s">
        <v>1641</v>
      </c>
      <c r="J75" s="155"/>
      <c r="K75" s="154" t="s">
        <v>191</v>
      </c>
      <c r="L75" s="143">
        <v>4</v>
      </c>
      <c r="M75" s="148">
        <v>4</v>
      </c>
      <c r="N75" s="148" t="s">
        <v>199</v>
      </c>
    </row>
    <row r="76" spans="1:14" ht="123.75">
      <c r="A76" s="140" t="s">
        <v>1650</v>
      </c>
      <c r="B76" s="140" t="s">
        <v>1651</v>
      </c>
      <c r="C76" s="152" t="s">
        <v>1652</v>
      </c>
      <c r="D76" s="140" t="s">
        <v>242</v>
      </c>
      <c r="E76" s="140"/>
      <c r="F76" s="153" t="s">
        <v>1597</v>
      </c>
      <c r="G76" s="142" t="s">
        <v>1653</v>
      </c>
      <c r="H76" s="156" t="s">
        <v>204</v>
      </c>
      <c r="I76" s="155" t="s">
        <v>1641</v>
      </c>
      <c r="J76" s="155"/>
      <c r="K76" s="154" t="s">
        <v>191</v>
      </c>
      <c r="L76" s="143">
        <v>4</v>
      </c>
      <c r="M76" s="148">
        <v>4</v>
      </c>
      <c r="N76" s="149" t="s">
        <v>199</v>
      </c>
    </row>
    <row r="77" spans="1:14" ht="112.5">
      <c r="A77" s="159" t="s">
        <v>1654</v>
      </c>
      <c r="B77" s="159" t="s">
        <v>1655</v>
      </c>
      <c r="C77" s="152" t="s">
        <v>1656</v>
      </c>
      <c r="D77" s="140" t="s">
        <v>242</v>
      </c>
      <c r="E77" s="140"/>
      <c r="F77" s="153" t="s">
        <v>1597</v>
      </c>
      <c r="G77" s="160" t="s">
        <v>1657</v>
      </c>
      <c r="H77" s="230" t="s">
        <v>204</v>
      </c>
      <c r="I77" s="155" t="s">
        <v>1658</v>
      </c>
      <c r="J77" s="155"/>
      <c r="K77" s="154" t="s">
        <v>191</v>
      </c>
      <c r="L77" s="143">
        <v>4</v>
      </c>
      <c r="M77" s="148">
        <v>4</v>
      </c>
      <c r="N77" s="148" t="s">
        <v>199</v>
      </c>
    </row>
    <row r="78" spans="1:14">
      <c r="A78" s="140" t="s">
        <v>1659</v>
      </c>
      <c r="B78" s="142" t="s">
        <v>1660</v>
      </c>
      <c r="C78" s="140" t="s">
        <v>135</v>
      </c>
      <c r="D78" s="140" t="s">
        <v>242</v>
      </c>
      <c r="E78" s="140"/>
      <c r="F78" s="153" t="s">
        <v>1609</v>
      </c>
      <c r="G78" s="142" t="s">
        <v>1661</v>
      </c>
      <c r="H78" s="230" t="s">
        <v>204</v>
      </c>
      <c r="I78" s="155" t="s">
        <v>1662</v>
      </c>
      <c r="J78" s="155"/>
      <c r="K78" s="154" t="s">
        <v>191</v>
      </c>
      <c r="L78" s="143">
        <v>4</v>
      </c>
      <c r="M78" s="148">
        <v>4</v>
      </c>
      <c r="N78" s="149" t="s">
        <v>199</v>
      </c>
    </row>
    <row r="79" spans="1:14">
      <c r="A79" s="140" t="s">
        <v>1663</v>
      </c>
      <c r="B79" s="142" t="s">
        <v>1664</v>
      </c>
      <c r="C79" s="140" t="s">
        <v>135</v>
      </c>
      <c r="D79" s="140" t="s">
        <v>242</v>
      </c>
      <c r="E79" s="140"/>
      <c r="F79" s="153" t="s">
        <v>1609</v>
      </c>
      <c r="G79" s="142" t="s">
        <v>1665</v>
      </c>
      <c r="H79" s="230" t="s">
        <v>204</v>
      </c>
      <c r="I79" s="155" t="s">
        <v>1666</v>
      </c>
      <c r="J79" s="155"/>
      <c r="K79" s="154" t="s">
        <v>191</v>
      </c>
      <c r="L79" s="143">
        <v>4</v>
      </c>
      <c r="M79" s="148">
        <v>4</v>
      </c>
      <c r="N79" s="148" t="s">
        <v>199</v>
      </c>
    </row>
    <row r="80" spans="1:14">
      <c r="A80" s="140" t="s">
        <v>1667</v>
      </c>
      <c r="B80" s="142" t="s">
        <v>1668</v>
      </c>
      <c r="C80" s="140" t="s">
        <v>135</v>
      </c>
      <c r="D80" s="140" t="s">
        <v>242</v>
      </c>
      <c r="E80" s="140"/>
      <c r="F80" s="153" t="s">
        <v>1609</v>
      </c>
      <c r="G80" s="142" t="s">
        <v>1669</v>
      </c>
      <c r="H80" s="230" t="s">
        <v>204</v>
      </c>
      <c r="I80" s="155" t="s">
        <v>1666</v>
      </c>
      <c r="J80" s="155"/>
      <c r="K80" s="154" t="s">
        <v>191</v>
      </c>
      <c r="L80" s="143">
        <v>4</v>
      </c>
      <c r="M80" s="148">
        <v>4</v>
      </c>
      <c r="N80" s="149" t="s">
        <v>199</v>
      </c>
    </row>
    <row r="81" spans="1:14">
      <c r="A81" s="140" t="s">
        <v>1670</v>
      </c>
      <c r="B81" s="142" t="s">
        <v>1671</v>
      </c>
      <c r="C81" s="140" t="s">
        <v>135</v>
      </c>
      <c r="D81" s="140" t="s">
        <v>242</v>
      </c>
      <c r="E81" s="140"/>
      <c r="F81" s="153" t="s">
        <v>1609</v>
      </c>
      <c r="G81" s="142" t="s">
        <v>1672</v>
      </c>
      <c r="H81" s="230" t="s">
        <v>204</v>
      </c>
      <c r="I81" s="155" t="s">
        <v>1666</v>
      </c>
      <c r="J81" s="155"/>
      <c r="K81" s="154" t="s">
        <v>191</v>
      </c>
      <c r="L81" s="143">
        <v>4</v>
      </c>
      <c r="M81" s="148">
        <v>4</v>
      </c>
      <c r="N81" s="148" t="s">
        <v>199</v>
      </c>
    </row>
    <row r="82" spans="1:14">
      <c r="A82" s="140" t="s">
        <v>1673</v>
      </c>
      <c r="B82" s="142" t="s">
        <v>1674</v>
      </c>
      <c r="C82" s="140" t="s">
        <v>135</v>
      </c>
      <c r="D82" s="140" t="s">
        <v>242</v>
      </c>
      <c r="E82" s="140"/>
      <c r="F82" s="153" t="s">
        <v>1609</v>
      </c>
      <c r="G82" s="142" t="s">
        <v>1675</v>
      </c>
      <c r="H82" s="230" t="s">
        <v>204</v>
      </c>
      <c r="I82" s="155" t="s">
        <v>1666</v>
      </c>
      <c r="J82" s="155"/>
      <c r="K82" s="154" t="s">
        <v>191</v>
      </c>
      <c r="L82" s="143">
        <v>4</v>
      </c>
      <c r="M82" s="148">
        <v>4</v>
      </c>
      <c r="N82" s="149" t="s">
        <v>199</v>
      </c>
    </row>
    <row r="83" spans="1:14">
      <c r="A83" s="140" t="s">
        <v>1676</v>
      </c>
      <c r="B83" s="142" t="s">
        <v>1677</v>
      </c>
      <c r="C83" s="140" t="s">
        <v>135</v>
      </c>
      <c r="D83" s="140" t="s">
        <v>242</v>
      </c>
      <c r="E83" s="140"/>
      <c r="F83" s="153" t="s">
        <v>1609</v>
      </c>
      <c r="G83" s="142" t="s">
        <v>1678</v>
      </c>
      <c r="H83" s="230" t="s">
        <v>204</v>
      </c>
      <c r="I83" s="155" t="s">
        <v>1662</v>
      </c>
      <c r="J83" s="155"/>
      <c r="K83" s="154" t="s">
        <v>191</v>
      </c>
      <c r="L83" s="143">
        <v>4</v>
      </c>
      <c r="M83" s="148">
        <v>4</v>
      </c>
      <c r="N83" s="148" t="s">
        <v>199</v>
      </c>
    </row>
    <row r="84" spans="1:14">
      <c r="A84" s="140" t="s">
        <v>1679</v>
      </c>
      <c r="B84" s="142" t="s">
        <v>1680</v>
      </c>
      <c r="C84" s="140" t="s">
        <v>135</v>
      </c>
      <c r="D84" s="140" t="s">
        <v>242</v>
      </c>
      <c r="E84" s="140"/>
      <c r="F84" s="153" t="s">
        <v>1609</v>
      </c>
      <c r="G84" s="142" t="s">
        <v>1681</v>
      </c>
      <c r="H84" s="230" t="s">
        <v>204</v>
      </c>
      <c r="I84" s="155" t="s">
        <v>1666</v>
      </c>
      <c r="J84" s="155"/>
      <c r="K84" s="154" t="s">
        <v>191</v>
      </c>
      <c r="L84" s="143">
        <v>4</v>
      </c>
      <c r="M84" s="148">
        <v>4</v>
      </c>
      <c r="N84" s="149" t="s">
        <v>199</v>
      </c>
    </row>
    <row r="85" spans="1:14">
      <c r="A85" s="140" t="s">
        <v>1682</v>
      </c>
      <c r="B85" s="142" t="s">
        <v>1683</v>
      </c>
      <c r="C85" s="140" t="s">
        <v>135</v>
      </c>
      <c r="D85" s="140" t="s">
        <v>242</v>
      </c>
      <c r="E85" s="140"/>
      <c r="F85" s="153" t="s">
        <v>1609</v>
      </c>
      <c r="G85" s="142" t="s">
        <v>1684</v>
      </c>
      <c r="H85" s="230" t="s">
        <v>204</v>
      </c>
      <c r="I85" s="155" t="s">
        <v>1666</v>
      </c>
      <c r="J85" s="155"/>
      <c r="K85" s="154" t="s">
        <v>191</v>
      </c>
      <c r="L85" s="143">
        <v>4</v>
      </c>
      <c r="M85" s="148">
        <v>4</v>
      </c>
      <c r="N85" s="148" t="s">
        <v>199</v>
      </c>
    </row>
    <row r="86" spans="1:14">
      <c r="A86" s="140" t="s">
        <v>1685</v>
      </c>
      <c r="B86" s="142" t="s">
        <v>1686</v>
      </c>
      <c r="C86" s="140" t="s">
        <v>135</v>
      </c>
      <c r="D86" s="140" t="s">
        <v>242</v>
      </c>
      <c r="E86" s="140"/>
      <c r="F86" s="153" t="s">
        <v>1609</v>
      </c>
      <c r="G86" s="142" t="s">
        <v>1687</v>
      </c>
      <c r="H86" s="230" t="s">
        <v>204</v>
      </c>
      <c r="I86" s="155" t="s">
        <v>1666</v>
      </c>
      <c r="J86" s="155"/>
      <c r="K86" s="154" t="s">
        <v>191</v>
      </c>
      <c r="L86" s="143">
        <v>4</v>
      </c>
      <c r="M86" s="148">
        <v>4</v>
      </c>
      <c r="N86" s="149" t="s">
        <v>199</v>
      </c>
    </row>
    <row r="87" spans="1:14" ht="22.5">
      <c r="A87" s="140" t="s">
        <v>1688</v>
      </c>
      <c r="B87" s="142" t="s">
        <v>1689</v>
      </c>
      <c r="C87" s="140" t="s">
        <v>135</v>
      </c>
      <c r="D87" s="140" t="s">
        <v>242</v>
      </c>
      <c r="E87" s="140"/>
      <c r="F87" s="153" t="s">
        <v>1609</v>
      </c>
      <c r="G87" s="142" t="s">
        <v>1690</v>
      </c>
      <c r="H87" s="230" t="s">
        <v>204</v>
      </c>
      <c r="I87" s="155" t="s">
        <v>1691</v>
      </c>
      <c r="J87" s="155"/>
      <c r="K87" s="154" t="s">
        <v>191</v>
      </c>
      <c r="L87" s="143">
        <v>4</v>
      </c>
      <c r="M87" s="148">
        <v>4</v>
      </c>
      <c r="N87" s="148" t="s">
        <v>199</v>
      </c>
    </row>
    <row r="88" spans="1:14">
      <c r="A88" s="161" t="s">
        <v>1692</v>
      </c>
      <c r="B88" s="161" t="s">
        <v>1693</v>
      </c>
      <c r="C88" s="140" t="s">
        <v>1694</v>
      </c>
      <c r="D88" s="140" t="s">
        <v>242</v>
      </c>
      <c r="E88" s="140"/>
      <c r="F88" s="153" t="s">
        <v>1695</v>
      </c>
      <c r="G88" s="162" t="s">
        <v>1696</v>
      </c>
      <c r="H88" s="230" t="s">
        <v>204</v>
      </c>
      <c r="I88" s="155" t="s">
        <v>1697</v>
      </c>
      <c r="J88" s="155"/>
      <c r="K88" s="154" t="s">
        <v>191</v>
      </c>
      <c r="L88" s="143">
        <v>4</v>
      </c>
      <c r="M88" s="148">
        <v>4</v>
      </c>
      <c r="N88" s="149" t="s">
        <v>199</v>
      </c>
    </row>
    <row r="89" spans="1:14">
      <c r="A89" s="140" t="s">
        <v>1698</v>
      </c>
      <c r="B89" s="140" t="s">
        <v>1699</v>
      </c>
      <c r="C89" s="140" t="s">
        <v>1700</v>
      </c>
      <c r="D89" s="140" t="s">
        <v>242</v>
      </c>
      <c r="E89" s="140"/>
      <c r="F89" s="153" t="s">
        <v>1695</v>
      </c>
      <c r="G89" s="142" t="s">
        <v>1701</v>
      </c>
      <c r="H89" s="230" t="s">
        <v>204</v>
      </c>
      <c r="I89" s="155" t="s">
        <v>1697</v>
      </c>
      <c r="J89" s="155"/>
      <c r="K89" s="154" t="s">
        <v>191</v>
      </c>
      <c r="L89" s="143">
        <v>4</v>
      </c>
      <c r="M89" s="148">
        <v>4</v>
      </c>
      <c r="N89" s="148" t="s">
        <v>199</v>
      </c>
    </row>
    <row r="90" spans="1:14" ht="22.5">
      <c r="A90" s="140" t="s">
        <v>1702</v>
      </c>
      <c r="B90" s="142" t="s">
        <v>1703</v>
      </c>
      <c r="C90" s="140" t="s">
        <v>1704</v>
      </c>
      <c r="D90" s="140" t="s">
        <v>242</v>
      </c>
      <c r="E90" s="140"/>
      <c r="F90" s="153" t="s">
        <v>1705</v>
      </c>
      <c r="G90" s="142" t="s">
        <v>1706</v>
      </c>
      <c r="H90" s="230" t="s">
        <v>204</v>
      </c>
      <c r="I90" s="155" t="s">
        <v>1707</v>
      </c>
      <c r="J90" s="155"/>
      <c r="K90" s="154" t="s">
        <v>191</v>
      </c>
      <c r="L90" s="143">
        <v>4</v>
      </c>
      <c r="M90" s="148">
        <v>4</v>
      </c>
      <c r="N90" s="149" t="s">
        <v>199</v>
      </c>
    </row>
    <row r="91" spans="1:14">
      <c r="A91" s="140" t="s">
        <v>1708</v>
      </c>
      <c r="B91" s="140" t="s">
        <v>1709</v>
      </c>
      <c r="C91" s="140" t="s">
        <v>1710</v>
      </c>
      <c r="D91" s="140" t="s">
        <v>242</v>
      </c>
      <c r="E91" s="140"/>
      <c r="F91" s="153" t="s">
        <v>1695</v>
      </c>
      <c r="G91" s="142" t="s">
        <v>1711</v>
      </c>
      <c r="H91" s="230" t="s">
        <v>204</v>
      </c>
      <c r="I91" s="155" t="s">
        <v>1697</v>
      </c>
      <c r="J91" s="155"/>
      <c r="K91" s="154" t="s">
        <v>191</v>
      </c>
      <c r="L91" s="143">
        <v>4</v>
      </c>
      <c r="M91" s="148">
        <v>4</v>
      </c>
      <c r="N91" s="148" t="s">
        <v>199</v>
      </c>
    </row>
    <row r="92" spans="1:14">
      <c r="A92" s="140" t="s">
        <v>1712</v>
      </c>
      <c r="B92" s="140" t="s">
        <v>1713</v>
      </c>
      <c r="C92" s="140" t="s">
        <v>1714</v>
      </c>
      <c r="D92" s="140" t="s">
        <v>242</v>
      </c>
      <c r="E92" s="140"/>
      <c r="F92" s="153" t="s">
        <v>1695</v>
      </c>
      <c r="G92" s="142" t="s">
        <v>1715</v>
      </c>
      <c r="H92" s="230" t="s">
        <v>204</v>
      </c>
      <c r="I92" s="155" t="s">
        <v>1716</v>
      </c>
      <c r="J92" s="155"/>
      <c r="K92" s="154" t="s">
        <v>191</v>
      </c>
      <c r="L92" s="143">
        <v>4</v>
      </c>
      <c r="M92" s="148">
        <v>4</v>
      </c>
      <c r="N92" s="149" t="s">
        <v>199</v>
      </c>
    </row>
    <row r="93" spans="1:14" ht="22.5">
      <c r="A93" s="140" t="s">
        <v>1717</v>
      </c>
      <c r="B93" s="140" t="s">
        <v>1718</v>
      </c>
      <c r="C93" s="140" t="s">
        <v>1719</v>
      </c>
      <c r="D93" s="140" t="s">
        <v>242</v>
      </c>
      <c r="E93" s="140"/>
      <c r="F93" s="153" t="s">
        <v>1695</v>
      </c>
      <c r="G93" s="142" t="s">
        <v>1720</v>
      </c>
      <c r="H93" s="173" t="s">
        <v>198</v>
      </c>
      <c r="I93" s="163"/>
      <c r="J93" s="163"/>
      <c r="K93" s="154" t="s">
        <v>191</v>
      </c>
      <c r="L93" s="143">
        <v>4</v>
      </c>
      <c r="M93" s="148">
        <v>4</v>
      </c>
      <c r="N93" s="148" t="s">
        <v>199</v>
      </c>
    </row>
    <row r="94" spans="1:14" ht="22.5">
      <c r="A94" s="140" t="s">
        <v>1721</v>
      </c>
      <c r="B94" s="140" t="s">
        <v>1722</v>
      </c>
      <c r="C94" s="140" t="s">
        <v>135</v>
      </c>
      <c r="D94" s="140" t="s">
        <v>242</v>
      </c>
      <c r="E94" s="140"/>
      <c r="F94" s="153" t="s">
        <v>1723</v>
      </c>
      <c r="G94" s="142" t="s">
        <v>1724</v>
      </c>
      <c r="H94" s="156" t="s">
        <v>198</v>
      </c>
      <c r="I94" s="155"/>
      <c r="J94" s="155"/>
      <c r="K94" s="154" t="s">
        <v>191</v>
      </c>
      <c r="L94" s="143">
        <v>4</v>
      </c>
      <c r="M94" s="148">
        <v>4</v>
      </c>
      <c r="N94" s="149" t="s">
        <v>199</v>
      </c>
    </row>
    <row r="95" spans="1:14" ht="33.75">
      <c r="A95" s="140" t="s">
        <v>1725</v>
      </c>
      <c r="B95" s="140" t="s">
        <v>784</v>
      </c>
      <c r="C95" s="140" t="s">
        <v>135</v>
      </c>
      <c r="D95" s="140" t="s">
        <v>242</v>
      </c>
      <c r="E95" s="140"/>
      <c r="F95" s="153" t="s">
        <v>1726</v>
      </c>
      <c r="G95" s="142" t="s">
        <v>1727</v>
      </c>
      <c r="H95" s="156" t="s">
        <v>188</v>
      </c>
      <c r="I95" s="155" t="s">
        <v>1453</v>
      </c>
      <c r="J95" s="155"/>
      <c r="K95" s="154" t="s">
        <v>191</v>
      </c>
      <c r="L95" s="143">
        <v>4</v>
      </c>
      <c r="M95" s="148">
        <v>4</v>
      </c>
      <c r="N95" s="148" t="s">
        <v>199</v>
      </c>
    </row>
    <row r="96" spans="1:14" ht="22.5">
      <c r="A96" s="140" t="s">
        <v>1728</v>
      </c>
      <c r="B96" s="140" t="s">
        <v>1729</v>
      </c>
      <c r="C96" s="140" t="s">
        <v>1730</v>
      </c>
      <c r="D96" s="140" t="s">
        <v>242</v>
      </c>
      <c r="E96" s="140"/>
      <c r="F96" s="153" t="s">
        <v>1695</v>
      </c>
      <c r="G96" s="142" t="s">
        <v>1731</v>
      </c>
      <c r="H96" s="156" t="s">
        <v>188</v>
      </c>
      <c r="I96" s="155" t="s">
        <v>1453</v>
      </c>
      <c r="J96" s="155"/>
      <c r="K96" s="154" t="s">
        <v>191</v>
      </c>
      <c r="L96" s="143">
        <v>4</v>
      </c>
      <c r="M96" s="148">
        <v>4</v>
      </c>
      <c r="N96" s="149" t="s">
        <v>199</v>
      </c>
    </row>
    <row r="97" spans="1:14" ht="22.5">
      <c r="A97" s="140" t="s">
        <v>1732</v>
      </c>
      <c r="B97" s="140" t="s">
        <v>1733</v>
      </c>
      <c r="C97" s="140" t="s">
        <v>1734</v>
      </c>
      <c r="D97" s="140" t="s">
        <v>242</v>
      </c>
      <c r="E97" s="140"/>
      <c r="F97" s="153" t="s">
        <v>1695</v>
      </c>
      <c r="G97" s="142" t="s">
        <v>1735</v>
      </c>
      <c r="H97" s="156" t="s">
        <v>188</v>
      </c>
      <c r="I97" s="155" t="s">
        <v>1453</v>
      </c>
      <c r="J97" s="155"/>
      <c r="K97" s="154" t="s">
        <v>191</v>
      </c>
      <c r="L97" s="143">
        <v>4</v>
      </c>
      <c r="M97" s="148">
        <v>4</v>
      </c>
      <c r="N97" s="148" t="s">
        <v>199</v>
      </c>
    </row>
    <row r="98" spans="1:14" ht="22.5">
      <c r="A98" s="140" t="s">
        <v>1736</v>
      </c>
      <c r="B98" s="140" t="s">
        <v>1737</v>
      </c>
      <c r="C98" s="140" t="s">
        <v>1738</v>
      </c>
      <c r="D98" s="140" t="s">
        <v>242</v>
      </c>
      <c r="E98" s="140"/>
      <c r="F98" s="153" t="s">
        <v>1695</v>
      </c>
      <c r="G98" s="142" t="s">
        <v>1739</v>
      </c>
      <c r="H98" s="156" t="s">
        <v>188</v>
      </c>
      <c r="I98" s="155" t="s">
        <v>1453</v>
      </c>
      <c r="J98" s="155"/>
      <c r="K98" s="154" t="s">
        <v>191</v>
      </c>
      <c r="L98" s="143">
        <v>4</v>
      </c>
      <c r="M98" s="148">
        <v>4</v>
      </c>
      <c r="N98" s="149" t="s">
        <v>199</v>
      </c>
    </row>
    <row r="99" spans="1:14" ht="22.5">
      <c r="A99" s="140" t="s">
        <v>1740</v>
      </c>
      <c r="B99" s="140" t="s">
        <v>1741</v>
      </c>
      <c r="C99" s="140" t="s">
        <v>1742</v>
      </c>
      <c r="D99" s="140" t="s">
        <v>242</v>
      </c>
      <c r="E99" s="140"/>
      <c r="F99" s="153" t="s">
        <v>1695</v>
      </c>
      <c r="G99" s="142" t="s">
        <v>1743</v>
      </c>
      <c r="H99" s="156" t="s">
        <v>188</v>
      </c>
      <c r="I99" s="155" t="s">
        <v>1453</v>
      </c>
      <c r="J99" s="155"/>
      <c r="K99" s="154" t="s">
        <v>191</v>
      </c>
      <c r="L99" s="143">
        <v>4</v>
      </c>
      <c r="M99" s="148">
        <v>4</v>
      </c>
      <c r="N99" s="148" t="s">
        <v>199</v>
      </c>
    </row>
    <row r="100" spans="1:14" ht="22.5">
      <c r="A100" s="140" t="s">
        <v>1744</v>
      </c>
      <c r="B100" s="140" t="s">
        <v>1745</v>
      </c>
      <c r="C100" s="140" t="s">
        <v>1746</v>
      </c>
      <c r="D100" s="140" t="s">
        <v>242</v>
      </c>
      <c r="E100" s="140"/>
      <c r="F100" s="153" t="s">
        <v>1695</v>
      </c>
      <c r="G100" s="142" t="s">
        <v>1747</v>
      </c>
      <c r="H100" s="156" t="s">
        <v>188</v>
      </c>
      <c r="I100" s="155" t="s">
        <v>1453</v>
      </c>
      <c r="J100" s="155"/>
      <c r="K100" s="154" t="s">
        <v>191</v>
      </c>
      <c r="L100" s="143">
        <v>4</v>
      </c>
      <c r="M100" s="148">
        <v>4</v>
      </c>
      <c r="N100" s="149" t="s">
        <v>199</v>
      </c>
    </row>
    <row r="101" spans="1:14" ht="22.5">
      <c r="A101" s="140" t="s">
        <v>1748</v>
      </c>
      <c r="B101" s="140" t="s">
        <v>1749</v>
      </c>
      <c r="C101" s="140" t="s">
        <v>1750</v>
      </c>
      <c r="D101" s="140" t="s">
        <v>242</v>
      </c>
      <c r="E101" s="140"/>
      <c r="F101" s="153" t="s">
        <v>1695</v>
      </c>
      <c r="G101" s="142" t="s">
        <v>1751</v>
      </c>
      <c r="H101" s="156" t="s">
        <v>188</v>
      </c>
      <c r="I101" s="155" t="s">
        <v>1453</v>
      </c>
      <c r="J101" s="155"/>
      <c r="K101" s="154" t="s">
        <v>191</v>
      </c>
      <c r="L101" s="143">
        <v>4</v>
      </c>
      <c r="M101" s="148">
        <v>4</v>
      </c>
      <c r="N101" s="148" t="s">
        <v>199</v>
      </c>
    </row>
    <row r="102" spans="1:14" ht="22.5">
      <c r="A102" s="140" t="s">
        <v>1752</v>
      </c>
      <c r="B102" s="140" t="s">
        <v>1753</v>
      </c>
      <c r="C102" s="140" t="s">
        <v>1754</v>
      </c>
      <c r="D102" s="140" t="s">
        <v>242</v>
      </c>
      <c r="E102" s="140"/>
      <c r="F102" s="153" t="s">
        <v>1695</v>
      </c>
      <c r="G102" s="142" t="s">
        <v>1755</v>
      </c>
      <c r="H102" s="156" t="s">
        <v>188</v>
      </c>
      <c r="I102" s="155" t="s">
        <v>1453</v>
      </c>
      <c r="J102" s="155"/>
      <c r="K102" s="154" t="s">
        <v>191</v>
      </c>
      <c r="L102" s="143">
        <v>4</v>
      </c>
      <c r="M102" s="148">
        <v>4</v>
      </c>
      <c r="N102" s="149" t="s">
        <v>199</v>
      </c>
    </row>
    <row r="103" spans="1:14" ht="22.5">
      <c r="A103" s="140" t="s">
        <v>1756</v>
      </c>
      <c r="B103" s="140" t="s">
        <v>1757</v>
      </c>
      <c r="C103" s="140" t="s">
        <v>1758</v>
      </c>
      <c r="D103" s="140" t="s">
        <v>242</v>
      </c>
      <c r="E103" s="140"/>
      <c r="F103" s="153" t="s">
        <v>1695</v>
      </c>
      <c r="G103" s="142" t="s">
        <v>1759</v>
      </c>
      <c r="H103" s="156" t="s">
        <v>188</v>
      </c>
      <c r="I103" s="155" t="s">
        <v>1453</v>
      </c>
      <c r="J103" s="155"/>
      <c r="K103" s="154" t="s">
        <v>191</v>
      </c>
      <c r="L103" s="143">
        <v>4</v>
      </c>
      <c r="M103" s="148">
        <v>4</v>
      </c>
      <c r="N103" s="148" t="s">
        <v>199</v>
      </c>
    </row>
    <row r="104" spans="1:14" ht="22.5">
      <c r="A104" s="140" t="s">
        <v>1760</v>
      </c>
      <c r="B104" s="140" t="s">
        <v>1761</v>
      </c>
      <c r="C104" s="140" t="s">
        <v>1762</v>
      </c>
      <c r="D104" s="140" t="s">
        <v>242</v>
      </c>
      <c r="E104" s="140"/>
      <c r="F104" s="153" t="s">
        <v>1695</v>
      </c>
      <c r="G104" s="142" t="s">
        <v>1763</v>
      </c>
      <c r="H104" s="156" t="s">
        <v>188</v>
      </c>
      <c r="I104" s="155" t="s">
        <v>1453</v>
      </c>
      <c r="J104" s="155"/>
      <c r="K104" s="154" t="s">
        <v>191</v>
      </c>
      <c r="L104" s="143">
        <v>4</v>
      </c>
      <c r="M104" s="148">
        <v>4</v>
      </c>
      <c r="N104" s="149" t="s">
        <v>199</v>
      </c>
    </row>
    <row r="105" spans="1:14" ht="22.5">
      <c r="A105" s="140" t="s">
        <v>1764</v>
      </c>
      <c r="B105" s="140" t="s">
        <v>1765</v>
      </c>
      <c r="C105" s="140" t="s">
        <v>1766</v>
      </c>
      <c r="D105" s="140" t="s">
        <v>242</v>
      </c>
      <c r="E105" s="140"/>
      <c r="F105" s="153" t="s">
        <v>1695</v>
      </c>
      <c r="G105" s="142" t="s">
        <v>1767</v>
      </c>
      <c r="H105" s="156" t="s">
        <v>188</v>
      </c>
      <c r="I105" s="155" t="s">
        <v>1453</v>
      </c>
      <c r="J105" s="155"/>
      <c r="K105" s="154" t="s">
        <v>191</v>
      </c>
      <c r="L105" s="143">
        <v>4</v>
      </c>
      <c r="M105" s="148">
        <v>4</v>
      </c>
      <c r="N105" s="148" t="s">
        <v>199</v>
      </c>
    </row>
    <row r="106" spans="1:14" ht="22.5">
      <c r="A106" s="140" t="s">
        <v>1768</v>
      </c>
      <c r="B106" s="140" t="s">
        <v>1769</v>
      </c>
      <c r="C106" s="140" t="s">
        <v>1770</v>
      </c>
      <c r="D106" s="140" t="s">
        <v>242</v>
      </c>
      <c r="E106" s="140"/>
      <c r="F106" s="153" t="s">
        <v>1695</v>
      </c>
      <c r="G106" s="142" t="s">
        <v>1771</v>
      </c>
      <c r="H106" s="156" t="s">
        <v>188</v>
      </c>
      <c r="I106" s="155" t="s">
        <v>1453</v>
      </c>
      <c r="J106" s="155"/>
      <c r="K106" s="154" t="s">
        <v>191</v>
      </c>
      <c r="L106" s="143">
        <v>4</v>
      </c>
      <c r="M106" s="148">
        <v>4</v>
      </c>
      <c r="N106" s="149" t="s">
        <v>199</v>
      </c>
    </row>
    <row r="107" spans="1:14" ht="22.5">
      <c r="A107" s="140" t="s">
        <v>1772</v>
      </c>
      <c r="B107" s="140" t="s">
        <v>1773</v>
      </c>
      <c r="C107" s="140" t="s">
        <v>1774</v>
      </c>
      <c r="D107" s="140" t="s">
        <v>242</v>
      </c>
      <c r="E107" s="140"/>
      <c r="F107" s="153" t="s">
        <v>1695</v>
      </c>
      <c r="G107" s="142" t="s">
        <v>1775</v>
      </c>
      <c r="H107" s="156" t="s">
        <v>188</v>
      </c>
      <c r="I107" s="155" t="s">
        <v>1453</v>
      </c>
      <c r="J107" s="155"/>
      <c r="K107" s="154" t="s">
        <v>191</v>
      </c>
      <c r="L107" s="143">
        <v>4</v>
      </c>
      <c r="M107" s="148">
        <v>4</v>
      </c>
      <c r="N107" s="148" t="s">
        <v>199</v>
      </c>
    </row>
    <row r="108" spans="1:14" ht="22.5">
      <c r="A108" s="140" t="s">
        <v>1776</v>
      </c>
      <c r="B108" s="140" t="s">
        <v>1777</v>
      </c>
      <c r="C108" s="140" t="s">
        <v>1778</v>
      </c>
      <c r="D108" s="140" t="s">
        <v>242</v>
      </c>
      <c r="E108" s="140"/>
      <c r="F108" s="153" t="s">
        <v>1695</v>
      </c>
      <c r="G108" s="142" t="s">
        <v>1779</v>
      </c>
      <c r="H108" s="156" t="s">
        <v>188</v>
      </c>
      <c r="I108" s="155" t="s">
        <v>1453</v>
      </c>
      <c r="J108" s="155"/>
      <c r="K108" s="154" t="s">
        <v>191</v>
      </c>
      <c r="L108" s="143">
        <v>4</v>
      </c>
      <c r="M108" s="148">
        <v>4</v>
      </c>
      <c r="N108" s="149" t="s">
        <v>199</v>
      </c>
    </row>
    <row r="109" spans="1:14" ht="22.5">
      <c r="A109" s="140" t="s">
        <v>1780</v>
      </c>
      <c r="B109" s="140" t="s">
        <v>1781</v>
      </c>
      <c r="C109" s="140" t="s">
        <v>1782</v>
      </c>
      <c r="D109" s="140" t="s">
        <v>242</v>
      </c>
      <c r="E109" s="140"/>
      <c r="F109" s="153" t="s">
        <v>1695</v>
      </c>
      <c r="G109" s="142" t="s">
        <v>1783</v>
      </c>
      <c r="H109" s="156" t="s">
        <v>188</v>
      </c>
      <c r="I109" s="155" t="s">
        <v>1453</v>
      </c>
      <c r="J109" s="155"/>
      <c r="K109" s="154" t="s">
        <v>191</v>
      </c>
      <c r="L109" s="143">
        <v>4</v>
      </c>
      <c r="M109" s="148">
        <v>4</v>
      </c>
      <c r="N109" s="148" t="s">
        <v>199</v>
      </c>
    </row>
    <row r="110" spans="1:14" ht="22.5">
      <c r="A110" s="140" t="s">
        <v>1784</v>
      </c>
      <c r="B110" s="140" t="s">
        <v>1785</v>
      </c>
      <c r="C110" s="140" t="s">
        <v>1786</v>
      </c>
      <c r="D110" s="140" t="s">
        <v>242</v>
      </c>
      <c r="E110" s="140"/>
      <c r="F110" s="153" t="s">
        <v>1695</v>
      </c>
      <c r="G110" s="142" t="s">
        <v>1787</v>
      </c>
      <c r="H110" s="156" t="s">
        <v>188</v>
      </c>
      <c r="I110" s="155" t="s">
        <v>1453</v>
      </c>
      <c r="J110" s="155"/>
      <c r="K110" s="154" t="s">
        <v>191</v>
      </c>
      <c r="L110" s="143">
        <v>4</v>
      </c>
      <c r="M110" s="148">
        <v>4</v>
      </c>
      <c r="N110" s="149" t="s">
        <v>199</v>
      </c>
    </row>
    <row r="111" spans="1:14" ht="22.5">
      <c r="A111" s="140" t="s">
        <v>1788</v>
      </c>
      <c r="B111" s="140" t="s">
        <v>1789</v>
      </c>
      <c r="C111" s="140" t="s">
        <v>1790</v>
      </c>
      <c r="D111" s="140" t="s">
        <v>242</v>
      </c>
      <c r="E111" s="140"/>
      <c r="F111" s="153" t="s">
        <v>1695</v>
      </c>
      <c r="G111" s="142" t="s">
        <v>1791</v>
      </c>
      <c r="H111" s="156" t="s">
        <v>188</v>
      </c>
      <c r="I111" s="155" t="s">
        <v>1453</v>
      </c>
      <c r="J111" s="155"/>
      <c r="K111" s="154" t="s">
        <v>191</v>
      </c>
      <c r="L111" s="143">
        <v>4</v>
      </c>
      <c r="M111" s="148">
        <v>4</v>
      </c>
      <c r="N111" s="148" t="s">
        <v>199</v>
      </c>
    </row>
    <row r="112" spans="1:14" ht="22.5">
      <c r="A112" s="140" t="s">
        <v>1792</v>
      </c>
      <c r="B112" s="140" t="s">
        <v>1793</v>
      </c>
      <c r="C112" s="140" t="s">
        <v>1794</v>
      </c>
      <c r="D112" s="140" t="s">
        <v>242</v>
      </c>
      <c r="E112" s="140"/>
      <c r="F112" s="153" t="s">
        <v>1695</v>
      </c>
      <c r="G112" s="142" t="s">
        <v>1795</v>
      </c>
      <c r="H112" s="156" t="s">
        <v>188</v>
      </c>
      <c r="I112" s="155" t="s">
        <v>1453</v>
      </c>
      <c r="J112" s="155"/>
      <c r="K112" s="154" t="s">
        <v>191</v>
      </c>
      <c r="L112" s="143">
        <v>4</v>
      </c>
      <c r="M112" s="148">
        <v>4</v>
      </c>
      <c r="N112" s="149" t="s">
        <v>199</v>
      </c>
    </row>
    <row r="113" spans="1:14" ht="22.5">
      <c r="A113" s="140" t="s">
        <v>1796</v>
      </c>
      <c r="B113" s="140" t="s">
        <v>1797</v>
      </c>
      <c r="C113" s="140" t="s">
        <v>1798</v>
      </c>
      <c r="D113" s="140" t="s">
        <v>242</v>
      </c>
      <c r="E113" s="140"/>
      <c r="F113" s="153" t="s">
        <v>1695</v>
      </c>
      <c r="G113" s="142" t="s">
        <v>1799</v>
      </c>
      <c r="H113" s="156" t="s">
        <v>188</v>
      </c>
      <c r="I113" s="155" t="s">
        <v>1453</v>
      </c>
      <c r="J113" s="155"/>
      <c r="K113" s="154" t="s">
        <v>191</v>
      </c>
      <c r="L113" s="143">
        <v>4</v>
      </c>
      <c r="M113" s="148">
        <v>4</v>
      </c>
      <c r="N113" s="148" t="s">
        <v>199</v>
      </c>
    </row>
    <row r="114" spans="1:14" ht="22.5">
      <c r="A114" s="140" t="s">
        <v>1800</v>
      </c>
      <c r="B114" s="140" t="s">
        <v>1801</v>
      </c>
      <c r="C114" s="152" t="s">
        <v>1802</v>
      </c>
      <c r="D114" s="140" t="s">
        <v>242</v>
      </c>
      <c r="E114" s="140"/>
      <c r="F114" s="153" t="s">
        <v>1442</v>
      </c>
      <c r="G114" s="140" t="s">
        <v>1803</v>
      </c>
      <c r="H114" s="156" t="s">
        <v>188</v>
      </c>
      <c r="I114" s="155" t="s">
        <v>1453</v>
      </c>
      <c r="J114" s="155"/>
      <c r="K114" s="154" t="s">
        <v>191</v>
      </c>
      <c r="L114" s="143">
        <v>4</v>
      </c>
      <c r="M114" s="148">
        <v>4</v>
      </c>
      <c r="N114" s="149" t="s">
        <v>199</v>
      </c>
    </row>
    <row r="115" spans="1:14" ht="22.5">
      <c r="A115" s="140" t="s">
        <v>1804</v>
      </c>
      <c r="B115" s="140" t="s">
        <v>1805</v>
      </c>
      <c r="C115" s="152" t="s">
        <v>1806</v>
      </c>
      <c r="D115" s="140" t="s">
        <v>242</v>
      </c>
      <c r="E115" s="140"/>
      <c r="F115" s="153" t="s">
        <v>1442</v>
      </c>
      <c r="G115" s="140" t="s">
        <v>1807</v>
      </c>
      <c r="H115" s="156" t="s">
        <v>188</v>
      </c>
      <c r="I115" s="155" t="s">
        <v>1453</v>
      </c>
      <c r="J115" s="155"/>
      <c r="K115" s="154" t="s">
        <v>191</v>
      </c>
      <c r="L115" s="143">
        <v>4</v>
      </c>
      <c r="M115" s="148">
        <v>4</v>
      </c>
      <c r="N115" s="148" t="s">
        <v>199</v>
      </c>
    </row>
    <row r="116" spans="1:14" ht="22.5">
      <c r="A116" s="140" t="s">
        <v>1808</v>
      </c>
      <c r="B116" s="140" t="s">
        <v>1809</v>
      </c>
      <c r="C116" s="152" t="s">
        <v>1810</v>
      </c>
      <c r="D116" s="140" t="s">
        <v>242</v>
      </c>
      <c r="E116" s="140"/>
      <c r="F116" s="153" t="s">
        <v>1442</v>
      </c>
      <c r="G116" s="140" t="s">
        <v>1811</v>
      </c>
      <c r="H116" s="156" t="s">
        <v>188</v>
      </c>
      <c r="I116" s="155" t="s">
        <v>1453</v>
      </c>
      <c r="J116" s="155"/>
      <c r="K116" s="154" t="s">
        <v>191</v>
      </c>
      <c r="L116" s="143">
        <v>4</v>
      </c>
      <c r="M116" s="148">
        <v>4</v>
      </c>
      <c r="N116" s="149" t="s">
        <v>199</v>
      </c>
    </row>
    <row r="117" spans="1:14" ht="22.5">
      <c r="A117" s="140" t="s">
        <v>1812</v>
      </c>
      <c r="B117" s="140" t="s">
        <v>1813</v>
      </c>
      <c r="C117" s="152" t="s">
        <v>1814</v>
      </c>
      <c r="D117" s="140" t="s">
        <v>242</v>
      </c>
      <c r="E117" s="140"/>
      <c r="F117" s="153" t="s">
        <v>1442</v>
      </c>
      <c r="G117" s="140" t="s">
        <v>1815</v>
      </c>
      <c r="H117" s="156" t="s">
        <v>188</v>
      </c>
      <c r="I117" s="155" t="s">
        <v>1453</v>
      </c>
      <c r="J117" s="155"/>
      <c r="K117" s="154" t="s">
        <v>191</v>
      </c>
      <c r="L117" s="143">
        <v>4</v>
      </c>
      <c r="M117" s="148">
        <v>4</v>
      </c>
      <c r="N117" s="148" t="s">
        <v>199</v>
      </c>
    </row>
    <row r="118" spans="1:14" ht="22.5">
      <c r="A118" s="140" t="s">
        <v>1816</v>
      </c>
      <c r="B118" s="140" t="s">
        <v>1817</v>
      </c>
      <c r="C118" s="152" t="s">
        <v>1818</v>
      </c>
      <c r="D118" s="140" t="s">
        <v>242</v>
      </c>
      <c r="E118" s="140"/>
      <c r="F118" s="153" t="s">
        <v>1442</v>
      </c>
      <c r="G118" s="140" t="s">
        <v>1819</v>
      </c>
      <c r="H118" s="156" t="s">
        <v>188</v>
      </c>
      <c r="I118" s="155" t="s">
        <v>1453</v>
      </c>
      <c r="J118" s="155"/>
      <c r="K118" s="154" t="s">
        <v>191</v>
      </c>
      <c r="L118" s="143">
        <v>4</v>
      </c>
      <c r="M118" s="148">
        <v>4</v>
      </c>
      <c r="N118" s="149" t="s">
        <v>199</v>
      </c>
    </row>
    <row r="119" spans="1:14" ht="22.5">
      <c r="A119" s="140" t="s">
        <v>1820</v>
      </c>
      <c r="B119" s="140" t="s">
        <v>1821</v>
      </c>
      <c r="C119" s="152" t="s">
        <v>1822</v>
      </c>
      <c r="D119" s="140" t="s">
        <v>242</v>
      </c>
      <c r="E119" s="140"/>
      <c r="F119" s="153" t="s">
        <v>1442</v>
      </c>
      <c r="G119" s="140" t="s">
        <v>1823</v>
      </c>
      <c r="H119" s="156" t="s">
        <v>188</v>
      </c>
      <c r="I119" s="155" t="s">
        <v>1453</v>
      </c>
      <c r="J119" s="155"/>
      <c r="K119" s="154" t="s">
        <v>191</v>
      </c>
      <c r="L119" s="143">
        <v>4</v>
      </c>
      <c r="M119" s="148">
        <v>4</v>
      </c>
      <c r="N119" s="148" t="s">
        <v>199</v>
      </c>
    </row>
    <row r="120" spans="1:14" ht="22.5">
      <c r="A120" s="140" t="s">
        <v>1824</v>
      </c>
      <c r="B120" s="140" t="s">
        <v>1825</v>
      </c>
      <c r="C120" s="152" t="s">
        <v>1826</v>
      </c>
      <c r="D120" s="140" t="s">
        <v>242</v>
      </c>
      <c r="E120" s="140"/>
      <c r="F120" s="153" t="s">
        <v>1442</v>
      </c>
      <c r="G120" s="140" t="s">
        <v>1827</v>
      </c>
      <c r="H120" s="156" t="s">
        <v>188</v>
      </c>
      <c r="I120" s="155" t="s">
        <v>1453</v>
      </c>
      <c r="J120" s="155"/>
      <c r="K120" s="154" t="s">
        <v>191</v>
      </c>
      <c r="L120" s="143">
        <v>4</v>
      </c>
      <c r="M120" s="148">
        <v>4</v>
      </c>
      <c r="N120" s="149" t="s">
        <v>199</v>
      </c>
    </row>
    <row r="121" spans="1:14" ht="22.5">
      <c r="A121" s="140" t="s">
        <v>1828</v>
      </c>
      <c r="B121" s="140" t="s">
        <v>1829</v>
      </c>
      <c r="C121" s="152" t="s">
        <v>1830</v>
      </c>
      <c r="D121" s="140" t="s">
        <v>242</v>
      </c>
      <c r="E121" s="140"/>
      <c r="F121" s="153" t="s">
        <v>1442</v>
      </c>
      <c r="G121" s="140" t="s">
        <v>1831</v>
      </c>
      <c r="H121" s="156" t="s">
        <v>188</v>
      </c>
      <c r="I121" s="155" t="s">
        <v>1453</v>
      </c>
      <c r="J121" s="155"/>
      <c r="K121" s="154" t="s">
        <v>191</v>
      </c>
      <c r="L121" s="143">
        <v>4</v>
      </c>
      <c r="M121" s="148">
        <v>4</v>
      </c>
      <c r="N121" s="148" t="s">
        <v>199</v>
      </c>
    </row>
    <row r="122" spans="1:14" ht="22.5">
      <c r="A122" s="140" t="s">
        <v>1832</v>
      </c>
      <c r="B122" s="140" t="s">
        <v>1833</v>
      </c>
      <c r="C122" s="152" t="s">
        <v>1834</v>
      </c>
      <c r="D122" s="140" t="s">
        <v>242</v>
      </c>
      <c r="E122" s="140"/>
      <c r="F122" s="153" t="s">
        <v>1442</v>
      </c>
      <c r="G122" s="140" t="s">
        <v>1835</v>
      </c>
      <c r="H122" s="156" t="s">
        <v>188</v>
      </c>
      <c r="I122" s="155" t="s">
        <v>1453</v>
      </c>
      <c r="J122" s="155"/>
      <c r="K122" s="154" t="s">
        <v>191</v>
      </c>
      <c r="L122" s="143">
        <v>4</v>
      </c>
      <c r="M122" s="148">
        <v>4</v>
      </c>
      <c r="N122" s="149" t="s">
        <v>199</v>
      </c>
    </row>
    <row r="123" spans="1:14" ht="22.5">
      <c r="A123" s="140" t="s">
        <v>1836</v>
      </c>
      <c r="B123" s="140" t="s">
        <v>1837</v>
      </c>
      <c r="C123" s="152" t="s">
        <v>1838</v>
      </c>
      <c r="D123" s="140" t="s">
        <v>242</v>
      </c>
      <c r="E123" s="140"/>
      <c r="F123" s="153" t="s">
        <v>1442</v>
      </c>
      <c r="G123" s="140" t="s">
        <v>1839</v>
      </c>
      <c r="H123" s="156" t="s">
        <v>188</v>
      </c>
      <c r="I123" s="155" t="s">
        <v>1453</v>
      </c>
      <c r="J123" s="155"/>
      <c r="K123" s="154" t="s">
        <v>191</v>
      </c>
      <c r="L123" s="143">
        <v>4</v>
      </c>
      <c r="M123" s="148">
        <v>4</v>
      </c>
      <c r="N123" s="148" t="s">
        <v>199</v>
      </c>
    </row>
    <row r="124" spans="1:14" ht="22.5">
      <c r="A124" s="140" t="s">
        <v>1840</v>
      </c>
      <c r="B124" s="140" t="s">
        <v>1841</v>
      </c>
      <c r="C124" s="152" t="s">
        <v>1842</v>
      </c>
      <c r="D124" s="140" t="s">
        <v>242</v>
      </c>
      <c r="E124" s="140"/>
      <c r="F124" s="153" t="s">
        <v>1442</v>
      </c>
      <c r="G124" s="140" t="s">
        <v>1843</v>
      </c>
      <c r="H124" s="156" t="s">
        <v>188</v>
      </c>
      <c r="I124" s="155" t="s">
        <v>1453</v>
      </c>
      <c r="J124" s="155"/>
      <c r="K124" s="154" t="s">
        <v>191</v>
      </c>
      <c r="L124" s="143">
        <v>4</v>
      </c>
      <c r="M124" s="148">
        <v>4</v>
      </c>
      <c r="N124" s="149" t="s">
        <v>199</v>
      </c>
    </row>
    <row r="125" spans="1:14">
      <c r="A125" s="140" t="s">
        <v>1844</v>
      </c>
      <c r="B125" s="140" t="s">
        <v>1845</v>
      </c>
      <c r="C125" s="152" t="s">
        <v>1846</v>
      </c>
      <c r="D125" s="140" t="s">
        <v>242</v>
      </c>
      <c r="E125" s="140"/>
      <c r="F125" s="153" t="s">
        <v>1442</v>
      </c>
      <c r="G125" s="140" t="s">
        <v>1847</v>
      </c>
      <c r="H125" s="229" t="s">
        <v>198</v>
      </c>
      <c r="I125" s="154"/>
      <c r="J125" s="154"/>
      <c r="K125" s="154" t="s">
        <v>191</v>
      </c>
      <c r="L125" s="143">
        <v>4</v>
      </c>
      <c r="M125" s="148">
        <v>4</v>
      </c>
      <c r="N125" s="148" t="s">
        <v>199</v>
      </c>
    </row>
    <row r="126" spans="1:14">
      <c r="A126" s="140" t="s">
        <v>1848</v>
      </c>
      <c r="B126" s="140" t="s">
        <v>1849</v>
      </c>
      <c r="C126" s="152" t="s">
        <v>1850</v>
      </c>
      <c r="D126" s="140" t="s">
        <v>242</v>
      </c>
      <c r="E126" s="140"/>
      <c r="F126" s="153" t="s">
        <v>1442</v>
      </c>
      <c r="G126" s="140" t="s">
        <v>1851</v>
      </c>
      <c r="H126" s="229" t="s">
        <v>198</v>
      </c>
      <c r="I126" s="154"/>
      <c r="J126" s="154"/>
      <c r="K126" s="154" t="s">
        <v>191</v>
      </c>
      <c r="L126" s="143">
        <v>4</v>
      </c>
      <c r="M126" s="148">
        <v>4</v>
      </c>
      <c r="N126" s="149" t="s">
        <v>199</v>
      </c>
    </row>
    <row r="127" spans="1:14">
      <c r="A127" s="140" t="s">
        <v>1852</v>
      </c>
      <c r="B127" s="140" t="s">
        <v>1853</v>
      </c>
      <c r="C127" s="152" t="s">
        <v>1854</v>
      </c>
      <c r="D127" s="140" t="s">
        <v>242</v>
      </c>
      <c r="E127" s="140"/>
      <c r="F127" s="153" t="s">
        <v>1442</v>
      </c>
      <c r="G127" s="140" t="s">
        <v>1855</v>
      </c>
      <c r="H127" s="229" t="s">
        <v>198</v>
      </c>
      <c r="I127" s="154"/>
      <c r="J127" s="154"/>
      <c r="K127" s="154" t="s">
        <v>191</v>
      </c>
      <c r="L127" s="143">
        <v>4</v>
      </c>
      <c r="M127" s="148">
        <v>4</v>
      </c>
      <c r="N127" s="148" t="s">
        <v>199</v>
      </c>
    </row>
    <row r="128" spans="1:14">
      <c r="A128" s="140" t="s">
        <v>1856</v>
      </c>
      <c r="B128" s="140" t="s">
        <v>1857</v>
      </c>
      <c r="C128" s="152" t="s">
        <v>1858</v>
      </c>
      <c r="D128" s="140" t="s">
        <v>242</v>
      </c>
      <c r="E128" s="140"/>
      <c r="F128" s="153" t="s">
        <v>1442</v>
      </c>
      <c r="G128" s="140" t="s">
        <v>1859</v>
      </c>
      <c r="H128" s="229" t="s">
        <v>198</v>
      </c>
      <c r="I128" s="154"/>
      <c r="J128" s="154"/>
      <c r="K128" s="154" t="s">
        <v>191</v>
      </c>
      <c r="L128" s="143">
        <v>4</v>
      </c>
      <c r="M128" s="148">
        <v>4</v>
      </c>
      <c r="N128" s="149" t="s">
        <v>199</v>
      </c>
    </row>
    <row r="129" spans="1:14" ht="33.75">
      <c r="A129" s="140" t="s">
        <v>1860</v>
      </c>
      <c r="B129" s="140" t="s">
        <v>1330</v>
      </c>
      <c r="C129" s="152" t="s">
        <v>1861</v>
      </c>
      <c r="D129" s="152" t="s">
        <v>493</v>
      </c>
      <c r="E129" s="152"/>
      <c r="F129" s="153" t="s">
        <v>1427</v>
      </c>
      <c r="G129" s="145" t="s">
        <v>1332</v>
      </c>
      <c r="H129" s="155" t="s">
        <v>204</v>
      </c>
      <c r="I129" s="155" t="s">
        <v>1862</v>
      </c>
      <c r="J129" s="155"/>
      <c r="K129" s="154" t="s">
        <v>191</v>
      </c>
      <c r="L129" s="143">
        <v>4</v>
      </c>
      <c r="M129" s="148">
        <v>4</v>
      </c>
      <c r="N129" s="148" t="s">
        <v>199</v>
      </c>
    </row>
  </sheetData>
  <autoFilter ref="A5:P14" xr:uid="{00000000-0009-0000-0000-000008000000}"/>
  <phoneticPr fontId="39" type="noConversion"/>
  <conditionalFormatting sqref="O6:O15">
    <cfRule type="containsText" dxfId="68" priority="5" operator="containsText" text="Yes">
      <formula>NOT(ISERROR(SEARCH("Yes",O6)))</formula>
    </cfRule>
  </conditionalFormatting>
  <dataValidations count="1">
    <dataValidation type="list" allowBlank="1" showInputMessage="1" showErrorMessage="1" sqref="O6:O15" xr:uid="{00000000-0002-0000-0800-000000000000}">
      <formula1>"No,Yes"</formula1>
    </dataValidation>
  </dataValidations>
  <pageMargins left="0.17" right="0.17" top="0.34" bottom="0.33000000000000007" header="0.17" footer="0.17"/>
  <pageSetup paperSize="9" scale="65" fitToWidth="0" fitToHeight="0" orientation="landscape" r:id="rId1"/>
  <headerFooter alignWithMargins="0">
    <oddHeader>&amp;C&amp;F</oddHeader>
    <oddFooter>&amp;L&amp;8&amp;A&amp;CPage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R492"/>
  <sheetViews>
    <sheetView showGridLines="0" zoomScale="75" zoomScaleNormal="75" workbookViewId="0">
      <pane xSplit="1" topLeftCell="C1" activePane="topRight" state="frozen"/>
      <selection pane="topRight" activeCell="Q17" sqref="Q17"/>
      <selection activeCell="A101" sqref="A101"/>
    </sheetView>
  </sheetViews>
  <sheetFormatPr defaultColWidth="9" defaultRowHeight="12.75"/>
  <cols>
    <col min="1" max="1" width="30.28515625" style="44" customWidth="1"/>
    <col min="2" max="2" width="27.5703125" style="44" customWidth="1"/>
    <col min="3" max="3" width="13.5703125" style="44" customWidth="1"/>
    <col min="4" max="5" width="12.28515625" style="44" hidden="1" customWidth="1"/>
    <col min="6" max="6" width="15.5703125" style="99" customWidth="1"/>
    <col min="7" max="7" width="36.28515625" style="44" customWidth="1"/>
    <col min="8" max="8" width="9" style="44" hidden="1" customWidth="1"/>
    <col min="9" max="9" width="32" style="44" customWidth="1"/>
    <col min="10" max="11" width="5.5703125" style="44" hidden="1" customWidth="1"/>
    <col min="12" max="12" width="14" style="39" customWidth="1"/>
    <col min="13" max="13" width="10" style="57" customWidth="1"/>
    <col min="14" max="15" width="10.5703125" style="57" customWidth="1"/>
    <col min="16" max="16" width="18.85546875" style="92" customWidth="1"/>
    <col min="17" max="17" width="16.85546875" style="92" customWidth="1"/>
    <col min="18" max="18" width="13" style="92" customWidth="1"/>
    <col min="19" max="16384" width="9" style="92"/>
  </cols>
  <sheetData>
    <row r="1" spans="1:17">
      <c r="A1" s="40" t="s">
        <v>127</v>
      </c>
      <c r="E1" s="94"/>
      <c r="F1" s="57"/>
      <c r="G1" s="57"/>
      <c r="H1" s="57"/>
      <c r="I1" s="57"/>
      <c r="J1" s="57"/>
      <c r="K1" s="39"/>
      <c r="L1" s="57"/>
      <c r="O1" s="92"/>
    </row>
    <row r="2" spans="1:17">
      <c r="A2" s="40"/>
      <c r="E2" s="94"/>
      <c r="F2" s="57"/>
      <c r="G2" s="57"/>
      <c r="H2" s="57"/>
      <c r="I2" s="57"/>
      <c r="J2" s="57"/>
      <c r="K2" s="39"/>
      <c r="L2" s="57"/>
      <c r="O2" s="92"/>
    </row>
    <row r="3" spans="1:17">
      <c r="A3" s="139" t="s">
        <v>159</v>
      </c>
      <c r="E3" s="94"/>
      <c r="F3" s="57"/>
      <c r="G3" s="57"/>
      <c r="H3" s="57"/>
      <c r="I3" s="57"/>
      <c r="J3" s="57"/>
      <c r="K3" s="39"/>
      <c r="L3" s="57"/>
      <c r="O3" s="92"/>
    </row>
    <row r="4" spans="1:17">
      <c r="A4" s="94"/>
      <c r="B4" s="94"/>
      <c r="C4" s="94"/>
      <c r="D4" s="94"/>
      <c r="E4" s="94"/>
      <c r="F4" s="57"/>
      <c r="G4" s="57"/>
      <c r="H4" s="57"/>
      <c r="I4" s="57"/>
      <c r="J4" s="57"/>
      <c r="K4" s="129"/>
      <c r="L4" s="57"/>
      <c r="O4" s="92"/>
    </row>
    <row r="5" spans="1:17" s="234" customFormat="1" ht="28.5" customHeight="1">
      <c r="A5" s="58" t="s">
        <v>165</v>
      </c>
      <c r="B5" s="58" t="s">
        <v>166</v>
      </c>
      <c r="C5" s="58" t="s">
        <v>167</v>
      </c>
      <c r="D5" s="58" t="s">
        <v>168</v>
      </c>
      <c r="E5" s="58" t="s">
        <v>169</v>
      </c>
      <c r="F5" s="58" t="s">
        <v>170</v>
      </c>
      <c r="G5" s="58" t="s">
        <v>20</v>
      </c>
      <c r="H5" s="58" t="s">
        <v>171</v>
      </c>
      <c r="I5" s="58" t="s">
        <v>172</v>
      </c>
      <c r="J5" s="58" t="s">
        <v>174</v>
      </c>
      <c r="K5" s="58" t="s">
        <v>175</v>
      </c>
      <c r="L5" s="59" t="s">
        <v>176</v>
      </c>
      <c r="M5" s="59" t="s">
        <v>177</v>
      </c>
      <c r="N5" s="59" t="s">
        <v>655</v>
      </c>
      <c r="O5" s="59" t="s">
        <v>179</v>
      </c>
      <c r="P5" s="233" t="s">
        <v>180</v>
      </c>
      <c r="Q5" s="233" t="s">
        <v>181</v>
      </c>
    </row>
    <row r="6" spans="1:17" ht="12" customHeight="1">
      <c r="A6" s="373" t="s">
        <v>1863</v>
      </c>
      <c r="B6" s="95"/>
      <c r="C6" s="43"/>
      <c r="D6" s="374"/>
      <c r="E6" s="374"/>
      <c r="F6" s="52"/>
      <c r="G6" s="95"/>
      <c r="H6" s="95"/>
      <c r="I6" s="96"/>
      <c r="J6" s="96"/>
      <c r="K6" s="96"/>
      <c r="L6" s="43"/>
      <c r="M6" s="43"/>
      <c r="N6" s="78"/>
      <c r="P6" s="52"/>
      <c r="Q6" s="52"/>
    </row>
    <row r="7" spans="1:17" ht="123.75">
      <c r="A7" s="43" t="s">
        <v>1864</v>
      </c>
      <c r="B7" s="87" t="s">
        <v>731</v>
      </c>
      <c r="C7" s="87" t="s">
        <v>1865</v>
      </c>
      <c r="D7" s="87" t="s">
        <v>185</v>
      </c>
      <c r="E7" s="87"/>
      <c r="F7" s="88" t="s">
        <v>1866</v>
      </c>
      <c r="G7" s="63" t="s">
        <v>187</v>
      </c>
      <c r="H7" s="90" t="s">
        <v>188</v>
      </c>
      <c r="I7" s="90" t="s">
        <v>189</v>
      </c>
      <c r="J7" s="90"/>
      <c r="K7" s="90" t="s">
        <v>191</v>
      </c>
      <c r="L7" s="64">
        <v>4</v>
      </c>
      <c r="M7" s="65" t="s">
        <v>12</v>
      </c>
      <c r="N7" s="78">
        <v>5</v>
      </c>
      <c r="O7" s="78" t="s">
        <v>192</v>
      </c>
      <c r="P7" s="52" t="s">
        <v>12</v>
      </c>
      <c r="Q7" s="627" t="s">
        <v>1867</v>
      </c>
    </row>
    <row r="8" spans="1:17" ht="22.5">
      <c r="A8" s="43" t="s">
        <v>1868</v>
      </c>
      <c r="B8" s="87" t="s">
        <v>735</v>
      </c>
      <c r="C8" s="87" t="s">
        <v>1869</v>
      </c>
      <c r="D8" s="87" t="s">
        <v>185</v>
      </c>
      <c r="E8" s="87"/>
      <c r="F8" s="88" t="s">
        <v>1866</v>
      </c>
      <c r="G8" s="43" t="s">
        <v>197</v>
      </c>
      <c r="H8" s="90" t="s">
        <v>198</v>
      </c>
      <c r="I8" s="90"/>
      <c r="J8" s="90"/>
      <c r="K8" s="90" t="s">
        <v>191</v>
      </c>
      <c r="L8" s="64">
        <v>2</v>
      </c>
      <c r="M8" s="65" t="s">
        <v>12</v>
      </c>
      <c r="N8" s="78">
        <v>5</v>
      </c>
      <c r="O8" s="97" t="s">
        <v>199</v>
      </c>
      <c r="P8" s="52" t="s">
        <v>12</v>
      </c>
      <c r="Q8" s="627" t="s">
        <v>1867</v>
      </c>
    </row>
    <row r="9" spans="1:17" ht="22.5">
      <c r="A9" s="43" t="s">
        <v>1870</v>
      </c>
      <c r="B9" s="87" t="s">
        <v>738</v>
      </c>
      <c r="C9" s="87" t="s">
        <v>1871</v>
      </c>
      <c r="D9" s="87" t="s">
        <v>185</v>
      </c>
      <c r="E9" s="87"/>
      <c r="F9" s="88" t="s">
        <v>1866</v>
      </c>
      <c r="G9" s="43" t="s">
        <v>203</v>
      </c>
      <c r="H9" s="90" t="s">
        <v>204</v>
      </c>
      <c r="I9" s="90"/>
      <c r="J9" s="90"/>
      <c r="K9" s="90" t="s">
        <v>191</v>
      </c>
      <c r="L9" s="64">
        <v>2</v>
      </c>
      <c r="M9" s="65" t="s">
        <v>12</v>
      </c>
      <c r="N9" s="78">
        <v>5</v>
      </c>
      <c r="O9" s="97" t="s">
        <v>199</v>
      </c>
      <c r="P9" s="52" t="s">
        <v>12</v>
      </c>
      <c r="Q9" s="627" t="s">
        <v>1867</v>
      </c>
    </row>
    <row r="10" spans="1:17" ht="11.25">
      <c r="A10" s="43" t="s">
        <v>1872</v>
      </c>
      <c r="B10" s="87" t="s">
        <v>742</v>
      </c>
      <c r="C10" s="87" t="s">
        <v>1873</v>
      </c>
      <c r="D10" s="87" t="s">
        <v>185</v>
      </c>
      <c r="E10" s="87"/>
      <c r="F10" s="88" t="s">
        <v>1866</v>
      </c>
      <c r="G10" s="43" t="s">
        <v>209</v>
      </c>
      <c r="H10" s="90" t="s">
        <v>198</v>
      </c>
      <c r="I10" s="90"/>
      <c r="J10" s="90"/>
      <c r="K10" s="90" t="s">
        <v>191</v>
      </c>
      <c r="L10" s="64">
        <v>2</v>
      </c>
      <c r="M10" s="65" t="s">
        <v>12</v>
      </c>
      <c r="N10" s="78">
        <v>5</v>
      </c>
      <c r="O10" s="97" t="s">
        <v>199</v>
      </c>
      <c r="P10" s="52" t="s">
        <v>12</v>
      </c>
      <c r="Q10" s="627" t="s">
        <v>1867</v>
      </c>
    </row>
    <row r="11" spans="1:17" ht="11.25">
      <c r="A11" s="43" t="s">
        <v>1874</v>
      </c>
      <c r="B11" s="87" t="s">
        <v>745</v>
      </c>
      <c r="C11" s="87" t="s">
        <v>1875</v>
      </c>
      <c r="D11" s="87" t="s">
        <v>185</v>
      </c>
      <c r="E11" s="87"/>
      <c r="F11" s="88" t="s">
        <v>1866</v>
      </c>
      <c r="G11" s="43" t="s">
        <v>213</v>
      </c>
      <c r="H11" s="90" t="s">
        <v>204</v>
      </c>
      <c r="I11" s="90"/>
      <c r="J11" s="90"/>
      <c r="K11" s="90" t="s">
        <v>191</v>
      </c>
      <c r="L11" s="64">
        <v>2</v>
      </c>
      <c r="M11" s="65" t="s">
        <v>12</v>
      </c>
      <c r="N11" s="78">
        <v>5</v>
      </c>
      <c r="O11" s="97" t="s">
        <v>199</v>
      </c>
      <c r="P11" s="52" t="s">
        <v>12</v>
      </c>
      <c r="Q11" s="627" t="s">
        <v>1867</v>
      </c>
    </row>
    <row r="12" spans="1:17" ht="22.5">
      <c r="A12" s="43" t="s">
        <v>1876</v>
      </c>
      <c r="B12" s="63" t="s">
        <v>1877</v>
      </c>
      <c r="C12" s="61" t="s">
        <v>1878</v>
      </c>
      <c r="D12" s="61" t="s">
        <v>185</v>
      </c>
      <c r="E12" s="61"/>
      <c r="F12" s="88" t="s">
        <v>1879</v>
      </c>
      <c r="G12" s="63" t="s">
        <v>1880</v>
      </c>
      <c r="H12" s="91" t="s">
        <v>198</v>
      </c>
      <c r="I12" s="90" t="s">
        <v>1881</v>
      </c>
      <c r="J12" s="90"/>
      <c r="K12" s="90" t="s">
        <v>191</v>
      </c>
      <c r="L12" s="64">
        <v>2</v>
      </c>
      <c r="M12" s="65" t="s">
        <v>12</v>
      </c>
      <c r="N12" s="78">
        <v>4</v>
      </c>
      <c r="O12" s="97" t="s">
        <v>199</v>
      </c>
      <c r="P12" s="52" t="s">
        <v>12</v>
      </c>
      <c r="Q12" s="627" t="s">
        <v>1882</v>
      </c>
    </row>
    <row r="13" spans="1:17" ht="11.25">
      <c r="A13" s="43" t="s">
        <v>1883</v>
      </c>
      <c r="B13" s="87" t="s">
        <v>1884</v>
      </c>
      <c r="C13" s="87" t="s">
        <v>1885</v>
      </c>
      <c r="D13" s="87" t="s">
        <v>301</v>
      </c>
      <c r="E13" s="87"/>
      <c r="F13" s="88" t="s">
        <v>1886</v>
      </c>
      <c r="G13" s="43" t="s">
        <v>1887</v>
      </c>
      <c r="H13" s="240" t="s">
        <v>204</v>
      </c>
      <c r="I13" s="90"/>
      <c r="J13" s="90"/>
      <c r="K13" s="90" t="s">
        <v>191</v>
      </c>
      <c r="L13" s="64">
        <v>1</v>
      </c>
      <c r="M13" s="65" t="s">
        <v>14</v>
      </c>
      <c r="N13" s="78">
        <v>4</v>
      </c>
      <c r="O13" s="97" t="s">
        <v>192</v>
      </c>
      <c r="P13" s="52" t="s">
        <v>14</v>
      </c>
      <c r="Q13" s="627"/>
    </row>
    <row r="14" spans="1:17" s="644" customFormat="1" ht="11.25">
      <c r="A14" s="212" t="s">
        <v>1888</v>
      </c>
      <c r="B14" s="634" t="s">
        <v>1889</v>
      </c>
      <c r="C14" s="634"/>
      <c r="D14" s="634"/>
      <c r="E14" s="634"/>
      <c r="F14" s="640" t="s">
        <v>1890</v>
      </c>
      <c r="G14" s="212" t="s">
        <v>1891</v>
      </c>
      <c r="H14" s="641" t="s">
        <v>198</v>
      </c>
      <c r="I14" s="641"/>
      <c r="J14" s="641"/>
      <c r="K14" s="641" t="s">
        <v>191</v>
      </c>
      <c r="L14" s="210">
        <v>2</v>
      </c>
      <c r="M14" s="611" t="s">
        <v>12</v>
      </c>
      <c r="N14" s="642">
        <v>5</v>
      </c>
      <c r="O14" s="643" t="s">
        <v>199</v>
      </c>
      <c r="P14" s="52" t="s">
        <v>14</v>
      </c>
      <c r="Q14" s="627"/>
    </row>
    <row r="15" spans="1:17" ht="33.75">
      <c r="A15" s="43" t="s">
        <v>1892</v>
      </c>
      <c r="B15" s="87" t="s">
        <v>1893</v>
      </c>
      <c r="C15" s="87" t="s">
        <v>758</v>
      </c>
      <c r="D15" s="87" t="s">
        <v>1894</v>
      </c>
      <c r="E15" s="87"/>
      <c r="F15" s="88" t="s">
        <v>1895</v>
      </c>
      <c r="G15" s="63" t="s">
        <v>1896</v>
      </c>
      <c r="H15" s="91" t="s">
        <v>204</v>
      </c>
      <c r="I15" s="90" t="s">
        <v>1897</v>
      </c>
      <c r="J15" s="90"/>
      <c r="K15" s="90" t="s">
        <v>1898</v>
      </c>
      <c r="L15" s="64">
        <v>1</v>
      </c>
      <c r="M15" s="65" t="s">
        <v>14</v>
      </c>
      <c r="N15" s="78">
        <v>5</v>
      </c>
      <c r="O15" s="97" t="s">
        <v>1899</v>
      </c>
      <c r="P15" s="52" t="s">
        <v>14</v>
      </c>
      <c r="Q15" s="627"/>
    </row>
    <row r="16" spans="1:17" ht="33.75">
      <c r="A16" s="43" t="s">
        <v>1900</v>
      </c>
      <c r="B16" s="87" t="s">
        <v>1901</v>
      </c>
      <c r="C16" s="87" t="s">
        <v>758</v>
      </c>
      <c r="D16" s="87" t="s">
        <v>1894</v>
      </c>
      <c r="E16" s="87"/>
      <c r="F16" s="88" t="s">
        <v>1895</v>
      </c>
      <c r="G16" s="63" t="s">
        <v>1902</v>
      </c>
      <c r="H16" s="91" t="s">
        <v>204</v>
      </c>
      <c r="I16" s="90" t="s">
        <v>1897</v>
      </c>
      <c r="J16" s="90"/>
      <c r="K16" s="90" t="s">
        <v>1898</v>
      </c>
      <c r="L16" s="64">
        <v>1</v>
      </c>
      <c r="M16" s="65" t="s">
        <v>14</v>
      </c>
      <c r="N16" s="78">
        <v>5</v>
      </c>
      <c r="O16" s="97" t="s">
        <v>1899</v>
      </c>
      <c r="P16" s="52" t="s">
        <v>14</v>
      </c>
      <c r="Q16" s="627"/>
    </row>
    <row r="17" spans="1:18" ht="25.5" customHeight="1">
      <c r="A17" s="43" t="s">
        <v>1903</v>
      </c>
      <c r="B17" s="87" t="s">
        <v>1904</v>
      </c>
      <c r="C17" s="87" t="s">
        <v>758</v>
      </c>
      <c r="D17" s="87" t="s">
        <v>1894</v>
      </c>
      <c r="E17" s="87"/>
      <c r="F17" s="88" t="s">
        <v>1905</v>
      </c>
      <c r="G17" s="43" t="s">
        <v>1906</v>
      </c>
      <c r="H17" s="90" t="s">
        <v>188</v>
      </c>
      <c r="I17" s="90" t="s">
        <v>250</v>
      </c>
      <c r="J17" s="90"/>
      <c r="K17" s="90" t="s">
        <v>1898</v>
      </c>
      <c r="L17" s="64">
        <v>1</v>
      </c>
      <c r="M17" s="65" t="s">
        <v>14</v>
      </c>
      <c r="N17" s="78">
        <v>5</v>
      </c>
      <c r="O17" s="97" t="s">
        <v>1899</v>
      </c>
      <c r="P17" s="52" t="s">
        <v>14</v>
      </c>
      <c r="Q17" s="627"/>
    </row>
    <row r="18" spans="1:18" ht="25.5" customHeight="1">
      <c r="A18" s="43" t="s">
        <v>1907</v>
      </c>
      <c r="B18" s="87" t="s">
        <v>1903</v>
      </c>
      <c r="C18" s="87" t="s">
        <v>758</v>
      </c>
      <c r="D18" s="87" t="s">
        <v>1894</v>
      </c>
      <c r="E18" s="87"/>
      <c r="F18" s="88" t="s">
        <v>1908</v>
      </c>
      <c r="G18" s="43" t="s">
        <v>1909</v>
      </c>
      <c r="H18" s="90" t="s">
        <v>188</v>
      </c>
      <c r="I18" s="90" t="s">
        <v>250</v>
      </c>
      <c r="J18" s="90"/>
      <c r="K18" s="90" t="s">
        <v>1898</v>
      </c>
      <c r="L18" s="64">
        <v>1</v>
      </c>
      <c r="M18" s="65" t="s">
        <v>14</v>
      </c>
      <c r="N18" s="78">
        <v>5</v>
      </c>
      <c r="O18" s="97" t="s">
        <v>1899</v>
      </c>
      <c r="P18" s="52" t="s">
        <v>14</v>
      </c>
      <c r="Q18" s="627"/>
    </row>
    <row r="19" spans="1:18" s="653" customFormat="1" ht="25.5" customHeight="1">
      <c r="A19" s="645" t="s">
        <v>1910</v>
      </c>
      <c r="B19" s="646" t="s">
        <v>1911</v>
      </c>
      <c r="C19" s="646" t="s">
        <v>758</v>
      </c>
      <c r="D19" s="646" t="s">
        <v>1894</v>
      </c>
      <c r="E19" s="646"/>
      <c r="F19" s="647" t="s">
        <v>1890</v>
      </c>
      <c r="G19" s="645" t="s">
        <v>1912</v>
      </c>
      <c r="H19" s="648" t="s">
        <v>188</v>
      </c>
      <c r="I19" s="648" t="s">
        <v>250</v>
      </c>
      <c r="J19" s="648"/>
      <c r="K19" s="648" t="s">
        <v>1898</v>
      </c>
      <c r="L19" s="649">
        <v>1</v>
      </c>
      <c r="M19" s="650" t="s">
        <v>14</v>
      </c>
      <c r="N19" s="651">
        <v>5</v>
      </c>
      <c r="O19" s="652" t="s">
        <v>1899</v>
      </c>
      <c r="P19" s="52" t="s">
        <v>14</v>
      </c>
      <c r="Q19" s="627"/>
    </row>
    <row r="20" spans="1:18" ht="56.25">
      <c r="A20" s="43" t="s">
        <v>1913</v>
      </c>
      <c r="B20" s="87" t="s">
        <v>1914</v>
      </c>
      <c r="C20" s="87" t="s">
        <v>758</v>
      </c>
      <c r="D20" s="87" t="s">
        <v>1894</v>
      </c>
      <c r="E20" s="87"/>
      <c r="F20" s="88" t="s">
        <v>1905</v>
      </c>
      <c r="G20" s="43" t="s">
        <v>1915</v>
      </c>
      <c r="H20" s="90" t="s">
        <v>188</v>
      </c>
      <c r="I20" s="90" t="s">
        <v>250</v>
      </c>
      <c r="J20" s="90"/>
      <c r="K20" s="90" t="s">
        <v>1898</v>
      </c>
      <c r="L20" s="64">
        <v>1</v>
      </c>
      <c r="M20" s="65" t="s">
        <v>14</v>
      </c>
      <c r="N20" s="78">
        <v>5</v>
      </c>
      <c r="O20" s="97" t="s">
        <v>192</v>
      </c>
      <c r="P20" s="52" t="s">
        <v>14</v>
      </c>
      <c r="Q20" s="627"/>
    </row>
    <row r="21" spans="1:18" ht="45">
      <c r="A21" s="61" t="s">
        <v>1916</v>
      </c>
      <c r="B21" s="63" t="s">
        <v>1913</v>
      </c>
      <c r="C21" s="61" t="s">
        <v>758</v>
      </c>
      <c r="D21" s="87" t="s">
        <v>1894</v>
      </c>
      <c r="E21" s="87"/>
      <c r="F21" s="88" t="s">
        <v>1917</v>
      </c>
      <c r="G21" s="63" t="s">
        <v>1918</v>
      </c>
      <c r="H21" s="90" t="s">
        <v>188</v>
      </c>
      <c r="I21" s="90" t="s">
        <v>250</v>
      </c>
      <c r="J21" s="90"/>
      <c r="K21" s="90" t="s">
        <v>1898</v>
      </c>
      <c r="L21" s="64">
        <v>1</v>
      </c>
      <c r="M21" s="65" t="s">
        <v>14</v>
      </c>
      <c r="N21" s="78">
        <v>5</v>
      </c>
      <c r="O21" s="97" t="s">
        <v>192</v>
      </c>
      <c r="P21" s="52" t="s">
        <v>14</v>
      </c>
      <c r="Q21" s="627"/>
    </row>
    <row r="22" spans="1:18" s="653" customFormat="1" ht="112.5">
      <c r="A22" s="654" t="s">
        <v>1919</v>
      </c>
      <c r="B22" s="654" t="s">
        <v>1920</v>
      </c>
      <c r="C22" s="646" t="s">
        <v>758</v>
      </c>
      <c r="D22" s="646" t="s">
        <v>1894</v>
      </c>
      <c r="E22" s="646"/>
      <c r="F22" s="655" t="s">
        <v>1921</v>
      </c>
      <c r="G22" s="654" t="s">
        <v>1922</v>
      </c>
      <c r="H22" s="656" t="s">
        <v>204</v>
      </c>
      <c r="I22" s="648" t="s">
        <v>1923</v>
      </c>
      <c r="J22" s="648"/>
      <c r="K22" s="648" t="s">
        <v>1898</v>
      </c>
      <c r="L22" s="649">
        <v>1</v>
      </c>
      <c r="M22" s="650" t="s">
        <v>14</v>
      </c>
      <c r="N22" s="651">
        <v>5</v>
      </c>
      <c r="O22" s="652" t="s">
        <v>192</v>
      </c>
      <c r="P22" s="52" t="s">
        <v>14</v>
      </c>
      <c r="Q22" s="627"/>
    </row>
    <row r="23" spans="1:18" s="653" customFormat="1" ht="33.75">
      <c r="A23" s="654" t="s">
        <v>1924</v>
      </c>
      <c r="B23" s="654" t="s">
        <v>1925</v>
      </c>
      <c r="C23" s="657" t="s">
        <v>758</v>
      </c>
      <c r="D23" s="646" t="s">
        <v>1894</v>
      </c>
      <c r="E23" s="646"/>
      <c r="F23" s="655" t="s">
        <v>1890</v>
      </c>
      <c r="G23" s="654" t="s">
        <v>1926</v>
      </c>
      <c r="H23" s="656" t="s">
        <v>188</v>
      </c>
      <c r="I23" s="648" t="s">
        <v>250</v>
      </c>
      <c r="J23" s="648"/>
      <c r="K23" s="648" t="s">
        <v>1898</v>
      </c>
      <c r="L23" s="649">
        <v>1</v>
      </c>
      <c r="M23" s="650" t="s">
        <v>14</v>
      </c>
      <c r="N23" s="651">
        <v>5</v>
      </c>
      <c r="O23" s="652" t="s">
        <v>192</v>
      </c>
      <c r="P23" s="620" t="s">
        <v>12</v>
      </c>
      <c r="Q23" s="627" t="s">
        <v>1927</v>
      </c>
    </row>
    <row r="24" spans="1:18" ht="11.25">
      <c r="A24" s="43" t="s">
        <v>1928</v>
      </c>
      <c r="B24" s="63" t="s">
        <v>757</v>
      </c>
      <c r="C24" s="61" t="s">
        <v>1929</v>
      </c>
      <c r="D24" s="61" t="s">
        <v>185</v>
      </c>
      <c r="E24" s="61"/>
      <c r="F24" s="88" t="s">
        <v>1930</v>
      </c>
      <c r="G24" s="63" t="s">
        <v>1931</v>
      </c>
      <c r="H24" s="91" t="s">
        <v>198</v>
      </c>
      <c r="I24" s="90"/>
      <c r="J24" s="90"/>
      <c r="K24" s="90" t="s">
        <v>191</v>
      </c>
      <c r="L24" s="64">
        <v>1</v>
      </c>
      <c r="M24" s="65" t="s">
        <v>14</v>
      </c>
      <c r="N24" s="78">
        <v>5</v>
      </c>
      <c r="O24" s="97" t="s">
        <v>199</v>
      </c>
      <c r="P24" s="620" t="s">
        <v>12</v>
      </c>
      <c r="Q24" s="761" t="s">
        <v>1930</v>
      </c>
    </row>
    <row r="25" spans="1:18" ht="22.5">
      <c r="A25" s="43" t="s">
        <v>1932</v>
      </c>
      <c r="B25" s="63" t="s">
        <v>1933</v>
      </c>
      <c r="C25" s="61" t="s">
        <v>1934</v>
      </c>
      <c r="D25" s="61" t="s">
        <v>185</v>
      </c>
      <c r="E25" s="61"/>
      <c r="F25" s="88" t="s">
        <v>1930</v>
      </c>
      <c r="G25" s="63" t="s">
        <v>1935</v>
      </c>
      <c r="H25" s="91" t="s">
        <v>188</v>
      </c>
      <c r="I25" s="90" t="s">
        <v>1453</v>
      </c>
      <c r="J25" s="90"/>
      <c r="K25" s="90" t="s">
        <v>191</v>
      </c>
      <c r="L25" s="64">
        <v>2</v>
      </c>
      <c r="M25" s="65" t="s">
        <v>12</v>
      </c>
      <c r="N25" s="78">
        <v>5</v>
      </c>
      <c r="O25" s="97" t="s">
        <v>222</v>
      </c>
      <c r="P25" s="620" t="s">
        <v>12</v>
      </c>
      <c r="Q25" s="627" t="s">
        <v>1930</v>
      </c>
      <c r="R25" s="305"/>
    </row>
    <row r="26" spans="1:18" ht="22.5">
      <c r="A26" s="43" t="s">
        <v>1936</v>
      </c>
      <c r="B26" s="63" t="s">
        <v>1937</v>
      </c>
      <c r="C26" s="61" t="s">
        <v>1938</v>
      </c>
      <c r="D26" s="61" t="s">
        <v>185</v>
      </c>
      <c r="E26" s="61"/>
      <c r="F26" s="88" t="s">
        <v>1867</v>
      </c>
      <c r="G26" s="63" t="s">
        <v>1939</v>
      </c>
      <c r="H26" s="91" t="s">
        <v>188</v>
      </c>
      <c r="I26" s="90" t="s">
        <v>1453</v>
      </c>
      <c r="J26" s="90"/>
      <c r="K26" s="90" t="s">
        <v>191</v>
      </c>
      <c r="L26" s="64">
        <v>2</v>
      </c>
      <c r="M26" s="65" t="s">
        <v>12</v>
      </c>
      <c r="N26" s="78">
        <v>5</v>
      </c>
      <c r="O26" s="97" t="s">
        <v>192</v>
      </c>
      <c r="P26" s="620" t="s">
        <v>12</v>
      </c>
      <c r="Q26" s="627" t="s">
        <v>1930</v>
      </c>
    </row>
    <row r="27" spans="1:18" ht="22.5">
      <c r="A27" s="43" t="s">
        <v>1940</v>
      </c>
      <c r="B27" s="63" t="s">
        <v>1941</v>
      </c>
      <c r="C27" s="63" t="s">
        <v>758</v>
      </c>
      <c r="D27" s="63" t="s">
        <v>185</v>
      </c>
      <c r="E27" s="63"/>
      <c r="F27" s="88" t="s">
        <v>1942</v>
      </c>
      <c r="G27" s="63" t="s">
        <v>1943</v>
      </c>
      <c r="H27" s="91" t="s">
        <v>188</v>
      </c>
      <c r="I27" s="90" t="s">
        <v>1453</v>
      </c>
      <c r="J27" s="90"/>
      <c r="K27" s="90" t="s">
        <v>191</v>
      </c>
      <c r="L27" s="64">
        <v>2</v>
      </c>
      <c r="M27" s="65" t="s">
        <v>12</v>
      </c>
      <c r="N27" s="78">
        <v>5</v>
      </c>
      <c r="O27" s="97" t="s">
        <v>192</v>
      </c>
      <c r="P27" s="620" t="s">
        <v>12</v>
      </c>
      <c r="Q27" s="627" t="s">
        <v>1942</v>
      </c>
    </row>
    <row r="28" spans="1:18" s="653" customFormat="1" ht="22.5">
      <c r="A28" s="645" t="s">
        <v>1944</v>
      </c>
      <c r="B28" s="654" t="s">
        <v>1945</v>
      </c>
      <c r="C28" s="654" t="s">
        <v>758</v>
      </c>
      <c r="D28" s="654" t="s">
        <v>185</v>
      </c>
      <c r="E28" s="654"/>
      <c r="F28" s="658" t="s">
        <v>1946</v>
      </c>
      <c r="G28" s="654" t="s">
        <v>1947</v>
      </c>
      <c r="H28" s="656" t="s">
        <v>188</v>
      </c>
      <c r="I28" s="648" t="s">
        <v>1453</v>
      </c>
      <c r="J28" s="648"/>
      <c r="K28" s="648" t="s">
        <v>191</v>
      </c>
      <c r="L28" s="649">
        <v>2</v>
      </c>
      <c r="M28" s="650" t="s">
        <v>14</v>
      </c>
      <c r="N28" s="651">
        <v>5</v>
      </c>
      <c r="O28" s="652" t="s">
        <v>192</v>
      </c>
      <c r="P28" s="620" t="s">
        <v>12</v>
      </c>
      <c r="Q28" s="627" t="s">
        <v>1942</v>
      </c>
    </row>
    <row r="29" spans="1:18" ht="22.5">
      <c r="A29" s="43" t="s">
        <v>1948</v>
      </c>
      <c r="B29" s="63" t="s">
        <v>1949</v>
      </c>
      <c r="C29" s="61" t="s">
        <v>1950</v>
      </c>
      <c r="D29" s="61" t="s">
        <v>185</v>
      </c>
      <c r="E29" s="61"/>
      <c r="F29" s="88" t="s">
        <v>1867</v>
      </c>
      <c r="G29" s="63" t="s">
        <v>1951</v>
      </c>
      <c r="H29" s="91" t="s">
        <v>188</v>
      </c>
      <c r="I29" s="90" t="s">
        <v>1453</v>
      </c>
      <c r="J29" s="90"/>
      <c r="K29" s="90" t="s">
        <v>191</v>
      </c>
      <c r="L29" s="64">
        <v>2</v>
      </c>
      <c r="M29" s="65" t="s">
        <v>12</v>
      </c>
      <c r="N29" s="78">
        <v>5</v>
      </c>
      <c r="O29" s="97" t="s">
        <v>222</v>
      </c>
      <c r="P29" s="620" t="s">
        <v>12</v>
      </c>
      <c r="Q29" s="627" t="s">
        <v>1867</v>
      </c>
    </row>
    <row r="30" spans="1:18" ht="22.5">
      <c r="A30" s="43" t="s">
        <v>1952</v>
      </c>
      <c r="B30" s="63" t="s">
        <v>1953</v>
      </c>
      <c r="C30" s="61" t="s">
        <v>1954</v>
      </c>
      <c r="D30" s="61" t="s">
        <v>185</v>
      </c>
      <c r="E30" s="61"/>
      <c r="F30" s="88" t="s">
        <v>1867</v>
      </c>
      <c r="G30" s="63" t="s">
        <v>1955</v>
      </c>
      <c r="H30" s="91" t="s">
        <v>188</v>
      </c>
      <c r="I30" s="90" t="s">
        <v>1453</v>
      </c>
      <c r="J30" s="90"/>
      <c r="K30" s="90" t="s">
        <v>191</v>
      </c>
      <c r="L30" s="64">
        <v>2</v>
      </c>
      <c r="M30" s="65" t="s">
        <v>12</v>
      </c>
      <c r="N30" s="78">
        <v>5</v>
      </c>
      <c r="O30" s="97" t="s">
        <v>222</v>
      </c>
      <c r="P30" s="620" t="s">
        <v>12</v>
      </c>
      <c r="Q30" s="627" t="s">
        <v>1867</v>
      </c>
    </row>
    <row r="31" spans="1:18" s="653" customFormat="1" ht="67.5">
      <c r="A31" s="645" t="s">
        <v>1956</v>
      </c>
      <c r="B31" s="654" t="s">
        <v>1957</v>
      </c>
      <c r="C31" s="657" t="s">
        <v>758</v>
      </c>
      <c r="D31" s="657" t="s">
        <v>185</v>
      </c>
      <c r="E31" s="657"/>
      <c r="F31" s="647" t="s">
        <v>1890</v>
      </c>
      <c r="G31" s="654" t="s">
        <v>1958</v>
      </c>
      <c r="H31" s="656" t="s">
        <v>204</v>
      </c>
      <c r="I31" s="648" t="s">
        <v>1959</v>
      </c>
      <c r="J31" s="648"/>
      <c r="K31" s="648" t="s">
        <v>191</v>
      </c>
      <c r="L31" s="649">
        <v>2</v>
      </c>
      <c r="M31" s="650" t="s">
        <v>14</v>
      </c>
      <c r="N31" s="651">
        <v>5</v>
      </c>
      <c r="O31" s="652" t="s">
        <v>222</v>
      </c>
      <c r="P31" s="620" t="s">
        <v>12</v>
      </c>
      <c r="Q31" s="627" t="s">
        <v>1927</v>
      </c>
    </row>
    <row r="32" spans="1:18" s="653" customFormat="1" ht="22.5">
      <c r="A32" s="645" t="s">
        <v>1960</v>
      </c>
      <c r="B32" s="654" t="s">
        <v>1961</v>
      </c>
      <c r="C32" s="657" t="s">
        <v>758</v>
      </c>
      <c r="D32" s="657" t="s">
        <v>185</v>
      </c>
      <c r="E32" s="657"/>
      <c r="F32" s="647" t="s">
        <v>1962</v>
      </c>
      <c r="G32" s="654" t="s">
        <v>1963</v>
      </c>
      <c r="H32" s="656" t="s">
        <v>188</v>
      </c>
      <c r="I32" s="648" t="s">
        <v>1453</v>
      </c>
      <c r="J32" s="648"/>
      <c r="K32" s="648" t="s">
        <v>191</v>
      </c>
      <c r="L32" s="649">
        <v>2</v>
      </c>
      <c r="M32" s="650" t="s">
        <v>14</v>
      </c>
      <c r="N32" s="651">
        <v>5</v>
      </c>
      <c r="O32" s="652" t="s">
        <v>222</v>
      </c>
      <c r="P32" s="620" t="s">
        <v>12</v>
      </c>
      <c r="Q32" s="627" t="s">
        <v>1964</v>
      </c>
    </row>
    <row r="33" spans="1:17" s="653" customFormat="1" ht="22.5">
      <c r="A33" s="645" t="s">
        <v>1965</v>
      </c>
      <c r="B33" s="654" t="s">
        <v>1966</v>
      </c>
      <c r="C33" s="657" t="s">
        <v>758</v>
      </c>
      <c r="D33" s="657" t="s">
        <v>185</v>
      </c>
      <c r="E33" s="657"/>
      <c r="F33" s="647" t="s">
        <v>1962</v>
      </c>
      <c r="G33" s="654" t="s">
        <v>1967</v>
      </c>
      <c r="H33" s="656" t="s">
        <v>188</v>
      </c>
      <c r="I33" s="648" t="s">
        <v>1453</v>
      </c>
      <c r="J33" s="648"/>
      <c r="K33" s="648" t="s">
        <v>191</v>
      </c>
      <c r="L33" s="649">
        <v>2</v>
      </c>
      <c r="M33" s="650" t="s">
        <v>14</v>
      </c>
      <c r="N33" s="651">
        <v>5</v>
      </c>
      <c r="O33" s="652" t="s">
        <v>222</v>
      </c>
      <c r="P33" s="620" t="s">
        <v>12</v>
      </c>
      <c r="Q33" s="627" t="s">
        <v>1964</v>
      </c>
    </row>
    <row r="34" spans="1:17" s="653" customFormat="1" ht="22.5">
      <c r="A34" s="645" t="s">
        <v>1968</v>
      </c>
      <c r="B34" s="654" t="s">
        <v>1969</v>
      </c>
      <c r="C34" s="657" t="s">
        <v>758</v>
      </c>
      <c r="D34" s="657" t="s">
        <v>185</v>
      </c>
      <c r="E34" s="657"/>
      <c r="F34" s="647" t="s">
        <v>1962</v>
      </c>
      <c r="G34" s="654" t="s">
        <v>1970</v>
      </c>
      <c r="H34" s="656" t="s">
        <v>188</v>
      </c>
      <c r="I34" s="648" t="s">
        <v>1453</v>
      </c>
      <c r="J34" s="648"/>
      <c r="K34" s="648" t="s">
        <v>191</v>
      </c>
      <c r="L34" s="649">
        <v>2</v>
      </c>
      <c r="M34" s="650" t="s">
        <v>14</v>
      </c>
      <c r="N34" s="651">
        <v>5</v>
      </c>
      <c r="O34" s="652" t="s">
        <v>222</v>
      </c>
      <c r="P34" s="620" t="s">
        <v>12</v>
      </c>
      <c r="Q34" s="627" t="s">
        <v>1964</v>
      </c>
    </row>
    <row r="35" spans="1:17" s="653" customFormat="1" ht="22.5">
      <c r="A35" s="645" t="s">
        <v>1971</v>
      </c>
      <c r="B35" s="654" t="s">
        <v>1972</v>
      </c>
      <c r="C35" s="657" t="s">
        <v>758</v>
      </c>
      <c r="D35" s="657" t="s">
        <v>185</v>
      </c>
      <c r="E35" s="657"/>
      <c r="F35" s="647" t="s">
        <v>1962</v>
      </c>
      <c r="G35" s="654" t="s">
        <v>1973</v>
      </c>
      <c r="H35" s="656" t="s">
        <v>188</v>
      </c>
      <c r="I35" s="648" t="s">
        <v>1453</v>
      </c>
      <c r="J35" s="648"/>
      <c r="K35" s="648" t="s">
        <v>191</v>
      </c>
      <c r="L35" s="649">
        <v>2</v>
      </c>
      <c r="M35" s="650" t="s">
        <v>14</v>
      </c>
      <c r="N35" s="651">
        <v>5</v>
      </c>
      <c r="O35" s="652" t="s">
        <v>222</v>
      </c>
      <c r="P35" s="620" t="s">
        <v>12</v>
      </c>
      <c r="Q35" s="627" t="s">
        <v>1964</v>
      </c>
    </row>
    <row r="36" spans="1:17" ht="22.5">
      <c r="A36" s="43" t="s">
        <v>1974</v>
      </c>
      <c r="B36" s="63" t="s">
        <v>1975</v>
      </c>
      <c r="C36" s="61" t="s">
        <v>758</v>
      </c>
      <c r="D36" s="61" t="s">
        <v>185</v>
      </c>
      <c r="E36" s="61"/>
      <c r="F36" s="88" t="s">
        <v>1908</v>
      </c>
      <c r="G36" s="63" t="s">
        <v>1976</v>
      </c>
      <c r="H36" s="91" t="s">
        <v>204</v>
      </c>
      <c r="I36" s="90" t="s">
        <v>1977</v>
      </c>
      <c r="J36" s="90"/>
      <c r="K36" s="90" t="s">
        <v>191</v>
      </c>
      <c r="L36" s="64">
        <v>1</v>
      </c>
      <c r="M36" s="65" t="s">
        <v>14</v>
      </c>
      <c r="N36" s="78">
        <v>5</v>
      </c>
      <c r="O36" s="97" t="s">
        <v>222</v>
      </c>
      <c r="P36" s="620" t="s">
        <v>12</v>
      </c>
      <c r="Q36" s="627" t="s">
        <v>1978</v>
      </c>
    </row>
    <row r="37" spans="1:17" ht="22.5">
      <c r="A37" s="43" t="s">
        <v>1979</v>
      </c>
      <c r="B37" s="63" t="s">
        <v>1980</v>
      </c>
      <c r="C37" s="61" t="s">
        <v>1981</v>
      </c>
      <c r="D37" s="61" t="s">
        <v>185</v>
      </c>
      <c r="E37" s="61"/>
      <c r="F37" s="88" t="s">
        <v>1867</v>
      </c>
      <c r="G37" s="63" t="s">
        <v>1982</v>
      </c>
      <c r="H37" s="91" t="s">
        <v>188</v>
      </c>
      <c r="I37" s="90" t="s">
        <v>1453</v>
      </c>
      <c r="J37" s="90"/>
      <c r="K37" s="90" t="s">
        <v>191</v>
      </c>
      <c r="L37" s="64">
        <v>2</v>
      </c>
      <c r="M37" s="65" t="s">
        <v>12</v>
      </c>
      <c r="N37" s="78">
        <v>5</v>
      </c>
      <c r="O37" s="97" t="s">
        <v>222</v>
      </c>
      <c r="P37" s="620" t="s">
        <v>12</v>
      </c>
      <c r="Q37" s="627" t="s">
        <v>1983</v>
      </c>
    </row>
    <row r="38" spans="1:17" ht="22.5">
      <c r="A38" s="43" t="s">
        <v>1984</v>
      </c>
      <c r="B38" s="63" t="s">
        <v>1985</v>
      </c>
      <c r="C38" s="61" t="s">
        <v>1986</v>
      </c>
      <c r="D38" s="61" t="s">
        <v>185</v>
      </c>
      <c r="E38" s="61"/>
      <c r="F38" s="88" t="s">
        <v>1987</v>
      </c>
      <c r="G38" s="63" t="s">
        <v>1988</v>
      </c>
      <c r="H38" s="91" t="s">
        <v>188</v>
      </c>
      <c r="I38" s="90" t="s">
        <v>1453</v>
      </c>
      <c r="J38" s="90"/>
      <c r="K38" s="90" t="s">
        <v>191</v>
      </c>
      <c r="L38" s="64">
        <v>2</v>
      </c>
      <c r="M38" s="65" t="s">
        <v>12</v>
      </c>
      <c r="N38" s="78">
        <v>4</v>
      </c>
      <c r="O38" s="97" t="s">
        <v>222</v>
      </c>
      <c r="P38" s="620" t="s">
        <v>12</v>
      </c>
      <c r="Q38" s="627" t="s">
        <v>1983</v>
      </c>
    </row>
    <row r="39" spans="1:17" ht="22.5">
      <c r="A39" s="43" t="s">
        <v>1989</v>
      </c>
      <c r="B39" s="63" t="s">
        <v>1990</v>
      </c>
      <c r="C39" s="61" t="s">
        <v>1991</v>
      </c>
      <c r="D39" s="61" t="s">
        <v>185</v>
      </c>
      <c r="E39" s="61"/>
      <c r="F39" s="88" t="s">
        <v>1987</v>
      </c>
      <c r="G39" s="63" t="s">
        <v>1992</v>
      </c>
      <c r="H39" s="91" t="s">
        <v>188</v>
      </c>
      <c r="I39" s="90" t="s">
        <v>1453</v>
      </c>
      <c r="J39" s="90"/>
      <c r="K39" s="90" t="s">
        <v>191</v>
      </c>
      <c r="L39" s="64">
        <v>2</v>
      </c>
      <c r="M39" s="65" t="s">
        <v>12</v>
      </c>
      <c r="N39" s="78">
        <v>4</v>
      </c>
      <c r="O39" s="97" t="s">
        <v>222</v>
      </c>
      <c r="P39" s="620" t="s">
        <v>12</v>
      </c>
      <c r="Q39" s="627" t="s">
        <v>1983</v>
      </c>
    </row>
    <row r="40" spans="1:17" ht="22.5">
      <c r="A40" s="43" t="s">
        <v>1993</v>
      </c>
      <c r="B40" s="63" t="s">
        <v>1994</v>
      </c>
      <c r="C40" s="61" t="s">
        <v>1995</v>
      </c>
      <c r="D40" s="61" t="s">
        <v>185</v>
      </c>
      <c r="E40" s="61"/>
      <c r="F40" s="88" t="s">
        <v>1987</v>
      </c>
      <c r="G40" s="63" t="s">
        <v>1996</v>
      </c>
      <c r="H40" s="91" t="s">
        <v>188</v>
      </c>
      <c r="I40" s="90" t="s">
        <v>1453</v>
      </c>
      <c r="J40" s="90"/>
      <c r="K40" s="90" t="s">
        <v>191</v>
      </c>
      <c r="L40" s="64">
        <v>2</v>
      </c>
      <c r="M40" s="65" t="s">
        <v>12</v>
      </c>
      <c r="N40" s="78">
        <v>4</v>
      </c>
      <c r="O40" s="97" t="s">
        <v>222</v>
      </c>
      <c r="P40" s="620" t="s">
        <v>12</v>
      </c>
      <c r="Q40" s="627" t="s">
        <v>1983</v>
      </c>
    </row>
    <row r="41" spans="1:17" ht="22.5">
      <c r="A41" s="43" t="s">
        <v>1997</v>
      </c>
      <c r="B41" s="63" t="s">
        <v>1998</v>
      </c>
      <c r="C41" s="61" t="s">
        <v>1999</v>
      </c>
      <c r="D41" s="61" t="s">
        <v>185</v>
      </c>
      <c r="E41" s="61"/>
      <c r="F41" s="88" t="s">
        <v>1987</v>
      </c>
      <c r="G41" s="63" t="s">
        <v>2000</v>
      </c>
      <c r="H41" s="91" t="s">
        <v>188</v>
      </c>
      <c r="I41" s="90" t="s">
        <v>1453</v>
      </c>
      <c r="J41" s="90"/>
      <c r="K41" s="90" t="s">
        <v>191</v>
      </c>
      <c r="L41" s="64">
        <v>2</v>
      </c>
      <c r="M41" s="65" t="s">
        <v>12</v>
      </c>
      <c r="N41" s="78">
        <v>4</v>
      </c>
      <c r="O41" s="97" t="s">
        <v>222</v>
      </c>
      <c r="P41" s="620" t="s">
        <v>12</v>
      </c>
      <c r="Q41" s="627" t="s">
        <v>1983</v>
      </c>
    </row>
    <row r="42" spans="1:17" ht="22.5">
      <c r="A42" s="43" t="s">
        <v>2001</v>
      </c>
      <c r="B42" s="63" t="s">
        <v>2002</v>
      </c>
      <c r="C42" s="61" t="s">
        <v>2003</v>
      </c>
      <c r="D42" s="61" t="s">
        <v>185</v>
      </c>
      <c r="E42" s="61"/>
      <c r="F42" s="88" t="s">
        <v>1987</v>
      </c>
      <c r="G42" s="63" t="s">
        <v>2004</v>
      </c>
      <c r="H42" s="91" t="s">
        <v>188</v>
      </c>
      <c r="I42" s="90" t="s">
        <v>1453</v>
      </c>
      <c r="J42" s="90"/>
      <c r="K42" s="90" t="s">
        <v>191</v>
      </c>
      <c r="L42" s="64">
        <v>2</v>
      </c>
      <c r="M42" s="65" t="s">
        <v>12</v>
      </c>
      <c r="N42" s="78">
        <v>4</v>
      </c>
      <c r="O42" s="97" t="s">
        <v>222</v>
      </c>
      <c r="P42" s="620" t="s">
        <v>12</v>
      </c>
      <c r="Q42" s="627" t="s">
        <v>1983</v>
      </c>
    </row>
    <row r="43" spans="1:17" ht="22.5">
      <c r="A43" s="43" t="s">
        <v>2005</v>
      </c>
      <c r="B43" s="63" t="s">
        <v>2006</v>
      </c>
      <c r="C43" s="61" t="s">
        <v>2007</v>
      </c>
      <c r="D43" s="61" t="s">
        <v>185</v>
      </c>
      <c r="E43" s="61"/>
      <c r="F43" s="88" t="s">
        <v>1987</v>
      </c>
      <c r="G43" s="63" t="s">
        <v>2008</v>
      </c>
      <c r="H43" s="91" t="s">
        <v>188</v>
      </c>
      <c r="I43" s="90" t="s">
        <v>1453</v>
      </c>
      <c r="J43" s="90"/>
      <c r="K43" s="90" t="s">
        <v>191</v>
      </c>
      <c r="L43" s="64">
        <v>2</v>
      </c>
      <c r="M43" s="65" t="s">
        <v>12</v>
      </c>
      <c r="N43" s="78">
        <v>4</v>
      </c>
      <c r="O43" s="97" t="s">
        <v>222</v>
      </c>
      <c r="P43" s="620" t="s">
        <v>12</v>
      </c>
      <c r="Q43" s="627" t="s">
        <v>1983</v>
      </c>
    </row>
    <row r="44" spans="1:17" ht="22.5">
      <c r="A44" s="43" t="s">
        <v>2009</v>
      </c>
      <c r="B44" s="63" t="s">
        <v>2010</v>
      </c>
      <c r="C44" s="61" t="s">
        <v>2011</v>
      </c>
      <c r="D44" s="61" t="s">
        <v>185</v>
      </c>
      <c r="E44" s="61"/>
      <c r="F44" s="88" t="s">
        <v>1987</v>
      </c>
      <c r="G44" s="63" t="s">
        <v>2012</v>
      </c>
      <c r="H44" s="91" t="s">
        <v>188</v>
      </c>
      <c r="I44" s="90" t="s">
        <v>1453</v>
      </c>
      <c r="J44" s="90"/>
      <c r="K44" s="90" t="s">
        <v>191</v>
      </c>
      <c r="L44" s="64">
        <v>2</v>
      </c>
      <c r="M44" s="65" t="s">
        <v>12</v>
      </c>
      <c r="N44" s="78">
        <v>4</v>
      </c>
      <c r="O44" s="97" t="s">
        <v>222</v>
      </c>
      <c r="P44" s="620" t="s">
        <v>12</v>
      </c>
      <c r="Q44" s="627" t="s">
        <v>1983</v>
      </c>
    </row>
    <row r="45" spans="1:17" ht="22.5">
      <c r="A45" s="43" t="s">
        <v>2013</v>
      </c>
      <c r="B45" s="63" t="s">
        <v>2014</v>
      </c>
      <c r="C45" s="61" t="s">
        <v>2015</v>
      </c>
      <c r="D45" s="61" t="s">
        <v>185</v>
      </c>
      <c r="E45" s="61"/>
      <c r="F45" s="88" t="s">
        <v>1987</v>
      </c>
      <c r="G45" s="63" t="s">
        <v>2016</v>
      </c>
      <c r="H45" s="91" t="s">
        <v>188</v>
      </c>
      <c r="I45" s="90" t="s">
        <v>1453</v>
      </c>
      <c r="J45" s="90"/>
      <c r="K45" s="90" t="s">
        <v>191</v>
      </c>
      <c r="L45" s="64">
        <v>2</v>
      </c>
      <c r="M45" s="65" t="s">
        <v>12</v>
      </c>
      <c r="N45" s="78">
        <v>4</v>
      </c>
      <c r="O45" s="97" t="s">
        <v>222</v>
      </c>
      <c r="P45" s="620" t="s">
        <v>12</v>
      </c>
      <c r="Q45" s="627" t="s">
        <v>1983</v>
      </c>
    </row>
    <row r="46" spans="1:17" ht="22.5">
      <c r="A46" s="43" t="s">
        <v>2017</v>
      </c>
      <c r="B46" s="63" t="s">
        <v>2018</v>
      </c>
      <c r="C46" s="61" t="s">
        <v>2019</v>
      </c>
      <c r="D46" s="61" t="s">
        <v>185</v>
      </c>
      <c r="E46" s="61"/>
      <c r="F46" s="88" t="s">
        <v>1987</v>
      </c>
      <c r="G46" s="63" t="s">
        <v>2020</v>
      </c>
      <c r="H46" s="91" t="s">
        <v>188</v>
      </c>
      <c r="I46" s="90" t="s">
        <v>1453</v>
      </c>
      <c r="J46" s="90"/>
      <c r="K46" s="90" t="s">
        <v>191</v>
      </c>
      <c r="L46" s="64">
        <v>2</v>
      </c>
      <c r="M46" s="65" t="s">
        <v>12</v>
      </c>
      <c r="N46" s="78">
        <v>4</v>
      </c>
      <c r="O46" s="97" t="s">
        <v>222</v>
      </c>
      <c r="P46" s="620" t="s">
        <v>12</v>
      </c>
      <c r="Q46" s="627" t="s">
        <v>1983</v>
      </c>
    </row>
    <row r="47" spans="1:17" ht="22.5">
      <c r="A47" s="43" t="s">
        <v>2021</v>
      </c>
      <c r="B47" s="63" t="s">
        <v>2022</v>
      </c>
      <c r="C47" s="61" t="s">
        <v>2023</v>
      </c>
      <c r="D47" s="61" t="s">
        <v>185</v>
      </c>
      <c r="E47" s="61"/>
      <c r="F47" s="88" t="s">
        <v>1987</v>
      </c>
      <c r="G47" s="63" t="s">
        <v>2024</v>
      </c>
      <c r="H47" s="91" t="s">
        <v>188</v>
      </c>
      <c r="I47" s="90" t="s">
        <v>1453</v>
      </c>
      <c r="J47" s="90"/>
      <c r="K47" s="90" t="s">
        <v>191</v>
      </c>
      <c r="L47" s="64">
        <v>2</v>
      </c>
      <c r="M47" s="65" t="s">
        <v>12</v>
      </c>
      <c r="N47" s="78">
        <v>4</v>
      </c>
      <c r="O47" s="97" t="s">
        <v>222</v>
      </c>
      <c r="P47" s="620" t="s">
        <v>12</v>
      </c>
      <c r="Q47" s="627" t="s">
        <v>1983</v>
      </c>
    </row>
    <row r="48" spans="1:17" ht="22.5">
      <c r="A48" s="43" t="s">
        <v>2025</v>
      </c>
      <c r="B48" s="63" t="s">
        <v>2026</v>
      </c>
      <c r="C48" s="61" t="s">
        <v>2027</v>
      </c>
      <c r="D48" s="61" t="s">
        <v>185</v>
      </c>
      <c r="E48" s="61"/>
      <c r="F48" s="88" t="s">
        <v>1987</v>
      </c>
      <c r="G48" s="63" t="s">
        <v>2028</v>
      </c>
      <c r="H48" s="91" t="s">
        <v>188</v>
      </c>
      <c r="I48" s="90" t="s">
        <v>1453</v>
      </c>
      <c r="J48" s="90"/>
      <c r="K48" s="90" t="s">
        <v>191</v>
      </c>
      <c r="L48" s="64">
        <v>2</v>
      </c>
      <c r="M48" s="65" t="s">
        <v>12</v>
      </c>
      <c r="N48" s="78">
        <v>4</v>
      </c>
      <c r="O48" s="97" t="s">
        <v>222</v>
      </c>
      <c r="P48" s="620" t="s">
        <v>12</v>
      </c>
      <c r="Q48" s="627" t="s">
        <v>1983</v>
      </c>
    </row>
    <row r="49" spans="1:17" ht="22.5">
      <c r="A49" s="43" t="s">
        <v>2029</v>
      </c>
      <c r="B49" s="63" t="s">
        <v>2030</v>
      </c>
      <c r="C49" s="61" t="s">
        <v>2031</v>
      </c>
      <c r="D49" s="61" t="s">
        <v>185</v>
      </c>
      <c r="E49" s="61"/>
      <c r="F49" s="88" t="s">
        <v>1987</v>
      </c>
      <c r="G49" s="63" t="s">
        <v>2032</v>
      </c>
      <c r="H49" s="91" t="s">
        <v>188</v>
      </c>
      <c r="I49" s="90" t="s">
        <v>1453</v>
      </c>
      <c r="J49" s="90"/>
      <c r="K49" s="90" t="s">
        <v>191</v>
      </c>
      <c r="L49" s="64">
        <v>2</v>
      </c>
      <c r="M49" s="65" t="s">
        <v>12</v>
      </c>
      <c r="N49" s="78">
        <v>4</v>
      </c>
      <c r="O49" s="97" t="s">
        <v>222</v>
      </c>
      <c r="P49" s="620" t="s">
        <v>12</v>
      </c>
      <c r="Q49" s="627" t="s">
        <v>1983</v>
      </c>
    </row>
    <row r="50" spans="1:17" ht="22.5">
      <c r="A50" s="43" t="s">
        <v>2033</v>
      </c>
      <c r="B50" s="63" t="s">
        <v>2034</v>
      </c>
      <c r="C50" s="61" t="s">
        <v>2035</v>
      </c>
      <c r="D50" s="61" t="s">
        <v>185</v>
      </c>
      <c r="E50" s="61"/>
      <c r="F50" s="88" t="s">
        <v>1987</v>
      </c>
      <c r="G50" s="63" t="s">
        <v>2036</v>
      </c>
      <c r="H50" s="91" t="s">
        <v>188</v>
      </c>
      <c r="I50" s="90" t="s">
        <v>1453</v>
      </c>
      <c r="J50" s="90"/>
      <c r="K50" s="90" t="s">
        <v>191</v>
      </c>
      <c r="L50" s="64">
        <v>2</v>
      </c>
      <c r="M50" s="65" t="s">
        <v>12</v>
      </c>
      <c r="N50" s="78">
        <v>4</v>
      </c>
      <c r="O50" s="97" t="s">
        <v>222</v>
      </c>
      <c r="P50" s="620" t="s">
        <v>12</v>
      </c>
      <c r="Q50" s="627" t="s">
        <v>1983</v>
      </c>
    </row>
    <row r="51" spans="1:17" ht="22.5">
      <c r="A51" s="43" t="s">
        <v>2037</v>
      </c>
      <c r="B51" s="63" t="s">
        <v>2038</v>
      </c>
      <c r="C51" s="61" t="s">
        <v>2039</v>
      </c>
      <c r="D51" s="61" t="s">
        <v>185</v>
      </c>
      <c r="E51" s="61"/>
      <c r="F51" s="88" t="s">
        <v>1987</v>
      </c>
      <c r="G51" s="63" t="s">
        <v>2040</v>
      </c>
      <c r="H51" s="91" t="s">
        <v>188</v>
      </c>
      <c r="I51" s="90" t="s">
        <v>1453</v>
      </c>
      <c r="J51" s="90"/>
      <c r="K51" s="90" t="s">
        <v>191</v>
      </c>
      <c r="L51" s="64">
        <v>2</v>
      </c>
      <c r="M51" s="65" t="s">
        <v>12</v>
      </c>
      <c r="N51" s="78">
        <v>4</v>
      </c>
      <c r="O51" s="97" t="s">
        <v>222</v>
      </c>
      <c r="P51" s="620" t="s">
        <v>12</v>
      </c>
      <c r="Q51" s="627" t="s">
        <v>1983</v>
      </c>
    </row>
    <row r="52" spans="1:17" ht="22.5">
      <c r="A52" s="43" t="s">
        <v>2041</v>
      </c>
      <c r="B52" s="63" t="s">
        <v>2042</v>
      </c>
      <c r="C52" s="61" t="s">
        <v>2043</v>
      </c>
      <c r="D52" s="61" t="s">
        <v>185</v>
      </c>
      <c r="E52" s="61"/>
      <c r="F52" s="88" t="s">
        <v>1987</v>
      </c>
      <c r="G52" s="63" t="s">
        <v>2044</v>
      </c>
      <c r="H52" s="91" t="s">
        <v>188</v>
      </c>
      <c r="I52" s="90" t="s">
        <v>1453</v>
      </c>
      <c r="J52" s="90"/>
      <c r="K52" s="90" t="s">
        <v>191</v>
      </c>
      <c r="L52" s="64">
        <v>2</v>
      </c>
      <c r="M52" s="65" t="s">
        <v>12</v>
      </c>
      <c r="N52" s="78">
        <v>4</v>
      </c>
      <c r="O52" s="97" t="s">
        <v>222</v>
      </c>
      <c r="P52" s="620" t="s">
        <v>12</v>
      </c>
      <c r="Q52" s="627" t="s">
        <v>1983</v>
      </c>
    </row>
    <row r="53" spans="1:17" ht="22.5">
      <c r="A53" s="43" t="s">
        <v>2045</v>
      </c>
      <c r="B53" s="63" t="s">
        <v>2046</v>
      </c>
      <c r="C53" s="61" t="s">
        <v>2047</v>
      </c>
      <c r="D53" s="61" t="s">
        <v>185</v>
      </c>
      <c r="E53" s="61"/>
      <c r="F53" s="88" t="s">
        <v>1987</v>
      </c>
      <c r="G53" s="63" t="s">
        <v>2048</v>
      </c>
      <c r="H53" s="91" t="s">
        <v>188</v>
      </c>
      <c r="I53" s="90" t="s">
        <v>1453</v>
      </c>
      <c r="J53" s="90"/>
      <c r="K53" s="90" t="s">
        <v>191</v>
      </c>
      <c r="L53" s="64">
        <v>2</v>
      </c>
      <c r="M53" s="65" t="s">
        <v>12</v>
      </c>
      <c r="N53" s="78">
        <v>4</v>
      </c>
      <c r="O53" s="97" t="s">
        <v>222</v>
      </c>
      <c r="P53" s="620" t="s">
        <v>12</v>
      </c>
      <c r="Q53" s="627" t="s">
        <v>1983</v>
      </c>
    </row>
    <row r="54" spans="1:17" ht="22.5">
      <c r="A54" s="43" t="s">
        <v>2049</v>
      </c>
      <c r="B54" s="63" t="s">
        <v>2050</v>
      </c>
      <c r="C54" s="61" t="s">
        <v>2051</v>
      </c>
      <c r="D54" s="61" t="s">
        <v>185</v>
      </c>
      <c r="E54" s="61"/>
      <c r="F54" s="88" t="s">
        <v>1987</v>
      </c>
      <c r="G54" s="63" t="s">
        <v>2052</v>
      </c>
      <c r="H54" s="91" t="s">
        <v>188</v>
      </c>
      <c r="I54" s="90" t="s">
        <v>1453</v>
      </c>
      <c r="J54" s="90"/>
      <c r="K54" s="90" t="s">
        <v>191</v>
      </c>
      <c r="L54" s="64">
        <v>2</v>
      </c>
      <c r="M54" s="65" t="s">
        <v>12</v>
      </c>
      <c r="N54" s="78">
        <v>4</v>
      </c>
      <c r="O54" s="97" t="s">
        <v>222</v>
      </c>
      <c r="P54" s="620" t="s">
        <v>12</v>
      </c>
      <c r="Q54" s="627" t="s">
        <v>1983</v>
      </c>
    </row>
    <row r="55" spans="1:17" ht="22.5">
      <c r="A55" s="43" t="s">
        <v>2053</v>
      </c>
      <c r="B55" s="63" t="s">
        <v>2054</v>
      </c>
      <c r="C55" s="61" t="s">
        <v>2055</v>
      </c>
      <c r="D55" s="61" t="s">
        <v>185</v>
      </c>
      <c r="E55" s="61"/>
      <c r="F55" s="88" t="s">
        <v>1987</v>
      </c>
      <c r="G55" s="63" t="s">
        <v>2056</v>
      </c>
      <c r="H55" s="91" t="s">
        <v>188</v>
      </c>
      <c r="I55" s="90" t="s">
        <v>1453</v>
      </c>
      <c r="J55" s="90"/>
      <c r="K55" s="90" t="s">
        <v>191</v>
      </c>
      <c r="L55" s="64">
        <v>2</v>
      </c>
      <c r="M55" s="65" t="s">
        <v>12</v>
      </c>
      <c r="N55" s="78">
        <v>4</v>
      </c>
      <c r="O55" s="97" t="s">
        <v>222</v>
      </c>
      <c r="P55" s="620" t="s">
        <v>12</v>
      </c>
      <c r="Q55" s="627" t="s">
        <v>1983</v>
      </c>
    </row>
    <row r="56" spans="1:17" ht="42.75" customHeight="1">
      <c r="A56" s="43" t="s">
        <v>2057</v>
      </c>
      <c r="B56" s="87" t="s">
        <v>2058</v>
      </c>
      <c r="C56" s="87" t="s">
        <v>758</v>
      </c>
      <c r="D56" s="87" t="s">
        <v>185</v>
      </c>
      <c r="E56" s="87"/>
      <c r="F56" s="88" t="s">
        <v>1895</v>
      </c>
      <c r="G56" s="43" t="s">
        <v>2059</v>
      </c>
      <c r="H56" s="90" t="s">
        <v>204</v>
      </c>
      <c r="I56" s="90"/>
      <c r="J56" s="90"/>
      <c r="K56" s="90" t="s">
        <v>191</v>
      </c>
      <c r="L56" s="64">
        <v>4</v>
      </c>
      <c r="M56" s="65" t="s">
        <v>12</v>
      </c>
      <c r="N56" s="78">
        <v>5</v>
      </c>
      <c r="O56" s="78" t="s">
        <v>222</v>
      </c>
      <c r="P56" s="620" t="s">
        <v>12</v>
      </c>
      <c r="Q56" s="64" t="s">
        <v>1895</v>
      </c>
    </row>
    <row r="57" spans="1:17" s="644" customFormat="1" ht="78.75">
      <c r="A57" s="212" t="s">
        <v>2060</v>
      </c>
      <c r="B57" s="634" t="s">
        <v>446</v>
      </c>
      <c r="C57" s="634" t="s">
        <v>2061</v>
      </c>
      <c r="D57" s="208" t="s">
        <v>185</v>
      </c>
      <c r="E57" s="208"/>
      <c r="F57" s="640" t="s">
        <v>1866</v>
      </c>
      <c r="G57" s="212" t="s">
        <v>2062</v>
      </c>
      <c r="H57" s="641" t="s">
        <v>204</v>
      </c>
      <c r="I57" s="641" t="s">
        <v>1418</v>
      </c>
      <c r="J57" s="641"/>
      <c r="K57" s="641" t="s">
        <v>191</v>
      </c>
      <c r="L57" s="210">
        <v>1</v>
      </c>
      <c r="M57" s="611" t="s">
        <v>12</v>
      </c>
      <c r="N57" s="642">
        <v>5</v>
      </c>
      <c r="O57" s="642" t="s">
        <v>199</v>
      </c>
      <c r="P57" s="620" t="s">
        <v>12</v>
      </c>
      <c r="Q57" s="210" t="s">
        <v>2063</v>
      </c>
    </row>
    <row r="58" spans="1:17" s="644" customFormat="1" ht="67.5">
      <c r="A58" s="212" t="s">
        <v>2064</v>
      </c>
      <c r="B58" s="634" t="s">
        <v>764</v>
      </c>
      <c r="C58" s="634" t="s">
        <v>2065</v>
      </c>
      <c r="D58" s="208" t="s">
        <v>185</v>
      </c>
      <c r="E58" s="208"/>
      <c r="F58" s="640" t="s">
        <v>1866</v>
      </c>
      <c r="G58" s="212" t="s">
        <v>456</v>
      </c>
      <c r="H58" s="641" t="s">
        <v>204</v>
      </c>
      <c r="I58" s="641" t="s">
        <v>2066</v>
      </c>
      <c r="J58" s="641"/>
      <c r="K58" s="641" t="s">
        <v>191</v>
      </c>
      <c r="L58" s="210">
        <v>1</v>
      </c>
      <c r="M58" s="611" t="s">
        <v>12</v>
      </c>
      <c r="N58" s="642">
        <v>4</v>
      </c>
      <c r="O58" s="642" t="s">
        <v>199</v>
      </c>
      <c r="P58" s="620" t="s">
        <v>12</v>
      </c>
      <c r="Q58" s="210" t="s">
        <v>2063</v>
      </c>
    </row>
    <row r="59" spans="1:17" s="644" customFormat="1" ht="67.5">
      <c r="A59" s="212" t="s">
        <v>2067</v>
      </c>
      <c r="B59" s="698" t="s">
        <v>463</v>
      </c>
      <c r="C59" s="698" t="s">
        <v>2068</v>
      </c>
      <c r="D59" s="661" t="s">
        <v>185</v>
      </c>
      <c r="E59" s="661"/>
      <c r="F59" s="699" t="s">
        <v>1866</v>
      </c>
      <c r="G59" s="700" t="s">
        <v>1424</v>
      </c>
      <c r="H59" s="701" t="s">
        <v>466</v>
      </c>
      <c r="I59" s="701"/>
      <c r="J59" s="701"/>
      <c r="K59" s="701" t="s">
        <v>191</v>
      </c>
      <c r="L59" s="702">
        <v>1</v>
      </c>
      <c r="M59" s="703" t="s">
        <v>12</v>
      </c>
      <c r="N59" s="704">
        <v>4</v>
      </c>
      <c r="O59" s="704" t="s">
        <v>199</v>
      </c>
      <c r="P59" s="620" t="s">
        <v>12</v>
      </c>
      <c r="Q59" s="210" t="s">
        <v>2063</v>
      </c>
    </row>
    <row r="60" spans="1:17" ht="11.25">
      <c r="A60" s="134"/>
      <c r="B60" s="217"/>
      <c r="C60" s="218"/>
      <c r="D60" s="218"/>
      <c r="E60" s="218"/>
      <c r="F60" s="217"/>
      <c r="G60" s="217"/>
      <c r="H60" s="219"/>
      <c r="I60" s="219"/>
      <c r="J60" s="219"/>
      <c r="K60" s="126"/>
      <c r="L60" s="78"/>
      <c r="M60" s="78"/>
      <c r="N60" s="78"/>
      <c r="O60" s="238"/>
      <c r="P60" s="238"/>
      <c r="Q60" s="456"/>
    </row>
    <row r="61" spans="1:17">
      <c r="A61" s="135" t="s">
        <v>2069</v>
      </c>
      <c r="B61" s="217"/>
      <c r="C61" s="219"/>
      <c r="D61" s="219"/>
      <c r="E61" s="219"/>
      <c r="F61" s="217"/>
      <c r="G61" s="217"/>
      <c r="H61" s="219"/>
      <c r="I61" s="219"/>
      <c r="J61" s="219"/>
      <c r="K61" s="713"/>
      <c r="L61" s="219"/>
      <c r="M61" s="78"/>
      <c r="N61" s="78"/>
      <c r="O61" s="238"/>
      <c r="P61" s="238"/>
      <c r="Q61" s="456"/>
    </row>
    <row r="62" spans="1:17" ht="22.5">
      <c r="A62" s="43" t="s">
        <v>1864</v>
      </c>
      <c r="B62" s="705" t="s">
        <v>731</v>
      </c>
      <c r="C62" s="224" t="s">
        <v>758</v>
      </c>
      <c r="D62" s="224" t="s">
        <v>185</v>
      </c>
      <c r="E62" s="224"/>
      <c r="F62" s="706" t="s">
        <v>1964</v>
      </c>
      <c r="G62" s="705" t="s">
        <v>183</v>
      </c>
      <c r="H62" s="707" t="s">
        <v>188</v>
      </c>
      <c r="I62" s="708" t="s">
        <v>189</v>
      </c>
      <c r="J62" s="708"/>
      <c r="K62" s="708" t="s">
        <v>191</v>
      </c>
      <c r="L62" s="709">
        <v>4</v>
      </c>
      <c r="M62" s="710" t="s">
        <v>14</v>
      </c>
      <c r="N62" s="711">
        <v>5</v>
      </c>
      <c r="O62" s="712" t="s">
        <v>192</v>
      </c>
      <c r="P62" s="397" t="s">
        <v>12</v>
      </c>
      <c r="Q62" s="753" t="s">
        <v>1964</v>
      </c>
    </row>
    <row r="63" spans="1:17" ht="11.25">
      <c r="A63" s="43" t="s">
        <v>2070</v>
      </c>
      <c r="B63" s="63" t="s">
        <v>2071</v>
      </c>
      <c r="C63" s="61" t="s">
        <v>758</v>
      </c>
      <c r="D63" s="61" t="s">
        <v>301</v>
      </c>
      <c r="E63" s="61"/>
      <c r="F63" s="258"/>
      <c r="G63" s="63" t="s">
        <v>2072</v>
      </c>
      <c r="H63" s="91" t="s">
        <v>466</v>
      </c>
      <c r="I63" s="90"/>
      <c r="J63" s="90"/>
      <c r="K63" s="90" t="s">
        <v>191</v>
      </c>
      <c r="L63" s="64">
        <v>1</v>
      </c>
      <c r="M63" s="65" t="s">
        <v>14</v>
      </c>
      <c r="N63" s="78">
        <v>2</v>
      </c>
      <c r="O63" s="97" t="s">
        <v>199</v>
      </c>
      <c r="P63" s="397" t="s">
        <v>12</v>
      </c>
      <c r="Q63" s="126"/>
    </row>
    <row r="64" spans="1:17" ht="11.25">
      <c r="A64" s="43" t="s">
        <v>2073</v>
      </c>
      <c r="B64" s="61" t="s">
        <v>2074</v>
      </c>
      <c r="C64" s="61" t="s">
        <v>2075</v>
      </c>
      <c r="D64" s="61" t="s">
        <v>493</v>
      </c>
      <c r="E64" s="61"/>
      <c r="F64" s="258"/>
      <c r="G64" s="63" t="s">
        <v>2076</v>
      </c>
      <c r="H64" s="91" t="s">
        <v>466</v>
      </c>
      <c r="I64" s="90"/>
      <c r="J64" s="90"/>
      <c r="K64" s="90" t="s">
        <v>191</v>
      </c>
      <c r="L64" s="64">
        <v>1</v>
      </c>
      <c r="M64" s="65" t="s">
        <v>14</v>
      </c>
      <c r="N64" s="78">
        <v>3</v>
      </c>
      <c r="O64" s="97" t="s">
        <v>199</v>
      </c>
      <c r="P64" s="397" t="s">
        <v>12</v>
      </c>
      <c r="Q64" s="254"/>
    </row>
    <row r="65" spans="1:18" ht="11.25">
      <c r="A65" s="43" t="s">
        <v>2077</v>
      </c>
      <c r="B65" s="63" t="s">
        <v>2078</v>
      </c>
      <c r="C65" s="61" t="s">
        <v>758</v>
      </c>
      <c r="D65" s="61" t="s">
        <v>242</v>
      </c>
      <c r="E65" s="61"/>
      <c r="F65" s="258"/>
      <c r="G65" s="63" t="s">
        <v>2079</v>
      </c>
      <c r="H65" s="91" t="s">
        <v>466</v>
      </c>
      <c r="I65" s="90"/>
      <c r="J65" s="90"/>
      <c r="K65" s="90" t="s">
        <v>191</v>
      </c>
      <c r="L65" s="64">
        <v>1</v>
      </c>
      <c r="M65" s="65" t="s">
        <v>14</v>
      </c>
      <c r="N65" s="78">
        <v>4</v>
      </c>
      <c r="O65" s="97" t="s">
        <v>199</v>
      </c>
      <c r="P65" s="397" t="s">
        <v>12</v>
      </c>
      <c r="Q65" s="126"/>
    </row>
    <row r="66" spans="1:18" s="644" customFormat="1" ht="67.5">
      <c r="A66" s="212" t="s">
        <v>2064</v>
      </c>
      <c r="B66" s="209" t="s">
        <v>764</v>
      </c>
      <c r="C66" s="208" t="s">
        <v>2080</v>
      </c>
      <c r="D66" s="208" t="s">
        <v>185</v>
      </c>
      <c r="E66" s="208"/>
      <c r="F66" s="659" t="s">
        <v>1895</v>
      </c>
      <c r="G66" s="209" t="s">
        <v>456</v>
      </c>
      <c r="H66" s="636" t="s">
        <v>204</v>
      </c>
      <c r="I66" s="641" t="s">
        <v>2081</v>
      </c>
      <c r="J66" s="641"/>
      <c r="K66" s="641" t="s">
        <v>191</v>
      </c>
      <c r="L66" s="210">
        <v>1</v>
      </c>
      <c r="M66" s="611" t="s">
        <v>14</v>
      </c>
      <c r="N66" s="642">
        <v>4</v>
      </c>
      <c r="O66" s="642" t="s">
        <v>199</v>
      </c>
      <c r="P66" s="397" t="s">
        <v>12</v>
      </c>
      <c r="Q66" s="663" t="s">
        <v>1895</v>
      </c>
    </row>
    <row r="67" spans="1:18" s="644" customFormat="1" ht="67.5">
      <c r="A67" s="212" t="s">
        <v>2067</v>
      </c>
      <c r="B67" s="634" t="s">
        <v>463</v>
      </c>
      <c r="C67" s="634" t="s">
        <v>2068</v>
      </c>
      <c r="D67" s="634" t="s">
        <v>185</v>
      </c>
      <c r="E67" s="634"/>
      <c r="F67" s="640" t="s">
        <v>2082</v>
      </c>
      <c r="G67" s="212" t="s">
        <v>1424</v>
      </c>
      <c r="H67" s="641" t="s">
        <v>466</v>
      </c>
      <c r="I67" s="641"/>
      <c r="J67" s="641"/>
      <c r="K67" s="641" t="s">
        <v>191</v>
      </c>
      <c r="L67" s="210">
        <v>1</v>
      </c>
      <c r="M67" s="611" t="s">
        <v>14</v>
      </c>
      <c r="N67" s="642">
        <v>4</v>
      </c>
      <c r="O67" s="642" t="s">
        <v>199</v>
      </c>
      <c r="P67" s="397" t="s">
        <v>12</v>
      </c>
      <c r="Q67" s="663" t="s">
        <v>2083</v>
      </c>
    </row>
    <row r="68" spans="1:18" ht="11.25">
      <c r="B68" s="45"/>
      <c r="C68" s="85"/>
      <c r="D68" s="85"/>
      <c r="E68" s="85"/>
      <c r="F68" s="102"/>
      <c r="G68" s="45"/>
      <c r="H68" s="45"/>
      <c r="L68" s="101"/>
      <c r="P68" s="49"/>
      <c r="Q68" s="49"/>
      <c r="R68" s="119"/>
    </row>
    <row r="69" spans="1:18">
      <c r="A69" s="40" t="s">
        <v>127</v>
      </c>
      <c r="B69" s="94"/>
      <c r="F69" s="94"/>
      <c r="G69" s="57"/>
      <c r="H69" s="57"/>
      <c r="I69" s="57"/>
      <c r="J69" s="57"/>
      <c r="K69" s="57"/>
    </row>
    <row r="70" spans="1:18">
      <c r="A70" s="40"/>
      <c r="B70" s="94"/>
      <c r="F70" s="94"/>
      <c r="G70" s="57"/>
      <c r="H70" s="57"/>
      <c r="I70" s="57"/>
      <c r="J70" s="57"/>
      <c r="K70" s="57"/>
    </row>
    <row r="71" spans="1:18">
      <c r="A71" s="40" t="s">
        <v>488</v>
      </c>
      <c r="B71" s="94"/>
      <c r="F71" s="94"/>
      <c r="G71" s="57"/>
      <c r="H71" s="57"/>
      <c r="I71" s="57"/>
      <c r="J71" s="57"/>
      <c r="K71" s="57"/>
    </row>
    <row r="72" spans="1:18" ht="15" customHeight="1">
      <c r="A72" s="46" t="s">
        <v>489</v>
      </c>
      <c r="B72" s="94"/>
      <c r="C72" s="94"/>
      <c r="D72" s="94"/>
      <c r="E72" s="94"/>
      <c r="F72" s="94"/>
      <c r="G72" s="57"/>
      <c r="H72" s="57"/>
      <c r="I72" s="57"/>
      <c r="J72" s="57"/>
      <c r="K72" s="57"/>
      <c r="L72" s="92"/>
    </row>
    <row r="73" spans="1:18">
      <c r="A73" s="129"/>
      <c r="B73" s="94"/>
      <c r="C73" s="94"/>
      <c r="D73" s="94"/>
      <c r="E73" s="94"/>
      <c r="F73" s="94"/>
      <c r="G73" s="57"/>
      <c r="H73" s="57"/>
      <c r="I73" s="57"/>
      <c r="J73" s="57"/>
      <c r="K73" s="57"/>
      <c r="L73" s="92"/>
    </row>
    <row r="74" spans="1:18" s="234" customFormat="1" ht="45">
      <c r="A74" s="236" t="s">
        <v>165</v>
      </c>
      <c r="B74" s="236" t="s">
        <v>166</v>
      </c>
      <c r="C74" s="236" t="s">
        <v>167</v>
      </c>
      <c r="D74" s="236" t="s">
        <v>168</v>
      </c>
      <c r="E74" s="236" t="s">
        <v>169</v>
      </c>
      <c r="F74" s="236" t="s">
        <v>170</v>
      </c>
      <c r="G74" s="236" t="s">
        <v>20</v>
      </c>
      <c r="H74" s="236" t="s">
        <v>171</v>
      </c>
      <c r="I74" s="236" t="s">
        <v>172</v>
      </c>
      <c r="J74" s="236" t="s">
        <v>174</v>
      </c>
      <c r="K74" s="236" t="s">
        <v>175</v>
      </c>
      <c r="L74" s="237" t="s">
        <v>176</v>
      </c>
      <c r="M74" s="237" t="s">
        <v>177</v>
      </c>
      <c r="N74" s="395" t="s">
        <v>655</v>
      </c>
      <c r="O74" s="396" t="s">
        <v>179</v>
      </c>
    </row>
    <row r="75" spans="1:18">
      <c r="A75" s="235" t="s">
        <v>1863</v>
      </c>
      <c r="B75" s="164"/>
      <c r="C75" s="164"/>
      <c r="D75" s="164"/>
      <c r="E75" s="164"/>
      <c r="F75" s="165"/>
      <c r="G75" s="164"/>
      <c r="H75" s="164"/>
      <c r="I75" s="164"/>
      <c r="J75" s="164"/>
      <c r="K75" s="164"/>
      <c r="L75" s="163"/>
      <c r="M75" s="166"/>
      <c r="N75" s="166"/>
      <c r="O75" s="151"/>
    </row>
    <row r="76" spans="1:18" ht="11.25">
      <c r="A76" s="145" t="s">
        <v>2084</v>
      </c>
      <c r="B76" s="152" t="s">
        <v>770</v>
      </c>
      <c r="C76" s="152" t="s">
        <v>2085</v>
      </c>
      <c r="D76" s="152" t="s">
        <v>493</v>
      </c>
      <c r="E76" s="154"/>
      <c r="F76" s="470" t="s">
        <v>2086</v>
      </c>
      <c r="G76" s="336" t="s">
        <v>503</v>
      </c>
      <c r="H76" s="155" t="s">
        <v>198</v>
      </c>
      <c r="I76" s="155"/>
      <c r="J76" s="155"/>
      <c r="K76" s="155" t="s">
        <v>191</v>
      </c>
      <c r="L76" s="143">
        <v>4</v>
      </c>
      <c r="M76" s="144" t="s">
        <v>12</v>
      </c>
      <c r="N76" s="367">
        <v>5</v>
      </c>
      <c r="O76" s="151" t="s">
        <v>199</v>
      </c>
    </row>
    <row r="77" spans="1:18" ht="11.25">
      <c r="A77" s="145" t="s">
        <v>2087</v>
      </c>
      <c r="B77" s="152" t="s">
        <v>491</v>
      </c>
      <c r="C77" s="152" t="s">
        <v>2088</v>
      </c>
      <c r="D77" s="152" t="s">
        <v>493</v>
      </c>
      <c r="E77" s="154"/>
      <c r="F77" s="470" t="s">
        <v>2086</v>
      </c>
      <c r="G77" s="336" t="s">
        <v>494</v>
      </c>
      <c r="H77" s="155" t="s">
        <v>466</v>
      </c>
      <c r="I77" s="155"/>
      <c r="J77" s="155"/>
      <c r="K77" s="155" t="s">
        <v>191</v>
      </c>
      <c r="L77" s="143">
        <v>4</v>
      </c>
      <c r="M77" s="144" t="s">
        <v>12</v>
      </c>
      <c r="N77" s="367">
        <v>3</v>
      </c>
      <c r="O77" s="151" t="s">
        <v>199</v>
      </c>
    </row>
    <row r="78" spans="1:18" ht="11.25">
      <c r="A78" s="145" t="s">
        <v>2089</v>
      </c>
      <c r="B78" s="152" t="s">
        <v>2090</v>
      </c>
      <c r="C78" s="152" t="s">
        <v>2091</v>
      </c>
      <c r="D78" s="152" t="s">
        <v>185</v>
      </c>
      <c r="E78" s="154"/>
      <c r="F78" s="470" t="s">
        <v>2092</v>
      </c>
      <c r="G78" s="336" t="s">
        <v>2093</v>
      </c>
      <c r="H78" s="155" t="s">
        <v>198</v>
      </c>
      <c r="I78" s="155" t="s">
        <v>2094</v>
      </c>
      <c r="J78" s="155"/>
      <c r="K78" s="155" t="s">
        <v>191</v>
      </c>
      <c r="L78" s="143">
        <v>4</v>
      </c>
      <c r="M78" s="144" t="s">
        <v>12</v>
      </c>
      <c r="N78" s="367">
        <v>5</v>
      </c>
      <c r="O78" s="151" t="s">
        <v>199</v>
      </c>
    </row>
    <row r="79" spans="1:18" ht="67.5">
      <c r="A79" s="145" t="s">
        <v>2095</v>
      </c>
      <c r="B79" s="152" t="s">
        <v>2096</v>
      </c>
      <c r="C79" s="152" t="s">
        <v>758</v>
      </c>
      <c r="D79" s="152" t="s">
        <v>185</v>
      </c>
      <c r="E79" s="154"/>
      <c r="F79" s="470" t="s">
        <v>1890</v>
      </c>
      <c r="G79" s="336" t="s">
        <v>2097</v>
      </c>
      <c r="H79" s="155" t="s">
        <v>198</v>
      </c>
      <c r="I79" s="155" t="s">
        <v>2098</v>
      </c>
      <c r="J79" s="155"/>
      <c r="K79" s="155" t="s">
        <v>191</v>
      </c>
      <c r="L79" s="143">
        <v>4</v>
      </c>
      <c r="M79" s="144" t="s">
        <v>12</v>
      </c>
      <c r="N79" s="367">
        <v>5</v>
      </c>
      <c r="O79" s="151" t="s">
        <v>199</v>
      </c>
    </row>
    <row r="80" spans="1:18" ht="11.25">
      <c r="A80" s="145" t="s">
        <v>2099</v>
      </c>
      <c r="B80" s="152" t="s">
        <v>1436</v>
      </c>
      <c r="C80" s="152" t="s">
        <v>2100</v>
      </c>
      <c r="D80" s="152" t="s">
        <v>185</v>
      </c>
      <c r="E80" s="154"/>
      <c r="F80" s="470" t="s">
        <v>2086</v>
      </c>
      <c r="G80" s="336" t="s">
        <v>1438</v>
      </c>
      <c r="H80" s="155" t="s">
        <v>204</v>
      </c>
      <c r="I80" s="155" t="s">
        <v>782</v>
      </c>
      <c r="J80" s="155"/>
      <c r="K80" s="155" t="s">
        <v>191</v>
      </c>
      <c r="L80" s="143">
        <v>4</v>
      </c>
      <c r="M80" s="144" t="s">
        <v>12</v>
      </c>
      <c r="N80" s="367">
        <v>5</v>
      </c>
      <c r="O80" s="151" t="s">
        <v>199</v>
      </c>
    </row>
    <row r="81" spans="1:15" ht="11.25">
      <c r="A81" s="145" t="s">
        <v>2101</v>
      </c>
      <c r="B81" s="152" t="s">
        <v>780</v>
      </c>
      <c r="C81" s="152" t="s">
        <v>2102</v>
      </c>
      <c r="D81" s="152" t="s">
        <v>185</v>
      </c>
      <c r="E81" s="154"/>
      <c r="F81" s="470" t="s">
        <v>2103</v>
      </c>
      <c r="G81" s="336" t="s">
        <v>1447</v>
      </c>
      <c r="H81" s="155" t="s">
        <v>204</v>
      </c>
      <c r="I81" s="155" t="s">
        <v>782</v>
      </c>
      <c r="J81" s="155"/>
      <c r="K81" s="155" t="s">
        <v>191</v>
      </c>
      <c r="L81" s="143">
        <v>4</v>
      </c>
      <c r="M81" s="144" t="s">
        <v>12</v>
      </c>
      <c r="N81" s="367">
        <v>5</v>
      </c>
      <c r="O81" s="151" t="s">
        <v>199</v>
      </c>
    </row>
    <row r="82" spans="1:15" s="84" customFormat="1" ht="33.75">
      <c r="A82" s="145" t="s">
        <v>2104</v>
      </c>
      <c r="B82" s="140" t="s">
        <v>1449</v>
      </c>
      <c r="C82" s="140" t="s">
        <v>2105</v>
      </c>
      <c r="D82" s="140" t="s">
        <v>185</v>
      </c>
      <c r="E82" s="229"/>
      <c r="F82" s="470" t="s">
        <v>2106</v>
      </c>
      <c r="G82" s="462" t="s">
        <v>2107</v>
      </c>
      <c r="H82" s="156" t="s">
        <v>188</v>
      </c>
      <c r="I82" s="156" t="s">
        <v>1453</v>
      </c>
      <c r="J82" s="156"/>
      <c r="K82" s="155" t="s">
        <v>191</v>
      </c>
      <c r="L82" s="143">
        <v>4</v>
      </c>
      <c r="M82" s="144" t="s">
        <v>12</v>
      </c>
      <c r="N82" s="367">
        <v>5</v>
      </c>
      <c r="O82" s="151" t="s">
        <v>199</v>
      </c>
    </row>
    <row r="83" spans="1:15" s="84" customFormat="1" ht="33.75">
      <c r="A83" s="145" t="s">
        <v>2108</v>
      </c>
      <c r="B83" s="140" t="s">
        <v>1455</v>
      </c>
      <c r="C83" s="140" t="s">
        <v>2109</v>
      </c>
      <c r="D83" s="140" t="s">
        <v>185</v>
      </c>
      <c r="E83" s="229"/>
      <c r="F83" s="470" t="s">
        <v>2106</v>
      </c>
      <c r="G83" s="462" t="s">
        <v>2110</v>
      </c>
      <c r="H83" s="156" t="s">
        <v>188</v>
      </c>
      <c r="I83" s="156" t="s">
        <v>1453</v>
      </c>
      <c r="J83" s="156"/>
      <c r="K83" s="155" t="s">
        <v>191</v>
      </c>
      <c r="L83" s="143">
        <v>4</v>
      </c>
      <c r="M83" s="144" t="s">
        <v>12</v>
      </c>
      <c r="N83" s="367">
        <v>5</v>
      </c>
      <c r="O83" s="151" t="s">
        <v>199</v>
      </c>
    </row>
    <row r="84" spans="1:15" s="84" customFormat="1" ht="31.5" customHeight="1">
      <c r="A84" s="145" t="s">
        <v>2111</v>
      </c>
      <c r="B84" s="140" t="s">
        <v>1459</v>
      </c>
      <c r="C84" s="140" t="s">
        <v>2112</v>
      </c>
      <c r="D84" s="140" t="s">
        <v>185</v>
      </c>
      <c r="E84" s="229"/>
      <c r="F84" s="470" t="s">
        <v>2106</v>
      </c>
      <c r="G84" s="462" t="s">
        <v>2113</v>
      </c>
      <c r="H84" s="156" t="s">
        <v>188</v>
      </c>
      <c r="I84" s="156" t="s">
        <v>1453</v>
      </c>
      <c r="J84" s="156"/>
      <c r="K84" s="155" t="s">
        <v>191</v>
      </c>
      <c r="L84" s="143">
        <v>4</v>
      </c>
      <c r="M84" s="144" t="s">
        <v>12</v>
      </c>
      <c r="N84" s="367">
        <v>5</v>
      </c>
      <c r="O84" s="151" t="s">
        <v>199</v>
      </c>
    </row>
    <row r="85" spans="1:15" s="84" customFormat="1" ht="27.75" customHeight="1">
      <c r="A85" s="145" t="s">
        <v>2114</v>
      </c>
      <c r="B85" s="140" t="s">
        <v>1463</v>
      </c>
      <c r="C85" s="140" t="s">
        <v>2115</v>
      </c>
      <c r="D85" s="140" t="s">
        <v>185</v>
      </c>
      <c r="E85" s="229"/>
      <c r="F85" s="470" t="s">
        <v>2106</v>
      </c>
      <c r="G85" s="462" t="s">
        <v>2116</v>
      </c>
      <c r="H85" s="156" t="s">
        <v>188</v>
      </c>
      <c r="I85" s="156" t="s">
        <v>1453</v>
      </c>
      <c r="J85" s="156"/>
      <c r="K85" s="155" t="s">
        <v>191</v>
      </c>
      <c r="L85" s="143">
        <v>4</v>
      </c>
      <c r="M85" s="144" t="s">
        <v>12</v>
      </c>
      <c r="N85" s="367">
        <v>5</v>
      </c>
      <c r="O85" s="151" t="s">
        <v>199</v>
      </c>
    </row>
    <row r="86" spans="1:15" ht="22.5">
      <c r="A86" s="145" t="s">
        <v>2117</v>
      </c>
      <c r="B86" s="152" t="s">
        <v>2118</v>
      </c>
      <c r="C86" s="152" t="s">
        <v>2119</v>
      </c>
      <c r="D86" s="140" t="s">
        <v>242</v>
      </c>
      <c r="E86" s="229"/>
      <c r="F86" s="470" t="s">
        <v>2120</v>
      </c>
      <c r="G86" s="336" t="s">
        <v>2121</v>
      </c>
      <c r="H86" s="155" t="s">
        <v>204</v>
      </c>
      <c r="I86" s="155"/>
      <c r="J86" s="155"/>
      <c r="K86" s="155" t="s">
        <v>191</v>
      </c>
      <c r="L86" s="143">
        <v>4</v>
      </c>
      <c r="M86" s="144" t="s">
        <v>12</v>
      </c>
      <c r="N86" s="367">
        <v>5</v>
      </c>
      <c r="O86" s="151" t="s">
        <v>199</v>
      </c>
    </row>
    <row r="87" spans="1:15" ht="31.5" customHeight="1">
      <c r="A87" s="145" t="s">
        <v>2122</v>
      </c>
      <c r="B87" s="152" t="s">
        <v>2123</v>
      </c>
      <c r="C87" s="152" t="s">
        <v>2124</v>
      </c>
      <c r="D87" s="140" t="s">
        <v>242</v>
      </c>
      <c r="E87" s="229"/>
      <c r="F87" s="470" t="s">
        <v>2106</v>
      </c>
      <c r="G87" s="336" t="s">
        <v>2125</v>
      </c>
      <c r="H87" s="155" t="s">
        <v>204</v>
      </c>
      <c r="I87" s="155" t="s">
        <v>2126</v>
      </c>
      <c r="J87" s="155"/>
      <c r="K87" s="155" t="s">
        <v>191</v>
      </c>
      <c r="L87" s="143">
        <v>4</v>
      </c>
      <c r="M87" s="144" t="s">
        <v>12</v>
      </c>
      <c r="N87" s="367">
        <v>5</v>
      </c>
      <c r="O87" s="151" t="s">
        <v>199</v>
      </c>
    </row>
    <row r="88" spans="1:15" ht="146.25">
      <c r="A88" s="145" t="s">
        <v>2127</v>
      </c>
      <c r="B88" s="152" t="s">
        <v>1330</v>
      </c>
      <c r="C88" s="152" t="s">
        <v>2128</v>
      </c>
      <c r="D88" s="152" t="s">
        <v>493</v>
      </c>
      <c r="E88" s="154"/>
      <c r="F88" s="470" t="s">
        <v>2086</v>
      </c>
      <c r="G88" s="336" t="s">
        <v>1332</v>
      </c>
      <c r="H88" s="155" t="s">
        <v>204</v>
      </c>
      <c r="I88" s="155" t="s">
        <v>2129</v>
      </c>
      <c r="J88" s="155"/>
      <c r="K88" s="155" t="s">
        <v>191</v>
      </c>
      <c r="L88" s="143">
        <v>4</v>
      </c>
      <c r="M88" s="144" t="s">
        <v>12</v>
      </c>
      <c r="N88" s="367">
        <v>5</v>
      </c>
      <c r="O88" s="151" t="s">
        <v>199</v>
      </c>
    </row>
    <row r="89" spans="1:15" ht="33.75">
      <c r="A89" s="145" t="s">
        <v>2130</v>
      </c>
      <c r="B89" s="152" t="s">
        <v>1524</v>
      </c>
      <c r="C89" s="152" t="s">
        <v>2131</v>
      </c>
      <c r="D89" s="152" t="s">
        <v>242</v>
      </c>
      <c r="E89" s="154"/>
      <c r="F89" s="470" t="s">
        <v>2132</v>
      </c>
      <c r="G89" s="336" t="s">
        <v>2133</v>
      </c>
      <c r="H89" s="155" t="s">
        <v>204</v>
      </c>
      <c r="I89" s="155" t="s">
        <v>2134</v>
      </c>
      <c r="J89" s="155"/>
      <c r="K89" s="155" t="s">
        <v>191</v>
      </c>
      <c r="L89" s="143">
        <v>4</v>
      </c>
      <c r="M89" s="144" t="s">
        <v>12</v>
      </c>
      <c r="N89" s="367">
        <v>5</v>
      </c>
      <c r="O89" s="151" t="s">
        <v>199</v>
      </c>
    </row>
    <row r="90" spans="1:15" ht="22.5">
      <c r="A90" s="145" t="s">
        <v>2135</v>
      </c>
      <c r="B90" s="152" t="s">
        <v>1530</v>
      </c>
      <c r="C90" s="152" t="s">
        <v>2136</v>
      </c>
      <c r="D90" s="152" t="s">
        <v>242</v>
      </c>
      <c r="E90" s="154"/>
      <c r="F90" s="470" t="s">
        <v>2132</v>
      </c>
      <c r="G90" s="336" t="s">
        <v>2137</v>
      </c>
      <c r="H90" s="155" t="s">
        <v>204</v>
      </c>
      <c r="I90" s="155" t="s">
        <v>1534</v>
      </c>
      <c r="J90" s="155"/>
      <c r="K90" s="155" t="s">
        <v>191</v>
      </c>
      <c r="L90" s="143">
        <v>4</v>
      </c>
      <c r="M90" s="144" t="s">
        <v>12</v>
      </c>
      <c r="N90" s="367">
        <v>5</v>
      </c>
      <c r="O90" s="151" t="s">
        <v>199</v>
      </c>
    </row>
    <row r="91" spans="1:15" ht="33.75">
      <c r="A91" s="145" t="s">
        <v>2138</v>
      </c>
      <c r="B91" s="152" t="s">
        <v>2139</v>
      </c>
      <c r="C91" s="152" t="s">
        <v>2140</v>
      </c>
      <c r="D91" s="152" t="s">
        <v>242</v>
      </c>
      <c r="E91" s="154"/>
      <c r="F91" s="470" t="s">
        <v>2132</v>
      </c>
      <c r="G91" s="336" t="s">
        <v>2141</v>
      </c>
      <c r="H91" s="155" t="s">
        <v>204</v>
      </c>
      <c r="I91" s="155" t="s">
        <v>2142</v>
      </c>
      <c r="J91" s="155"/>
      <c r="K91" s="155" t="s">
        <v>191</v>
      </c>
      <c r="L91" s="143">
        <v>4</v>
      </c>
      <c r="M91" s="144" t="s">
        <v>12</v>
      </c>
      <c r="N91" s="367">
        <v>5</v>
      </c>
      <c r="O91" s="151" t="s">
        <v>199</v>
      </c>
    </row>
    <row r="92" spans="1:15" ht="33.75">
      <c r="A92" s="145" t="s">
        <v>2143</v>
      </c>
      <c r="B92" s="152" t="s">
        <v>2144</v>
      </c>
      <c r="C92" s="152" t="s">
        <v>2145</v>
      </c>
      <c r="D92" s="152" t="s">
        <v>242</v>
      </c>
      <c r="E92" s="154"/>
      <c r="F92" s="470" t="s">
        <v>2132</v>
      </c>
      <c r="G92" s="336" t="s">
        <v>2146</v>
      </c>
      <c r="H92" s="155" t="s">
        <v>204</v>
      </c>
      <c r="I92" s="155" t="s">
        <v>2142</v>
      </c>
      <c r="J92" s="155"/>
      <c r="K92" s="155" t="s">
        <v>191</v>
      </c>
      <c r="L92" s="143">
        <v>4</v>
      </c>
      <c r="M92" s="144" t="s">
        <v>12</v>
      </c>
      <c r="N92" s="367">
        <v>5</v>
      </c>
      <c r="O92" s="151" t="s">
        <v>199</v>
      </c>
    </row>
    <row r="93" spans="1:15" ht="22.5">
      <c r="A93" s="145" t="s">
        <v>2147</v>
      </c>
      <c r="B93" s="152" t="s">
        <v>2148</v>
      </c>
      <c r="C93" s="152" t="s">
        <v>2149</v>
      </c>
      <c r="D93" s="152" t="s">
        <v>242</v>
      </c>
      <c r="E93" s="154"/>
      <c r="F93" s="470" t="s">
        <v>2106</v>
      </c>
      <c r="G93" s="336" t="s">
        <v>2150</v>
      </c>
      <c r="H93" s="155" t="s">
        <v>188</v>
      </c>
      <c r="I93" s="155" t="s">
        <v>1453</v>
      </c>
      <c r="J93" s="155"/>
      <c r="K93" s="155" t="s">
        <v>191</v>
      </c>
      <c r="L93" s="143">
        <v>4</v>
      </c>
      <c r="M93" s="144" t="s">
        <v>12</v>
      </c>
      <c r="N93" s="367">
        <v>5</v>
      </c>
      <c r="O93" s="151" t="s">
        <v>199</v>
      </c>
    </row>
    <row r="94" spans="1:15" ht="11.25">
      <c r="A94" s="145" t="s">
        <v>2151</v>
      </c>
      <c r="B94" s="152" t="s">
        <v>2152</v>
      </c>
      <c r="C94" s="152"/>
      <c r="D94" s="152" t="s">
        <v>242</v>
      </c>
      <c r="E94" s="154"/>
      <c r="F94" s="470" t="s">
        <v>1890</v>
      </c>
      <c r="G94" s="336" t="s">
        <v>2153</v>
      </c>
      <c r="H94" s="155" t="s">
        <v>204</v>
      </c>
      <c r="I94" s="155"/>
      <c r="J94" s="155"/>
      <c r="K94" s="155" t="s">
        <v>191</v>
      </c>
      <c r="L94" s="143">
        <v>4</v>
      </c>
      <c r="M94" s="144" t="s">
        <v>12</v>
      </c>
      <c r="N94" s="367">
        <v>5</v>
      </c>
      <c r="O94" s="151" t="s">
        <v>199</v>
      </c>
    </row>
    <row r="95" spans="1:15" ht="11.25">
      <c r="A95" s="145" t="s">
        <v>2154</v>
      </c>
      <c r="B95" s="152" t="s">
        <v>2155</v>
      </c>
      <c r="C95" s="152"/>
      <c r="D95" s="152" t="s">
        <v>242</v>
      </c>
      <c r="E95" s="154"/>
      <c r="F95" s="470" t="s">
        <v>1890</v>
      </c>
      <c r="G95" s="336" t="s">
        <v>2156</v>
      </c>
      <c r="H95" s="155" t="s">
        <v>198</v>
      </c>
      <c r="I95" s="155"/>
      <c r="J95" s="155"/>
      <c r="K95" s="155" t="s">
        <v>191</v>
      </c>
      <c r="L95" s="143">
        <v>4</v>
      </c>
      <c r="M95" s="144" t="s">
        <v>12</v>
      </c>
      <c r="N95" s="367">
        <v>5</v>
      </c>
      <c r="O95" s="151" t="s">
        <v>199</v>
      </c>
    </row>
    <row r="96" spans="1:15" ht="11.25">
      <c r="A96" s="145" t="s">
        <v>2157</v>
      </c>
      <c r="B96" s="152" t="s">
        <v>2158</v>
      </c>
      <c r="C96" s="152" t="s">
        <v>2159</v>
      </c>
      <c r="D96" s="152" t="s">
        <v>242</v>
      </c>
      <c r="E96" s="154"/>
      <c r="F96" s="470" t="s">
        <v>2160</v>
      </c>
      <c r="G96" s="336" t="s">
        <v>2161</v>
      </c>
      <c r="H96" s="155" t="s">
        <v>198</v>
      </c>
      <c r="I96" s="155"/>
      <c r="J96" s="155"/>
      <c r="K96" s="155" t="s">
        <v>191</v>
      </c>
      <c r="L96" s="143">
        <v>4</v>
      </c>
      <c r="M96" s="144" t="s">
        <v>12</v>
      </c>
      <c r="N96" s="367">
        <v>5</v>
      </c>
      <c r="O96" s="151" t="s">
        <v>199</v>
      </c>
    </row>
    <row r="97" spans="1:15" ht="11.25">
      <c r="A97" s="145" t="s">
        <v>2162</v>
      </c>
      <c r="B97" s="152" t="s">
        <v>2163</v>
      </c>
      <c r="C97" s="152"/>
      <c r="D97" s="152" t="s">
        <v>242</v>
      </c>
      <c r="E97" s="154"/>
      <c r="F97" s="470" t="s">
        <v>2164</v>
      </c>
      <c r="G97" s="336" t="s">
        <v>2165</v>
      </c>
      <c r="H97" s="155" t="s">
        <v>198</v>
      </c>
      <c r="I97" s="155"/>
      <c r="J97" s="155"/>
      <c r="K97" s="155" t="s">
        <v>191</v>
      </c>
      <c r="L97" s="143">
        <v>4</v>
      </c>
      <c r="M97" s="144" t="s">
        <v>12</v>
      </c>
      <c r="N97" s="367">
        <v>5</v>
      </c>
      <c r="O97" s="151" t="s">
        <v>199</v>
      </c>
    </row>
    <row r="98" spans="1:15" ht="22.5">
      <c r="A98" s="145" t="s">
        <v>2166</v>
      </c>
      <c r="B98" s="152" t="s">
        <v>2167</v>
      </c>
      <c r="C98" s="152"/>
      <c r="D98" s="152" t="s">
        <v>242</v>
      </c>
      <c r="E98" s="154"/>
      <c r="F98" s="470" t="s">
        <v>2164</v>
      </c>
      <c r="G98" s="336" t="s">
        <v>2168</v>
      </c>
      <c r="H98" s="155" t="s">
        <v>198</v>
      </c>
      <c r="I98" s="155"/>
      <c r="J98" s="155"/>
      <c r="K98" s="155" t="s">
        <v>191</v>
      </c>
      <c r="L98" s="143">
        <v>4</v>
      </c>
      <c r="M98" s="144" t="s">
        <v>12</v>
      </c>
      <c r="N98" s="367">
        <v>5</v>
      </c>
      <c r="O98" s="151" t="s">
        <v>199</v>
      </c>
    </row>
    <row r="99" spans="1:15" ht="11.25">
      <c r="A99" s="145" t="s">
        <v>2169</v>
      </c>
      <c r="B99" s="152" t="s">
        <v>2170</v>
      </c>
      <c r="C99" s="152" t="s">
        <v>2171</v>
      </c>
      <c r="D99" s="152" t="s">
        <v>242</v>
      </c>
      <c r="E99" s="154"/>
      <c r="F99" s="470" t="s">
        <v>2103</v>
      </c>
      <c r="G99" s="336" t="s">
        <v>2172</v>
      </c>
      <c r="H99" s="155" t="s">
        <v>198</v>
      </c>
      <c r="I99" s="155"/>
      <c r="J99" s="155"/>
      <c r="K99" s="155" t="s">
        <v>191</v>
      </c>
      <c r="L99" s="143">
        <v>4</v>
      </c>
      <c r="M99" s="144" t="s">
        <v>12</v>
      </c>
      <c r="N99" s="367">
        <v>5</v>
      </c>
      <c r="O99" s="151" t="s">
        <v>199</v>
      </c>
    </row>
    <row r="100" spans="1:15" ht="11.25">
      <c r="A100" s="145" t="s">
        <v>2173</v>
      </c>
      <c r="B100" s="152" t="s">
        <v>2174</v>
      </c>
      <c r="C100" s="152" t="s">
        <v>2175</v>
      </c>
      <c r="D100" s="152" t="s">
        <v>242</v>
      </c>
      <c r="E100" s="154"/>
      <c r="F100" s="470" t="s">
        <v>2176</v>
      </c>
      <c r="G100" s="336" t="s">
        <v>2177</v>
      </c>
      <c r="H100" s="155" t="s">
        <v>198</v>
      </c>
      <c r="I100" s="155"/>
      <c r="J100" s="155"/>
      <c r="K100" s="155" t="s">
        <v>191</v>
      </c>
      <c r="L100" s="143">
        <v>4</v>
      </c>
      <c r="M100" s="144" t="s">
        <v>12</v>
      </c>
      <c r="N100" s="367">
        <v>5</v>
      </c>
      <c r="O100" s="151" t="s">
        <v>199</v>
      </c>
    </row>
    <row r="101" spans="1:15" ht="22.5">
      <c r="A101" s="145" t="s">
        <v>2178</v>
      </c>
      <c r="B101" s="152" t="s">
        <v>2179</v>
      </c>
      <c r="C101" s="152" t="s">
        <v>2180</v>
      </c>
      <c r="D101" s="152" t="s">
        <v>242</v>
      </c>
      <c r="E101" s="154"/>
      <c r="F101" s="470" t="s">
        <v>2181</v>
      </c>
      <c r="G101" s="336" t="s">
        <v>2182</v>
      </c>
      <c r="H101" s="155" t="s">
        <v>188</v>
      </c>
      <c r="I101" s="155" t="s">
        <v>1453</v>
      </c>
      <c r="J101" s="155"/>
      <c r="K101" s="155" t="s">
        <v>191</v>
      </c>
      <c r="L101" s="143">
        <v>4</v>
      </c>
      <c r="M101" s="144" t="s">
        <v>12</v>
      </c>
      <c r="N101" s="367">
        <v>5</v>
      </c>
      <c r="O101" s="151" t="s">
        <v>199</v>
      </c>
    </row>
    <row r="102" spans="1:15" ht="22.5">
      <c r="A102" s="145" t="s">
        <v>2183</v>
      </c>
      <c r="B102" s="152" t="s">
        <v>2184</v>
      </c>
      <c r="C102" s="152" t="s">
        <v>2185</v>
      </c>
      <c r="D102" s="152" t="s">
        <v>242</v>
      </c>
      <c r="E102" s="154"/>
      <c r="F102" s="470" t="s">
        <v>2181</v>
      </c>
      <c r="G102" s="336" t="s">
        <v>2186</v>
      </c>
      <c r="H102" s="155" t="s">
        <v>188</v>
      </c>
      <c r="I102" s="155" t="s">
        <v>1453</v>
      </c>
      <c r="J102" s="155"/>
      <c r="K102" s="155" t="s">
        <v>191</v>
      </c>
      <c r="L102" s="143">
        <v>4</v>
      </c>
      <c r="M102" s="144" t="s">
        <v>12</v>
      </c>
      <c r="N102" s="367">
        <v>5</v>
      </c>
      <c r="O102" s="151" t="s">
        <v>199</v>
      </c>
    </row>
    <row r="103" spans="1:15" ht="22.5">
      <c r="A103" s="145" t="s">
        <v>2187</v>
      </c>
      <c r="B103" s="152" t="s">
        <v>2188</v>
      </c>
      <c r="C103" s="152" t="s">
        <v>2189</v>
      </c>
      <c r="D103" s="152" t="s">
        <v>242</v>
      </c>
      <c r="E103" s="154"/>
      <c r="F103" s="470" t="s">
        <v>2181</v>
      </c>
      <c r="G103" s="336" t="s">
        <v>2190</v>
      </c>
      <c r="H103" s="155" t="s">
        <v>188</v>
      </c>
      <c r="I103" s="155" t="s">
        <v>1453</v>
      </c>
      <c r="J103" s="155"/>
      <c r="K103" s="155" t="s">
        <v>191</v>
      </c>
      <c r="L103" s="143">
        <v>4</v>
      </c>
      <c r="M103" s="144" t="s">
        <v>12</v>
      </c>
      <c r="N103" s="367">
        <v>5</v>
      </c>
      <c r="O103" s="151" t="s">
        <v>199</v>
      </c>
    </row>
    <row r="104" spans="1:15" ht="22.5">
      <c r="A104" s="140" t="s">
        <v>2191</v>
      </c>
      <c r="B104" s="152" t="s">
        <v>2192</v>
      </c>
      <c r="C104" s="145" t="s">
        <v>2193</v>
      </c>
      <c r="D104" s="152" t="s">
        <v>242</v>
      </c>
      <c r="E104" s="154"/>
      <c r="F104" s="470" t="s">
        <v>2194</v>
      </c>
      <c r="G104" s="336" t="s">
        <v>2195</v>
      </c>
      <c r="H104" s="155" t="s">
        <v>188</v>
      </c>
      <c r="I104" s="155" t="s">
        <v>1453</v>
      </c>
      <c r="J104" s="155"/>
      <c r="K104" s="155" t="s">
        <v>191</v>
      </c>
      <c r="L104" s="143">
        <v>4</v>
      </c>
      <c r="M104" s="144" t="s">
        <v>12</v>
      </c>
      <c r="N104" s="367">
        <v>5</v>
      </c>
      <c r="O104" s="151" t="s">
        <v>199</v>
      </c>
    </row>
    <row r="105" spans="1:15" ht="33.75">
      <c r="A105" s="152" t="s">
        <v>2196</v>
      </c>
      <c r="B105" s="152" t="s">
        <v>2197</v>
      </c>
      <c r="C105" s="152" t="s">
        <v>758</v>
      </c>
      <c r="D105" s="152" t="s">
        <v>242</v>
      </c>
      <c r="E105" s="154"/>
      <c r="F105" s="470" t="s">
        <v>785</v>
      </c>
      <c r="G105" s="462" t="s">
        <v>2198</v>
      </c>
      <c r="H105" s="155" t="s">
        <v>188</v>
      </c>
      <c r="I105" s="155" t="s">
        <v>1453</v>
      </c>
      <c r="J105" s="155"/>
      <c r="K105" s="155" t="s">
        <v>191</v>
      </c>
      <c r="L105" s="143">
        <v>4</v>
      </c>
      <c r="M105" s="144" t="s">
        <v>12</v>
      </c>
      <c r="N105" s="367">
        <v>5</v>
      </c>
      <c r="O105" s="151" t="s">
        <v>199</v>
      </c>
    </row>
    <row r="106" spans="1:15" ht="48" customHeight="1">
      <c r="A106" s="152" t="s">
        <v>2199</v>
      </c>
      <c r="B106" s="152" t="s">
        <v>2200</v>
      </c>
      <c r="C106" s="152" t="s">
        <v>758</v>
      </c>
      <c r="D106" s="152" t="s">
        <v>242</v>
      </c>
      <c r="E106" s="154"/>
      <c r="F106" s="470" t="s">
        <v>785</v>
      </c>
      <c r="G106" s="462" t="s">
        <v>2201</v>
      </c>
      <c r="H106" s="155" t="s">
        <v>188</v>
      </c>
      <c r="I106" s="155" t="s">
        <v>1453</v>
      </c>
      <c r="J106" s="155"/>
      <c r="K106" s="155" t="s">
        <v>191</v>
      </c>
      <c r="L106" s="143">
        <v>4</v>
      </c>
      <c r="M106" s="144" t="s">
        <v>12</v>
      </c>
      <c r="N106" s="367">
        <v>5</v>
      </c>
      <c r="O106" s="151" t="s">
        <v>199</v>
      </c>
    </row>
    <row r="107" spans="1:15" ht="22.5">
      <c r="A107" s="152" t="s">
        <v>2202</v>
      </c>
      <c r="B107" s="152" t="s">
        <v>2203</v>
      </c>
      <c r="C107" s="152" t="s">
        <v>758</v>
      </c>
      <c r="D107" s="152" t="s">
        <v>242</v>
      </c>
      <c r="E107" s="154"/>
      <c r="F107" s="470" t="s">
        <v>785</v>
      </c>
      <c r="G107" s="462" t="s">
        <v>2204</v>
      </c>
      <c r="H107" s="155" t="s">
        <v>188</v>
      </c>
      <c r="I107" s="155" t="s">
        <v>1453</v>
      </c>
      <c r="J107" s="155"/>
      <c r="K107" s="155" t="s">
        <v>191</v>
      </c>
      <c r="L107" s="143">
        <v>4</v>
      </c>
      <c r="M107" s="144" t="s">
        <v>12</v>
      </c>
      <c r="N107" s="367">
        <v>5</v>
      </c>
      <c r="O107" s="151" t="s">
        <v>199</v>
      </c>
    </row>
    <row r="108" spans="1:15" ht="22.5">
      <c r="A108" s="152" t="s">
        <v>2205</v>
      </c>
      <c r="B108" s="152" t="s">
        <v>2206</v>
      </c>
      <c r="C108" s="152" t="s">
        <v>758</v>
      </c>
      <c r="D108" s="152" t="s">
        <v>242</v>
      </c>
      <c r="E108" s="154"/>
      <c r="F108" s="470" t="s">
        <v>785</v>
      </c>
      <c r="G108" s="462" t="s">
        <v>2207</v>
      </c>
      <c r="H108" s="155" t="s">
        <v>188</v>
      </c>
      <c r="I108" s="155" t="s">
        <v>1453</v>
      </c>
      <c r="J108" s="155"/>
      <c r="K108" s="155" t="s">
        <v>191</v>
      </c>
      <c r="L108" s="143">
        <v>4</v>
      </c>
      <c r="M108" s="144" t="s">
        <v>12</v>
      </c>
      <c r="N108" s="367">
        <v>5</v>
      </c>
      <c r="O108" s="151" t="s">
        <v>199</v>
      </c>
    </row>
    <row r="109" spans="1:15" ht="22.5">
      <c r="A109" s="152" t="s">
        <v>2208</v>
      </c>
      <c r="B109" s="152" t="s">
        <v>2209</v>
      </c>
      <c r="C109" s="152" t="s">
        <v>758</v>
      </c>
      <c r="D109" s="152" t="s">
        <v>242</v>
      </c>
      <c r="E109" s="154"/>
      <c r="F109" s="470" t="s">
        <v>785</v>
      </c>
      <c r="G109" s="462" t="s">
        <v>2210</v>
      </c>
      <c r="H109" s="155" t="s">
        <v>188</v>
      </c>
      <c r="I109" s="155" t="s">
        <v>1453</v>
      </c>
      <c r="J109" s="155"/>
      <c r="K109" s="155" t="s">
        <v>191</v>
      </c>
      <c r="L109" s="143">
        <v>4</v>
      </c>
      <c r="M109" s="144" t="s">
        <v>12</v>
      </c>
      <c r="N109" s="367">
        <v>5</v>
      </c>
      <c r="O109" s="151" t="s">
        <v>199</v>
      </c>
    </row>
    <row r="110" spans="1:15" ht="22.5">
      <c r="A110" s="152" t="s">
        <v>2211</v>
      </c>
      <c r="B110" s="152" t="s">
        <v>2212</v>
      </c>
      <c r="C110" s="152" t="s">
        <v>758</v>
      </c>
      <c r="D110" s="152" t="s">
        <v>242</v>
      </c>
      <c r="E110" s="154"/>
      <c r="F110" s="470" t="s">
        <v>785</v>
      </c>
      <c r="G110" s="462" t="s">
        <v>2213</v>
      </c>
      <c r="H110" s="155" t="s">
        <v>188</v>
      </c>
      <c r="I110" s="155" t="s">
        <v>1453</v>
      </c>
      <c r="J110" s="155"/>
      <c r="K110" s="155" t="s">
        <v>191</v>
      </c>
      <c r="L110" s="143">
        <v>4</v>
      </c>
      <c r="M110" s="144" t="s">
        <v>12</v>
      </c>
      <c r="N110" s="367">
        <v>5</v>
      </c>
      <c r="O110" s="151" t="s">
        <v>199</v>
      </c>
    </row>
    <row r="111" spans="1:15" ht="247.5">
      <c r="A111" s="145" t="s">
        <v>2214</v>
      </c>
      <c r="B111" s="152" t="s">
        <v>2215</v>
      </c>
      <c r="C111" s="152" t="s">
        <v>758</v>
      </c>
      <c r="D111" s="152" t="s">
        <v>242</v>
      </c>
      <c r="E111" s="154"/>
      <c r="F111" s="470" t="s">
        <v>1946</v>
      </c>
      <c r="G111" s="336" t="s">
        <v>2216</v>
      </c>
      <c r="H111" s="155" t="s">
        <v>204</v>
      </c>
      <c r="I111" s="155" t="s">
        <v>2217</v>
      </c>
      <c r="J111" s="155"/>
      <c r="K111" s="155" t="s">
        <v>191</v>
      </c>
      <c r="L111" s="143">
        <v>4</v>
      </c>
      <c r="M111" s="144" t="s">
        <v>12</v>
      </c>
      <c r="N111" s="367">
        <v>5</v>
      </c>
      <c r="O111" s="151" t="s">
        <v>199</v>
      </c>
    </row>
    <row r="112" spans="1:15" ht="247.5">
      <c r="A112" s="145" t="s">
        <v>2218</v>
      </c>
      <c r="B112" s="152" t="s">
        <v>2219</v>
      </c>
      <c r="C112" s="152" t="s">
        <v>758</v>
      </c>
      <c r="D112" s="152" t="s">
        <v>242</v>
      </c>
      <c r="E112" s="154"/>
      <c r="F112" s="470" t="s">
        <v>1946</v>
      </c>
      <c r="G112" s="336" t="s">
        <v>2220</v>
      </c>
      <c r="H112" s="155" t="s">
        <v>204</v>
      </c>
      <c r="I112" s="155" t="s">
        <v>2217</v>
      </c>
      <c r="J112" s="155"/>
      <c r="K112" s="155" t="s">
        <v>191</v>
      </c>
      <c r="L112" s="143">
        <v>4</v>
      </c>
      <c r="M112" s="144" t="s">
        <v>12</v>
      </c>
      <c r="N112" s="367">
        <v>5</v>
      </c>
      <c r="O112" s="151" t="s">
        <v>199</v>
      </c>
    </row>
    <row r="113" spans="1:15" ht="247.5">
      <c r="A113" s="145" t="s">
        <v>2221</v>
      </c>
      <c r="B113" s="152" t="s">
        <v>2222</v>
      </c>
      <c r="C113" s="152" t="s">
        <v>758</v>
      </c>
      <c r="D113" s="152" t="s">
        <v>242</v>
      </c>
      <c r="E113" s="154"/>
      <c r="F113" s="470" t="s">
        <v>1946</v>
      </c>
      <c r="G113" s="336" t="s">
        <v>2223</v>
      </c>
      <c r="H113" s="155" t="s">
        <v>204</v>
      </c>
      <c r="I113" s="155" t="s">
        <v>2217</v>
      </c>
      <c r="J113" s="155"/>
      <c r="K113" s="155" t="s">
        <v>191</v>
      </c>
      <c r="L113" s="143">
        <v>4</v>
      </c>
      <c r="M113" s="144" t="s">
        <v>12</v>
      </c>
      <c r="N113" s="367">
        <v>5</v>
      </c>
      <c r="O113" s="151" t="s">
        <v>199</v>
      </c>
    </row>
    <row r="114" spans="1:15" ht="11.25">
      <c r="A114" s="145" t="s">
        <v>2224</v>
      </c>
      <c r="B114" s="152" t="s">
        <v>2225</v>
      </c>
      <c r="C114" s="152" t="s">
        <v>758</v>
      </c>
      <c r="D114" s="152" t="s">
        <v>242</v>
      </c>
      <c r="E114" s="154"/>
      <c r="F114" s="470" t="s">
        <v>1946</v>
      </c>
      <c r="G114" s="336" t="s">
        <v>2226</v>
      </c>
      <c r="H114" s="155" t="s">
        <v>198</v>
      </c>
      <c r="I114" s="155" t="s">
        <v>2227</v>
      </c>
      <c r="J114" s="155"/>
      <c r="K114" s="155" t="s">
        <v>191</v>
      </c>
      <c r="L114" s="143">
        <v>4</v>
      </c>
      <c r="M114" s="144" t="s">
        <v>12</v>
      </c>
      <c r="N114" s="367">
        <v>5</v>
      </c>
      <c r="O114" s="151" t="s">
        <v>199</v>
      </c>
    </row>
    <row r="115" spans="1:15" ht="11.25">
      <c r="A115" s="145" t="s">
        <v>2228</v>
      </c>
      <c r="B115" s="152" t="s">
        <v>2229</v>
      </c>
      <c r="C115" s="152" t="s">
        <v>758</v>
      </c>
      <c r="D115" s="152" t="s">
        <v>242</v>
      </c>
      <c r="E115" s="154"/>
      <c r="F115" s="470" t="s">
        <v>1946</v>
      </c>
      <c r="G115" s="336" t="s">
        <v>2230</v>
      </c>
      <c r="H115" s="155" t="s">
        <v>198</v>
      </c>
      <c r="I115" s="155" t="s">
        <v>2227</v>
      </c>
      <c r="J115" s="155"/>
      <c r="K115" s="155" t="s">
        <v>191</v>
      </c>
      <c r="L115" s="143">
        <v>4</v>
      </c>
      <c r="M115" s="144" t="s">
        <v>12</v>
      </c>
      <c r="N115" s="367">
        <v>5</v>
      </c>
      <c r="O115" s="151" t="s">
        <v>199</v>
      </c>
    </row>
    <row r="116" spans="1:15" ht="11.25">
      <c r="A116" s="145" t="s">
        <v>2231</v>
      </c>
      <c r="B116" s="152" t="s">
        <v>2232</v>
      </c>
      <c r="C116" s="152" t="s">
        <v>758</v>
      </c>
      <c r="D116" s="152" t="s">
        <v>242</v>
      </c>
      <c r="E116" s="154"/>
      <c r="F116" s="470" t="s">
        <v>1946</v>
      </c>
      <c r="G116" s="336" t="s">
        <v>2233</v>
      </c>
      <c r="H116" s="155" t="s">
        <v>198</v>
      </c>
      <c r="I116" s="155" t="s">
        <v>2227</v>
      </c>
      <c r="J116" s="155"/>
      <c r="K116" s="155" t="s">
        <v>191</v>
      </c>
      <c r="L116" s="143">
        <v>4</v>
      </c>
      <c r="M116" s="144" t="s">
        <v>12</v>
      </c>
      <c r="N116" s="367">
        <v>5</v>
      </c>
      <c r="O116" s="151" t="s">
        <v>199</v>
      </c>
    </row>
    <row r="117" spans="1:15" ht="409.5">
      <c r="A117" s="145" t="s">
        <v>2234</v>
      </c>
      <c r="B117" s="152" t="s">
        <v>2235</v>
      </c>
      <c r="C117" s="152" t="s">
        <v>758</v>
      </c>
      <c r="D117" s="152" t="s">
        <v>242</v>
      </c>
      <c r="E117" s="154"/>
      <c r="F117" s="470" t="s">
        <v>1946</v>
      </c>
      <c r="G117" s="336" t="s">
        <v>2236</v>
      </c>
      <c r="H117" s="155" t="s">
        <v>204</v>
      </c>
      <c r="I117" s="155" t="s">
        <v>2237</v>
      </c>
      <c r="J117" s="155"/>
      <c r="K117" s="155" t="s">
        <v>191</v>
      </c>
      <c r="L117" s="143">
        <v>4</v>
      </c>
      <c r="M117" s="144" t="s">
        <v>12</v>
      </c>
      <c r="N117" s="367">
        <v>5</v>
      </c>
      <c r="O117" s="151" t="s">
        <v>199</v>
      </c>
    </row>
    <row r="118" spans="1:15" ht="409.5">
      <c r="A118" s="145" t="s">
        <v>2238</v>
      </c>
      <c r="B118" s="152" t="s">
        <v>2239</v>
      </c>
      <c r="C118" s="152" t="s">
        <v>758</v>
      </c>
      <c r="D118" s="152" t="s">
        <v>242</v>
      </c>
      <c r="E118" s="154"/>
      <c r="F118" s="470" t="s">
        <v>1946</v>
      </c>
      <c r="G118" s="336" t="s">
        <v>2240</v>
      </c>
      <c r="H118" s="155" t="s">
        <v>204</v>
      </c>
      <c r="I118" s="155" t="s">
        <v>2237</v>
      </c>
      <c r="J118" s="155"/>
      <c r="K118" s="155" t="s">
        <v>191</v>
      </c>
      <c r="L118" s="143">
        <v>4</v>
      </c>
      <c r="M118" s="144" t="s">
        <v>12</v>
      </c>
      <c r="N118" s="367">
        <v>5</v>
      </c>
      <c r="O118" s="151" t="s">
        <v>199</v>
      </c>
    </row>
    <row r="119" spans="1:15" ht="409.5">
      <c r="A119" s="145" t="s">
        <v>2241</v>
      </c>
      <c r="B119" s="152" t="s">
        <v>2242</v>
      </c>
      <c r="C119" s="152" t="s">
        <v>758</v>
      </c>
      <c r="D119" s="152" t="s">
        <v>242</v>
      </c>
      <c r="E119" s="154"/>
      <c r="F119" s="470" t="s">
        <v>1946</v>
      </c>
      <c r="G119" s="336" t="s">
        <v>2243</v>
      </c>
      <c r="H119" s="155" t="s">
        <v>204</v>
      </c>
      <c r="I119" s="155" t="s">
        <v>2237</v>
      </c>
      <c r="J119" s="155"/>
      <c r="K119" s="155" t="s">
        <v>191</v>
      </c>
      <c r="L119" s="143">
        <v>4</v>
      </c>
      <c r="M119" s="144" t="s">
        <v>12</v>
      </c>
      <c r="N119" s="367">
        <v>5</v>
      </c>
      <c r="O119" s="151" t="s">
        <v>199</v>
      </c>
    </row>
    <row r="120" spans="1:15" ht="409.5">
      <c r="A120" s="145" t="s">
        <v>2244</v>
      </c>
      <c r="B120" s="152" t="s">
        <v>2245</v>
      </c>
      <c r="C120" s="152" t="s">
        <v>758</v>
      </c>
      <c r="D120" s="152" t="s">
        <v>242</v>
      </c>
      <c r="E120" s="154"/>
      <c r="F120" s="470" t="s">
        <v>1946</v>
      </c>
      <c r="G120" s="336" t="s">
        <v>2246</v>
      </c>
      <c r="H120" s="155" t="s">
        <v>204</v>
      </c>
      <c r="I120" s="155" t="s">
        <v>2237</v>
      </c>
      <c r="J120" s="155"/>
      <c r="K120" s="155" t="s">
        <v>191</v>
      </c>
      <c r="L120" s="143">
        <v>4</v>
      </c>
      <c r="M120" s="144" t="s">
        <v>12</v>
      </c>
      <c r="N120" s="367">
        <v>5</v>
      </c>
      <c r="O120" s="151" t="s">
        <v>199</v>
      </c>
    </row>
    <row r="121" spans="1:15" ht="56.25">
      <c r="A121" s="145" t="s">
        <v>2247</v>
      </c>
      <c r="B121" s="142" t="s">
        <v>2248</v>
      </c>
      <c r="C121" s="152" t="s">
        <v>2249</v>
      </c>
      <c r="D121" s="152" t="s">
        <v>242</v>
      </c>
      <c r="E121" s="154"/>
      <c r="F121" s="470" t="s">
        <v>2250</v>
      </c>
      <c r="G121" s="462" t="s">
        <v>2251</v>
      </c>
      <c r="H121" s="156" t="s">
        <v>188</v>
      </c>
      <c r="I121" s="155" t="s">
        <v>1453</v>
      </c>
      <c r="J121" s="155"/>
      <c r="K121" s="155" t="s">
        <v>191</v>
      </c>
      <c r="L121" s="143">
        <v>4</v>
      </c>
      <c r="M121" s="144" t="s">
        <v>12</v>
      </c>
      <c r="N121" s="367">
        <v>5</v>
      </c>
      <c r="O121" s="151" t="s">
        <v>199</v>
      </c>
    </row>
    <row r="122" spans="1:15" ht="33.75">
      <c r="A122" s="145" t="s">
        <v>2252</v>
      </c>
      <c r="B122" s="142" t="s">
        <v>2253</v>
      </c>
      <c r="C122" s="152"/>
      <c r="D122" s="152" t="s">
        <v>242</v>
      </c>
      <c r="E122" s="154"/>
      <c r="F122" s="470" t="s">
        <v>2254</v>
      </c>
      <c r="G122" s="462" t="s">
        <v>2255</v>
      </c>
      <c r="H122" s="156" t="s">
        <v>188</v>
      </c>
      <c r="I122" s="155" t="s">
        <v>1453</v>
      </c>
      <c r="J122" s="155"/>
      <c r="K122" s="155" t="s">
        <v>191</v>
      </c>
      <c r="L122" s="143">
        <v>4</v>
      </c>
      <c r="M122" s="144" t="s">
        <v>12</v>
      </c>
      <c r="N122" s="367">
        <v>5</v>
      </c>
      <c r="O122" s="151" t="s">
        <v>199</v>
      </c>
    </row>
    <row r="123" spans="1:15" ht="56.25">
      <c r="A123" s="145" t="s">
        <v>2256</v>
      </c>
      <c r="B123" s="142" t="s">
        <v>2257</v>
      </c>
      <c r="C123" s="152" t="s">
        <v>2258</v>
      </c>
      <c r="D123" s="152" t="s">
        <v>242</v>
      </c>
      <c r="E123" s="154"/>
      <c r="F123" s="470" t="s">
        <v>2259</v>
      </c>
      <c r="G123" s="462" t="s">
        <v>2260</v>
      </c>
      <c r="H123" s="156" t="s">
        <v>188</v>
      </c>
      <c r="I123" s="155" t="s">
        <v>1453</v>
      </c>
      <c r="J123" s="155"/>
      <c r="K123" s="155" t="s">
        <v>191</v>
      </c>
      <c r="L123" s="143">
        <v>4</v>
      </c>
      <c r="M123" s="144" t="s">
        <v>12</v>
      </c>
      <c r="N123" s="367">
        <v>5</v>
      </c>
      <c r="O123" s="151" t="s">
        <v>199</v>
      </c>
    </row>
    <row r="124" spans="1:15" ht="33.75">
      <c r="A124" s="145" t="s">
        <v>2261</v>
      </c>
      <c r="B124" s="142" t="s">
        <v>2262</v>
      </c>
      <c r="C124" s="152"/>
      <c r="D124" s="152" t="s">
        <v>242</v>
      </c>
      <c r="E124" s="154"/>
      <c r="F124" s="470" t="s">
        <v>2254</v>
      </c>
      <c r="G124" s="462" t="s">
        <v>2263</v>
      </c>
      <c r="H124" s="156" t="s">
        <v>188</v>
      </c>
      <c r="I124" s="155" t="s">
        <v>1453</v>
      </c>
      <c r="J124" s="155"/>
      <c r="K124" s="155" t="s">
        <v>191</v>
      </c>
      <c r="L124" s="143">
        <v>4</v>
      </c>
      <c r="M124" s="144" t="s">
        <v>12</v>
      </c>
      <c r="N124" s="367">
        <v>5</v>
      </c>
      <c r="O124" s="151" t="s">
        <v>199</v>
      </c>
    </row>
    <row r="125" spans="1:15" ht="45">
      <c r="A125" s="145" t="s">
        <v>2264</v>
      </c>
      <c r="B125" s="152" t="s">
        <v>2265</v>
      </c>
      <c r="C125" s="152" t="s">
        <v>2266</v>
      </c>
      <c r="D125" s="152" t="s">
        <v>242</v>
      </c>
      <c r="E125" s="154"/>
      <c r="F125" s="470" t="s">
        <v>2267</v>
      </c>
      <c r="G125" s="336" t="s">
        <v>2268</v>
      </c>
      <c r="H125" s="155" t="s">
        <v>188</v>
      </c>
      <c r="I125" s="155" t="s">
        <v>1453</v>
      </c>
      <c r="J125" s="155"/>
      <c r="K125" s="155" t="s">
        <v>191</v>
      </c>
      <c r="L125" s="143">
        <v>4</v>
      </c>
      <c r="M125" s="144" t="s">
        <v>12</v>
      </c>
      <c r="N125" s="367">
        <v>5</v>
      </c>
      <c r="O125" s="151" t="s">
        <v>199</v>
      </c>
    </row>
    <row r="126" spans="1:15" ht="33.75">
      <c r="A126" s="145" t="s">
        <v>2269</v>
      </c>
      <c r="B126" s="152" t="s">
        <v>2270</v>
      </c>
      <c r="C126" s="152" t="s">
        <v>135</v>
      </c>
      <c r="D126" s="152" t="s">
        <v>242</v>
      </c>
      <c r="E126" s="154"/>
      <c r="F126" s="470" t="s">
        <v>2271</v>
      </c>
      <c r="G126" s="466" t="s">
        <v>2272</v>
      </c>
      <c r="H126" s="173" t="s">
        <v>188</v>
      </c>
      <c r="I126" s="155" t="s">
        <v>1453</v>
      </c>
      <c r="J126" s="155"/>
      <c r="K126" s="155" t="s">
        <v>191</v>
      </c>
      <c r="L126" s="143">
        <v>4</v>
      </c>
      <c r="M126" s="144" t="s">
        <v>12</v>
      </c>
      <c r="N126" s="367">
        <v>5</v>
      </c>
      <c r="O126" s="151" t="s">
        <v>199</v>
      </c>
    </row>
    <row r="127" spans="1:15" ht="56.25">
      <c r="A127" s="145" t="s">
        <v>2273</v>
      </c>
      <c r="B127" s="152" t="s">
        <v>2274</v>
      </c>
      <c r="C127" s="152" t="s">
        <v>2275</v>
      </c>
      <c r="D127" s="152" t="s">
        <v>242</v>
      </c>
      <c r="E127" s="154"/>
      <c r="F127" s="470" t="s">
        <v>2181</v>
      </c>
      <c r="G127" s="336" t="s">
        <v>2276</v>
      </c>
      <c r="H127" s="173" t="s">
        <v>188</v>
      </c>
      <c r="I127" s="155" t="s">
        <v>1453</v>
      </c>
      <c r="J127" s="155"/>
      <c r="K127" s="155" t="s">
        <v>191</v>
      </c>
      <c r="L127" s="143">
        <v>4</v>
      </c>
      <c r="M127" s="144" t="s">
        <v>12</v>
      </c>
      <c r="N127" s="367">
        <v>5</v>
      </c>
      <c r="O127" s="151" t="s">
        <v>199</v>
      </c>
    </row>
    <row r="128" spans="1:15" ht="33.75">
      <c r="A128" s="145" t="s">
        <v>2277</v>
      </c>
      <c r="B128" s="152" t="s">
        <v>2278</v>
      </c>
      <c r="C128" s="152" t="s">
        <v>135</v>
      </c>
      <c r="D128" s="152" t="s">
        <v>242</v>
      </c>
      <c r="E128" s="154"/>
      <c r="F128" s="470" t="s">
        <v>2279</v>
      </c>
      <c r="G128" s="462" t="s">
        <v>2280</v>
      </c>
      <c r="H128" s="173" t="s">
        <v>188</v>
      </c>
      <c r="I128" s="155" t="s">
        <v>1453</v>
      </c>
      <c r="J128" s="155"/>
      <c r="K128" s="155" t="s">
        <v>191</v>
      </c>
      <c r="L128" s="143">
        <v>4</v>
      </c>
      <c r="M128" s="144" t="s">
        <v>12</v>
      </c>
      <c r="N128" s="367">
        <v>5</v>
      </c>
      <c r="O128" s="151" t="s">
        <v>199</v>
      </c>
    </row>
    <row r="129" spans="1:15" ht="22.5">
      <c r="A129" s="145" t="s">
        <v>2281</v>
      </c>
      <c r="B129" s="152" t="s">
        <v>2282</v>
      </c>
      <c r="C129" s="152" t="s">
        <v>135</v>
      </c>
      <c r="D129" s="152" t="s">
        <v>242</v>
      </c>
      <c r="E129" s="154"/>
      <c r="F129" s="470" t="s">
        <v>2283</v>
      </c>
      <c r="G129" s="462" t="s">
        <v>2284</v>
      </c>
      <c r="H129" s="173" t="s">
        <v>188</v>
      </c>
      <c r="I129" s="155" t="s">
        <v>1453</v>
      </c>
      <c r="J129" s="155"/>
      <c r="K129" s="155" t="s">
        <v>191</v>
      </c>
      <c r="L129" s="143">
        <v>4</v>
      </c>
      <c r="M129" s="144" t="s">
        <v>12</v>
      </c>
      <c r="N129" s="367">
        <v>5</v>
      </c>
      <c r="O129" s="151" t="s">
        <v>199</v>
      </c>
    </row>
    <row r="130" spans="1:15" ht="22.5">
      <c r="A130" s="145" t="s">
        <v>2285</v>
      </c>
      <c r="B130" s="152" t="s">
        <v>2286</v>
      </c>
      <c r="C130" s="152" t="s">
        <v>135</v>
      </c>
      <c r="D130" s="152" t="s">
        <v>242</v>
      </c>
      <c r="E130" s="154"/>
      <c r="F130" s="470" t="s">
        <v>2279</v>
      </c>
      <c r="G130" s="462" t="s">
        <v>2287</v>
      </c>
      <c r="H130" s="173" t="s">
        <v>188</v>
      </c>
      <c r="I130" s="155" t="s">
        <v>1453</v>
      </c>
      <c r="J130" s="155"/>
      <c r="K130" s="155" t="s">
        <v>191</v>
      </c>
      <c r="L130" s="143">
        <v>4</v>
      </c>
      <c r="M130" s="144" t="s">
        <v>12</v>
      </c>
      <c r="N130" s="367">
        <v>5</v>
      </c>
      <c r="O130" s="151" t="s">
        <v>199</v>
      </c>
    </row>
    <row r="131" spans="1:15" ht="22.5">
      <c r="A131" s="145" t="s">
        <v>2288</v>
      </c>
      <c r="B131" s="152" t="s">
        <v>2289</v>
      </c>
      <c r="C131" s="152" t="s">
        <v>135</v>
      </c>
      <c r="D131" s="152" t="s">
        <v>242</v>
      </c>
      <c r="E131" s="154"/>
      <c r="F131" s="470" t="s">
        <v>2283</v>
      </c>
      <c r="G131" s="462" t="s">
        <v>2290</v>
      </c>
      <c r="H131" s="173" t="s">
        <v>188</v>
      </c>
      <c r="I131" s="155" t="s">
        <v>1453</v>
      </c>
      <c r="J131" s="155"/>
      <c r="K131" s="155" t="s">
        <v>191</v>
      </c>
      <c r="L131" s="143">
        <v>4</v>
      </c>
      <c r="M131" s="144" t="s">
        <v>12</v>
      </c>
      <c r="N131" s="367">
        <v>5</v>
      </c>
      <c r="O131" s="151" t="s">
        <v>199</v>
      </c>
    </row>
    <row r="132" spans="1:15" ht="22.5">
      <c r="A132" s="145" t="s">
        <v>2291</v>
      </c>
      <c r="B132" s="152" t="s">
        <v>2292</v>
      </c>
      <c r="C132" s="152"/>
      <c r="D132" s="152" t="s">
        <v>242</v>
      </c>
      <c r="E132" s="154"/>
      <c r="F132" s="470" t="s">
        <v>2164</v>
      </c>
      <c r="G132" s="462" t="s">
        <v>2293</v>
      </c>
      <c r="H132" s="173" t="s">
        <v>188</v>
      </c>
      <c r="I132" s="155" t="s">
        <v>1453</v>
      </c>
      <c r="J132" s="155"/>
      <c r="K132" s="155" t="s">
        <v>191</v>
      </c>
      <c r="L132" s="143">
        <v>4</v>
      </c>
      <c r="M132" s="144" t="s">
        <v>12</v>
      </c>
      <c r="N132" s="367">
        <v>5</v>
      </c>
      <c r="O132" s="151" t="s">
        <v>199</v>
      </c>
    </row>
    <row r="133" spans="1:15" ht="22.5">
      <c r="A133" s="145" t="s">
        <v>2294</v>
      </c>
      <c r="B133" s="152" t="s">
        <v>2295</v>
      </c>
      <c r="C133" s="152"/>
      <c r="D133" s="152" t="s">
        <v>242</v>
      </c>
      <c r="E133" s="154"/>
      <c r="F133" s="470" t="s">
        <v>2164</v>
      </c>
      <c r="G133" s="462" t="s">
        <v>2296</v>
      </c>
      <c r="H133" s="173" t="s">
        <v>188</v>
      </c>
      <c r="I133" s="155" t="s">
        <v>1453</v>
      </c>
      <c r="J133" s="155"/>
      <c r="K133" s="155" t="s">
        <v>191</v>
      </c>
      <c r="L133" s="143">
        <v>4</v>
      </c>
      <c r="M133" s="144" t="s">
        <v>12</v>
      </c>
      <c r="N133" s="367">
        <v>5</v>
      </c>
      <c r="O133" s="151" t="s">
        <v>199</v>
      </c>
    </row>
    <row r="134" spans="1:15" ht="22.5">
      <c r="A134" s="145" t="s">
        <v>2297</v>
      </c>
      <c r="B134" s="152" t="s">
        <v>2298</v>
      </c>
      <c r="C134" s="152"/>
      <c r="D134" s="152" t="s">
        <v>242</v>
      </c>
      <c r="E134" s="154"/>
      <c r="F134" s="470" t="s">
        <v>1908</v>
      </c>
      <c r="G134" s="462" t="s">
        <v>2299</v>
      </c>
      <c r="H134" s="173" t="s">
        <v>188</v>
      </c>
      <c r="I134" s="155" t="s">
        <v>1453</v>
      </c>
      <c r="J134" s="155"/>
      <c r="K134" s="155" t="s">
        <v>191</v>
      </c>
      <c r="L134" s="143">
        <v>4</v>
      </c>
      <c r="M134" s="144" t="s">
        <v>12</v>
      </c>
      <c r="N134" s="367">
        <v>5</v>
      </c>
      <c r="O134" s="151" t="s">
        <v>199</v>
      </c>
    </row>
    <row r="135" spans="1:15" ht="22.5">
      <c r="A135" s="145" t="s">
        <v>2300</v>
      </c>
      <c r="B135" s="152" t="s">
        <v>2301</v>
      </c>
      <c r="C135" s="152" t="s">
        <v>135</v>
      </c>
      <c r="D135" s="152" t="s">
        <v>242</v>
      </c>
      <c r="E135" s="154"/>
      <c r="F135" s="470" t="s">
        <v>2279</v>
      </c>
      <c r="G135" s="462" t="s">
        <v>2302</v>
      </c>
      <c r="H135" s="173" t="s">
        <v>188</v>
      </c>
      <c r="I135" s="155" t="s">
        <v>1453</v>
      </c>
      <c r="J135" s="155"/>
      <c r="K135" s="155" t="s">
        <v>191</v>
      </c>
      <c r="L135" s="143">
        <v>4</v>
      </c>
      <c r="M135" s="144" t="s">
        <v>12</v>
      </c>
      <c r="N135" s="367">
        <v>5</v>
      </c>
      <c r="O135" s="151" t="s">
        <v>199</v>
      </c>
    </row>
    <row r="136" spans="1:15" ht="22.5">
      <c r="A136" s="145" t="s">
        <v>2303</v>
      </c>
      <c r="B136" s="152" t="s">
        <v>2304</v>
      </c>
      <c r="C136" s="152" t="s">
        <v>135</v>
      </c>
      <c r="D136" s="152" t="s">
        <v>242</v>
      </c>
      <c r="E136" s="154"/>
      <c r="F136" s="470" t="s">
        <v>1946</v>
      </c>
      <c r="G136" s="462" t="s">
        <v>2305</v>
      </c>
      <c r="H136" s="173" t="s">
        <v>188</v>
      </c>
      <c r="I136" s="155" t="s">
        <v>1453</v>
      </c>
      <c r="J136" s="155"/>
      <c r="K136" s="155" t="s">
        <v>191</v>
      </c>
      <c r="L136" s="143">
        <v>4</v>
      </c>
      <c r="M136" s="144" t="s">
        <v>12</v>
      </c>
      <c r="N136" s="367">
        <v>5</v>
      </c>
      <c r="O136" s="151" t="s">
        <v>199</v>
      </c>
    </row>
    <row r="137" spans="1:15" s="93" customFormat="1" ht="45">
      <c r="A137" s="145" t="s">
        <v>2306</v>
      </c>
      <c r="B137" s="152" t="s">
        <v>2307</v>
      </c>
      <c r="C137" s="152" t="s">
        <v>2308</v>
      </c>
      <c r="D137" s="152" t="s">
        <v>242</v>
      </c>
      <c r="E137" s="154"/>
      <c r="F137" s="470" t="s">
        <v>2309</v>
      </c>
      <c r="G137" s="336" t="s">
        <v>2310</v>
      </c>
      <c r="H137" s="173" t="s">
        <v>188</v>
      </c>
      <c r="I137" s="155" t="s">
        <v>1453</v>
      </c>
      <c r="J137" s="155"/>
      <c r="K137" s="155" t="s">
        <v>191</v>
      </c>
      <c r="L137" s="143">
        <v>4</v>
      </c>
      <c r="M137" s="144" t="s">
        <v>12</v>
      </c>
      <c r="N137" s="367">
        <v>5</v>
      </c>
      <c r="O137" s="151" t="s">
        <v>199</v>
      </c>
    </row>
    <row r="138" spans="1:15" ht="33.75">
      <c r="A138" s="145" t="s">
        <v>2311</v>
      </c>
      <c r="B138" s="152" t="s">
        <v>2312</v>
      </c>
      <c r="C138" s="152" t="s">
        <v>135</v>
      </c>
      <c r="D138" s="152" t="s">
        <v>242</v>
      </c>
      <c r="E138" s="154"/>
      <c r="F138" s="470" t="s">
        <v>785</v>
      </c>
      <c r="G138" s="467" t="s">
        <v>2313</v>
      </c>
      <c r="H138" s="173" t="s">
        <v>188</v>
      </c>
      <c r="I138" s="155" t="s">
        <v>1453</v>
      </c>
      <c r="J138" s="155"/>
      <c r="K138" s="155" t="s">
        <v>191</v>
      </c>
      <c r="L138" s="143">
        <v>4</v>
      </c>
      <c r="M138" s="144" t="s">
        <v>12</v>
      </c>
      <c r="N138" s="367">
        <v>5</v>
      </c>
      <c r="O138" s="151" t="s">
        <v>199</v>
      </c>
    </row>
    <row r="139" spans="1:15" ht="22.5">
      <c r="A139" s="145" t="s">
        <v>2314</v>
      </c>
      <c r="B139" s="152" t="s">
        <v>2315</v>
      </c>
      <c r="C139" s="152"/>
      <c r="D139" s="152" t="s">
        <v>242</v>
      </c>
      <c r="E139" s="154"/>
      <c r="F139" s="470" t="s">
        <v>1908</v>
      </c>
      <c r="G139" s="462" t="s">
        <v>2316</v>
      </c>
      <c r="H139" s="173" t="s">
        <v>188</v>
      </c>
      <c r="I139" s="155" t="s">
        <v>1453</v>
      </c>
      <c r="J139" s="155"/>
      <c r="K139" s="155" t="s">
        <v>191</v>
      </c>
      <c r="L139" s="143">
        <v>4</v>
      </c>
      <c r="M139" s="144" t="s">
        <v>12</v>
      </c>
      <c r="N139" s="367">
        <v>5</v>
      </c>
      <c r="O139" s="151" t="s">
        <v>199</v>
      </c>
    </row>
    <row r="140" spans="1:15" ht="22.5">
      <c r="A140" s="145" t="s">
        <v>2317</v>
      </c>
      <c r="B140" s="152" t="s">
        <v>2318</v>
      </c>
      <c r="C140" s="152"/>
      <c r="D140" s="152" t="s">
        <v>242</v>
      </c>
      <c r="E140" s="154"/>
      <c r="F140" s="470" t="s">
        <v>1908</v>
      </c>
      <c r="G140" s="462" t="s">
        <v>2319</v>
      </c>
      <c r="H140" s="173" t="s">
        <v>188</v>
      </c>
      <c r="I140" s="155" t="s">
        <v>1453</v>
      </c>
      <c r="J140" s="155"/>
      <c r="K140" s="155" t="s">
        <v>191</v>
      </c>
      <c r="L140" s="143">
        <v>4</v>
      </c>
      <c r="M140" s="144" t="s">
        <v>12</v>
      </c>
      <c r="N140" s="367">
        <v>5</v>
      </c>
      <c r="O140" s="151" t="s">
        <v>199</v>
      </c>
    </row>
    <row r="141" spans="1:15" ht="56.25">
      <c r="A141" s="145" t="s">
        <v>2320</v>
      </c>
      <c r="B141" s="152" t="s">
        <v>2321</v>
      </c>
      <c r="C141" s="152"/>
      <c r="D141" s="152" t="s">
        <v>242</v>
      </c>
      <c r="E141" s="154"/>
      <c r="F141" s="470" t="s">
        <v>2164</v>
      </c>
      <c r="G141" s="462" t="s">
        <v>2322</v>
      </c>
      <c r="H141" s="173" t="s">
        <v>188</v>
      </c>
      <c r="I141" s="155" t="s">
        <v>1453</v>
      </c>
      <c r="J141" s="155"/>
      <c r="K141" s="155" t="s">
        <v>191</v>
      </c>
      <c r="L141" s="143">
        <v>4</v>
      </c>
      <c r="M141" s="144" t="s">
        <v>12</v>
      </c>
      <c r="N141" s="367">
        <v>5</v>
      </c>
      <c r="O141" s="151" t="s">
        <v>199</v>
      </c>
    </row>
    <row r="142" spans="1:15" ht="67.5">
      <c r="A142" s="145" t="s">
        <v>2323</v>
      </c>
      <c r="B142" s="152" t="s">
        <v>2324</v>
      </c>
      <c r="C142" s="152" t="s">
        <v>2325</v>
      </c>
      <c r="D142" s="152" t="s">
        <v>242</v>
      </c>
      <c r="E142" s="154"/>
      <c r="F142" s="470" t="s">
        <v>2267</v>
      </c>
      <c r="G142" s="336" t="s">
        <v>2326</v>
      </c>
      <c r="H142" s="173" t="s">
        <v>188</v>
      </c>
      <c r="I142" s="155" t="s">
        <v>1453</v>
      </c>
      <c r="J142" s="155"/>
      <c r="K142" s="155" t="s">
        <v>191</v>
      </c>
      <c r="L142" s="143">
        <v>4</v>
      </c>
      <c r="M142" s="144" t="s">
        <v>12</v>
      </c>
      <c r="N142" s="367">
        <v>5</v>
      </c>
      <c r="O142" s="151" t="s">
        <v>199</v>
      </c>
    </row>
    <row r="143" spans="1:15" ht="45">
      <c r="A143" s="169" t="s">
        <v>2327</v>
      </c>
      <c r="B143" s="170" t="s">
        <v>2328</v>
      </c>
      <c r="C143" s="152" t="s">
        <v>135</v>
      </c>
      <c r="D143" s="152" t="s">
        <v>242</v>
      </c>
      <c r="E143" s="154"/>
      <c r="F143" s="470" t="s">
        <v>2271</v>
      </c>
      <c r="G143" s="462" t="s">
        <v>2329</v>
      </c>
      <c r="H143" s="173" t="s">
        <v>188</v>
      </c>
      <c r="I143" s="155" t="s">
        <v>1453</v>
      </c>
      <c r="J143" s="155"/>
      <c r="K143" s="155" t="s">
        <v>191</v>
      </c>
      <c r="L143" s="143">
        <v>4</v>
      </c>
      <c r="M143" s="144" t="s">
        <v>12</v>
      </c>
      <c r="N143" s="367">
        <v>5</v>
      </c>
      <c r="O143" s="151" t="s">
        <v>199</v>
      </c>
    </row>
    <row r="144" spans="1:15" ht="67.5">
      <c r="A144" s="169" t="s">
        <v>2330</v>
      </c>
      <c r="B144" s="169" t="s">
        <v>2331</v>
      </c>
      <c r="C144" s="152" t="s">
        <v>135</v>
      </c>
      <c r="D144" s="152" t="s">
        <v>242</v>
      </c>
      <c r="E144" s="154"/>
      <c r="F144" s="470" t="s">
        <v>2332</v>
      </c>
      <c r="G144" s="462" t="s">
        <v>2333</v>
      </c>
      <c r="H144" s="173" t="s">
        <v>188</v>
      </c>
      <c r="I144" s="155" t="s">
        <v>1453</v>
      </c>
      <c r="J144" s="155"/>
      <c r="K144" s="155" t="s">
        <v>191</v>
      </c>
      <c r="L144" s="143">
        <v>4</v>
      </c>
      <c r="M144" s="144" t="s">
        <v>12</v>
      </c>
      <c r="N144" s="367">
        <v>5</v>
      </c>
      <c r="O144" s="151" t="s">
        <v>199</v>
      </c>
    </row>
    <row r="145" spans="1:15" ht="56.25">
      <c r="A145" s="169" t="s">
        <v>2334</v>
      </c>
      <c r="B145" s="169" t="s">
        <v>2335</v>
      </c>
      <c r="C145" s="152"/>
      <c r="D145" s="152" t="s">
        <v>242</v>
      </c>
      <c r="E145" s="154"/>
      <c r="F145" s="470" t="s">
        <v>2254</v>
      </c>
      <c r="G145" s="462" t="s">
        <v>2336</v>
      </c>
      <c r="H145" s="173" t="s">
        <v>188</v>
      </c>
      <c r="I145" s="155" t="s">
        <v>1453</v>
      </c>
      <c r="J145" s="155"/>
      <c r="K145" s="155" t="s">
        <v>191</v>
      </c>
      <c r="L145" s="143">
        <v>4</v>
      </c>
      <c r="M145" s="144" t="s">
        <v>12</v>
      </c>
      <c r="N145" s="367">
        <v>5</v>
      </c>
      <c r="O145" s="151" t="s">
        <v>199</v>
      </c>
    </row>
    <row r="146" spans="1:15" ht="67.5">
      <c r="A146" s="169" t="s">
        <v>2337</v>
      </c>
      <c r="B146" s="169" t="s">
        <v>2338</v>
      </c>
      <c r="C146" s="152" t="s">
        <v>135</v>
      </c>
      <c r="D146" s="152" t="s">
        <v>242</v>
      </c>
      <c r="E146" s="154"/>
      <c r="F146" s="470" t="s">
        <v>2339</v>
      </c>
      <c r="G146" s="462" t="s">
        <v>2340</v>
      </c>
      <c r="H146" s="173" t="s">
        <v>188</v>
      </c>
      <c r="I146" s="155" t="s">
        <v>1453</v>
      </c>
      <c r="J146" s="155"/>
      <c r="K146" s="155" t="s">
        <v>191</v>
      </c>
      <c r="L146" s="143">
        <v>4</v>
      </c>
      <c r="M146" s="144" t="s">
        <v>12</v>
      </c>
      <c r="N146" s="367">
        <v>5</v>
      </c>
      <c r="O146" s="151" t="s">
        <v>199</v>
      </c>
    </row>
    <row r="147" spans="1:15" ht="56.25">
      <c r="A147" s="169" t="s">
        <v>2341</v>
      </c>
      <c r="B147" s="169" t="s">
        <v>2342</v>
      </c>
      <c r="C147" s="152"/>
      <c r="D147" s="152" t="s">
        <v>242</v>
      </c>
      <c r="E147" s="154"/>
      <c r="F147" s="470" t="s">
        <v>2254</v>
      </c>
      <c r="G147" s="462" t="s">
        <v>2343</v>
      </c>
      <c r="H147" s="173" t="s">
        <v>188</v>
      </c>
      <c r="I147" s="155" t="s">
        <v>1453</v>
      </c>
      <c r="J147" s="155"/>
      <c r="K147" s="155" t="s">
        <v>191</v>
      </c>
      <c r="L147" s="143">
        <v>4</v>
      </c>
      <c r="M147" s="144" t="s">
        <v>12</v>
      </c>
      <c r="N147" s="367">
        <v>5</v>
      </c>
      <c r="O147" s="151" t="s">
        <v>199</v>
      </c>
    </row>
    <row r="148" spans="1:15" ht="67.5">
      <c r="A148" s="145" t="s">
        <v>2344</v>
      </c>
      <c r="B148" s="152" t="s">
        <v>2345</v>
      </c>
      <c r="C148" s="152" t="s">
        <v>2346</v>
      </c>
      <c r="D148" s="152" t="s">
        <v>242</v>
      </c>
      <c r="E148" s="154"/>
      <c r="F148" s="470" t="s">
        <v>2181</v>
      </c>
      <c r="G148" s="336" t="s">
        <v>2347</v>
      </c>
      <c r="H148" s="173" t="s">
        <v>188</v>
      </c>
      <c r="I148" s="155" t="s">
        <v>1453</v>
      </c>
      <c r="J148" s="155"/>
      <c r="K148" s="155" t="s">
        <v>191</v>
      </c>
      <c r="L148" s="143">
        <v>4</v>
      </c>
      <c r="M148" s="144" t="s">
        <v>12</v>
      </c>
      <c r="N148" s="367">
        <v>5</v>
      </c>
      <c r="O148" s="151" t="s">
        <v>199</v>
      </c>
    </row>
    <row r="149" spans="1:15" ht="56.25">
      <c r="A149" s="145" t="s">
        <v>2348</v>
      </c>
      <c r="B149" s="152" t="s">
        <v>2349</v>
      </c>
      <c r="C149" s="152" t="s">
        <v>135</v>
      </c>
      <c r="D149" s="152" t="s">
        <v>242</v>
      </c>
      <c r="E149" s="154"/>
      <c r="F149" s="470" t="s">
        <v>785</v>
      </c>
      <c r="G149" s="466" t="s">
        <v>2350</v>
      </c>
      <c r="H149" s="173" t="s">
        <v>188</v>
      </c>
      <c r="I149" s="155" t="s">
        <v>1453</v>
      </c>
      <c r="J149" s="155"/>
      <c r="K149" s="155" t="s">
        <v>191</v>
      </c>
      <c r="L149" s="143">
        <v>4</v>
      </c>
      <c r="M149" s="144" t="s">
        <v>12</v>
      </c>
      <c r="N149" s="367">
        <v>5</v>
      </c>
      <c r="O149" s="151" t="s">
        <v>199</v>
      </c>
    </row>
    <row r="150" spans="1:15" s="93" customFormat="1" ht="67.5">
      <c r="A150" s="145" t="s">
        <v>2351</v>
      </c>
      <c r="B150" s="152" t="s">
        <v>2352</v>
      </c>
      <c r="C150" s="152" t="s">
        <v>2353</v>
      </c>
      <c r="D150" s="152" t="s">
        <v>242</v>
      </c>
      <c r="E150" s="154"/>
      <c r="F150" s="470" t="s">
        <v>2309</v>
      </c>
      <c r="G150" s="336" t="s">
        <v>2354</v>
      </c>
      <c r="H150" s="173" t="s">
        <v>188</v>
      </c>
      <c r="I150" s="155" t="s">
        <v>1453</v>
      </c>
      <c r="J150" s="155"/>
      <c r="K150" s="155" t="s">
        <v>191</v>
      </c>
      <c r="L150" s="143">
        <v>4</v>
      </c>
      <c r="M150" s="144" t="s">
        <v>12</v>
      </c>
      <c r="N150" s="367">
        <v>5</v>
      </c>
      <c r="O150" s="151" t="s">
        <v>199</v>
      </c>
    </row>
    <row r="151" spans="1:15" s="93" customFormat="1" ht="56.25">
      <c r="A151" s="145" t="s">
        <v>2355</v>
      </c>
      <c r="B151" s="152" t="s">
        <v>2356</v>
      </c>
      <c r="C151" s="152" t="s">
        <v>135</v>
      </c>
      <c r="D151" s="152" t="s">
        <v>242</v>
      </c>
      <c r="E151" s="154"/>
      <c r="F151" s="470" t="s">
        <v>785</v>
      </c>
      <c r="G151" s="467" t="s">
        <v>2357</v>
      </c>
      <c r="H151" s="173" t="s">
        <v>188</v>
      </c>
      <c r="I151" s="155" t="s">
        <v>1453</v>
      </c>
      <c r="J151" s="155"/>
      <c r="K151" s="155" t="s">
        <v>191</v>
      </c>
      <c r="L151" s="143">
        <v>4</v>
      </c>
      <c r="M151" s="144" t="s">
        <v>12</v>
      </c>
      <c r="N151" s="367">
        <v>5</v>
      </c>
      <c r="O151" s="151" t="s">
        <v>199</v>
      </c>
    </row>
    <row r="152" spans="1:15" s="93" customFormat="1" ht="22.5">
      <c r="A152" s="145" t="s">
        <v>2358</v>
      </c>
      <c r="B152" s="152" t="s">
        <v>2359</v>
      </c>
      <c r="C152" s="152" t="s">
        <v>135</v>
      </c>
      <c r="D152" s="152" t="s">
        <v>242</v>
      </c>
      <c r="E152" s="154"/>
      <c r="F152" s="470" t="s">
        <v>2164</v>
      </c>
      <c r="G152" s="462" t="s">
        <v>2360</v>
      </c>
      <c r="H152" s="173" t="s">
        <v>188</v>
      </c>
      <c r="I152" s="155" t="s">
        <v>2361</v>
      </c>
      <c r="J152" s="155"/>
      <c r="K152" s="155" t="s">
        <v>191</v>
      </c>
      <c r="L152" s="143">
        <v>4</v>
      </c>
      <c r="M152" s="144" t="s">
        <v>12</v>
      </c>
      <c r="N152" s="367">
        <v>5</v>
      </c>
      <c r="O152" s="151" t="s">
        <v>199</v>
      </c>
    </row>
    <row r="153" spans="1:15" ht="22.5">
      <c r="A153" s="145" t="s">
        <v>2362</v>
      </c>
      <c r="B153" s="152" t="s">
        <v>2363</v>
      </c>
      <c r="C153" s="152" t="s">
        <v>135</v>
      </c>
      <c r="D153" s="152" t="s">
        <v>242</v>
      </c>
      <c r="E153" s="154"/>
      <c r="F153" s="470" t="s">
        <v>1946</v>
      </c>
      <c r="G153" s="336" t="s">
        <v>2364</v>
      </c>
      <c r="H153" s="155" t="s">
        <v>188</v>
      </c>
      <c r="I153" s="155" t="s">
        <v>1453</v>
      </c>
      <c r="J153" s="155"/>
      <c r="K153" s="155" t="s">
        <v>191</v>
      </c>
      <c r="L153" s="143">
        <v>4</v>
      </c>
      <c r="M153" s="144" t="s">
        <v>12</v>
      </c>
      <c r="N153" s="367">
        <v>5</v>
      </c>
      <c r="O153" s="151" t="s">
        <v>199</v>
      </c>
    </row>
    <row r="154" spans="1:15" ht="22.5">
      <c r="A154" s="145" t="s">
        <v>2365</v>
      </c>
      <c r="B154" s="152" t="s">
        <v>2366</v>
      </c>
      <c r="C154" s="152" t="s">
        <v>135</v>
      </c>
      <c r="D154" s="152" t="s">
        <v>242</v>
      </c>
      <c r="E154" s="154"/>
      <c r="F154" s="470" t="s">
        <v>1946</v>
      </c>
      <c r="G154" s="336" t="s">
        <v>2367</v>
      </c>
      <c r="H154" s="155" t="s">
        <v>188</v>
      </c>
      <c r="I154" s="155" t="s">
        <v>1453</v>
      </c>
      <c r="J154" s="155"/>
      <c r="K154" s="155" t="s">
        <v>191</v>
      </c>
      <c r="L154" s="143">
        <v>4</v>
      </c>
      <c r="M154" s="144" t="s">
        <v>12</v>
      </c>
      <c r="N154" s="367">
        <v>5</v>
      </c>
      <c r="O154" s="151" t="s">
        <v>199</v>
      </c>
    </row>
    <row r="155" spans="1:15" ht="22.5">
      <c r="A155" s="145" t="s">
        <v>2368</v>
      </c>
      <c r="B155" s="152" t="s">
        <v>2369</v>
      </c>
      <c r="C155" s="152" t="s">
        <v>135</v>
      </c>
      <c r="D155" s="152" t="s">
        <v>242</v>
      </c>
      <c r="E155" s="154"/>
      <c r="F155" s="470" t="s">
        <v>1946</v>
      </c>
      <c r="G155" s="336" t="s">
        <v>2370</v>
      </c>
      <c r="H155" s="155" t="s">
        <v>188</v>
      </c>
      <c r="I155" s="155" t="s">
        <v>1453</v>
      </c>
      <c r="J155" s="155"/>
      <c r="K155" s="155" t="s">
        <v>191</v>
      </c>
      <c r="L155" s="143">
        <v>4</v>
      </c>
      <c r="M155" s="144" t="s">
        <v>12</v>
      </c>
      <c r="N155" s="367">
        <v>5</v>
      </c>
      <c r="O155" s="151" t="s">
        <v>199</v>
      </c>
    </row>
    <row r="156" spans="1:15" ht="22.5">
      <c r="A156" s="145" t="s">
        <v>2371</v>
      </c>
      <c r="B156" s="152" t="s">
        <v>2372</v>
      </c>
      <c r="C156" s="152" t="s">
        <v>135</v>
      </c>
      <c r="D156" s="152" t="s">
        <v>242</v>
      </c>
      <c r="E156" s="154"/>
      <c r="F156" s="470" t="s">
        <v>1946</v>
      </c>
      <c r="G156" s="336" t="s">
        <v>2373</v>
      </c>
      <c r="H156" s="155" t="s">
        <v>188</v>
      </c>
      <c r="I156" s="155" t="s">
        <v>1453</v>
      </c>
      <c r="J156" s="155"/>
      <c r="K156" s="155" t="s">
        <v>191</v>
      </c>
      <c r="L156" s="143">
        <v>4</v>
      </c>
      <c r="M156" s="144" t="s">
        <v>12</v>
      </c>
      <c r="N156" s="367">
        <v>5</v>
      </c>
      <c r="O156" s="151" t="s">
        <v>199</v>
      </c>
    </row>
    <row r="157" spans="1:15" ht="22.5">
      <c r="A157" s="145" t="s">
        <v>2374</v>
      </c>
      <c r="B157" s="152" t="s">
        <v>2375</v>
      </c>
      <c r="C157" s="152" t="s">
        <v>135</v>
      </c>
      <c r="D157" s="152" t="s">
        <v>242</v>
      </c>
      <c r="E157" s="154"/>
      <c r="F157" s="470" t="s">
        <v>1946</v>
      </c>
      <c r="G157" s="336" t="s">
        <v>2376</v>
      </c>
      <c r="H157" s="155" t="s">
        <v>188</v>
      </c>
      <c r="I157" s="155" t="s">
        <v>1453</v>
      </c>
      <c r="J157" s="155"/>
      <c r="K157" s="155" t="s">
        <v>191</v>
      </c>
      <c r="L157" s="143">
        <v>4</v>
      </c>
      <c r="M157" s="144" t="s">
        <v>12</v>
      </c>
      <c r="N157" s="367">
        <v>5</v>
      </c>
      <c r="O157" s="151" t="s">
        <v>199</v>
      </c>
    </row>
    <row r="158" spans="1:15" ht="22.5">
      <c r="A158" s="145" t="s">
        <v>2377</v>
      </c>
      <c r="B158" s="152" t="s">
        <v>2378</v>
      </c>
      <c r="C158" s="152" t="s">
        <v>135</v>
      </c>
      <c r="D158" s="152" t="s">
        <v>242</v>
      </c>
      <c r="E158" s="154"/>
      <c r="F158" s="470" t="s">
        <v>1946</v>
      </c>
      <c r="G158" s="336" t="s">
        <v>2379</v>
      </c>
      <c r="H158" s="155" t="s">
        <v>188</v>
      </c>
      <c r="I158" s="155" t="s">
        <v>1453</v>
      </c>
      <c r="J158" s="155"/>
      <c r="K158" s="155" t="s">
        <v>191</v>
      </c>
      <c r="L158" s="143">
        <v>4</v>
      </c>
      <c r="M158" s="144" t="s">
        <v>12</v>
      </c>
      <c r="N158" s="367">
        <v>5</v>
      </c>
      <c r="O158" s="151" t="s">
        <v>199</v>
      </c>
    </row>
    <row r="159" spans="1:15" ht="22.5">
      <c r="A159" s="145" t="s">
        <v>2380</v>
      </c>
      <c r="B159" s="152" t="s">
        <v>2381</v>
      </c>
      <c r="C159" s="152" t="s">
        <v>135</v>
      </c>
      <c r="D159" s="152" t="s">
        <v>242</v>
      </c>
      <c r="E159" s="154"/>
      <c r="F159" s="470" t="s">
        <v>1946</v>
      </c>
      <c r="G159" s="336" t="s">
        <v>2382</v>
      </c>
      <c r="H159" s="155" t="s">
        <v>188</v>
      </c>
      <c r="I159" s="155" t="s">
        <v>1453</v>
      </c>
      <c r="J159" s="155"/>
      <c r="K159" s="155" t="s">
        <v>191</v>
      </c>
      <c r="L159" s="143">
        <v>4</v>
      </c>
      <c r="M159" s="144" t="s">
        <v>12</v>
      </c>
      <c r="N159" s="367">
        <v>5</v>
      </c>
      <c r="O159" s="151" t="s">
        <v>199</v>
      </c>
    </row>
    <row r="160" spans="1:15" ht="22.5">
      <c r="A160" s="145" t="s">
        <v>2383</v>
      </c>
      <c r="B160" s="152" t="s">
        <v>2384</v>
      </c>
      <c r="C160" s="152" t="s">
        <v>135</v>
      </c>
      <c r="D160" s="152" t="s">
        <v>242</v>
      </c>
      <c r="E160" s="154"/>
      <c r="F160" s="470" t="s">
        <v>1946</v>
      </c>
      <c r="G160" s="336" t="s">
        <v>2385</v>
      </c>
      <c r="H160" s="155" t="s">
        <v>188</v>
      </c>
      <c r="I160" s="155" t="s">
        <v>1453</v>
      </c>
      <c r="J160" s="155"/>
      <c r="K160" s="155" t="s">
        <v>191</v>
      </c>
      <c r="L160" s="143">
        <v>4</v>
      </c>
      <c r="M160" s="144" t="s">
        <v>12</v>
      </c>
      <c r="N160" s="367">
        <v>5</v>
      </c>
      <c r="O160" s="151" t="s">
        <v>199</v>
      </c>
    </row>
    <row r="161" spans="1:15" ht="22.5">
      <c r="A161" s="145" t="s">
        <v>2386</v>
      </c>
      <c r="B161" s="152" t="s">
        <v>2387</v>
      </c>
      <c r="C161" s="152" t="s">
        <v>135</v>
      </c>
      <c r="D161" s="152" t="s">
        <v>242</v>
      </c>
      <c r="E161" s="154"/>
      <c r="F161" s="470" t="s">
        <v>1946</v>
      </c>
      <c r="G161" s="336" t="s">
        <v>2388</v>
      </c>
      <c r="H161" s="155" t="s">
        <v>188</v>
      </c>
      <c r="I161" s="155" t="s">
        <v>1453</v>
      </c>
      <c r="J161" s="155"/>
      <c r="K161" s="155" t="s">
        <v>191</v>
      </c>
      <c r="L161" s="143">
        <v>4</v>
      </c>
      <c r="M161" s="144" t="s">
        <v>12</v>
      </c>
      <c r="N161" s="367">
        <v>5</v>
      </c>
      <c r="O161" s="151" t="s">
        <v>199</v>
      </c>
    </row>
    <row r="162" spans="1:15" s="93" customFormat="1" ht="22.5">
      <c r="A162" s="145" t="s">
        <v>2389</v>
      </c>
      <c r="B162" s="152" t="s">
        <v>2390</v>
      </c>
      <c r="C162" s="152"/>
      <c r="D162" s="152" t="s">
        <v>242</v>
      </c>
      <c r="E162" s="154"/>
      <c r="F162" s="470" t="s">
        <v>1942</v>
      </c>
      <c r="G162" s="462" t="s">
        <v>2391</v>
      </c>
      <c r="H162" s="173" t="s">
        <v>188</v>
      </c>
      <c r="I162" s="155" t="s">
        <v>1453</v>
      </c>
      <c r="J162" s="155"/>
      <c r="K162" s="155" t="s">
        <v>191</v>
      </c>
      <c r="L162" s="143">
        <v>4</v>
      </c>
      <c r="M162" s="144" t="s">
        <v>12</v>
      </c>
      <c r="N162" s="367">
        <v>5</v>
      </c>
      <c r="O162" s="151" t="s">
        <v>199</v>
      </c>
    </row>
    <row r="163" spans="1:15" s="93" customFormat="1" ht="22.5">
      <c r="A163" s="145" t="s">
        <v>2392</v>
      </c>
      <c r="B163" s="152" t="s">
        <v>2393</v>
      </c>
      <c r="C163" s="152"/>
      <c r="D163" s="152" t="s">
        <v>242</v>
      </c>
      <c r="E163" s="154"/>
      <c r="F163" s="470" t="s">
        <v>1942</v>
      </c>
      <c r="G163" s="462" t="s">
        <v>2394</v>
      </c>
      <c r="H163" s="173" t="s">
        <v>188</v>
      </c>
      <c r="I163" s="155" t="s">
        <v>1453</v>
      </c>
      <c r="J163" s="155"/>
      <c r="K163" s="155" t="s">
        <v>191</v>
      </c>
      <c r="L163" s="143">
        <v>4</v>
      </c>
      <c r="M163" s="144" t="s">
        <v>12</v>
      </c>
      <c r="N163" s="367">
        <v>5</v>
      </c>
      <c r="O163" s="151" t="s">
        <v>199</v>
      </c>
    </row>
    <row r="164" spans="1:15" ht="11.25">
      <c r="A164" s="145" t="s">
        <v>2395</v>
      </c>
      <c r="B164" s="152" t="s">
        <v>2396</v>
      </c>
      <c r="C164" s="152"/>
      <c r="D164" s="152" t="s">
        <v>242</v>
      </c>
      <c r="E164" s="154"/>
      <c r="F164" s="470" t="s">
        <v>1890</v>
      </c>
      <c r="G164" s="336" t="s">
        <v>2397</v>
      </c>
      <c r="H164" s="155" t="s">
        <v>204</v>
      </c>
      <c r="I164" s="155" t="s">
        <v>2398</v>
      </c>
      <c r="J164" s="155"/>
      <c r="K164" s="155" t="s">
        <v>191</v>
      </c>
      <c r="L164" s="143">
        <v>4</v>
      </c>
      <c r="M164" s="144" t="s">
        <v>12</v>
      </c>
      <c r="N164" s="367">
        <v>5</v>
      </c>
      <c r="O164" s="151" t="s">
        <v>199</v>
      </c>
    </row>
    <row r="165" spans="1:15" ht="11.25">
      <c r="A165" s="145" t="s">
        <v>2399</v>
      </c>
      <c r="B165" s="152" t="s">
        <v>2400</v>
      </c>
      <c r="C165" s="152"/>
      <c r="D165" s="152" t="s">
        <v>242</v>
      </c>
      <c r="E165" s="154"/>
      <c r="F165" s="470" t="s">
        <v>1890</v>
      </c>
      <c r="G165" s="336" t="s">
        <v>2401</v>
      </c>
      <c r="H165" s="155" t="s">
        <v>204</v>
      </c>
      <c r="I165" s="155" t="s">
        <v>2398</v>
      </c>
      <c r="J165" s="155"/>
      <c r="K165" s="155" t="s">
        <v>191</v>
      </c>
      <c r="L165" s="143">
        <v>4</v>
      </c>
      <c r="M165" s="144" t="s">
        <v>12</v>
      </c>
      <c r="N165" s="367">
        <v>5</v>
      </c>
      <c r="O165" s="151" t="s">
        <v>199</v>
      </c>
    </row>
    <row r="166" spans="1:15" ht="11.25">
      <c r="A166" s="145" t="s">
        <v>2402</v>
      </c>
      <c r="B166" s="152" t="s">
        <v>2403</v>
      </c>
      <c r="C166" s="152"/>
      <c r="D166" s="152" t="s">
        <v>242</v>
      </c>
      <c r="E166" s="154"/>
      <c r="F166" s="470" t="s">
        <v>1890</v>
      </c>
      <c r="G166" s="336" t="s">
        <v>2404</v>
      </c>
      <c r="H166" s="155" t="s">
        <v>204</v>
      </c>
      <c r="I166" s="155" t="s">
        <v>2398</v>
      </c>
      <c r="J166" s="155"/>
      <c r="K166" s="155" t="s">
        <v>191</v>
      </c>
      <c r="L166" s="143">
        <v>4</v>
      </c>
      <c r="M166" s="144" t="s">
        <v>12</v>
      </c>
      <c r="N166" s="367">
        <v>5</v>
      </c>
      <c r="O166" s="151" t="s">
        <v>199</v>
      </c>
    </row>
    <row r="167" spans="1:15" ht="112.5">
      <c r="A167" s="145" t="s">
        <v>2405</v>
      </c>
      <c r="B167" s="152" t="s">
        <v>2406</v>
      </c>
      <c r="C167" s="152" t="s">
        <v>2407</v>
      </c>
      <c r="D167" s="152" t="s">
        <v>242</v>
      </c>
      <c r="E167" s="154"/>
      <c r="F167" s="470" t="s">
        <v>2408</v>
      </c>
      <c r="G167" s="336" t="s">
        <v>2409</v>
      </c>
      <c r="H167" s="155" t="s">
        <v>204</v>
      </c>
      <c r="I167" s="155" t="s">
        <v>2410</v>
      </c>
      <c r="J167" s="155"/>
      <c r="K167" s="155" t="s">
        <v>191</v>
      </c>
      <c r="L167" s="143">
        <v>4</v>
      </c>
      <c r="M167" s="144" t="s">
        <v>12</v>
      </c>
      <c r="N167" s="367">
        <v>5</v>
      </c>
      <c r="O167" s="151" t="s">
        <v>199</v>
      </c>
    </row>
    <row r="168" spans="1:15" ht="123.75">
      <c r="A168" s="145" t="s">
        <v>2411</v>
      </c>
      <c r="B168" s="152" t="s">
        <v>2412</v>
      </c>
      <c r="C168" s="152" t="s">
        <v>2413</v>
      </c>
      <c r="D168" s="152" t="s">
        <v>242</v>
      </c>
      <c r="E168" s="154"/>
      <c r="F168" s="470" t="s">
        <v>2408</v>
      </c>
      <c r="G168" s="336" t="s">
        <v>2414</v>
      </c>
      <c r="H168" s="155" t="s">
        <v>204</v>
      </c>
      <c r="I168" s="155" t="s">
        <v>2415</v>
      </c>
      <c r="J168" s="155"/>
      <c r="K168" s="155" t="s">
        <v>191</v>
      </c>
      <c r="L168" s="143">
        <v>4</v>
      </c>
      <c r="M168" s="144" t="s">
        <v>12</v>
      </c>
      <c r="N168" s="367">
        <v>5</v>
      </c>
      <c r="O168" s="151" t="s">
        <v>199</v>
      </c>
    </row>
    <row r="169" spans="1:15" ht="56.25">
      <c r="A169" s="145" t="s">
        <v>2416</v>
      </c>
      <c r="B169" s="152" t="s">
        <v>2417</v>
      </c>
      <c r="C169" s="152" t="s">
        <v>2418</v>
      </c>
      <c r="D169" s="152" t="s">
        <v>242</v>
      </c>
      <c r="E169" s="154"/>
      <c r="F169" s="470" t="s">
        <v>2419</v>
      </c>
      <c r="G169" s="336" t="s">
        <v>2420</v>
      </c>
      <c r="H169" s="155" t="s">
        <v>204</v>
      </c>
      <c r="I169" s="155" t="s">
        <v>2421</v>
      </c>
      <c r="J169" s="155"/>
      <c r="K169" s="155" t="s">
        <v>191</v>
      </c>
      <c r="L169" s="143">
        <v>4</v>
      </c>
      <c r="M169" s="144" t="s">
        <v>12</v>
      </c>
      <c r="N169" s="367">
        <v>5</v>
      </c>
      <c r="O169" s="151" t="s">
        <v>199</v>
      </c>
    </row>
    <row r="170" spans="1:15" ht="56.25">
      <c r="A170" s="145" t="s">
        <v>2422</v>
      </c>
      <c r="B170" s="152" t="s">
        <v>2423</v>
      </c>
      <c r="C170" s="152" t="s">
        <v>2424</v>
      </c>
      <c r="D170" s="152" t="s">
        <v>242</v>
      </c>
      <c r="E170" s="154"/>
      <c r="F170" s="470" t="s">
        <v>2086</v>
      </c>
      <c r="G170" s="336" t="s">
        <v>2425</v>
      </c>
      <c r="H170" s="155" t="s">
        <v>204</v>
      </c>
      <c r="I170" s="155" t="s">
        <v>2426</v>
      </c>
      <c r="J170" s="155"/>
      <c r="K170" s="155" t="s">
        <v>191</v>
      </c>
      <c r="L170" s="143">
        <v>4</v>
      </c>
      <c r="M170" s="144" t="s">
        <v>12</v>
      </c>
      <c r="N170" s="367">
        <v>5</v>
      </c>
      <c r="O170" s="151" t="s">
        <v>199</v>
      </c>
    </row>
    <row r="171" spans="1:15" ht="22.5">
      <c r="A171" s="145" t="s">
        <v>2427</v>
      </c>
      <c r="B171" s="152" t="s">
        <v>2428</v>
      </c>
      <c r="C171" s="152" t="s">
        <v>135</v>
      </c>
      <c r="D171" s="152" t="s">
        <v>242</v>
      </c>
      <c r="E171" s="154"/>
      <c r="F171" s="470" t="s">
        <v>1946</v>
      </c>
      <c r="G171" s="336" t="s">
        <v>2429</v>
      </c>
      <c r="H171" s="155" t="s">
        <v>204</v>
      </c>
      <c r="I171" s="155" t="s">
        <v>2430</v>
      </c>
      <c r="J171" s="155"/>
      <c r="K171" s="155" t="s">
        <v>191</v>
      </c>
      <c r="L171" s="143">
        <v>4</v>
      </c>
      <c r="M171" s="144" t="s">
        <v>12</v>
      </c>
      <c r="N171" s="367">
        <v>5</v>
      </c>
      <c r="O171" s="151" t="s">
        <v>199</v>
      </c>
    </row>
    <row r="172" spans="1:15" ht="33.75">
      <c r="A172" s="145" t="s">
        <v>2431</v>
      </c>
      <c r="B172" s="152" t="s">
        <v>2432</v>
      </c>
      <c r="C172" s="152" t="s">
        <v>135</v>
      </c>
      <c r="D172" s="152" t="s">
        <v>242</v>
      </c>
      <c r="E172" s="154"/>
      <c r="F172" s="470" t="s">
        <v>1946</v>
      </c>
      <c r="G172" s="336" t="s">
        <v>2433</v>
      </c>
      <c r="H172" s="155" t="s">
        <v>204</v>
      </c>
      <c r="I172" s="155" t="s">
        <v>2434</v>
      </c>
      <c r="J172" s="155"/>
      <c r="K172" s="155" t="s">
        <v>191</v>
      </c>
      <c r="L172" s="143">
        <v>4</v>
      </c>
      <c r="M172" s="144" t="s">
        <v>12</v>
      </c>
      <c r="N172" s="367">
        <v>5</v>
      </c>
      <c r="O172" s="151" t="s">
        <v>199</v>
      </c>
    </row>
    <row r="173" spans="1:15" ht="33.75">
      <c r="A173" s="145" t="s">
        <v>2435</v>
      </c>
      <c r="B173" s="152" t="s">
        <v>2436</v>
      </c>
      <c r="C173" s="152" t="s">
        <v>135</v>
      </c>
      <c r="D173" s="152" t="s">
        <v>242</v>
      </c>
      <c r="E173" s="154"/>
      <c r="F173" s="470" t="s">
        <v>1946</v>
      </c>
      <c r="G173" s="336" t="s">
        <v>2437</v>
      </c>
      <c r="H173" s="155" t="s">
        <v>204</v>
      </c>
      <c r="I173" s="155" t="s">
        <v>2438</v>
      </c>
      <c r="J173" s="155"/>
      <c r="K173" s="155" t="s">
        <v>191</v>
      </c>
      <c r="L173" s="143">
        <v>4</v>
      </c>
      <c r="M173" s="144" t="s">
        <v>12</v>
      </c>
      <c r="N173" s="367">
        <v>5</v>
      </c>
      <c r="O173" s="151" t="s">
        <v>199</v>
      </c>
    </row>
    <row r="174" spans="1:15" ht="33.75">
      <c r="A174" s="145" t="s">
        <v>2439</v>
      </c>
      <c r="B174" s="152" t="s">
        <v>2440</v>
      </c>
      <c r="C174" s="152" t="s">
        <v>135</v>
      </c>
      <c r="D174" s="152" t="s">
        <v>242</v>
      </c>
      <c r="E174" s="154"/>
      <c r="F174" s="470" t="s">
        <v>1946</v>
      </c>
      <c r="G174" s="336" t="s">
        <v>2441</v>
      </c>
      <c r="H174" s="155" t="s">
        <v>204</v>
      </c>
      <c r="I174" s="155" t="s">
        <v>2442</v>
      </c>
      <c r="J174" s="155"/>
      <c r="K174" s="155" t="s">
        <v>191</v>
      </c>
      <c r="L174" s="143">
        <v>4</v>
      </c>
      <c r="M174" s="144" t="s">
        <v>12</v>
      </c>
      <c r="N174" s="367">
        <v>5</v>
      </c>
      <c r="O174" s="151" t="s">
        <v>199</v>
      </c>
    </row>
    <row r="175" spans="1:15" ht="33.75">
      <c r="A175" s="145" t="s">
        <v>2443</v>
      </c>
      <c r="B175" s="152" t="s">
        <v>2444</v>
      </c>
      <c r="C175" s="152" t="s">
        <v>135</v>
      </c>
      <c r="D175" s="152" t="s">
        <v>242</v>
      </c>
      <c r="E175" s="154"/>
      <c r="F175" s="470" t="s">
        <v>1946</v>
      </c>
      <c r="G175" s="336" t="s">
        <v>2445</v>
      </c>
      <c r="H175" s="155" t="s">
        <v>204</v>
      </c>
      <c r="I175" s="155" t="s">
        <v>2442</v>
      </c>
      <c r="J175" s="155"/>
      <c r="K175" s="155" t="s">
        <v>191</v>
      </c>
      <c r="L175" s="143">
        <v>4</v>
      </c>
      <c r="M175" s="144" t="s">
        <v>12</v>
      </c>
      <c r="N175" s="367">
        <v>5</v>
      </c>
      <c r="O175" s="151" t="s">
        <v>199</v>
      </c>
    </row>
    <row r="176" spans="1:15" ht="33.75">
      <c r="A176" s="145" t="s">
        <v>2446</v>
      </c>
      <c r="B176" s="152" t="s">
        <v>2447</v>
      </c>
      <c r="C176" s="152" t="s">
        <v>135</v>
      </c>
      <c r="D176" s="152" t="s">
        <v>242</v>
      </c>
      <c r="E176" s="154"/>
      <c r="F176" s="470" t="s">
        <v>1946</v>
      </c>
      <c r="G176" s="336" t="s">
        <v>2448</v>
      </c>
      <c r="H176" s="155" t="s">
        <v>204</v>
      </c>
      <c r="I176" s="155" t="s">
        <v>2449</v>
      </c>
      <c r="J176" s="155"/>
      <c r="K176" s="155" t="s">
        <v>191</v>
      </c>
      <c r="L176" s="143">
        <v>4</v>
      </c>
      <c r="M176" s="144" t="s">
        <v>12</v>
      </c>
      <c r="N176" s="367">
        <v>5</v>
      </c>
      <c r="O176" s="151" t="s">
        <v>199</v>
      </c>
    </row>
    <row r="177" spans="1:15" ht="33.75">
      <c r="A177" s="145" t="s">
        <v>2450</v>
      </c>
      <c r="B177" s="152" t="s">
        <v>2451</v>
      </c>
      <c r="C177" s="152" t="s">
        <v>135</v>
      </c>
      <c r="D177" s="152" t="s">
        <v>242</v>
      </c>
      <c r="E177" s="154"/>
      <c r="F177" s="470" t="s">
        <v>1946</v>
      </c>
      <c r="G177" s="336" t="s">
        <v>2452</v>
      </c>
      <c r="H177" s="155" t="s">
        <v>204</v>
      </c>
      <c r="I177" s="155" t="s">
        <v>2453</v>
      </c>
      <c r="J177" s="155"/>
      <c r="K177" s="155" t="s">
        <v>191</v>
      </c>
      <c r="L177" s="143">
        <v>4</v>
      </c>
      <c r="M177" s="144" t="s">
        <v>12</v>
      </c>
      <c r="N177" s="367">
        <v>5</v>
      </c>
      <c r="O177" s="151" t="s">
        <v>199</v>
      </c>
    </row>
    <row r="178" spans="1:15" ht="56.25">
      <c r="A178" s="145" t="s">
        <v>2454</v>
      </c>
      <c r="B178" s="152" t="s">
        <v>2455</v>
      </c>
      <c r="C178" s="152" t="s">
        <v>2456</v>
      </c>
      <c r="D178" s="152" t="s">
        <v>242</v>
      </c>
      <c r="E178" s="154"/>
      <c r="F178" s="470" t="s">
        <v>2457</v>
      </c>
      <c r="G178" s="336" t="s">
        <v>2458</v>
      </c>
      <c r="H178" s="155" t="s">
        <v>204</v>
      </c>
      <c r="I178" s="155" t="s">
        <v>2426</v>
      </c>
      <c r="J178" s="155"/>
      <c r="K178" s="155" t="s">
        <v>191</v>
      </c>
      <c r="L178" s="143">
        <v>4</v>
      </c>
      <c r="M178" s="144" t="s">
        <v>12</v>
      </c>
      <c r="N178" s="367">
        <v>5</v>
      </c>
      <c r="O178" s="151" t="s">
        <v>199</v>
      </c>
    </row>
    <row r="179" spans="1:15" ht="22.5">
      <c r="A179" s="145" t="s">
        <v>2459</v>
      </c>
      <c r="B179" s="152" t="s">
        <v>2460</v>
      </c>
      <c r="C179" s="152" t="s">
        <v>2461</v>
      </c>
      <c r="D179" s="152" t="s">
        <v>242</v>
      </c>
      <c r="E179" s="154"/>
      <c r="F179" s="470" t="s">
        <v>2462</v>
      </c>
      <c r="G179" s="336" t="s">
        <v>2463</v>
      </c>
      <c r="H179" s="155" t="s">
        <v>204</v>
      </c>
      <c r="I179" s="155" t="s">
        <v>2464</v>
      </c>
      <c r="J179" s="155"/>
      <c r="K179" s="155" t="s">
        <v>191</v>
      </c>
      <c r="L179" s="143">
        <v>4</v>
      </c>
      <c r="M179" s="144" t="s">
        <v>12</v>
      </c>
      <c r="N179" s="367">
        <v>5</v>
      </c>
      <c r="O179" s="151" t="s">
        <v>199</v>
      </c>
    </row>
    <row r="180" spans="1:15" ht="22.5">
      <c r="A180" s="145" t="s">
        <v>2465</v>
      </c>
      <c r="B180" s="152" t="s">
        <v>2466</v>
      </c>
      <c r="C180" s="152" t="s">
        <v>2467</v>
      </c>
      <c r="D180" s="152" t="s">
        <v>242</v>
      </c>
      <c r="E180" s="154"/>
      <c r="F180" s="470" t="s">
        <v>2462</v>
      </c>
      <c r="G180" s="336" t="s">
        <v>2468</v>
      </c>
      <c r="H180" s="155" t="s">
        <v>204</v>
      </c>
      <c r="I180" s="155" t="s">
        <v>2469</v>
      </c>
      <c r="J180" s="155"/>
      <c r="K180" s="155" t="s">
        <v>191</v>
      </c>
      <c r="L180" s="143">
        <v>4</v>
      </c>
      <c r="M180" s="144" t="s">
        <v>12</v>
      </c>
      <c r="N180" s="367">
        <v>5</v>
      </c>
      <c r="O180" s="151" t="s">
        <v>199</v>
      </c>
    </row>
    <row r="181" spans="1:15" ht="67.5" customHeight="1">
      <c r="A181" s="145" t="s">
        <v>2470</v>
      </c>
      <c r="B181" s="152" t="s">
        <v>2471</v>
      </c>
      <c r="C181" s="152" t="s">
        <v>2472</v>
      </c>
      <c r="D181" s="152" t="s">
        <v>242</v>
      </c>
      <c r="E181" s="154"/>
      <c r="F181" s="470" t="s">
        <v>2457</v>
      </c>
      <c r="G181" s="336" t="s">
        <v>2473</v>
      </c>
      <c r="H181" s="155" t="s">
        <v>204</v>
      </c>
      <c r="I181" s="155" t="s">
        <v>2474</v>
      </c>
      <c r="J181" s="155"/>
      <c r="K181" s="155" t="s">
        <v>191</v>
      </c>
      <c r="L181" s="143">
        <v>4</v>
      </c>
      <c r="M181" s="144" t="s">
        <v>12</v>
      </c>
      <c r="N181" s="367">
        <v>5</v>
      </c>
      <c r="O181" s="151" t="s">
        <v>199</v>
      </c>
    </row>
    <row r="182" spans="1:15" ht="22.5">
      <c r="A182" s="145" t="s">
        <v>2475</v>
      </c>
      <c r="B182" s="152" t="s">
        <v>2476</v>
      </c>
      <c r="C182" s="152" t="s">
        <v>2477</v>
      </c>
      <c r="D182" s="152" t="s">
        <v>242</v>
      </c>
      <c r="E182" s="154"/>
      <c r="F182" s="470" t="s">
        <v>2462</v>
      </c>
      <c r="G182" s="336" t="s">
        <v>2478</v>
      </c>
      <c r="H182" s="155" t="s">
        <v>204</v>
      </c>
      <c r="I182" s="155" t="s">
        <v>2479</v>
      </c>
      <c r="J182" s="155"/>
      <c r="K182" s="155" t="s">
        <v>191</v>
      </c>
      <c r="L182" s="143">
        <v>4</v>
      </c>
      <c r="M182" s="144" t="s">
        <v>12</v>
      </c>
      <c r="N182" s="367">
        <v>5</v>
      </c>
      <c r="O182" s="151" t="s">
        <v>199</v>
      </c>
    </row>
    <row r="183" spans="1:15" ht="58.5" customHeight="1">
      <c r="A183" s="145" t="s">
        <v>2480</v>
      </c>
      <c r="B183" s="152" t="s">
        <v>2481</v>
      </c>
      <c r="C183" s="152" t="s">
        <v>2482</v>
      </c>
      <c r="D183" s="152" t="s">
        <v>242</v>
      </c>
      <c r="E183" s="154"/>
      <c r="F183" s="470" t="s">
        <v>2483</v>
      </c>
      <c r="G183" s="336" t="s">
        <v>2484</v>
      </c>
      <c r="H183" s="155" t="s">
        <v>204</v>
      </c>
      <c r="I183" s="155" t="s">
        <v>2485</v>
      </c>
      <c r="J183" s="155"/>
      <c r="K183" s="155" t="s">
        <v>191</v>
      </c>
      <c r="L183" s="143">
        <v>4</v>
      </c>
      <c r="M183" s="144" t="s">
        <v>12</v>
      </c>
      <c r="N183" s="367">
        <v>5</v>
      </c>
      <c r="O183" s="151" t="s">
        <v>199</v>
      </c>
    </row>
    <row r="184" spans="1:15" ht="129" customHeight="1">
      <c r="A184" s="145" t="s">
        <v>2486</v>
      </c>
      <c r="B184" s="152" t="s">
        <v>2487</v>
      </c>
      <c r="C184" s="152" t="s">
        <v>2488</v>
      </c>
      <c r="D184" s="152" t="s">
        <v>242</v>
      </c>
      <c r="E184" s="154"/>
      <c r="F184" s="470" t="s">
        <v>2419</v>
      </c>
      <c r="G184" s="336" t="s">
        <v>2489</v>
      </c>
      <c r="H184" s="155" t="s">
        <v>204</v>
      </c>
      <c r="I184" s="155" t="s">
        <v>2485</v>
      </c>
      <c r="J184" s="155"/>
      <c r="K184" s="155" t="s">
        <v>191</v>
      </c>
      <c r="L184" s="143">
        <v>4</v>
      </c>
      <c r="M184" s="144" t="s">
        <v>12</v>
      </c>
      <c r="N184" s="367">
        <v>5</v>
      </c>
      <c r="O184" s="151" t="s">
        <v>199</v>
      </c>
    </row>
    <row r="185" spans="1:15" s="93" customFormat="1" ht="50.25" customHeight="1">
      <c r="A185" s="145" t="s">
        <v>2490</v>
      </c>
      <c r="B185" s="152" t="s">
        <v>2491</v>
      </c>
      <c r="C185" s="152" t="s">
        <v>2492</v>
      </c>
      <c r="D185" s="152" t="s">
        <v>242</v>
      </c>
      <c r="E185" s="154"/>
      <c r="F185" s="470" t="s">
        <v>2493</v>
      </c>
      <c r="G185" s="336" t="s">
        <v>2494</v>
      </c>
      <c r="H185" s="155" t="s">
        <v>204</v>
      </c>
      <c r="I185" s="155" t="s">
        <v>2495</v>
      </c>
      <c r="J185" s="155"/>
      <c r="K185" s="155" t="s">
        <v>191</v>
      </c>
      <c r="L185" s="143">
        <v>4</v>
      </c>
      <c r="M185" s="144" t="s">
        <v>12</v>
      </c>
      <c r="N185" s="367">
        <v>5</v>
      </c>
      <c r="O185" s="151" t="s">
        <v>199</v>
      </c>
    </row>
    <row r="186" spans="1:15" ht="79.5" customHeight="1">
      <c r="A186" s="145" t="s">
        <v>2496</v>
      </c>
      <c r="B186" s="152" t="s">
        <v>2497</v>
      </c>
      <c r="C186" s="152" t="s">
        <v>2498</v>
      </c>
      <c r="D186" s="152" t="s">
        <v>242</v>
      </c>
      <c r="E186" s="154"/>
      <c r="F186" s="470" t="s">
        <v>2132</v>
      </c>
      <c r="G186" s="336" t="s">
        <v>2499</v>
      </c>
      <c r="H186" s="155" t="s">
        <v>204</v>
      </c>
      <c r="I186" s="155" t="s">
        <v>2500</v>
      </c>
      <c r="J186" s="155"/>
      <c r="K186" s="155" t="s">
        <v>191</v>
      </c>
      <c r="L186" s="143">
        <v>4</v>
      </c>
      <c r="M186" s="144" t="s">
        <v>12</v>
      </c>
      <c r="N186" s="367">
        <v>5</v>
      </c>
      <c r="O186" s="151" t="s">
        <v>199</v>
      </c>
    </row>
    <row r="187" spans="1:15" ht="81.75" customHeight="1">
      <c r="A187" s="145" t="s">
        <v>2501</v>
      </c>
      <c r="B187" s="152" t="s">
        <v>1601</v>
      </c>
      <c r="C187" s="152" t="s">
        <v>2502</v>
      </c>
      <c r="D187" s="152" t="s">
        <v>242</v>
      </c>
      <c r="E187" s="154"/>
      <c r="F187" s="470" t="s">
        <v>2457</v>
      </c>
      <c r="G187" s="336" t="s">
        <v>2503</v>
      </c>
      <c r="H187" s="155" t="s">
        <v>204</v>
      </c>
      <c r="I187" s="155" t="s">
        <v>2495</v>
      </c>
      <c r="J187" s="155"/>
      <c r="K187" s="155" t="s">
        <v>191</v>
      </c>
      <c r="L187" s="143">
        <v>4</v>
      </c>
      <c r="M187" s="144" t="s">
        <v>12</v>
      </c>
      <c r="N187" s="367">
        <v>5</v>
      </c>
      <c r="O187" s="151" t="s">
        <v>199</v>
      </c>
    </row>
    <row r="188" spans="1:15" s="93" customFormat="1" ht="81.75" customHeight="1">
      <c r="A188" s="145" t="s">
        <v>2504</v>
      </c>
      <c r="B188" s="152" t="s">
        <v>2505</v>
      </c>
      <c r="C188" s="152" t="s">
        <v>758</v>
      </c>
      <c r="D188" s="152" t="s">
        <v>242</v>
      </c>
      <c r="E188" s="154"/>
      <c r="F188" s="470" t="s">
        <v>2271</v>
      </c>
      <c r="G188" s="466" t="s">
        <v>2494</v>
      </c>
      <c r="H188" s="155" t="s">
        <v>204</v>
      </c>
      <c r="I188" s="155" t="s">
        <v>2506</v>
      </c>
      <c r="J188" s="155"/>
      <c r="K188" s="155" t="s">
        <v>191</v>
      </c>
      <c r="L188" s="143">
        <v>4</v>
      </c>
      <c r="M188" s="144" t="s">
        <v>12</v>
      </c>
      <c r="N188" s="367">
        <v>5</v>
      </c>
      <c r="O188" s="151" t="s">
        <v>199</v>
      </c>
    </row>
    <row r="189" spans="1:15" ht="33.75">
      <c r="A189" s="145" t="s">
        <v>2507</v>
      </c>
      <c r="B189" s="152" t="s">
        <v>2508</v>
      </c>
      <c r="C189" s="152" t="s">
        <v>2509</v>
      </c>
      <c r="D189" s="152" t="s">
        <v>242</v>
      </c>
      <c r="E189" s="154"/>
      <c r="F189" s="470" t="s">
        <v>2462</v>
      </c>
      <c r="G189" s="336" t="s">
        <v>2510</v>
      </c>
      <c r="H189" s="155" t="s">
        <v>204</v>
      </c>
      <c r="I189" s="155" t="s">
        <v>2511</v>
      </c>
      <c r="J189" s="155"/>
      <c r="K189" s="155" t="s">
        <v>191</v>
      </c>
      <c r="L189" s="143">
        <v>4</v>
      </c>
      <c r="M189" s="144" t="s">
        <v>12</v>
      </c>
      <c r="N189" s="367">
        <v>5</v>
      </c>
      <c r="O189" s="151" t="s">
        <v>199</v>
      </c>
    </row>
    <row r="190" spans="1:15" ht="11.25">
      <c r="A190" s="145" t="s">
        <v>2512</v>
      </c>
      <c r="B190" s="152" t="s">
        <v>2513</v>
      </c>
      <c r="C190" s="152" t="s">
        <v>2514</v>
      </c>
      <c r="D190" s="152" t="s">
        <v>242</v>
      </c>
      <c r="E190" s="154"/>
      <c r="F190" s="470" t="s">
        <v>2515</v>
      </c>
      <c r="G190" s="336" t="s">
        <v>2516</v>
      </c>
      <c r="H190" s="240" t="s">
        <v>204</v>
      </c>
      <c r="I190" s="155" t="s">
        <v>2517</v>
      </c>
      <c r="J190" s="155"/>
      <c r="K190" s="155" t="s">
        <v>191</v>
      </c>
      <c r="L190" s="143">
        <v>4</v>
      </c>
      <c r="M190" s="144" t="s">
        <v>12</v>
      </c>
      <c r="N190" s="367">
        <v>5</v>
      </c>
      <c r="O190" s="151" t="s">
        <v>199</v>
      </c>
    </row>
    <row r="191" spans="1:15" ht="11.25">
      <c r="A191" s="145" t="s">
        <v>2518</v>
      </c>
      <c r="B191" s="152" t="s">
        <v>2519</v>
      </c>
      <c r="C191" s="152" t="s">
        <v>2520</v>
      </c>
      <c r="D191" s="152" t="s">
        <v>242</v>
      </c>
      <c r="E191" s="154"/>
      <c r="F191" s="470" t="s">
        <v>2515</v>
      </c>
      <c r="G191" s="336" t="s">
        <v>2521</v>
      </c>
      <c r="H191" s="240" t="s">
        <v>198</v>
      </c>
      <c r="I191" s="155" t="s">
        <v>2522</v>
      </c>
      <c r="J191" s="155"/>
      <c r="K191" s="155" t="s">
        <v>191</v>
      </c>
      <c r="L191" s="143">
        <v>4</v>
      </c>
      <c r="M191" s="144" t="s">
        <v>12</v>
      </c>
      <c r="N191" s="367">
        <v>5</v>
      </c>
      <c r="O191" s="151" t="s">
        <v>199</v>
      </c>
    </row>
    <row r="192" spans="1:15" ht="74.25" customHeight="1">
      <c r="A192" s="145" t="s">
        <v>2523</v>
      </c>
      <c r="B192" s="152" t="s">
        <v>2524</v>
      </c>
      <c r="C192" s="152" t="s">
        <v>2525</v>
      </c>
      <c r="D192" s="152" t="s">
        <v>242</v>
      </c>
      <c r="E192" s="154"/>
      <c r="F192" s="470" t="s">
        <v>2483</v>
      </c>
      <c r="G192" s="336" t="s">
        <v>2526</v>
      </c>
      <c r="H192" s="155" t="s">
        <v>204</v>
      </c>
      <c r="I192" s="155" t="s">
        <v>2527</v>
      </c>
      <c r="J192" s="155"/>
      <c r="K192" s="155" t="s">
        <v>191</v>
      </c>
      <c r="L192" s="143">
        <v>4</v>
      </c>
      <c r="M192" s="144" t="s">
        <v>12</v>
      </c>
      <c r="N192" s="367">
        <v>5</v>
      </c>
      <c r="O192" s="151" t="s">
        <v>199</v>
      </c>
    </row>
    <row r="193" spans="1:15" ht="56.25">
      <c r="A193" s="145" t="s">
        <v>2528</v>
      </c>
      <c r="B193" s="152" t="s">
        <v>2529</v>
      </c>
      <c r="C193" s="152" t="s">
        <v>2530</v>
      </c>
      <c r="D193" s="152" t="s">
        <v>242</v>
      </c>
      <c r="E193" s="154"/>
      <c r="F193" s="470" t="s">
        <v>1866</v>
      </c>
      <c r="G193" s="336" t="s">
        <v>2531</v>
      </c>
      <c r="H193" s="155" t="s">
        <v>204</v>
      </c>
      <c r="I193" s="155" t="s">
        <v>2532</v>
      </c>
      <c r="J193" s="155"/>
      <c r="K193" s="155" t="s">
        <v>191</v>
      </c>
      <c r="L193" s="143">
        <v>4</v>
      </c>
      <c r="M193" s="144" t="s">
        <v>12</v>
      </c>
      <c r="N193" s="367">
        <v>5</v>
      </c>
      <c r="O193" s="151" t="s">
        <v>199</v>
      </c>
    </row>
    <row r="194" spans="1:15" ht="56.25">
      <c r="A194" s="145" t="s">
        <v>2533</v>
      </c>
      <c r="B194" s="152" t="s">
        <v>2534</v>
      </c>
      <c r="C194" s="152" t="s">
        <v>2535</v>
      </c>
      <c r="D194" s="152" t="s">
        <v>242</v>
      </c>
      <c r="E194" s="154"/>
      <c r="F194" s="470" t="s">
        <v>1866</v>
      </c>
      <c r="G194" s="336" t="s">
        <v>2536</v>
      </c>
      <c r="H194" s="155" t="s">
        <v>204</v>
      </c>
      <c r="I194" s="155" t="s">
        <v>2532</v>
      </c>
      <c r="J194" s="155"/>
      <c r="K194" s="155" t="s">
        <v>191</v>
      </c>
      <c r="L194" s="143">
        <v>4</v>
      </c>
      <c r="M194" s="144" t="s">
        <v>12</v>
      </c>
      <c r="N194" s="367">
        <v>5</v>
      </c>
      <c r="O194" s="151" t="s">
        <v>199</v>
      </c>
    </row>
    <row r="195" spans="1:15" ht="56.25">
      <c r="A195" s="145" t="s">
        <v>2537</v>
      </c>
      <c r="B195" s="152" t="s">
        <v>2538</v>
      </c>
      <c r="C195" s="152" t="s">
        <v>2539</v>
      </c>
      <c r="D195" s="152" t="s">
        <v>242</v>
      </c>
      <c r="E195" s="154"/>
      <c r="F195" s="470" t="s">
        <v>2540</v>
      </c>
      <c r="G195" s="336" t="s">
        <v>2541</v>
      </c>
      <c r="H195" s="155" t="s">
        <v>204</v>
      </c>
      <c r="I195" s="155" t="s">
        <v>2542</v>
      </c>
      <c r="J195" s="155"/>
      <c r="K195" s="155" t="s">
        <v>191</v>
      </c>
      <c r="L195" s="143">
        <v>4</v>
      </c>
      <c r="M195" s="144" t="s">
        <v>12</v>
      </c>
      <c r="N195" s="367">
        <v>5</v>
      </c>
      <c r="O195" s="151" t="s">
        <v>199</v>
      </c>
    </row>
    <row r="196" spans="1:15" ht="56.25">
      <c r="A196" s="145" t="s">
        <v>2543</v>
      </c>
      <c r="B196" s="152" t="s">
        <v>2544</v>
      </c>
      <c r="C196" s="152" t="s">
        <v>2545</v>
      </c>
      <c r="D196" s="152" t="s">
        <v>242</v>
      </c>
      <c r="E196" s="154"/>
      <c r="F196" s="470" t="s">
        <v>1866</v>
      </c>
      <c r="G196" s="336" t="s">
        <v>2546</v>
      </c>
      <c r="H196" s="155" t="s">
        <v>204</v>
      </c>
      <c r="I196" s="155" t="s">
        <v>2474</v>
      </c>
      <c r="J196" s="155"/>
      <c r="K196" s="155" t="s">
        <v>191</v>
      </c>
      <c r="L196" s="143">
        <v>4</v>
      </c>
      <c r="M196" s="144" t="s">
        <v>12</v>
      </c>
      <c r="N196" s="367">
        <v>5</v>
      </c>
      <c r="O196" s="151" t="s">
        <v>199</v>
      </c>
    </row>
    <row r="197" spans="1:15" ht="22.5">
      <c r="A197" s="145" t="s">
        <v>2547</v>
      </c>
      <c r="B197" s="152" t="s">
        <v>2548</v>
      </c>
      <c r="C197" s="152" t="s">
        <v>2549</v>
      </c>
      <c r="D197" s="152" t="s">
        <v>242</v>
      </c>
      <c r="E197" s="154"/>
      <c r="F197" s="470" t="s">
        <v>2462</v>
      </c>
      <c r="G197" s="336" t="s">
        <v>2550</v>
      </c>
      <c r="H197" s="155" t="s">
        <v>204</v>
      </c>
      <c r="I197" s="155" t="s">
        <v>2551</v>
      </c>
      <c r="J197" s="155"/>
      <c r="K197" s="155" t="s">
        <v>191</v>
      </c>
      <c r="L197" s="143">
        <v>4</v>
      </c>
      <c r="M197" s="144" t="s">
        <v>12</v>
      </c>
      <c r="N197" s="367">
        <v>5</v>
      </c>
      <c r="O197" s="151" t="s">
        <v>199</v>
      </c>
    </row>
    <row r="198" spans="1:15" s="93" customFormat="1" ht="225">
      <c r="A198" s="145" t="s">
        <v>2552</v>
      </c>
      <c r="B198" s="152" t="s">
        <v>2553</v>
      </c>
      <c r="C198" s="152" t="s">
        <v>2554</v>
      </c>
      <c r="D198" s="152" t="s">
        <v>242</v>
      </c>
      <c r="E198" s="154"/>
      <c r="F198" s="470" t="s">
        <v>2493</v>
      </c>
      <c r="G198" s="336" t="s">
        <v>2555</v>
      </c>
      <c r="H198" s="155" t="s">
        <v>204</v>
      </c>
      <c r="I198" s="155" t="s">
        <v>2556</v>
      </c>
      <c r="J198" s="155"/>
      <c r="K198" s="155" t="s">
        <v>191</v>
      </c>
      <c r="L198" s="143">
        <v>4</v>
      </c>
      <c r="M198" s="144" t="s">
        <v>12</v>
      </c>
      <c r="N198" s="367">
        <v>5</v>
      </c>
      <c r="O198" s="151" t="s">
        <v>199</v>
      </c>
    </row>
    <row r="199" spans="1:15" ht="59.25" customHeight="1">
      <c r="A199" s="145" t="s">
        <v>2557</v>
      </c>
      <c r="B199" s="152" t="s">
        <v>2558</v>
      </c>
      <c r="C199" s="152" t="s">
        <v>2559</v>
      </c>
      <c r="D199" s="152" t="s">
        <v>242</v>
      </c>
      <c r="E199" s="154"/>
      <c r="F199" s="470" t="s">
        <v>2132</v>
      </c>
      <c r="G199" s="336" t="s">
        <v>2560</v>
      </c>
      <c r="H199" s="155" t="s">
        <v>204</v>
      </c>
      <c r="I199" s="155" t="s">
        <v>2561</v>
      </c>
      <c r="J199" s="155"/>
      <c r="K199" s="155" t="s">
        <v>191</v>
      </c>
      <c r="L199" s="143">
        <v>4</v>
      </c>
      <c r="M199" s="144" t="s">
        <v>12</v>
      </c>
      <c r="N199" s="367">
        <v>5</v>
      </c>
      <c r="O199" s="151" t="s">
        <v>199</v>
      </c>
    </row>
    <row r="200" spans="1:15" ht="54" customHeight="1">
      <c r="A200" s="145" t="s">
        <v>2562</v>
      </c>
      <c r="B200" s="152" t="s">
        <v>2563</v>
      </c>
      <c r="C200" s="152" t="s">
        <v>2564</v>
      </c>
      <c r="D200" s="152" t="s">
        <v>242</v>
      </c>
      <c r="E200" s="154"/>
      <c r="F200" s="470" t="s">
        <v>1866</v>
      </c>
      <c r="G200" s="336" t="s">
        <v>2565</v>
      </c>
      <c r="H200" s="155" t="s">
        <v>204</v>
      </c>
      <c r="I200" s="155" t="s">
        <v>2566</v>
      </c>
      <c r="J200" s="155"/>
      <c r="K200" s="155" t="s">
        <v>191</v>
      </c>
      <c r="L200" s="143">
        <v>4</v>
      </c>
      <c r="M200" s="144" t="s">
        <v>12</v>
      </c>
      <c r="N200" s="367">
        <v>5</v>
      </c>
      <c r="O200" s="151" t="s">
        <v>199</v>
      </c>
    </row>
    <row r="201" spans="1:15" ht="22.5">
      <c r="A201" s="145" t="s">
        <v>2567</v>
      </c>
      <c r="B201" s="152" t="s">
        <v>2568</v>
      </c>
      <c r="C201" s="152" t="s">
        <v>2569</v>
      </c>
      <c r="D201" s="152" t="s">
        <v>242</v>
      </c>
      <c r="E201" s="154"/>
      <c r="F201" s="470" t="s">
        <v>2462</v>
      </c>
      <c r="G201" s="336" t="s">
        <v>2570</v>
      </c>
      <c r="H201" s="155" t="s">
        <v>204</v>
      </c>
      <c r="I201" s="155" t="s">
        <v>2571</v>
      </c>
      <c r="J201" s="155"/>
      <c r="K201" s="155" t="s">
        <v>191</v>
      </c>
      <c r="L201" s="143">
        <v>4</v>
      </c>
      <c r="M201" s="144" t="s">
        <v>12</v>
      </c>
      <c r="N201" s="367">
        <v>5</v>
      </c>
      <c r="O201" s="151" t="s">
        <v>199</v>
      </c>
    </row>
    <row r="202" spans="1:15" s="93" customFormat="1" ht="23.25" customHeight="1">
      <c r="A202" s="145" t="s">
        <v>2572</v>
      </c>
      <c r="B202" s="152" t="s">
        <v>2573</v>
      </c>
      <c r="C202" s="152" t="s">
        <v>758</v>
      </c>
      <c r="D202" s="152" t="s">
        <v>242</v>
      </c>
      <c r="E202" s="154"/>
      <c r="F202" s="470" t="s">
        <v>2271</v>
      </c>
      <c r="G202" s="336" t="s">
        <v>2555</v>
      </c>
      <c r="H202" s="155" t="s">
        <v>204</v>
      </c>
      <c r="I202" s="155" t="s">
        <v>2506</v>
      </c>
      <c r="J202" s="155"/>
      <c r="K202" s="155" t="s">
        <v>191</v>
      </c>
      <c r="L202" s="143">
        <v>4</v>
      </c>
      <c r="M202" s="144" t="s">
        <v>12</v>
      </c>
      <c r="N202" s="367">
        <v>5</v>
      </c>
      <c r="O202" s="151" t="s">
        <v>199</v>
      </c>
    </row>
    <row r="203" spans="1:15" ht="11.25">
      <c r="A203" s="145" t="s">
        <v>2574</v>
      </c>
      <c r="B203" s="152" t="s">
        <v>1709</v>
      </c>
      <c r="C203" s="152" t="s">
        <v>2575</v>
      </c>
      <c r="D203" s="152" t="s">
        <v>242</v>
      </c>
      <c r="E203" s="154"/>
      <c r="F203" s="470" t="s">
        <v>1446</v>
      </c>
      <c r="G203" s="336" t="s">
        <v>1711</v>
      </c>
      <c r="H203" s="155" t="s">
        <v>204</v>
      </c>
      <c r="I203" s="155" t="s">
        <v>2517</v>
      </c>
      <c r="J203" s="155"/>
      <c r="K203" s="155" t="s">
        <v>191</v>
      </c>
      <c r="L203" s="143">
        <v>4</v>
      </c>
      <c r="M203" s="144" t="s">
        <v>12</v>
      </c>
      <c r="N203" s="367">
        <v>5</v>
      </c>
      <c r="O203" s="151" t="s">
        <v>199</v>
      </c>
    </row>
    <row r="204" spans="1:15" ht="11.25">
      <c r="A204" s="145" t="s">
        <v>2576</v>
      </c>
      <c r="B204" s="152" t="s">
        <v>2577</v>
      </c>
      <c r="C204" s="152" t="s">
        <v>2578</v>
      </c>
      <c r="D204" s="152" t="s">
        <v>242</v>
      </c>
      <c r="E204" s="154"/>
      <c r="F204" s="470" t="s">
        <v>1446</v>
      </c>
      <c r="G204" s="336" t="s">
        <v>2579</v>
      </c>
      <c r="H204" s="155" t="s">
        <v>204</v>
      </c>
      <c r="I204" s="155" t="s">
        <v>2522</v>
      </c>
      <c r="J204" s="155"/>
      <c r="K204" s="155" t="s">
        <v>191</v>
      </c>
      <c r="L204" s="143">
        <v>4</v>
      </c>
      <c r="M204" s="144" t="s">
        <v>12</v>
      </c>
      <c r="N204" s="367">
        <v>5</v>
      </c>
      <c r="O204" s="151" t="s">
        <v>199</v>
      </c>
    </row>
    <row r="205" spans="1:15" ht="45">
      <c r="A205" s="145" t="s">
        <v>2580</v>
      </c>
      <c r="B205" s="152" t="s">
        <v>2581</v>
      </c>
      <c r="C205" s="152" t="s">
        <v>2582</v>
      </c>
      <c r="D205" s="152" t="s">
        <v>242</v>
      </c>
      <c r="E205" s="154"/>
      <c r="F205" s="470" t="s">
        <v>2271</v>
      </c>
      <c r="G205" s="336" t="s">
        <v>2583</v>
      </c>
      <c r="H205" s="155" t="s">
        <v>204</v>
      </c>
      <c r="I205" s="155" t="s">
        <v>2506</v>
      </c>
      <c r="J205" s="155"/>
      <c r="K205" s="155" t="s">
        <v>191</v>
      </c>
      <c r="L205" s="143">
        <v>4</v>
      </c>
      <c r="M205" s="144" t="s">
        <v>12</v>
      </c>
      <c r="N205" s="367">
        <v>5</v>
      </c>
      <c r="O205" s="151" t="s">
        <v>199</v>
      </c>
    </row>
    <row r="206" spans="1:15" ht="45">
      <c r="A206" s="145" t="s">
        <v>2584</v>
      </c>
      <c r="B206" s="152" t="s">
        <v>2585</v>
      </c>
      <c r="C206" s="152"/>
      <c r="D206" s="152" t="s">
        <v>242</v>
      </c>
      <c r="E206" s="154"/>
      <c r="F206" s="470" t="s">
        <v>1908</v>
      </c>
      <c r="G206" s="336" t="s">
        <v>2586</v>
      </c>
      <c r="H206" s="155" t="s">
        <v>204</v>
      </c>
      <c r="I206" s="155" t="s">
        <v>2506</v>
      </c>
      <c r="J206" s="155"/>
      <c r="K206" s="155" t="s">
        <v>191</v>
      </c>
      <c r="L206" s="143">
        <v>4</v>
      </c>
      <c r="M206" s="144" t="s">
        <v>12</v>
      </c>
      <c r="N206" s="367">
        <v>5</v>
      </c>
      <c r="O206" s="151" t="s">
        <v>199</v>
      </c>
    </row>
    <row r="207" spans="1:15" ht="11.25">
      <c r="A207" s="145" t="s">
        <v>2587</v>
      </c>
      <c r="B207" s="152" t="s">
        <v>2588</v>
      </c>
      <c r="C207" s="152"/>
      <c r="D207" s="152" t="s">
        <v>242</v>
      </c>
      <c r="E207" s="154"/>
      <c r="F207" s="470" t="s">
        <v>1908</v>
      </c>
      <c r="G207" s="336" t="s">
        <v>2589</v>
      </c>
      <c r="H207" s="240" t="s">
        <v>198</v>
      </c>
      <c r="I207" s="155" t="s">
        <v>2590</v>
      </c>
      <c r="J207" s="155"/>
      <c r="K207" s="155" t="s">
        <v>191</v>
      </c>
      <c r="L207" s="143">
        <v>4</v>
      </c>
      <c r="M207" s="144" t="s">
        <v>12</v>
      </c>
      <c r="N207" s="367">
        <v>5</v>
      </c>
      <c r="O207" s="151" t="s">
        <v>199</v>
      </c>
    </row>
    <row r="208" spans="1:15" ht="11.25">
      <c r="A208" s="145" t="s">
        <v>2591</v>
      </c>
      <c r="B208" s="152" t="s">
        <v>2592</v>
      </c>
      <c r="C208" s="152"/>
      <c r="D208" s="152" t="s">
        <v>242</v>
      </c>
      <c r="E208" s="154"/>
      <c r="F208" s="470" t="s">
        <v>1908</v>
      </c>
      <c r="G208" s="336" t="s">
        <v>2593</v>
      </c>
      <c r="H208" s="240" t="s">
        <v>198</v>
      </c>
      <c r="I208" s="155" t="s">
        <v>2590</v>
      </c>
      <c r="J208" s="155"/>
      <c r="K208" s="155" t="s">
        <v>191</v>
      </c>
      <c r="L208" s="143">
        <v>4</v>
      </c>
      <c r="M208" s="144" t="s">
        <v>12</v>
      </c>
      <c r="N208" s="367">
        <v>5</v>
      </c>
      <c r="O208" s="151" t="s">
        <v>199</v>
      </c>
    </row>
    <row r="209" spans="1:15" s="93" customFormat="1" ht="70.5" customHeight="1">
      <c r="A209" s="145" t="s">
        <v>2594</v>
      </c>
      <c r="B209" s="152" t="s">
        <v>2595</v>
      </c>
      <c r="C209" s="152" t="s">
        <v>2596</v>
      </c>
      <c r="D209" s="152" t="s">
        <v>242</v>
      </c>
      <c r="E209" s="154"/>
      <c r="F209" s="470" t="s">
        <v>2597</v>
      </c>
      <c r="G209" s="336" t="s">
        <v>2598</v>
      </c>
      <c r="H209" s="155" t="s">
        <v>204</v>
      </c>
      <c r="I209" s="155" t="s">
        <v>2599</v>
      </c>
      <c r="J209" s="155"/>
      <c r="K209" s="155" t="s">
        <v>191</v>
      </c>
      <c r="L209" s="143">
        <v>4</v>
      </c>
      <c r="M209" s="144" t="s">
        <v>12</v>
      </c>
      <c r="N209" s="367">
        <v>5</v>
      </c>
      <c r="O209" s="151" t="s">
        <v>199</v>
      </c>
    </row>
    <row r="210" spans="1:15" s="93" customFormat="1" ht="45">
      <c r="A210" s="145" t="s">
        <v>2600</v>
      </c>
      <c r="B210" s="152" t="s">
        <v>2601</v>
      </c>
      <c r="C210" s="152" t="s">
        <v>2602</v>
      </c>
      <c r="D210" s="152" t="s">
        <v>242</v>
      </c>
      <c r="E210" s="154"/>
      <c r="F210" s="470" t="s">
        <v>2493</v>
      </c>
      <c r="G210" s="336" t="s">
        <v>2603</v>
      </c>
      <c r="H210" s="155" t="s">
        <v>204</v>
      </c>
      <c r="I210" s="155" t="s">
        <v>2604</v>
      </c>
      <c r="J210" s="155"/>
      <c r="K210" s="155" t="s">
        <v>191</v>
      </c>
      <c r="L210" s="143">
        <v>4</v>
      </c>
      <c r="M210" s="144" t="s">
        <v>12</v>
      </c>
      <c r="N210" s="367">
        <v>5</v>
      </c>
      <c r="O210" s="151" t="s">
        <v>199</v>
      </c>
    </row>
    <row r="211" spans="1:15" s="93" customFormat="1" ht="45">
      <c r="A211" s="145" t="s">
        <v>2605</v>
      </c>
      <c r="B211" s="152" t="s">
        <v>2606</v>
      </c>
      <c r="C211" s="152" t="s">
        <v>2607</v>
      </c>
      <c r="D211" s="152" t="s">
        <v>242</v>
      </c>
      <c r="E211" s="154"/>
      <c r="F211" s="470" t="s">
        <v>2493</v>
      </c>
      <c r="G211" s="336" t="s">
        <v>2608</v>
      </c>
      <c r="H211" s="155" t="s">
        <v>204</v>
      </c>
      <c r="I211" s="155" t="s">
        <v>2604</v>
      </c>
      <c r="J211" s="155"/>
      <c r="K211" s="155" t="s">
        <v>191</v>
      </c>
      <c r="L211" s="143">
        <v>4</v>
      </c>
      <c r="M211" s="144" t="s">
        <v>12</v>
      </c>
      <c r="N211" s="367">
        <v>5</v>
      </c>
      <c r="O211" s="151" t="s">
        <v>199</v>
      </c>
    </row>
    <row r="212" spans="1:15" ht="45">
      <c r="A212" s="145" t="s">
        <v>2609</v>
      </c>
      <c r="B212" s="152" t="s">
        <v>2610</v>
      </c>
      <c r="C212" s="152" t="s">
        <v>2611</v>
      </c>
      <c r="D212" s="152" t="s">
        <v>242</v>
      </c>
      <c r="E212" s="154"/>
      <c r="F212" s="470" t="s">
        <v>2493</v>
      </c>
      <c r="G212" s="336" t="s">
        <v>2612</v>
      </c>
      <c r="H212" s="155" t="s">
        <v>204</v>
      </c>
      <c r="I212" s="155" t="s">
        <v>2613</v>
      </c>
      <c r="J212" s="155"/>
      <c r="K212" s="155" t="s">
        <v>191</v>
      </c>
      <c r="L212" s="143">
        <v>4</v>
      </c>
      <c r="M212" s="144" t="s">
        <v>12</v>
      </c>
      <c r="N212" s="367">
        <v>5</v>
      </c>
      <c r="O212" s="151" t="s">
        <v>199</v>
      </c>
    </row>
    <row r="213" spans="1:15" ht="22.5">
      <c r="A213" s="145" t="s">
        <v>2614</v>
      </c>
      <c r="B213" s="152" t="s">
        <v>2615</v>
      </c>
      <c r="C213" s="152" t="s">
        <v>2616</v>
      </c>
      <c r="D213" s="152" t="s">
        <v>242</v>
      </c>
      <c r="E213" s="154"/>
      <c r="F213" s="470" t="s">
        <v>2462</v>
      </c>
      <c r="G213" s="336" t="s">
        <v>2617</v>
      </c>
      <c r="H213" s="155" t="s">
        <v>204</v>
      </c>
      <c r="I213" s="155" t="s">
        <v>2551</v>
      </c>
      <c r="J213" s="155"/>
      <c r="K213" s="155" t="s">
        <v>191</v>
      </c>
      <c r="L213" s="143">
        <v>4</v>
      </c>
      <c r="M213" s="144" t="s">
        <v>12</v>
      </c>
      <c r="N213" s="367">
        <v>5</v>
      </c>
      <c r="O213" s="151" t="s">
        <v>199</v>
      </c>
    </row>
    <row r="214" spans="1:15" s="93" customFormat="1" ht="90.75" customHeight="1">
      <c r="A214" s="145" t="s">
        <v>2618</v>
      </c>
      <c r="B214" s="152" t="s">
        <v>2619</v>
      </c>
      <c r="C214" s="152" t="s">
        <v>2582</v>
      </c>
      <c r="D214" s="152" t="s">
        <v>242</v>
      </c>
      <c r="E214" s="154"/>
      <c r="F214" s="470" t="s">
        <v>2493</v>
      </c>
      <c r="G214" s="336" t="s">
        <v>2583</v>
      </c>
      <c r="H214" s="155" t="s">
        <v>204</v>
      </c>
      <c r="I214" s="155" t="s">
        <v>2620</v>
      </c>
      <c r="J214" s="155"/>
      <c r="K214" s="155" t="s">
        <v>191</v>
      </c>
      <c r="L214" s="143">
        <v>4</v>
      </c>
      <c r="M214" s="144" t="s">
        <v>12</v>
      </c>
      <c r="N214" s="367">
        <v>5</v>
      </c>
      <c r="O214" s="151" t="s">
        <v>199</v>
      </c>
    </row>
    <row r="215" spans="1:15" ht="62.25" customHeight="1">
      <c r="A215" s="145" t="s">
        <v>2621</v>
      </c>
      <c r="B215" s="152" t="s">
        <v>2622</v>
      </c>
      <c r="C215" s="152" t="s">
        <v>2623</v>
      </c>
      <c r="D215" s="152" t="s">
        <v>242</v>
      </c>
      <c r="E215" s="154"/>
      <c r="F215" s="470" t="s">
        <v>2132</v>
      </c>
      <c r="G215" s="336" t="s">
        <v>2624</v>
      </c>
      <c r="H215" s="155" t="s">
        <v>204</v>
      </c>
      <c r="I215" s="155" t="s">
        <v>2625</v>
      </c>
      <c r="J215" s="155"/>
      <c r="K215" s="155" t="s">
        <v>191</v>
      </c>
      <c r="L215" s="143">
        <v>4</v>
      </c>
      <c r="M215" s="144" t="s">
        <v>12</v>
      </c>
      <c r="N215" s="367">
        <v>5</v>
      </c>
      <c r="O215" s="151" t="s">
        <v>199</v>
      </c>
    </row>
    <row r="216" spans="1:15" ht="68.25" customHeight="1">
      <c r="A216" s="145" t="s">
        <v>2626</v>
      </c>
      <c r="B216" s="152" t="s">
        <v>2627</v>
      </c>
      <c r="C216" s="152" t="s">
        <v>2628</v>
      </c>
      <c r="D216" s="152" t="s">
        <v>242</v>
      </c>
      <c r="E216" s="154"/>
      <c r="F216" s="470" t="s">
        <v>2493</v>
      </c>
      <c r="G216" s="336" t="s">
        <v>2629</v>
      </c>
      <c r="H216" s="155" t="s">
        <v>204</v>
      </c>
      <c r="I216" s="155" t="s">
        <v>2630</v>
      </c>
      <c r="J216" s="155"/>
      <c r="K216" s="155" t="s">
        <v>191</v>
      </c>
      <c r="L216" s="143">
        <v>4</v>
      </c>
      <c r="M216" s="144" t="s">
        <v>12</v>
      </c>
      <c r="N216" s="367">
        <v>5</v>
      </c>
      <c r="O216" s="151" t="s">
        <v>199</v>
      </c>
    </row>
    <row r="217" spans="1:15" ht="22.5">
      <c r="A217" s="145" t="s">
        <v>2631</v>
      </c>
      <c r="B217" s="152" t="s">
        <v>2632</v>
      </c>
      <c r="C217" s="152" t="s">
        <v>2633</v>
      </c>
      <c r="D217" s="152" t="s">
        <v>242</v>
      </c>
      <c r="E217" s="154"/>
      <c r="F217" s="470" t="s">
        <v>2462</v>
      </c>
      <c r="G217" s="336" t="s">
        <v>2634</v>
      </c>
      <c r="H217" s="155" t="s">
        <v>204</v>
      </c>
      <c r="I217" s="155" t="s">
        <v>2571</v>
      </c>
      <c r="J217" s="155"/>
      <c r="K217" s="155" t="s">
        <v>191</v>
      </c>
      <c r="L217" s="143">
        <v>4</v>
      </c>
      <c r="M217" s="144" t="s">
        <v>12</v>
      </c>
      <c r="N217" s="367">
        <v>5</v>
      </c>
      <c r="O217" s="151" t="s">
        <v>199</v>
      </c>
    </row>
    <row r="218" spans="1:15" ht="19.5" customHeight="1">
      <c r="A218" s="145" t="s">
        <v>2635</v>
      </c>
      <c r="B218" s="152" t="s">
        <v>1713</v>
      </c>
      <c r="C218" s="152" t="s">
        <v>2636</v>
      </c>
      <c r="D218" s="152" t="s">
        <v>242</v>
      </c>
      <c r="E218" s="154"/>
      <c r="F218" s="470" t="s">
        <v>2637</v>
      </c>
      <c r="G218" s="336" t="s">
        <v>2638</v>
      </c>
      <c r="H218" s="155" t="s">
        <v>204</v>
      </c>
      <c r="I218" s="155" t="s">
        <v>2639</v>
      </c>
      <c r="J218" s="155"/>
      <c r="K218" s="155" t="s">
        <v>191</v>
      </c>
      <c r="L218" s="143">
        <v>4</v>
      </c>
      <c r="M218" s="144" t="s">
        <v>12</v>
      </c>
      <c r="N218" s="367">
        <v>5</v>
      </c>
      <c r="O218" s="151" t="s">
        <v>199</v>
      </c>
    </row>
    <row r="219" spans="1:15" ht="19.5" customHeight="1">
      <c r="A219" s="145" t="s">
        <v>2640</v>
      </c>
      <c r="B219" s="152" t="s">
        <v>2641</v>
      </c>
      <c r="C219" s="152" t="s">
        <v>2642</v>
      </c>
      <c r="D219" s="152" t="s">
        <v>242</v>
      </c>
      <c r="E219" s="154"/>
      <c r="F219" s="470" t="s">
        <v>2643</v>
      </c>
      <c r="G219" s="336" t="s">
        <v>2644</v>
      </c>
      <c r="H219" s="240" t="s">
        <v>198</v>
      </c>
      <c r="I219" s="155"/>
      <c r="J219" s="155"/>
      <c r="K219" s="155" t="s">
        <v>191</v>
      </c>
      <c r="L219" s="143">
        <v>4</v>
      </c>
      <c r="M219" s="144" t="s">
        <v>12</v>
      </c>
      <c r="N219" s="367">
        <v>5</v>
      </c>
      <c r="O219" s="151" t="s">
        <v>199</v>
      </c>
    </row>
    <row r="220" spans="1:15" ht="22.5">
      <c r="A220" s="145" t="s">
        <v>2645</v>
      </c>
      <c r="B220" s="152" t="s">
        <v>2646</v>
      </c>
      <c r="C220" s="152" t="s">
        <v>758</v>
      </c>
      <c r="D220" s="152" t="s">
        <v>242</v>
      </c>
      <c r="E220" s="154"/>
      <c r="F220" s="470" t="s">
        <v>1946</v>
      </c>
      <c r="G220" s="336" t="s">
        <v>2647</v>
      </c>
      <c r="H220" s="155" t="s">
        <v>188</v>
      </c>
      <c r="I220" s="155" t="s">
        <v>1453</v>
      </c>
      <c r="J220" s="155"/>
      <c r="K220" s="155" t="s">
        <v>191</v>
      </c>
      <c r="L220" s="143">
        <v>4</v>
      </c>
      <c r="M220" s="144" t="s">
        <v>12</v>
      </c>
      <c r="N220" s="367">
        <v>5</v>
      </c>
      <c r="O220" s="151" t="s">
        <v>199</v>
      </c>
    </row>
    <row r="221" spans="1:15" ht="22.5">
      <c r="A221" s="145" t="s">
        <v>2648</v>
      </c>
      <c r="B221" s="152" t="s">
        <v>2649</v>
      </c>
      <c r="C221" s="152" t="s">
        <v>758</v>
      </c>
      <c r="D221" s="152" t="s">
        <v>242</v>
      </c>
      <c r="E221" s="154"/>
      <c r="F221" s="470" t="s">
        <v>1946</v>
      </c>
      <c r="G221" s="336" t="s">
        <v>2650</v>
      </c>
      <c r="H221" s="155" t="s">
        <v>188</v>
      </c>
      <c r="I221" s="155" t="s">
        <v>1453</v>
      </c>
      <c r="J221" s="155"/>
      <c r="K221" s="155" t="s">
        <v>191</v>
      </c>
      <c r="L221" s="143">
        <v>4</v>
      </c>
      <c r="M221" s="144" t="s">
        <v>12</v>
      </c>
      <c r="N221" s="367">
        <v>5</v>
      </c>
      <c r="O221" s="151" t="s">
        <v>199</v>
      </c>
    </row>
    <row r="222" spans="1:15" ht="22.5">
      <c r="A222" s="145" t="s">
        <v>2651</v>
      </c>
      <c r="B222" s="152" t="s">
        <v>2652</v>
      </c>
      <c r="C222" s="152" t="s">
        <v>758</v>
      </c>
      <c r="D222" s="152" t="s">
        <v>242</v>
      </c>
      <c r="E222" s="154"/>
      <c r="F222" s="470" t="s">
        <v>2653</v>
      </c>
      <c r="G222" s="336" t="s">
        <v>2654</v>
      </c>
      <c r="H222" s="155" t="s">
        <v>188</v>
      </c>
      <c r="I222" s="155" t="s">
        <v>1453</v>
      </c>
      <c r="J222" s="155"/>
      <c r="K222" s="155" t="s">
        <v>191</v>
      </c>
      <c r="L222" s="143">
        <v>4</v>
      </c>
      <c r="M222" s="144" t="s">
        <v>12</v>
      </c>
      <c r="N222" s="367">
        <v>5</v>
      </c>
      <c r="O222" s="151" t="s">
        <v>199</v>
      </c>
    </row>
    <row r="223" spans="1:15" ht="22.5">
      <c r="A223" s="145" t="s">
        <v>2655</v>
      </c>
      <c r="B223" s="152" t="s">
        <v>2656</v>
      </c>
      <c r="C223" s="152" t="s">
        <v>758</v>
      </c>
      <c r="D223" s="152" t="s">
        <v>242</v>
      </c>
      <c r="E223" s="154"/>
      <c r="F223" s="470" t="s">
        <v>2653</v>
      </c>
      <c r="G223" s="336" t="s">
        <v>2657</v>
      </c>
      <c r="H223" s="155" t="s">
        <v>188</v>
      </c>
      <c r="I223" s="155" t="s">
        <v>1453</v>
      </c>
      <c r="J223" s="155"/>
      <c r="K223" s="155" t="s">
        <v>191</v>
      </c>
      <c r="L223" s="143">
        <v>4</v>
      </c>
      <c r="M223" s="144" t="s">
        <v>12</v>
      </c>
      <c r="N223" s="367">
        <v>5</v>
      </c>
      <c r="O223" s="151" t="s">
        <v>199</v>
      </c>
    </row>
    <row r="224" spans="1:15" ht="22.5">
      <c r="A224" s="145" t="s">
        <v>2658</v>
      </c>
      <c r="B224" s="152" t="s">
        <v>2659</v>
      </c>
      <c r="C224" s="152" t="s">
        <v>758</v>
      </c>
      <c r="D224" s="152" t="s">
        <v>242</v>
      </c>
      <c r="E224" s="154"/>
      <c r="F224" s="470" t="s">
        <v>1946</v>
      </c>
      <c r="G224" s="336" t="s">
        <v>2660</v>
      </c>
      <c r="H224" s="155" t="s">
        <v>188</v>
      </c>
      <c r="I224" s="155" t="s">
        <v>1453</v>
      </c>
      <c r="J224" s="155"/>
      <c r="K224" s="155" t="s">
        <v>191</v>
      </c>
      <c r="L224" s="143">
        <v>4</v>
      </c>
      <c r="M224" s="144" t="s">
        <v>12</v>
      </c>
      <c r="N224" s="367">
        <v>5</v>
      </c>
      <c r="O224" s="151" t="s">
        <v>199</v>
      </c>
    </row>
    <row r="225" spans="1:15" ht="22.5">
      <c r="A225" s="145" t="s">
        <v>2661</v>
      </c>
      <c r="B225" s="152" t="s">
        <v>2662</v>
      </c>
      <c r="C225" s="152" t="s">
        <v>758</v>
      </c>
      <c r="D225" s="152" t="s">
        <v>242</v>
      </c>
      <c r="E225" s="154"/>
      <c r="F225" s="470" t="s">
        <v>1946</v>
      </c>
      <c r="G225" s="336" t="s">
        <v>2663</v>
      </c>
      <c r="H225" s="155" t="s">
        <v>188</v>
      </c>
      <c r="I225" s="155" t="s">
        <v>1453</v>
      </c>
      <c r="J225" s="155"/>
      <c r="K225" s="155" t="s">
        <v>191</v>
      </c>
      <c r="L225" s="143">
        <v>4</v>
      </c>
      <c r="M225" s="144" t="s">
        <v>12</v>
      </c>
      <c r="N225" s="367">
        <v>5</v>
      </c>
      <c r="O225" s="151" t="s">
        <v>199</v>
      </c>
    </row>
    <row r="226" spans="1:15" ht="22.5">
      <c r="A226" s="145" t="s">
        <v>2664</v>
      </c>
      <c r="B226" s="152" t="s">
        <v>2665</v>
      </c>
      <c r="C226" s="152" t="s">
        <v>758</v>
      </c>
      <c r="D226" s="152" t="s">
        <v>242</v>
      </c>
      <c r="E226" s="154"/>
      <c r="F226" s="470" t="s">
        <v>1946</v>
      </c>
      <c r="G226" s="336" t="s">
        <v>2666</v>
      </c>
      <c r="H226" s="155" t="s">
        <v>188</v>
      </c>
      <c r="I226" s="155" t="s">
        <v>1453</v>
      </c>
      <c r="J226" s="155"/>
      <c r="K226" s="155" t="s">
        <v>191</v>
      </c>
      <c r="L226" s="143">
        <v>4</v>
      </c>
      <c r="M226" s="144" t="s">
        <v>12</v>
      </c>
      <c r="N226" s="367">
        <v>5</v>
      </c>
      <c r="O226" s="151" t="s">
        <v>199</v>
      </c>
    </row>
    <row r="227" spans="1:15" ht="22.5">
      <c r="A227" s="145" t="s">
        <v>2667</v>
      </c>
      <c r="B227" s="152" t="s">
        <v>2668</v>
      </c>
      <c r="C227" s="152" t="s">
        <v>758</v>
      </c>
      <c r="D227" s="152" t="s">
        <v>242</v>
      </c>
      <c r="E227" s="154"/>
      <c r="F227" s="470" t="s">
        <v>1946</v>
      </c>
      <c r="G227" s="336" t="s">
        <v>2669</v>
      </c>
      <c r="H227" s="155" t="s">
        <v>188</v>
      </c>
      <c r="I227" s="155" t="s">
        <v>1453</v>
      </c>
      <c r="J227" s="155"/>
      <c r="K227" s="155" t="s">
        <v>191</v>
      </c>
      <c r="L227" s="143">
        <v>4</v>
      </c>
      <c r="M227" s="144" t="s">
        <v>12</v>
      </c>
      <c r="N227" s="367">
        <v>5</v>
      </c>
      <c r="O227" s="151" t="s">
        <v>199</v>
      </c>
    </row>
    <row r="228" spans="1:15" ht="22.5">
      <c r="A228" s="145" t="s">
        <v>2670</v>
      </c>
      <c r="B228" s="152" t="s">
        <v>2671</v>
      </c>
      <c r="C228" s="152" t="s">
        <v>758</v>
      </c>
      <c r="D228" s="152" t="s">
        <v>242</v>
      </c>
      <c r="E228" s="154"/>
      <c r="F228" s="470" t="s">
        <v>2653</v>
      </c>
      <c r="G228" s="336" t="s">
        <v>2672</v>
      </c>
      <c r="H228" s="155" t="s">
        <v>188</v>
      </c>
      <c r="I228" s="155" t="s">
        <v>1453</v>
      </c>
      <c r="J228" s="155"/>
      <c r="K228" s="155" t="s">
        <v>191</v>
      </c>
      <c r="L228" s="143">
        <v>4</v>
      </c>
      <c r="M228" s="144" t="s">
        <v>12</v>
      </c>
      <c r="N228" s="367">
        <v>5</v>
      </c>
      <c r="O228" s="151" t="s">
        <v>199</v>
      </c>
    </row>
    <row r="229" spans="1:15" ht="22.5">
      <c r="A229" s="145" t="s">
        <v>2673</v>
      </c>
      <c r="B229" s="152" t="s">
        <v>2674</v>
      </c>
      <c r="C229" s="152" t="s">
        <v>758</v>
      </c>
      <c r="D229" s="152" t="s">
        <v>242</v>
      </c>
      <c r="E229" s="154"/>
      <c r="F229" s="470" t="s">
        <v>2653</v>
      </c>
      <c r="G229" s="336" t="s">
        <v>2675</v>
      </c>
      <c r="H229" s="155" t="s">
        <v>188</v>
      </c>
      <c r="I229" s="155" t="s">
        <v>1453</v>
      </c>
      <c r="J229" s="155"/>
      <c r="K229" s="155" t="s">
        <v>191</v>
      </c>
      <c r="L229" s="143">
        <v>4</v>
      </c>
      <c r="M229" s="144" t="s">
        <v>12</v>
      </c>
      <c r="N229" s="367">
        <v>5</v>
      </c>
      <c r="O229" s="151" t="s">
        <v>199</v>
      </c>
    </row>
    <row r="230" spans="1:15" ht="22.5">
      <c r="A230" s="145" t="s">
        <v>2676</v>
      </c>
      <c r="B230" s="152" t="s">
        <v>2677</v>
      </c>
      <c r="C230" s="152" t="s">
        <v>758</v>
      </c>
      <c r="D230" s="152" t="s">
        <v>242</v>
      </c>
      <c r="E230" s="154"/>
      <c r="F230" s="470" t="s">
        <v>1946</v>
      </c>
      <c r="G230" s="336" t="s">
        <v>2678</v>
      </c>
      <c r="H230" s="155" t="s">
        <v>188</v>
      </c>
      <c r="I230" s="155" t="s">
        <v>1453</v>
      </c>
      <c r="J230" s="155"/>
      <c r="K230" s="155" t="s">
        <v>191</v>
      </c>
      <c r="L230" s="143">
        <v>4</v>
      </c>
      <c r="M230" s="144" t="s">
        <v>12</v>
      </c>
      <c r="N230" s="367">
        <v>5</v>
      </c>
      <c r="O230" s="151" t="s">
        <v>199</v>
      </c>
    </row>
    <row r="231" spans="1:15" ht="22.5">
      <c r="A231" s="145" t="s">
        <v>2679</v>
      </c>
      <c r="B231" s="152" t="s">
        <v>2680</v>
      </c>
      <c r="C231" s="152" t="s">
        <v>758</v>
      </c>
      <c r="D231" s="152" t="s">
        <v>242</v>
      </c>
      <c r="E231" s="154"/>
      <c r="F231" s="470" t="s">
        <v>1946</v>
      </c>
      <c r="G231" s="336" t="s">
        <v>2681</v>
      </c>
      <c r="H231" s="155" t="s">
        <v>188</v>
      </c>
      <c r="I231" s="155" t="s">
        <v>1453</v>
      </c>
      <c r="J231" s="155"/>
      <c r="K231" s="155" t="s">
        <v>191</v>
      </c>
      <c r="L231" s="143">
        <v>4</v>
      </c>
      <c r="M231" s="144" t="s">
        <v>12</v>
      </c>
      <c r="N231" s="367">
        <v>5</v>
      </c>
      <c r="O231" s="151" t="s">
        <v>199</v>
      </c>
    </row>
    <row r="232" spans="1:15" ht="22.5">
      <c r="A232" s="145" t="s">
        <v>2682</v>
      </c>
      <c r="B232" s="152" t="s">
        <v>2683</v>
      </c>
      <c r="C232" s="152" t="s">
        <v>758</v>
      </c>
      <c r="D232" s="152" t="s">
        <v>242</v>
      </c>
      <c r="E232" s="154"/>
      <c r="F232" s="470" t="s">
        <v>2653</v>
      </c>
      <c r="G232" s="336" t="s">
        <v>2684</v>
      </c>
      <c r="H232" s="155" t="s">
        <v>188</v>
      </c>
      <c r="I232" s="155" t="s">
        <v>1453</v>
      </c>
      <c r="J232" s="155"/>
      <c r="K232" s="155" t="s">
        <v>191</v>
      </c>
      <c r="L232" s="143">
        <v>4</v>
      </c>
      <c r="M232" s="144" t="s">
        <v>12</v>
      </c>
      <c r="N232" s="367">
        <v>5</v>
      </c>
      <c r="O232" s="151" t="s">
        <v>199</v>
      </c>
    </row>
    <row r="233" spans="1:15" ht="22.5">
      <c r="A233" s="145" t="s">
        <v>2685</v>
      </c>
      <c r="B233" s="152" t="s">
        <v>2686</v>
      </c>
      <c r="C233" s="152" t="s">
        <v>758</v>
      </c>
      <c r="D233" s="152" t="s">
        <v>242</v>
      </c>
      <c r="E233" s="154"/>
      <c r="F233" s="470" t="s">
        <v>2653</v>
      </c>
      <c r="G233" s="336" t="s">
        <v>2687</v>
      </c>
      <c r="H233" s="155" t="s">
        <v>188</v>
      </c>
      <c r="I233" s="155" t="s">
        <v>1453</v>
      </c>
      <c r="J233" s="155"/>
      <c r="K233" s="155" t="s">
        <v>191</v>
      </c>
      <c r="L233" s="143">
        <v>4</v>
      </c>
      <c r="M233" s="144" t="s">
        <v>12</v>
      </c>
      <c r="N233" s="367">
        <v>5</v>
      </c>
      <c r="O233" s="151" t="s">
        <v>199</v>
      </c>
    </row>
    <row r="234" spans="1:15" ht="22.5">
      <c r="A234" s="145" t="s">
        <v>2688</v>
      </c>
      <c r="B234" s="152" t="s">
        <v>2689</v>
      </c>
      <c r="C234" s="152" t="s">
        <v>758</v>
      </c>
      <c r="D234" s="152" t="s">
        <v>242</v>
      </c>
      <c r="E234" s="154"/>
      <c r="F234" s="470" t="s">
        <v>1946</v>
      </c>
      <c r="G234" s="336" t="s">
        <v>2690</v>
      </c>
      <c r="H234" s="155" t="s">
        <v>188</v>
      </c>
      <c r="I234" s="155" t="s">
        <v>1453</v>
      </c>
      <c r="J234" s="155"/>
      <c r="K234" s="155" t="s">
        <v>191</v>
      </c>
      <c r="L234" s="143">
        <v>4</v>
      </c>
      <c r="M234" s="144" t="s">
        <v>12</v>
      </c>
      <c r="N234" s="367">
        <v>5</v>
      </c>
      <c r="O234" s="151" t="s">
        <v>199</v>
      </c>
    </row>
    <row r="235" spans="1:15" ht="22.5">
      <c r="A235" s="145" t="s">
        <v>2691</v>
      </c>
      <c r="B235" s="152" t="s">
        <v>2692</v>
      </c>
      <c r="C235" s="152" t="s">
        <v>758</v>
      </c>
      <c r="D235" s="152" t="s">
        <v>242</v>
      </c>
      <c r="E235" s="154"/>
      <c r="F235" s="470" t="s">
        <v>1946</v>
      </c>
      <c r="G235" s="336" t="s">
        <v>2693</v>
      </c>
      <c r="H235" s="155" t="s">
        <v>188</v>
      </c>
      <c r="I235" s="155" t="s">
        <v>1453</v>
      </c>
      <c r="J235" s="155"/>
      <c r="K235" s="155" t="s">
        <v>191</v>
      </c>
      <c r="L235" s="143">
        <v>4</v>
      </c>
      <c r="M235" s="144" t="s">
        <v>12</v>
      </c>
      <c r="N235" s="367">
        <v>5</v>
      </c>
      <c r="O235" s="151" t="s">
        <v>199</v>
      </c>
    </row>
    <row r="236" spans="1:15" ht="22.5">
      <c r="A236" s="145" t="s">
        <v>2694</v>
      </c>
      <c r="B236" s="152" t="s">
        <v>2695</v>
      </c>
      <c r="C236" s="152" t="s">
        <v>758</v>
      </c>
      <c r="D236" s="152" t="s">
        <v>242</v>
      </c>
      <c r="E236" s="154"/>
      <c r="F236" s="470" t="s">
        <v>1946</v>
      </c>
      <c r="G236" s="336" t="s">
        <v>2696</v>
      </c>
      <c r="H236" s="155" t="s">
        <v>188</v>
      </c>
      <c r="I236" s="155" t="s">
        <v>1453</v>
      </c>
      <c r="J236" s="155"/>
      <c r="K236" s="155" t="s">
        <v>191</v>
      </c>
      <c r="L236" s="143">
        <v>4</v>
      </c>
      <c r="M236" s="144" t="s">
        <v>12</v>
      </c>
      <c r="N236" s="367">
        <v>5</v>
      </c>
      <c r="O236" s="151" t="s">
        <v>199</v>
      </c>
    </row>
    <row r="237" spans="1:15" ht="22.5">
      <c r="A237" s="145" t="s">
        <v>2697</v>
      </c>
      <c r="B237" s="152" t="s">
        <v>2698</v>
      </c>
      <c r="C237" s="152" t="s">
        <v>758</v>
      </c>
      <c r="D237" s="152" t="s">
        <v>242</v>
      </c>
      <c r="E237" s="154"/>
      <c r="F237" s="470" t="s">
        <v>1946</v>
      </c>
      <c r="G237" s="336" t="s">
        <v>2699</v>
      </c>
      <c r="H237" s="155" t="s">
        <v>188</v>
      </c>
      <c r="I237" s="155" t="s">
        <v>1453</v>
      </c>
      <c r="J237" s="155"/>
      <c r="K237" s="155" t="s">
        <v>191</v>
      </c>
      <c r="L237" s="143">
        <v>4</v>
      </c>
      <c r="M237" s="144" t="s">
        <v>12</v>
      </c>
      <c r="N237" s="367">
        <v>5</v>
      </c>
      <c r="O237" s="151" t="s">
        <v>199</v>
      </c>
    </row>
    <row r="238" spans="1:15" ht="22.5">
      <c r="A238" s="145" t="s">
        <v>2700</v>
      </c>
      <c r="B238" s="152" t="s">
        <v>2701</v>
      </c>
      <c r="C238" s="152" t="s">
        <v>758</v>
      </c>
      <c r="D238" s="152" t="s">
        <v>242</v>
      </c>
      <c r="E238" s="154"/>
      <c r="F238" s="470" t="s">
        <v>1946</v>
      </c>
      <c r="G238" s="336" t="s">
        <v>2702</v>
      </c>
      <c r="H238" s="155" t="s">
        <v>188</v>
      </c>
      <c r="I238" s="155" t="s">
        <v>2703</v>
      </c>
      <c r="J238" s="155"/>
      <c r="K238" s="155" t="s">
        <v>191</v>
      </c>
      <c r="L238" s="143">
        <v>4</v>
      </c>
      <c r="M238" s="144" t="s">
        <v>12</v>
      </c>
      <c r="N238" s="367">
        <v>5</v>
      </c>
      <c r="O238" s="151" t="s">
        <v>199</v>
      </c>
    </row>
    <row r="239" spans="1:15" ht="22.5">
      <c r="A239" s="145" t="s">
        <v>2704</v>
      </c>
      <c r="B239" s="152" t="s">
        <v>2705</v>
      </c>
      <c r="C239" s="152" t="s">
        <v>758</v>
      </c>
      <c r="D239" s="152" t="s">
        <v>242</v>
      </c>
      <c r="E239" s="154"/>
      <c r="F239" s="470" t="s">
        <v>1946</v>
      </c>
      <c r="G239" s="336" t="s">
        <v>2706</v>
      </c>
      <c r="H239" s="155" t="s">
        <v>188</v>
      </c>
      <c r="I239" s="155" t="s">
        <v>1453</v>
      </c>
      <c r="J239" s="155"/>
      <c r="K239" s="155" t="s">
        <v>191</v>
      </c>
      <c r="L239" s="143">
        <v>4</v>
      </c>
      <c r="M239" s="144" t="s">
        <v>12</v>
      </c>
      <c r="N239" s="367">
        <v>5</v>
      </c>
      <c r="O239" s="151" t="s">
        <v>199</v>
      </c>
    </row>
    <row r="240" spans="1:15" ht="22.5">
      <c r="A240" s="145" t="s">
        <v>2707</v>
      </c>
      <c r="B240" s="152" t="s">
        <v>2708</v>
      </c>
      <c r="C240" s="152" t="s">
        <v>758</v>
      </c>
      <c r="D240" s="152" t="s">
        <v>242</v>
      </c>
      <c r="E240" s="154"/>
      <c r="F240" s="470" t="s">
        <v>1946</v>
      </c>
      <c r="G240" s="336" t="s">
        <v>2709</v>
      </c>
      <c r="H240" s="155" t="s">
        <v>188</v>
      </c>
      <c r="I240" s="155" t="s">
        <v>1453</v>
      </c>
      <c r="J240" s="155"/>
      <c r="K240" s="155" t="s">
        <v>191</v>
      </c>
      <c r="L240" s="143">
        <v>4</v>
      </c>
      <c r="M240" s="144" t="s">
        <v>12</v>
      </c>
      <c r="N240" s="367">
        <v>5</v>
      </c>
      <c r="O240" s="151" t="s">
        <v>199</v>
      </c>
    </row>
    <row r="241" spans="1:15" ht="22.5">
      <c r="A241" s="145" t="s">
        <v>2710</v>
      </c>
      <c r="B241" s="152" t="s">
        <v>2711</v>
      </c>
      <c r="C241" s="152" t="s">
        <v>758</v>
      </c>
      <c r="D241" s="152" t="s">
        <v>242</v>
      </c>
      <c r="E241" s="154"/>
      <c r="F241" s="470" t="s">
        <v>1946</v>
      </c>
      <c r="G241" s="336" t="s">
        <v>2712</v>
      </c>
      <c r="H241" s="155" t="s">
        <v>188</v>
      </c>
      <c r="I241" s="155" t="s">
        <v>1453</v>
      </c>
      <c r="J241" s="155"/>
      <c r="K241" s="155" t="s">
        <v>191</v>
      </c>
      <c r="L241" s="143">
        <v>4</v>
      </c>
      <c r="M241" s="144" t="s">
        <v>12</v>
      </c>
      <c r="N241" s="367">
        <v>5</v>
      </c>
      <c r="O241" s="151" t="s">
        <v>199</v>
      </c>
    </row>
    <row r="242" spans="1:15" ht="11.25">
      <c r="A242" s="145" t="s">
        <v>2713</v>
      </c>
      <c r="B242" s="152" t="s">
        <v>2714</v>
      </c>
      <c r="C242" s="152" t="s">
        <v>758</v>
      </c>
      <c r="D242" s="152" t="s">
        <v>242</v>
      </c>
      <c r="E242" s="154"/>
      <c r="F242" s="470" t="s">
        <v>2715</v>
      </c>
      <c r="G242" s="336" t="s">
        <v>2716</v>
      </c>
      <c r="H242" s="155" t="s">
        <v>204</v>
      </c>
      <c r="I242" s="155"/>
      <c r="J242" s="155"/>
      <c r="K242" s="155" t="s">
        <v>191</v>
      </c>
      <c r="L242" s="143">
        <v>4</v>
      </c>
      <c r="M242" s="144" t="s">
        <v>12</v>
      </c>
      <c r="N242" s="367">
        <v>5</v>
      </c>
      <c r="O242" s="151" t="s">
        <v>199</v>
      </c>
    </row>
    <row r="243" spans="1:15" ht="22.5">
      <c r="A243" s="145" t="s">
        <v>2717</v>
      </c>
      <c r="B243" s="152" t="s">
        <v>2718</v>
      </c>
      <c r="C243" s="152" t="s">
        <v>758</v>
      </c>
      <c r="D243" s="152" t="s">
        <v>242</v>
      </c>
      <c r="E243" s="154"/>
      <c r="F243" s="470" t="s">
        <v>1946</v>
      </c>
      <c r="G243" s="336" t="s">
        <v>2719</v>
      </c>
      <c r="H243" s="155" t="s">
        <v>204</v>
      </c>
      <c r="I243" s="155"/>
      <c r="J243" s="155"/>
      <c r="K243" s="155" t="s">
        <v>191</v>
      </c>
      <c r="L243" s="143">
        <v>4</v>
      </c>
      <c r="M243" s="144" t="s">
        <v>12</v>
      </c>
      <c r="N243" s="367">
        <v>5</v>
      </c>
      <c r="O243" s="151" t="s">
        <v>199</v>
      </c>
    </row>
    <row r="244" spans="1:15" ht="22.5">
      <c r="A244" s="145" t="s">
        <v>2720</v>
      </c>
      <c r="B244" s="152" t="s">
        <v>2721</v>
      </c>
      <c r="C244" s="152" t="s">
        <v>758</v>
      </c>
      <c r="D244" s="152" t="s">
        <v>242</v>
      </c>
      <c r="E244" s="154"/>
      <c r="F244" s="470" t="s">
        <v>1946</v>
      </c>
      <c r="G244" s="336" t="s">
        <v>2722</v>
      </c>
      <c r="H244" s="155"/>
      <c r="I244" s="155"/>
      <c r="J244" s="155"/>
      <c r="K244" s="155" t="s">
        <v>191</v>
      </c>
      <c r="L244" s="143">
        <v>4</v>
      </c>
      <c r="M244" s="144" t="s">
        <v>12</v>
      </c>
      <c r="N244" s="367">
        <v>5</v>
      </c>
      <c r="O244" s="151" t="s">
        <v>199</v>
      </c>
    </row>
    <row r="245" spans="1:15" ht="22.5">
      <c r="A245" s="145" t="s">
        <v>2723</v>
      </c>
      <c r="B245" s="152" t="s">
        <v>2724</v>
      </c>
      <c r="C245" s="152" t="s">
        <v>758</v>
      </c>
      <c r="D245" s="152" t="s">
        <v>242</v>
      </c>
      <c r="E245" s="154"/>
      <c r="F245" s="470" t="s">
        <v>1946</v>
      </c>
      <c r="G245" s="336" t="s">
        <v>2725</v>
      </c>
      <c r="H245" s="155"/>
      <c r="I245" s="155"/>
      <c r="J245" s="155"/>
      <c r="K245" s="155" t="s">
        <v>191</v>
      </c>
      <c r="L245" s="143">
        <v>4</v>
      </c>
      <c r="M245" s="144" t="s">
        <v>12</v>
      </c>
      <c r="N245" s="367">
        <v>5</v>
      </c>
      <c r="O245" s="151" t="s">
        <v>199</v>
      </c>
    </row>
    <row r="246" spans="1:15" ht="22.5">
      <c r="A246" s="145" t="s">
        <v>2726</v>
      </c>
      <c r="B246" s="152" t="s">
        <v>2727</v>
      </c>
      <c r="C246" s="152" t="s">
        <v>758</v>
      </c>
      <c r="D246" s="152" t="s">
        <v>242</v>
      </c>
      <c r="E246" s="154"/>
      <c r="F246" s="470" t="s">
        <v>1946</v>
      </c>
      <c r="G246" s="336" t="s">
        <v>2728</v>
      </c>
      <c r="H246" s="155"/>
      <c r="I246" s="155"/>
      <c r="J246" s="155"/>
      <c r="K246" s="155" t="s">
        <v>191</v>
      </c>
      <c r="L246" s="143">
        <v>4</v>
      </c>
      <c r="M246" s="144" t="s">
        <v>12</v>
      </c>
      <c r="N246" s="367">
        <v>5</v>
      </c>
      <c r="O246" s="151" t="s">
        <v>199</v>
      </c>
    </row>
    <row r="247" spans="1:15" ht="11.25">
      <c r="A247" s="145" t="s">
        <v>2729</v>
      </c>
      <c r="B247" s="152" t="s">
        <v>2730</v>
      </c>
      <c r="C247" s="152" t="s">
        <v>758</v>
      </c>
      <c r="D247" s="152" t="s">
        <v>242</v>
      </c>
      <c r="E247" s="154"/>
      <c r="F247" s="470" t="s">
        <v>2715</v>
      </c>
      <c r="G247" s="336" t="s">
        <v>2731</v>
      </c>
      <c r="H247" s="155"/>
      <c r="I247" s="155"/>
      <c r="J247" s="155"/>
      <c r="K247" s="155" t="s">
        <v>191</v>
      </c>
      <c r="L247" s="143">
        <v>4</v>
      </c>
      <c r="M247" s="144" t="s">
        <v>12</v>
      </c>
      <c r="N247" s="367">
        <v>5</v>
      </c>
      <c r="O247" s="151" t="s">
        <v>199</v>
      </c>
    </row>
    <row r="248" spans="1:15" ht="11.25">
      <c r="A248" s="145" t="s">
        <v>2732</v>
      </c>
      <c r="B248" s="152" t="s">
        <v>2733</v>
      </c>
      <c r="C248" s="152" t="s">
        <v>758</v>
      </c>
      <c r="D248" s="152" t="s">
        <v>242</v>
      </c>
      <c r="E248" s="154"/>
      <c r="F248" s="470" t="s">
        <v>2715</v>
      </c>
      <c r="G248" s="336" t="s">
        <v>2734</v>
      </c>
      <c r="H248" s="155"/>
      <c r="I248" s="155"/>
      <c r="J248" s="155"/>
      <c r="K248" s="155" t="s">
        <v>191</v>
      </c>
      <c r="L248" s="143">
        <v>4</v>
      </c>
      <c r="M248" s="144" t="s">
        <v>12</v>
      </c>
      <c r="N248" s="367">
        <v>5</v>
      </c>
      <c r="O248" s="151" t="s">
        <v>199</v>
      </c>
    </row>
    <row r="249" spans="1:15" ht="11.25">
      <c r="A249" s="145" t="s">
        <v>2735</v>
      </c>
      <c r="B249" s="152" t="s">
        <v>2736</v>
      </c>
      <c r="C249" s="152" t="s">
        <v>758</v>
      </c>
      <c r="D249" s="152" t="s">
        <v>242</v>
      </c>
      <c r="E249" s="154"/>
      <c r="F249" s="470" t="s">
        <v>2715</v>
      </c>
      <c r="G249" s="336" t="s">
        <v>2737</v>
      </c>
      <c r="H249" s="155"/>
      <c r="I249" s="155"/>
      <c r="J249" s="155"/>
      <c r="K249" s="155" t="s">
        <v>191</v>
      </c>
      <c r="L249" s="143">
        <v>4</v>
      </c>
      <c r="M249" s="144" t="s">
        <v>12</v>
      </c>
      <c r="N249" s="367">
        <v>5</v>
      </c>
      <c r="O249" s="151" t="s">
        <v>199</v>
      </c>
    </row>
    <row r="250" spans="1:15" ht="11.25">
      <c r="A250" s="145" t="s">
        <v>2738</v>
      </c>
      <c r="B250" s="152" t="s">
        <v>2739</v>
      </c>
      <c r="C250" s="152" t="s">
        <v>758</v>
      </c>
      <c r="D250" s="152" t="s">
        <v>242</v>
      </c>
      <c r="E250" s="154"/>
      <c r="F250" s="470" t="s">
        <v>1946</v>
      </c>
      <c r="G250" s="336" t="s">
        <v>2740</v>
      </c>
      <c r="H250" s="155"/>
      <c r="I250" s="155"/>
      <c r="J250" s="155"/>
      <c r="K250" s="155" t="s">
        <v>191</v>
      </c>
      <c r="L250" s="143">
        <v>4</v>
      </c>
      <c r="M250" s="144" t="s">
        <v>12</v>
      </c>
      <c r="N250" s="367">
        <v>5</v>
      </c>
      <c r="O250" s="151" t="s">
        <v>199</v>
      </c>
    </row>
    <row r="251" spans="1:15" ht="11.25">
      <c r="A251" s="145" t="s">
        <v>2741</v>
      </c>
      <c r="B251" s="152" t="s">
        <v>2742</v>
      </c>
      <c r="C251" s="152" t="s">
        <v>758</v>
      </c>
      <c r="D251" s="152" t="s">
        <v>242</v>
      </c>
      <c r="E251" s="154"/>
      <c r="F251" s="470" t="s">
        <v>1946</v>
      </c>
      <c r="G251" s="336" t="s">
        <v>2743</v>
      </c>
      <c r="H251" s="155"/>
      <c r="I251" s="155"/>
      <c r="J251" s="155"/>
      <c r="K251" s="155" t="s">
        <v>191</v>
      </c>
      <c r="L251" s="143">
        <v>4</v>
      </c>
      <c r="M251" s="144" t="s">
        <v>12</v>
      </c>
      <c r="N251" s="367">
        <v>5</v>
      </c>
      <c r="O251" s="151" t="s">
        <v>199</v>
      </c>
    </row>
    <row r="252" spans="1:15" ht="11.25">
      <c r="A252" s="145" t="s">
        <v>2744</v>
      </c>
      <c r="B252" s="152" t="s">
        <v>2745</v>
      </c>
      <c r="C252" s="152" t="s">
        <v>758</v>
      </c>
      <c r="D252" s="152" t="s">
        <v>242</v>
      </c>
      <c r="E252" s="154"/>
      <c r="F252" s="470" t="s">
        <v>1946</v>
      </c>
      <c r="G252" s="336" t="s">
        <v>2746</v>
      </c>
      <c r="H252" s="155"/>
      <c r="I252" s="155"/>
      <c r="J252" s="155"/>
      <c r="K252" s="155" t="s">
        <v>191</v>
      </c>
      <c r="L252" s="143">
        <v>4</v>
      </c>
      <c r="M252" s="144" t="s">
        <v>12</v>
      </c>
      <c r="N252" s="367">
        <v>5</v>
      </c>
      <c r="O252" s="151" t="s">
        <v>199</v>
      </c>
    </row>
    <row r="253" spans="1:15" ht="11.25">
      <c r="A253" s="145" t="s">
        <v>2747</v>
      </c>
      <c r="B253" s="152" t="s">
        <v>2748</v>
      </c>
      <c r="C253" s="152" t="s">
        <v>758</v>
      </c>
      <c r="D253" s="152" t="s">
        <v>242</v>
      </c>
      <c r="E253" s="154"/>
      <c r="F253" s="470" t="s">
        <v>2715</v>
      </c>
      <c r="G253" s="336" t="s">
        <v>2749</v>
      </c>
      <c r="H253" s="155"/>
      <c r="I253" s="155"/>
      <c r="J253" s="155"/>
      <c r="K253" s="155" t="s">
        <v>191</v>
      </c>
      <c r="L253" s="143">
        <v>4</v>
      </c>
      <c r="M253" s="144" t="s">
        <v>12</v>
      </c>
      <c r="N253" s="367">
        <v>5</v>
      </c>
      <c r="O253" s="151" t="s">
        <v>199</v>
      </c>
    </row>
    <row r="254" spans="1:15" ht="11.25">
      <c r="A254" s="145" t="s">
        <v>2750</v>
      </c>
      <c r="B254" s="152" t="s">
        <v>2751</v>
      </c>
      <c r="C254" s="152" t="s">
        <v>758</v>
      </c>
      <c r="D254" s="152" t="s">
        <v>242</v>
      </c>
      <c r="E254" s="154"/>
      <c r="F254" s="470" t="s">
        <v>2715</v>
      </c>
      <c r="G254" s="336" t="s">
        <v>2752</v>
      </c>
      <c r="H254" s="155"/>
      <c r="I254" s="155"/>
      <c r="J254" s="155"/>
      <c r="K254" s="155" t="s">
        <v>191</v>
      </c>
      <c r="L254" s="143">
        <v>4</v>
      </c>
      <c r="M254" s="144" t="s">
        <v>12</v>
      </c>
      <c r="N254" s="367">
        <v>5</v>
      </c>
      <c r="O254" s="151" t="s">
        <v>199</v>
      </c>
    </row>
    <row r="255" spans="1:15" ht="11.25">
      <c r="A255" s="145" t="s">
        <v>2753</v>
      </c>
      <c r="B255" s="152" t="s">
        <v>2754</v>
      </c>
      <c r="C255" s="152" t="s">
        <v>758</v>
      </c>
      <c r="D255" s="152" t="s">
        <v>242</v>
      </c>
      <c r="E255" s="154"/>
      <c r="F255" s="470" t="s">
        <v>2715</v>
      </c>
      <c r="G255" s="336" t="s">
        <v>2755</v>
      </c>
      <c r="H255" s="155"/>
      <c r="I255" s="155"/>
      <c r="J255" s="155"/>
      <c r="K255" s="155" t="s">
        <v>191</v>
      </c>
      <c r="L255" s="143">
        <v>4</v>
      </c>
      <c r="M255" s="144" t="s">
        <v>12</v>
      </c>
      <c r="N255" s="367">
        <v>5</v>
      </c>
      <c r="O255" s="151" t="s">
        <v>199</v>
      </c>
    </row>
    <row r="256" spans="1:15" ht="11.25">
      <c r="A256" s="145" t="s">
        <v>2756</v>
      </c>
      <c r="B256" s="152" t="s">
        <v>2757</v>
      </c>
      <c r="C256" s="152" t="s">
        <v>758</v>
      </c>
      <c r="D256" s="152" t="s">
        <v>242</v>
      </c>
      <c r="E256" s="154"/>
      <c r="F256" s="470" t="s">
        <v>1946</v>
      </c>
      <c r="G256" s="336" t="s">
        <v>2758</v>
      </c>
      <c r="H256" s="155"/>
      <c r="I256" s="155"/>
      <c r="J256" s="155"/>
      <c r="K256" s="155" t="s">
        <v>191</v>
      </c>
      <c r="L256" s="143">
        <v>4</v>
      </c>
      <c r="M256" s="144" t="s">
        <v>12</v>
      </c>
      <c r="N256" s="367">
        <v>5</v>
      </c>
      <c r="O256" s="151" t="s">
        <v>199</v>
      </c>
    </row>
    <row r="257" spans="1:15" ht="11.25">
      <c r="A257" s="145" t="s">
        <v>2759</v>
      </c>
      <c r="B257" s="152" t="s">
        <v>2760</v>
      </c>
      <c r="C257" s="152" t="s">
        <v>758</v>
      </c>
      <c r="D257" s="152" t="s">
        <v>242</v>
      </c>
      <c r="E257" s="154"/>
      <c r="F257" s="470" t="s">
        <v>1946</v>
      </c>
      <c r="G257" s="336" t="s">
        <v>2761</v>
      </c>
      <c r="H257" s="155"/>
      <c r="I257" s="155"/>
      <c r="J257" s="155"/>
      <c r="K257" s="155" t="s">
        <v>191</v>
      </c>
      <c r="L257" s="143">
        <v>4</v>
      </c>
      <c r="M257" s="144" t="s">
        <v>12</v>
      </c>
      <c r="N257" s="367">
        <v>5</v>
      </c>
      <c r="O257" s="151" t="s">
        <v>199</v>
      </c>
    </row>
    <row r="258" spans="1:15" ht="11.25">
      <c r="A258" s="145" t="s">
        <v>2762</v>
      </c>
      <c r="B258" s="152" t="s">
        <v>2763</v>
      </c>
      <c r="C258" s="152" t="s">
        <v>758</v>
      </c>
      <c r="D258" s="152" t="s">
        <v>242</v>
      </c>
      <c r="E258" s="154"/>
      <c r="F258" s="470" t="s">
        <v>1946</v>
      </c>
      <c r="G258" s="336" t="s">
        <v>2764</v>
      </c>
      <c r="H258" s="155"/>
      <c r="I258" s="155"/>
      <c r="J258" s="155"/>
      <c r="K258" s="155" t="s">
        <v>191</v>
      </c>
      <c r="L258" s="143">
        <v>4</v>
      </c>
      <c r="M258" s="144" t="s">
        <v>12</v>
      </c>
      <c r="N258" s="367">
        <v>5</v>
      </c>
      <c r="O258" s="151" t="s">
        <v>199</v>
      </c>
    </row>
    <row r="259" spans="1:15" ht="22.5">
      <c r="A259" s="145" t="s">
        <v>2765</v>
      </c>
      <c r="B259" s="152" t="s">
        <v>2766</v>
      </c>
      <c r="C259" s="152" t="s">
        <v>2767</v>
      </c>
      <c r="D259" s="152" t="s">
        <v>242</v>
      </c>
      <c r="E259" s="154"/>
      <c r="F259" s="470" t="s">
        <v>1987</v>
      </c>
      <c r="G259" s="336" t="s">
        <v>2768</v>
      </c>
      <c r="H259" s="155" t="s">
        <v>188</v>
      </c>
      <c r="I259" s="155" t="s">
        <v>1453</v>
      </c>
      <c r="J259" s="155"/>
      <c r="K259" s="155" t="s">
        <v>191</v>
      </c>
      <c r="L259" s="143">
        <v>4</v>
      </c>
      <c r="M259" s="144" t="s">
        <v>12</v>
      </c>
      <c r="N259" s="367">
        <v>5</v>
      </c>
      <c r="O259" s="151" t="s">
        <v>199</v>
      </c>
    </row>
    <row r="260" spans="1:15" ht="22.5">
      <c r="A260" s="145" t="s">
        <v>2769</v>
      </c>
      <c r="B260" s="142" t="s">
        <v>1741</v>
      </c>
      <c r="C260" s="140" t="s">
        <v>2770</v>
      </c>
      <c r="D260" s="152" t="s">
        <v>242</v>
      </c>
      <c r="E260" s="154"/>
      <c r="F260" s="470" t="s">
        <v>1867</v>
      </c>
      <c r="G260" s="462" t="s">
        <v>2771</v>
      </c>
      <c r="H260" s="156" t="s">
        <v>188</v>
      </c>
      <c r="I260" s="155" t="s">
        <v>1453</v>
      </c>
      <c r="J260" s="155"/>
      <c r="K260" s="155" t="s">
        <v>191</v>
      </c>
      <c r="L260" s="143">
        <v>4</v>
      </c>
      <c r="M260" s="144" t="s">
        <v>12</v>
      </c>
      <c r="N260" s="367">
        <v>5</v>
      </c>
      <c r="O260" s="151" t="s">
        <v>199</v>
      </c>
    </row>
    <row r="261" spans="1:15" s="93" customFormat="1" ht="22.5">
      <c r="A261" s="145" t="s">
        <v>2772</v>
      </c>
      <c r="B261" s="142" t="s">
        <v>1745</v>
      </c>
      <c r="C261" s="140" t="s">
        <v>2773</v>
      </c>
      <c r="D261" s="152" t="s">
        <v>242</v>
      </c>
      <c r="E261" s="154"/>
      <c r="F261" s="470" t="s">
        <v>2774</v>
      </c>
      <c r="G261" s="462" t="s">
        <v>2775</v>
      </c>
      <c r="H261" s="156" t="s">
        <v>188</v>
      </c>
      <c r="I261" s="155" t="s">
        <v>1453</v>
      </c>
      <c r="J261" s="155"/>
      <c r="K261" s="155" t="s">
        <v>191</v>
      </c>
      <c r="L261" s="143">
        <v>4</v>
      </c>
      <c r="M261" s="144" t="s">
        <v>12</v>
      </c>
      <c r="N261" s="367">
        <v>5</v>
      </c>
      <c r="O261" s="151" t="s">
        <v>199</v>
      </c>
    </row>
    <row r="262" spans="1:15" s="93" customFormat="1" ht="22.5">
      <c r="A262" s="145" t="s">
        <v>2776</v>
      </c>
      <c r="B262" s="142" t="s">
        <v>2777</v>
      </c>
      <c r="C262" s="140" t="s">
        <v>2778</v>
      </c>
      <c r="D262" s="152" t="s">
        <v>242</v>
      </c>
      <c r="E262" s="154"/>
      <c r="F262" s="470" t="s">
        <v>2779</v>
      </c>
      <c r="G262" s="462" t="s">
        <v>2780</v>
      </c>
      <c r="H262" s="156" t="s">
        <v>188</v>
      </c>
      <c r="I262" s="155" t="s">
        <v>1453</v>
      </c>
      <c r="J262" s="155"/>
      <c r="K262" s="155" t="s">
        <v>191</v>
      </c>
      <c r="L262" s="143">
        <v>4</v>
      </c>
      <c r="M262" s="144" t="s">
        <v>12</v>
      </c>
      <c r="N262" s="367">
        <v>5</v>
      </c>
      <c r="O262" s="151" t="s">
        <v>199</v>
      </c>
    </row>
    <row r="263" spans="1:15" ht="33.75">
      <c r="A263" s="145" t="s">
        <v>2781</v>
      </c>
      <c r="B263" s="142" t="s">
        <v>2782</v>
      </c>
      <c r="C263" s="140" t="s">
        <v>2783</v>
      </c>
      <c r="D263" s="152" t="s">
        <v>242</v>
      </c>
      <c r="E263" s="154"/>
      <c r="F263" s="470" t="s">
        <v>1867</v>
      </c>
      <c r="G263" s="462" t="s">
        <v>2784</v>
      </c>
      <c r="H263" s="156" t="s">
        <v>188</v>
      </c>
      <c r="I263" s="155" t="s">
        <v>1453</v>
      </c>
      <c r="J263" s="155"/>
      <c r="K263" s="155" t="s">
        <v>191</v>
      </c>
      <c r="L263" s="143">
        <v>4</v>
      </c>
      <c r="M263" s="144" t="s">
        <v>12</v>
      </c>
      <c r="N263" s="367">
        <v>5</v>
      </c>
      <c r="O263" s="151" t="s">
        <v>199</v>
      </c>
    </row>
    <row r="264" spans="1:15" ht="22.5">
      <c r="A264" s="145" t="s">
        <v>2785</v>
      </c>
      <c r="B264" s="145" t="s">
        <v>1753</v>
      </c>
      <c r="C264" s="140" t="s">
        <v>758</v>
      </c>
      <c r="D264" s="152" t="s">
        <v>242</v>
      </c>
      <c r="E264" s="154"/>
      <c r="F264" s="470" t="s">
        <v>2786</v>
      </c>
      <c r="G264" s="462" t="s">
        <v>2787</v>
      </c>
      <c r="H264" s="156" t="s">
        <v>188</v>
      </c>
      <c r="I264" s="155" t="s">
        <v>1453</v>
      </c>
      <c r="J264" s="155"/>
      <c r="K264" s="155" t="s">
        <v>191</v>
      </c>
      <c r="L264" s="143">
        <v>4</v>
      </c>
      <c r="M264" s="144" t="s">
        <v>12</v>
      </c>
      <c r="N264" s="367">
        <v>5</v>
      </c>
      <c r="O264" s="151" t="s">
        <v>199</v>
      </c>
    </row>
    <row r="265" spans="1:15" ht="22.5">
      <c r="A265" s="145" t="s">
        <v>2788</v>
      </c>
      <c r="B265" s="145" t="s">
        <v>2789</v>
      </c>
      <c r="C265" s="140" t="s">
        <v>758</v>
      </c>
      <c r="D265" s="152" t="s">
        <v>242</v>
      </c>
      <c r="E265" s="154"/>
      <c r="F265" s="470" t="s">
        <v>1942</v>
      </c>
      <c r="G265" s="466" t="s">
        <v>2790</v>
      </c>
      <c r="H265" s="156" t="s">
        <v>188</v>
      </c>
      <c r="I265" s="155" t="s">
        <v>1453</v>
      </c>
      <c r="J265" s="155"/>
      <c r="K265" s="155" t="s">
        <v>191</v>
      </c>
      <c r="L265" s="143">
        <v>4</v>
      </c>
      <c r="M265" s="144" t="s">
        <v>12</v>
      </c>
      <c r="N265" s="367">
        <v>5</v>
      </c>
      <c r="O265" s="151" t="s">
        <v>199</v>
      </c>
    </row>
    <row r="266" spans="1:15" ht="22.5">
      <c r="A266" s="145" t="s">
        <v>2791</v>
      </c>
      <c r="B266" s="145" t="s">
        <v>1757</v>
      </c>
      <c r="C266" s="140" t="s">
        <v>758</v>
      </c>
      <c r="D266" s="152" t="s">
        <v>242</v>
      </c>
      <c r="E266" s="154"/>
      <c r="F266" s="470" t="s">
        <v>2339</v>
      </c>
      <c r="G266" s="336" t="s">
        <v>2792</v>
      </c>
      <c r="H266" s="156" t="s">
        <v>188</v>
      </c>
      <c r="I266" s="155" t="s">
        <v>1453</v>
      </c>
      <c r="J266" s="155"/>
      <c r="K266" s="155" t="s">
        <v>191</v>
      </c>
      <c r="L266" s="143">
        <v>4</v>
      </c>
      <c r="M266" s="144" t="s">
        <v>12</v>
      </c>
      <c r="N266" s="367">
        <v>5</v>
      </c>
      <c r="O266" s="151" t="s">
        <v>199</v>
      </c>
    </row>
    <row r="267" spans="1:15" ht="22.5">
      <c r="A267" s="145" t="s">
        <v>2793</v>
      </c>
      <c r="B267" s="145" t="s">
        <v>2794</v>
      </c>
      <c r="C267" s="140" t="s">
        <v>758</v>
      </c>
      <c r="D267" s="152" t="s">
        <v>242</v>
      </c>
      <c r="E267" s="154"/>
      <c r="F267" s="470" t="s">
        <v>1942</v>
      </c>
      <c r="G267" s="466" t="s">
        <v>2795</v>
      </c>
      <c r="H267" s="156" t="s">
        <v>188</v>
      </c>
      <c r="I267" s="155" t="s">
        <v>1453</v>
      </c>
      <c r="J267" s="155"/>
      <c r="K267" s="155" t="s">
        <v>191</v>
      </c>
      <c r="L267" s="143">
        <v>4</v>
      </c>
      <c r="M267" s="144" t="s">
        <v>12</v>
      </c>
      <c r="N267" s="367">
        <v>5</v>
      </c>
      <c r="O267" s="151" t="s">
        <v>199</v>
      </c>
    </row>
    <row r="268" spans="1:15" ht="22.5">
      <c r="A268" s="145" t="s">
        <v>2796</v>
      </c>
      <c r="B268" s="152" t="s">
        <v>2797</v>
      </c>
      <c r="C268" s="152" t="s">
        <v>2798</v>
      </c>
      <c r="D268" s="152" t="s">
        <v>242</v>
      </c>
      <c r="E268" s="154"/>
      <c r="F268" s="470" t="s">
        <v>2267</v>
      </c>
      <c r="G268" s="336" t="s">
        <v>2799</v>
      </c>
      <c r="H268" s="156" t="s">
        <v>188</v>
      </c>
      <c r="I268" s="155" t="s">
        <v>1453</v>
      </c>
      <c r="J268" s="155"/>
      <c r="K268" s="155" t="s">
        <v>191</v>
      </c>
      <c r="L268" s="143">
        <v>4</v>
      </c>
      <c r="M268" s="144" t="s">
        <v>12</v>
      </c>
      <c r="N268" s="367">
        <v>5</v>
      </c>
      <c r="O268" s="151" t="s">
        <v>199</v>
      </c>
    </row>
    <row r="269" spans="1:15" s="93" customFormat="1" ht="22.5">
      <c r="A269" s="145" t="s">
        <v>2800</v>
      </c>
      <c r="B269" s="152" t="s">
        <v>2801</v>
      </c>
      <c r="C269" s="152" t="s">
        <v>758</v>
      </c>
      <c r="D269" s="152" t="s">
        <v>242</v>
      </c>
      <c r="E269" s="154"/>
      <c r="F269" s="470" t="s">
        <v>2271</v>
      </c>
      <c r="G269" s="466" t="s">
        <v>2802</v>
      </c>
      <c r="H269" s="156" t="s">
        <v>188</v>
      </c>
      <c r="I269" s="172" t="s">
        <v>1453</v>
      </c>
      <c r="J269" s="173"/>
      <c r="K269" s="155" t="s">
        <v>191</v>
      </c>
      <c r="L269" s="143">
        <v>4</v>
      </c>
      <c r="M269" s="144" t="s">
        <v>12</v>
      </c>
      <c r="N269" s="367">
        <v>5</v>
      </c>
      <c r="O269" s="151" t="s">
        <v>199</v>
      </c>
    </row>
    <row r="270" spans="1:15" ht="22.5">
      <c r="A270" s="145" t="s">
        <v>2803</v>
      </c>
      <c r="B270" s="152" t="s">
        <v>1761</v>
      </c>
      <c r="C270" s="152" t="s">
        <v>2804</v>
      </c>
      <c r="D270" s="152" t="s">
        <v>242</v>
      </c>
      <c r="E270" s="154"/>
      <c r="F270" s="470" t="s">
        <v>2805</v>
      </c>
      <c r="G270" s="336" t="s">
        <v>2806</v>
      </c>
      <c r="H270" s="156" t="s">
        <v>188</v>
      </c>
      <c r="I270" s="155" t="s">
        <v>1453</v>
      </c>
      <c r="J270" s="155"/>
      <c r="K270" s="155" t="s">
        <v>191</v>
      </c>
      <c r="L270" s="143">
        <v>4</v>
      </c>
      <c r="M270" s="144" t="s">
        <v>12</v>
      </c>
      <c r="N270" s="367">
        <v>5</v>
      </c>
      <c r="O270" s="151" t="s">
        <v>199</v>
      </c>
    </row>
    <row r="271" spans="1:15" ht="27.75" customHeight="1">
      <c r="A271" s="145" t="s">
        <v>2807</v>
      </c>
      <c r="B271" s="152" t="s">
        <v>2808</v>
      </c>
      <c r="C271" s="152" t="s">
        <v>758</v>
      </c>
      <c r="D271" s="152" t="s">
        <v>242</v>
      </c>
      <c r="E271" s="154"/>
      <c r="F271" s="470" t="s">
        <v>2271</v>
      </c>
      <c r="G271" s="467" t="s">
        <v>2809</v>
      </c>
      <c r="H271" s="156" t="s">
        <v>188</v>
      </c>
      <c r="I271" s="155" t="s">
        <v>1453</v>
      </c>
      <c r="J271" s="155"/>
      <c r="K271" s="155" t="s">
        <v>191</v>
      </c>
      <c r="L271" s="143">
        <v>4</v>
      </c>
      <c r="M271" s="144" t="s">
        <v>12</v>
      </c>
      <c r="N271" s="367">
        <v>5</v>
      </c>
      <c r="O271" s="151" t="s">
        <v>199</v>
      </c>
    </row>
    <row r="272" spans="1:15" ht="27.75" customHeight="1">
      <c r="A272" s="145" t="s">
        <v>2810</v>
      </c>
      <c r="B272" s="152" t="s">
        <v>2811</v>
      </c>
      <c r="C272" s="152" t="s">
        <v>135</v>
      </c>
      <c r="D272" s="152" t="s">
        <v>242</v>
      </c>
      <c r="E272" s="154"/>
      <c r="F272" s="470" t="s">
        <v>1908</v>
      </c>
      <c r="G272" s="462" t="s">
        <v>2812</v>
      </c>
      <c r="H272" s="156" t="s">
        <v>188</v>
      </c>
      <c r="I272" s="155" t="s">
        <v>1453</v>
      </c>
      <c r="J272" s="155"/>
      <c r="K272" s="155" t="s">
        <v>191</v>
      </c>
      <c r="L272" s="143">
        <v>4</v>
      </c>
      <c r="M272" s="144" t="s">
        <v>12</v>
      </c>
      <c r="N272" s="367">
        <v>5</v>
      </c>
      <c r="O272" s="151" t="s">
        <v>199</v>
      </c>
    </row>
    <row r="273" spans="1:15" ht="27.75" customHeight="1">
      <c r="A273" s="145" t="s">
        <v>2813</v>
      </c>
      <c r="B273" s="152" t="s">
        <v>2814</v>
      </c>
      <c r="C273" s="152" t="s">
        <v>135</v>
      </c>
      <c r="D273" s="152" t="s">
        <v>242</v>
      </c>
      <c r="E273" s="154"/>
      <c r="F273" s="470" t="s">
        <v>1908</v>
      </c>
      <c r="G273" s="462" t="s">
        <v>2815</v>
      </c>
      <c r="H273" s="156" t="s">
        <v>188</v>
      </c>
      <c r="I273" s="155" t="s">
        <v>1453</v>
      </c>
      <c r="J273" s="155"/>
      <c r="K273" s="155" t="s">
        <v>191</v>
      </c>
      <c r="L273" s="143">
        <v>4</v>
      </c>
      <c r="M273" s="144" t="s">
        <v>12</v>
      </c>
      <c r="N273" s="367">
        <v>5</v>
      </c>
      <c r="O273" s="151" t="s">
        <v>199</v>
      </c>
    </row>
    <row r="274" spans="1:15" ht="27.75" customHeight="1">
      <c r="A274" s="145" t="s">
        <v>2816</v>
      </c>
      <c r="B274" s="152" t="s">
        <v>2817</v>
      </c>
      <c r="C274" s="152" t="s">
        <v>135</v>
      </c>
      <c r="D274" s="152" t="s">
        <v>242</v>
      </c>
      <c r="E274" s="154"/>
      <c r="F274" s="470" t="s">
        <v>1908</v>
      </c>
      <c r="G274" s="462" t="s">
        <v>2818</v>
      </c>
      <c r="H274" s="156" t="s">
        <v>188</v>
      </c>
      <c r="I274" s="155" t="s">
        <v>1453</v>
      </c>
      <c r="J274" s="155"/>
      <c r="K274" s="155" t="s">
        <v>191</v>
      </c>
      <c r="L274" s="143">
        <v>4</v>
      </c>
      <c r="M274" s="144" t="s">
        <v>12</v>
      </c>
      <c r="N274" s="367">
        <v>5</v>
      </c>
      <c r="O274" s="151" t="s">
        <v>199</v>
      </c>
    </row>
    <row r="275" spans="1:15" ht="27.75" customHeight="1">
      <c r="A275" s="145" t="s">
        <v>2819</v>
      </c>
      <c r="B275" s="152" t="s">
        <v>2820</v>
      </c>
      <c r="C275" s="152" t="s">
        <v>135</v>
      </c>
      <c r="D275" s="152" t="s">
        <v>242</v>
      </c>
      <c r="E275" s="154"/>
      <c r="F275" s="470" t="s">
        <v>1908</v>
      </c>
      <c r="G275" s="462" t="s">
        <v>2821</v>
      </c>
      <c r="H275" s="156" t="s">
        <v>188</v>
      </c>
      <c r="I275" s="155" t="s">
        <v>1453</v>
      </c>
      <c r="J275" s="155"/>
      <c r="K275" s="155" t="s">
        <v>191</v>
      </c>
      <c r="L275" s="143">
        <v>4</v>
      </c>
      <c r="M275" s="144" t="s">
        <v>12</v>
      </c>
      <c r="N275" s="367">
        <v>5</v>
      </c>
      <c r="O275" s="151" t="s">
        <v>199</v>
      </c>
    </row>
    <row r="276" spans="1:15" s="93" customFormat="1" ht="22.5">
      <c r="A276" s="145" t="s">
        <v>2822</v>
      </c>
      <c r="B276" s="152" t="s">
        <v>2823</v>
      </c>
      <c r="C276" s="152" t="s">
        <v>2824</v>
      </c>
      <c r="D276" s="152" t="s">
        <v>242</v>
      </c>
      <c r="E276" s="154"/>
      <c r="F276" s="470" t="s">
        <v>2825</v>
      </c>
      <c r="G276" s="336" t="s">
        <v>2826</v>
      </c>
      <c r="H276" s="156" t="s">
        <v>188</v>
      </c>
      <c r="I276" s="155" t="s">
        <v>1453</v>
      </c>
      <c r="J276" s="155"/>
      <c r="K276" s="155" t="s">
        <v>191</v>
      </c>
      <c r="L276" s="143">
        <v>4</v>
      </c>
      <c r="M276" s="144" t="s">
        <v>12</v>
      </c>
      <c r="N276" s="367">
        <v>5</v>
      </c>
      <c r="O276" s="151" t="s">
        <v>199</v>
      </c>
    </row>
    <row r="277" spans="1:15" ht="27.75" customHeight="1">
      <c r="A277" s="142" t="s">
        <v>2827</v>
      </c>
      <c r="B277" s="142" t="s">
        <v>2823</v>
      </c>
      <c r="C277" s="152" t="s">
        <v>135</v>
      </c>
      <c r="D277" s="152" t="s">
        <v>242</v>
      </c>
      <c r="E277" s="154"/>
      <c r="F277" s="470" t="s">
        <v>2271</v>
      </c>
      <c r="G277" s="462" t="s">
        <v>2828</v>
      </c>
      <c r="H277" s="156" t="s">
        <v>188</v>
      </c>
      <c r="I277" s="155" t="s">
        <v>1453</v>
      </c>
      <c r="J277" s="155"/>
      <c r="K277" s="155" t="s">
        <v>191</v>
      </c>
      <c r="L277" s="143">
        <v>4</v>
      </c>
      <c r="M277" s="144" t="s">
        <v>12</v>
      </c>
      <c r="N277" s="367">
        <v>5</v>
      </c>
      <c r="O277" s="151" t="s">
        <v>199</v>
      </c>
    </row>
    <row r="278" spans="1:15" ht="22.5">
      <c r="A278" s="142" t="s">
        <v>2829</v>
      </c>
      <c r="B278" s="142" t="s">
        <v>2830</v>
      </c>
      <c r="C278" s="152" t="s">
        <v>135</v>
      </c>
      <c r="D278" s="152" t="s">
        <v>242</v>
      </c>
      <c r="E278" s="154"/>
      <c r="F278" s="470" t="s">
        <v>2259</v>
      </c>
      <c r="G278" s="462" t="s">
        <v>2831</v>
      </c>
      <c r="H278" s="156" t="s">
        <v>188</v>
      </c>
      <c r="I278" s="155" t="s">
        <v>1453</v>
      </c>
      <c r="J278" s="155"/>
      <c r="K278" s="155" t="s">
        <v>191</v>
      </c>
      <c r="L278" s="143">
        <v>4</v>
      </c>
      <c r="M278" s="144" t="s">
        <v>12</v>
      </c>
      <c r="N278" s="367">
        <v>5</v>
      </c>
      <c r="O278" s="151" t="s">
        <v>199</v>
      </c>
    </row>
    <row r="279" spans="1:15" ht="22.5">
      <c r="A279" s="145" t="s">
        <v>2832</v>
      </c>
      <c r="B279" s="142" t="s">
        <v>2833</v>
      </c>
      <c r="C279" s="140" t="s">
        <v>2834</v>
      </c>
      <c r="D279" s="152" t="s">
        <v>242</v>
      </c>
      <c r="E279" s="154"/>
      <c r="F279" s="470" t="s">
        <v>2835</v>
      </c>
      <c r="G279" s="462" t="s">
        <v>2836</v>
      </c>
      <c r="H279" s="156" t="s">
        <v>188</v>
      </c>
      <c r="I279" s="155" t="s">
        <v>1453</v>
      </c>
      <c r="J279" s="155"/>
      <c r="K279" s="155" t="s">
        <v>191</v>
      </c>
      <c r="L279" s="143">
        <v>4</v>
      </c>
      <c r="M279" s="144" t="s">
        <v>12</v>
      </c>
      <c r="N279" s="367">
        <v>5</v>
      </c>
      <c r="O279" s="151" t="s">
        <v>199</v>
      </c>
    </row>
    <row r="280" spans="1:15" ht="33.75">
      <c r="A280" s="145" t="s">
        <v>2837</v>
      </c>
      <c r="B280" s="142" t="s">
        <v>2838</v>
      </c>
      <c r="C280" s="140" t="s">
        <v>2839</v>
      </c>
      <c r="D280" s="152" t="s">
        <v>242</v>
      </c>
      <c r="E280" s="154"/>
      <c r="F280" s="470" t="s">
        <v>1867</v>
      </c>
      <c r="G280" s="462" t="s">
        <v>2840</v>
      </c>
      <c r="H280" s="156" t="s">
        <v>188</v>
      </c>
      <c r="I280" s="155" t="s">
        <v>1453</v>
      </c>
      <c r="J280" s="155"/>
      <c r="K280" s="155" t="s">
        <v>191</v>
      </c>
      <c r="L280" s="143">
        <v>4</v>
      </c>
      <c r="M280" s="144" t="s">
        <v>12</v>
      </c>
      <c r="N280" s="367">
        <v>5</v>
      </c>
      <c r="O280" s="151" t="s">
        <v>199</v>
      </c>
    </row>
    <row r="281" spans="1:15" ht="22.5">
      <c r="A281" s="145" t="s">
        <v>2841</v>
      </c>
      <c r="B281" s="142" t="s">
        <v>1785</v>
      </c>
      <c r="C281" s="152" t="s">
        <v>135</v>
      </c>
      <c r="D281" s="152" t="s">
        <v>242</v>
      </c>
      <c r="E281" s="154"/>
      <c r="F281" s="470" t="s">
        <v>1895</v>
      </c>
      <c r="G281" s="462" t="s">
        <v>2842</v>
      </c>
      <c r="H281" s="156" t="s">
        <v>188</v>
      </c>
      <c r="I281" s="155" t="s">
        <v>1453</v>
      </c>
      <c r="J281" s="155"/>
      <c r="K281" s="155" t="s">
        <v>191</v>
      </c>
      <c r="L281" s="143">
        <v>4</v>
      </c>
      <c r="M281" s="144" t="s">
        <v>12</v>
      </c>
      <c r="N281" s="367">
        <v>5</v>
      </c>
      <c r="O281" s="151" t="s">
        <v>199</v>
      </c>
    </row>
    <row r="282" spans="1:15" ht="22.5">
      <c r="A282" s="145" t="s">
        <v>2843</v>
      </c>
      <c r="B282" s="142" t="s">
        <v>2844</v>
      </c>
      <c r="C282" s="152" t="s">
        <v>135</v>
      </c>
      <c r="D282" s="152" t="s">
        <v>242</v>
      </c>
      <c r="E282" s="154"/>
      <c r="F282" s="470" t="s">
        <v>1942</v>
      </c>
      <c r="G282" s="466" t="s">
        <v>2845</v>
      </c>
      <c r="H282" s="156" t="s">
        <v>188</v>
      </c>
      <c r="I282" s="155" t="s">
        <v>1453</v>
      </c>
      <c r="J282" s="155"/>
      <c r="K282" s="155" t="s">
        <v>191</v>
      </c>
      <c r="L282" s="143">
        <v>4</v>
      </c>
      <c r="M282" s="144" t="s">
        <v>12</v>
      </c>
      <c r="N282" s="367">
        <v>5</v>
      </c>
      <c r="O282" s="151" t="s">
        <v>199</v>
      </c>
    </row>
    <row r="283" spans="1:15" ht="22.5">
      <c r="A283" s="145" t="s">
        <v>2846</v>
      </c>
      <c r="B283" s="142" t="s">
        <v>1789</v>
      </c>
      <c r="C283" s="152" t="s">
        <v>135</v>
      </c>
      <c r="D283" s="152" t="s">
        <v>242</v>
      </c>
      <c r="E283" s="154"/>
      <c r="F283" s="470" t="s">
        <v>1905</v>
      </c>
      <c r="G283" s="336" t="s">
        <v>2847</v>
      </c>
      <c r="H283" s="156" t="s">
        <v>188</v>
      </c>
      <c r="I283" s="155" t="s">
        <v>1453</v>
      </c>
      <c r="J283" s="155"/>
      <c r="K283" s="155" t="s">
        <v>191</v>
      </c>
      <c r="L283" s="143">
        <v>4</v>
      </c>
      <c r="M283" s="144" t="s">
        <v>12</v>
      </c>
      <c r="N283" s="367">
        <v>5</v>
      </c>
      <c r="O283" s="151" t="s">
        <v>199</v>
      </c>
    </row>
    <row r="284" spans="1:15" ht="22.5">
      <c r="A284" s="145" t="s">
        <v>2848</v>
      </c>
      <c r="B284" s="142" t="s">
        <v>2849</v>
      </c>
      <c r="C284" s="152" t="s">
        <v>135</v>
      </c>
      <c r="D284" s="152" t="s">
        <v>242</v>
      </c>
      <c r="E284" s="154"/>
      <c r="F284" s="470" t="s">
        <v>1942</v>
      </c>
      <c r="G284" s="466" t="s">
        <v>2850</v>
      </c>
      <c r="H284" s="156" t="s">
        <v>188</v>
      </c>
      <c r="I284" s="155" t="s">
        <v>1453</v>
      </c>
      <c r="J284" s="155"/>
      <c r="K284" s="155" t="s">
        <v>191</v>
      </c>
      <c r="L284" s="143">
        <v>4</v>
      </c>
      <c r="M284" s="144" t="s">
        <v>12</v>
      </c>
      <c r="N284" s="367">
        <v>5</v>
      </c>
      <c r="O284" s="151" t="s">
        <v>199</v>
      </c>
    </row>
    <row r="285" spans="1:15" ht="22.5">
      <c r="A285" s="145" t="s">
        <v>2851</v>
      </c>
      <c r="B285" s="152" t="s">
        <v>2852</v>
      </c>
      <c r="C285" s="152" t="s">
        <v>2853</v>
      </c>
      <c r="D285" s="152" t="s">
        <v>242</v>
      </c>
      <c r="E285" s="154"/>
      <c r="F285" s="470" t="s">
        <v>2267</v>
      </c>
      <c r="G285" s="336" t="s">
        <v>2854</v>
      </c>
      <c r="H285" s="156" t="s">
        <v>188</v>
      </c>
      <c r="I285" s="155" t="s">
        <v>1453</v>
      </c>
      <c r="J285" s="155"/>
      <c r="K285" s="155" t="s">
        <v>191</v>
      </c>
      <c r="L285" s="143">
        <v>4</v>
      </c>
      <c r="M285" s="144" t="s">
        <v>12</v>
      </c>
      <c r="N285" s="367">
        <v>5</v>
      </c>
      <c r="O285" s="151" t="s">
        <v>199</v>
      </c>
    </row>
    <row r="286" spans="1:15" ht="22.5">
      <c r="A286" s="145" t="s">
        <v>2855</v>
      </c>
      <c r="B286" s="145" t="s">
        <v>2856</v>
      </c>
      <c r="C286" s="152" t="s">
        <v>758</v>
      </c>
      <c r="D286" s="152" t="s">
        <v>242</v>
      </c>
      <c r="E286" s="154"/>
      <c r="F286" s="470" t="s">
        <v>2271</v>
      </c>
      <c r="G286" s="336" t="s">
        <v>2857</v>
      </c>
      <c r="H286" s="156" t="s">
        <v>188</v>
      </c>
      <c r="I286" s="155" t="s">
        <v>1453</v>
      </c>
      <c r="J286" s="155"/>
      <c r="K286" s="155" t="s">
        <v>191</v>
      </c>
      <c r="L286" s="143">
        <v>4</v>
      </c>
      <c r="M286" s="144" t="s">
        <v>12</v>
      </c>
      <c r="N286" s="367">
        <v>5</v>
      </c>
      <c r="O286" s="151" t="s">
        <v>199</v>
      </c>
    </row>
    <row r="287" spans="1:15" ht="22.5">
      <c r="A287" s="142" t="s">
        <v>2858</v>
      </c>
      <c r="B287" s="142" t="s">
        <v>2823</v>
      </c>
      <c r="C287" s="152" t="s">
        <v>135</v>
      </c>
      <c r="D287" s="152" t="s">
        <v>242</v>
      </c>
      <c r="E287" s="154"/>
      <c r="F287" s="470" t="s">
        <v>2271</v>
      </c>
      <c r="G287" s="468" t="s">
        <v>2828</v>
      </c>
      <c r="H287" s="156" t="s">
        <v>188</v>
      </c>
      <c r="I287" s="155" t="s">
        <v>1453</v>
      </c>
      <c r="J287" s="155"/>
      <c r="K287" s="155" t="s">
        <v>191</v>
      </c>
      <c r="L287" s="143">
        <v>4</v>
      </c>
      <c r="M287" s="144" t="s">
        <v>12</v>
      </c>
      <c r="N287" s="367">
        <v>5</v>
      </c>
      <c r="O287" s="151" t="s">
        <v>199</v>
      </c>
    </row>
    <row r="288" spans="1:15" ht="22.5">
      <c r="A288" s="145" t="s">
        <v>2859</v>
      </c>
      <c r="B288" s="152" t="s">
        <v>1793</v>
      </c>
      <c r="C288" s="152" t="s">
        <v>2860</v>
      </c>
      <c r="D288" s="152" t="s">
        <v>242</v>
      </c>
      <c r="E288" s="154"/>
      <c r="F288" s="470" t="s">
        <v>2805</v>
      </c>
      <c r="G288" s="336" t="s">
        <v>2861</v>
      </c>
      <c r="H288" s="156" t="s">
        <v>188</v>
      </c>
      <c r="I288" s="155" t="s">
        <v>1453</v>
      </c>
      <c r="J288" s="155"/>
      <c r="K288" s="155" t="s">
        <v>191</v>
      </c>
      <c r="L288" s="143">
        <v>4</v>
      </c>
      <c r="M288" s="144" t="s">
        <v>12</v>
      </c>
      <c r="N288" s="367">
        <v>5</v>
      </c>
      <c r="O288" s="151" t="s">
        <v>199</v>
      </c>
    </row>
    <row r="289" spans="1:15" ht="22.5">
      <c r="A289" s="142" t="s">
        <v>2858</v>
      </c>
      <c r="B289" s="142" t="s">
        <v>2862</v>
      </c>
      <c r="C289" s="152" t="s">
        <v>135</v>
      </c>
      <c r="D289" s="152" t="s">
        <v>242</v>
      </c>
      <c r="E289" s="154"/>
      <c r="F289" s="470" t="s">
        <v>2271</v>
      </c>
      <c r="G289" s="467" t="s">
        <v>2863</v>
      </c>
      <c r="H289" s="156" t="s">
        <v>188</v>
      </c>
      <c r="I289" s="155" t="s">
        <v>1453</v>
      </c>
      <c r="J289" s="155"/>
      <c r="K289" s="155" t="s">
        <v>191</v>
      </c>
      <c r="L289" s="143">
        <v>4</v>
      </c>
      <c r="M289" s="144" t="s">
        <v>12</v>
      </c>
      <c r="N289" s="367">
        <v>5</v>
      </c>
      <c r="O289" s="151" t="s">
        <v>199</v>
      </c>
    </row>
    <row r="290" spans="1:15" ht="22.5">
      <c r="A290" s="142" t="s">
        <v>2864</v>
      </c>
      <c r="B290" s="142" t="s">
        <v>2865</v>
      </c>
      <c r="C290" s="152" t="s">
        <v>135</v>
      </c>
      <c r="D290" s="152" t="s">
        <v>242</v>
      </c>
      <c r="E290" s="154"/>
      <c r="F290" s="470" t="s">
        <v>1908</v>
      </c>
      <c r="G290" s="173" t="s">
        <v>2866</v>
      </c>
      <c r="H290" s="156" t="s">
        <v>188</v>
      </c>
      <c r="I290" s="155" t="s">
        <v>1453</v>
      </c>
      <c r="J290" s="155"/>
      <c r="K290" s="155" t="s">
        <v>191</v>
      </c>
      <c r="L290" s="143">
        <v>4</v>
      </c>
      <c r="M290" s="144" t="s">
        <v>12</v>
      </c>
      <c r="N290" s="367">
        <v>5</v>
      </c>
      <c r="O290" s="151" t="s">
        <v>199</v>
      </c>
    </row>
    <row r="291" spans="1:15" ht="22.5">
      <c r="A291" s="142" t="s">
        <v>2867</v>
      </c>
      <c r="B291" s="142" t="s">
        <v>2868</v>
      </c>
      <c r="C291" s="152" t="s">
        <v>135</v>
      </c>
      <c r="D291" s="152" t="s">
        <v>242</v>
      </c>
      <c r="E291" s="154"/>
      <c r="F291" s="470" t="s">
        <v>2869</v>
      </c>
      <c r="G291" s="462" t="s">
        <v>2870</v>
      </c>
      <c r="H291" s="156" t="s">
        <v>188</v>
      </c>
      <c r="I291" s="155" t="s">
        <v>1453</v>
      </c>
      <c r="J291" s="155"/>
      <c r="K291" s="155" t="s">
        <v>191</v>
      </c>
      <c r="L291" s="143">
        <v>4</v>
      </c>
      <c r="M291" s="144" t="s">
        <v>12</v>
      </c>
      <c r="N291" s="367">
        <v>5</v>
      </c>
      <c r="O291" s="151" t="s">
        <v>199</v>
      </c>
    </row>
    <row r="292" spans="1:15" ht="22.5">
      <c r="A292" s="145" t="s">
        <v>2871</v>
      </c>
      <c r="B292" s="152" t="s">
        <v>1797</v>
      </c>
      <c r="C292" s="152" t="s">
        <v>2872</v>
      </c>
      <c r="D292" s="152" t="s">
        <v>242</v>
      </c>
      <c r="E292" s="154"/>
      <c r="F292" s="470" t="s">
        <v>2309</v>
      </c>
      <c r="G292" s="336" t="s">
        <v>2873</v>
      </c>
      <c r="H292" s="156" t="s">
        <v>188</v>
      </c>
      <c r="I292" s="155" t="s">
        <v>1453</v>
      </c>
      <c r="J292" s="155"/>
      <c r="K292" s="155" t="s">
        <v>191</v>
      </c>
      <c r="L292" s="143">
        <v>4</v>
      </c>
      <c r="M292" s="144" t="s">
        <v>12</v>
      </c>
      <c r="N292" s="367">
        <v>5</v>
      </c>
      <c r="O292" s="151" t="s">
        <v>199</v>
      </c>
    </row>
    <row r="293" spans="1:15" ht="22.5">
      <c r="A293" s="142" t="s">
        <v>2874</v>
      </c>
      <c r="B293" s="142" t="s">
        <v>2875</v>
      </c>
      <c r="C293" s="152" t="s">
        <v>135</v>
      </c>
      <c r="D293" s="152" t="s">
        <v>242</v>
      </c>
      <c r="E293" s="154"/>
      <c r="F293" s="470" t="s">
        <v>2271</v>
      </c>
      <c r="G293" s="466" t="s">
        <v>2876</v>
      </c>
      <c r="H293" s="156" t="s">
        <v>188</v>
      </c>
      <c r="I293" s="155" t="s">
        <v>1453</v>
      </c>
      <c r="J293" s="155"/>
      <c r="K293" s="155" t="s">
        <v>191</v>
      </c>
      <c r="L293" s="143">
        <v>4</v>
      </c>
      <c r="M293" s="144" t="s">
        <v>12</v>
      </c>
      <c r="N293" s="367">
        <v>5</v>
      </c>
      <c r="O293" s="151" t="s">
        <v>199</v>
      </c>
    </row>
    <row r="294" spans="1:15" ht="22.5">
      <c r="A294" s="145" t="s">
        <v>2877</v>
      </c>
      <c r="B294" s="142" t="s">
        <v>2878</v>
      </c>
      <c r="C294" s="140" t="s">
        <v>2879</v>
      </c>
      <c r="D294" s="152" t="s">
        <v>242</v>
      </c>
      <c r="E294" s="154"/>
      <c r="F294" s="470" t="s">
        <v>1867</v>
      </c>
      <c r="G294" s="462" t="s">
        <v>2880</v>
      </c>
      <c r="H294" s="156" t="s">
        <v>188</v>
      </c>
      <c r="I294" s="155" t="s">
        <v>1453</v>
      </c>
      <c r="J294" s="155"/>
      <c r="K294" s="155" t="s">
        <v>191</v>
      </c>
      <c r="L294" s="143">
        <v>4</v>
      </c>
      <c r="M294" s="144" t="s">
        <v>12</v>
      </c>
      <c r="N294" s="367">
        <v>5</v>
      </c>
      <c r="O294" s="151" t="s">
        <v>199</v>
      </c>
    </row>
    <row r="295" spans="1:15" ht="33.75">
      <c r="A295" s="145" t="s">
        <v>2881</v>
      </c>
      <c r="B295" s="142" t="s">
        <v>2882</v>
      </c>
      <c r="C295" s="140" t="s">
        <v>2883</v>
      </c>
      <c r="D295" s="152" t="s">
        <v>242</v>
      </c>
      <c r="E295" s="154"/>
      <c r="F295" s="470" t="s">
        <v>1867</v>
      </c>
      <c r="G295" s="462" t="s">
        <v>2884</v>
      </c>
      <c r="H295" s="156" t="s">
        <v>188</v>
      </c>
      <c r="I295" s="155" t="s">
        <v>1453</v>
      </c>
      <c r="J295" s="155"/>
      <c r="K295" s="155" t="s">
        <v>191</v>
      </c>
      <c r="L295" s="143">
        <v>4</v>
      </c>
      <c r="M295" s="144" t="s">
        <v>12</v>
      </c>
      <c r="N295" s="367">
        <v>5</v>
      </c>
      <c r="O295" s="151" t="s">
        <v>199</v>
      </c>
    </row>
    <row r="296" spans="1:15" ht="22.5">
      <c r="A296" s="142" t="s">
        <v>2885</v>
      </c>
      <c r="B296" s="142" t="s">
        <v>2886</v>
      </c>
      <c r="C296" s="145" t="s">
        <v>135</v>
      </c>
      <c r="D296" s="152" t="s">
        <v>242</v>
      </c>
      <c r="E296" s="154"/>
      <c r="F296" s="470" t="s">
        <v>1895</v>
      </c>
      <c r="G296" s="462" t="s">
        <v>2887</v>
      </c>
      <c r="H296" s="156" t="s">
        <v>188</v>
      </c>
      <c r="I296" s="155" t="s">
        <v>1453</v>
      </c>
      <c r="J296" s="155"/>
      <c r="K296" s="155" t="s">
        <v>191</v>
      </c>
      <c r="L296" s="143">
        <v>4</v>
      </c>
      <c r="M296" s="144" t="s">
        <v>12</v>
      </c>
      <c r="N296" s="367">
        <v>5</v>
      </c>
      <c r="O296" s="151" t="s">
        <v>199</v>
      </c>
    </row>
    <row r="297" spans="1:15" ht="22.5">
      <c r="A297" s="142" t="s">
        <v>2888</v>
      </c>
      <c r="B297" s="142" t="s">
        <v>2889</v>
      </c>
      <c r="C297" s="145" t="s">
        <v>135</v>
      </c>
      <c r="D297" s="152" t="s">
        <v>242</v>
      </c>
      <c r="E297" s="154"/>
      <c r="F297" s="470" t="s">
        <v>1942</v>
      </c>
      <c r="G297" s="466" t="s">
        <v>2890</v>
      </c>
      <c r="H297" s="156" t="s">
        <v>188</v>
      </c>
      <c r="I297" s="155" t="s">
        <v>1453</v>
      </c>
      <c r="J297" s="155"/>
      <c r="K297" s="155" t="s">
        <v>191</v>
      </c>
      <c r="L297" s="143">
        <v>4</v>
      </c>
      <c r="M297" s="144" t="s">
        <v>12</v>
      </c>
      <c r="N297" s="367">
        <v>5</v>
      </c>
      <c r="O297" s="151" t="s">
        <v>199</v>
      </c>
    </row>
    <row r="298" spans="1:15" ht="22.5">
      <c r="A298" s="142" t="s">
        <v>2891</v>
      </c>
      <c r="B298" s="142" t="s">
        <v>2892</v>
      </c>
      <c r="C298" s="145" t="s">
        <v>135</v>
      </c>
      <c r="D298" s="152" t="s">
        <v>242</v>
      </c>
      <c r="E298" s="154"/>
      <c r="F298" s="470" t="s">
        <v>1905</v>
      </c>
      <c r="G298" s="462" t="s">
        <v>2893</v>
      </c>
      <c r="H298" s="156" t="s">
        <v>188</v>
      </c>
      <c r="I298" s="155" t="s">
        <v>1453</v>
      </c>
      <c r="J298" s="155"/>
      <c r="K298" s="155" t="s">
        <v>191</v>
      </c>
      <c r="L298" s="143">
        <v>4</v>
      </c>
      <c r="M298" s="144" t="s">
        <v>12</v>
      </c>
      <c r="N298" s="367">
        <v>5</v>
      </c>
      <c r="O298" s="151" t="s">
        <v>199</v>
      </c>
    </row>
    <row r="299" spans="1:15" ht="22.5">
      <c r="A299" s="142" t="s">
        <v>2894</v>
      </c>
      <c r="B299" s="142" t="s">
        <v>2895</v>
      </c>
      <c r="C299" s="145" t="s">
        <v>135</v>
      </c>
      <c r="D299" s="152" t="s">
        <v>242</v>
      </c>
      <c r="E299" s="154"/>
      <c r="F299" s="470" t="s">
        <v>1942</v>
      </c>
      <c r="G299" s="466" t="s">
        <v>2896</v>
      </c>
      <c r="H299" s="156" t="s">
        <v>188</v>
      </c>
      <c r="I299" s="155" t="s">
        <v>1453</v>
      </c>
      <c r="J299" s="155"/>
      <c r="K299" s="155" t="s">
        <v>191</v>
      </c>
      <c r="L299" s="143">
        <v>4</v>
      </c>
      <c r="M299" s="144" t="s">
        <v>12</v>
      </c>
      <c r="N299" s="367">
        <v>5</v>
      </c>
      <c r="O299" s="151" t="s">
        <v>199</v>
      </c>
    </row>
    <row r="300" spans="1:15" ht="22.5">
      <c r="A300" s="142" t="s">
        <v>2897</v>
      </c>
      <c r="B300" s="142" t="s">
        <v>2898</v>
      </c>
      <c r="C300" s="145" t="s">
        <v>135</v>
      </c>
      <c r="D300" s="152" t="s">
        <v>242</v>
      </c>
      <c r="E300" s="154"/>
      <c r="F300" s="470" t="s">
        <v>1905</v>
      </c>
      <c r="G300" s="462" t="s">
        <v>2899</v>
      </c>
      <c r="H300" s="156" t="s">
        <v>188</v>
      </c>
      <c r="I300" s="155" t="s">
        <v>1453</v>
      </c>
      <c r="J300" s="155"/>
      <c r="K300" s="155" t="s">
        <v>191</v>
      </c>
      <c r="L300" s="143">
        <v>4</v>
      </c>
      <c r="M300" s="144" t="s">
        <v>12</v>
      </c>
      <c r="N300" s="367">
        <v>5</v>
      </c>
      <c r="O300" s="151" t="s">
        <v>199</v>
      </c>
    </row>
    <row r="301" spans="1:15" ht="22.5">
      <c r="A301" s="142" t="s">
        <v>2900</v>
      </c>
      <c r="B301" s="142" t="s">
        <v>2901</v>
      </c>
      <c r="C301" s="145" t="s">
        <v>135</v>
      </c>
      <c r="D301" s="152" t="s">
        <v>242</v>
      </c>
      <c r="E301" s="154"/>
      <c r="F301" s="470" t="s">
        <v>1895</v>
      </c>
      <c r="G301" s="462" t="s">
        <v>2902</v>
      </c>
      <c r="H301" s="156" t="s">
        <v>188</v>
      </c>
      <c r="I301" s="155" t="s">
        <v>1453</v>
      </c>
      <c r="J301" s="155"/>
      <c r="K301" s="155" t="s">
        <v>191</v>
      </c>
      <c r="L301" s="143">
        <v>4</v>
      </c>
      <c r="M301" s="144" t="s">
        <v>12</v>
      </c>
      <c r="N301" s="367">
        <v>5</v>
      </c>
      <c r="O301" s="151" t="s">
        <v>199</v>
      </c>
    </row>
    <row r="302" spans="1:15" ht="22.5">
      <c r="A302" s="142" t="s">
        <v>2903</v>
      </c>
      <c r="B302" s="142" t="s">
        <v>2904</v>
      </c>
      <c r="C302" s="145" t="s">
        <v>135</v>
      </c>
      <c r="D302" s="152" t="s">
        <v>242</v>
      </c>
      <c r="E302" s="154"/>
      <c r="F302" s="470" t="s">
        <v>1895</v>
      </c>
      <c r="G302" s="462" t="s">
        <v>2905</v>
      </c>
      <c r="H302" s="156" t="s">
        <v>188</v>
      </c>
      <c r="I302" s="155" t="s">
        <v>1453</v>
      </c>
      <c r="J302" s="155"/>
      <c r="K302" s="155" t="s">
        <v>191</v>
      </c>
      <c r="L302" s="143">
        <v>4</v>
      </c>
      <c r="M302" s="144" t="s">
        <v>12</v>
      </c>
      <c r="N302" s="367">
        <v>5</v>
      </c>
      <c r="O302" s="151" t="s">
        <v>199</v>
      </c>
    </row>
    <row r="303" spans="1:15" ht="22.5">
      <c r="A303" s="142" t="s">
        <v>2906</v>
      </c>
      <c r="B303" s="142" t="s">
        <v>2907</v>
      </c>
      <c r="C303" s="145" t="s">
        <v>135</v>
      </c>
      <c r="D303" s="152" t="s">
        <v>242</v>
      </c>
      <c r="E303" s="154"/>
      <c r="F303" s="470" t="s">
        <v>2869</v>
      </c>
      <c r="G303" s="466" t="s">
        <v>2908</v>
      </c>
      <c r="H303" s="156" t="s">
        <v>188</v>
      </c>
      <c r="I303" s="155" t="s">
        <v>1453</v>
      </c>
      <c r="J303" s="155"/>
      <c r="K303" s="155" t="s">
        <v>191</v>
      </c>
      <c r="L303" s="143">
        <v>4</v>
      </c>
      <c r="M303" s="144" t="s">
        <v>12</v>
      </c>
      <c r="N303" s="367">
        <v>5</v>
      </c>
      <c r="O303" s="151" t="s">
        <v>199</v>
      </c>
    </row>
    <row r="304" spans="1:15" ht="22.5">
      <c r="A304" s="142" t="s">
        <v>2909</v>
      </c>
      <c r="B304" s="142" t="s">
        <v>2910</v>
      </c>
      <c r="C304" s="145" t="s">
        <v>135</v>
      </c>
      <c r="D304" s="152" t="s">
        <v>242</v>
      </c>
      <c r="E304" s="154"/>
      <c r="F304" s="470" t="s">
        <v>1895</v>
      </c>
      <c r="G304" s="462" t="s">
        <v>2911</v>
      </c>
      <c r="H304" s="156" t="s">
        <v>188</v>
      </c>
      <c r="I304" s="155" t="s">
        <v>1453</v>
      </c>
      <c r="J304" s="155"/>
      <c r="K304" s="155" t="s">
        <v>191</v>
      </c>
      <c r="L304" s="143">
        <v>4</v>
      </c>
      <c r="M304" s="144" t="s">
        <v>12</v>
      </c>
      <c r="N304" s="367">
        <v>5</v>
      </c>
      <c r="O304" s="151" t="s">
        <v>199</v>
      </c>
    </row>
    <row r="305" spans="1:15" ht="22.5">
      <c r="A305" s="142" t="s">
        <v>2912</v>
      </c>
      <c r="B305" s="142" t="s">
        <v>2913</v>
      </c>
      <c r="C305" s="145" t="s">
        <v>135</v>
      </c>
      <c r="D305" s="152" t="s">
        <v>242</v>
      </c>
      <c r="E305" s="154"/>
      <c r="F305" s="470" t="s">
        <v>1908</v>
      </c>
      <c r="G305" s="462" t="s">
        <v>2914</v>
      </c>
      <c r="H305" s="156" t="s">
        <v>188</v>
      </c>
      <c r="I305" s="155" t="s">
        <v>1453</v>
      </c>
      <c r="J305" s="155"/>
      <c r="K305" s="155" t="s">
        <v>191</v>
      </c>
      <c r="L305" s="143">
        <v>4</v>
      </c>
      <c r="M305" s="144" t="s">
        <v>12</v>
      </c>
      <c r="N305" s="367">
        <v>5</v>
      </c>
      <c r="O305" s="151" t="s">
        <v>199</v>
      </c>
    </row>
    <row r="306" spans="1:15" ht="22.5">
      <c r="A306" s="142" t="s">
        <v>2915</v>
      </c>
      <c r="B306" s="142" t="s">
        <v>2916</v>
      </c>
      <c r="C306" s="145" t="s">
        <v>135</v>
      </c>
      <c r="D306" s="152" t="s">
        <v>242</v>
      </c>
      <c r="E306" s="154"/>
      <c r="F306" s="470" t="s">
        <v>1908</v>
      </c>
      <c r="G306" s="462" t="s">
        <v>2917</v>
      </c>
      <c r="H306" s="156" t="s">
        <v>188</v>
      </c>
      <c r="I306" s="155" t="s">
        <v>1453</v>
      </c>
      <c r="J306" s="155"/>
      <c r="K306" s="155" t="s">
        <v>191</v>
      </c>
      <c r="L306" s="143">
        <v>4</v>
      </c>
      <c r="M306" s="144" t="s">
        <v>12</v>
      </c>
      <c r="N306" s="367">
        <v>5</v>
      </c>
      <c r="O306" s="151" t="s">
        <v>199</v>
      </c>
    </row>
    <row r="307" spans="1:15" ht="22.5">
      <c r="A307" s="142" t="s">
        <v>2918</v>
      </c>
      <c r="B307" s="142" t="s">
        <v>2919</v>
      </c>
      <c r="C307" s="145" t="s">
        <v>135</v>
      </c>
      <c r="D307" s="152" t="s">
        <v>242</v>
      </c>
      <c r="E307" s="154"/>
      <c r="F307" s="470" t="s">
        <v>1908</v>
      </c>
      <c r="G307" s="462" t="s">
        <v>2920</v>
      </c>
      <c r="H307" s="156" t="s">
        <v>188</v>
      </c>
      <c r="I307" s="155" t="s">
        <v>1453</v>
      </c>
      <c r="J307" s="155"/>
      <c r="K307" s="155" t="s">
        <v>191</v>
      </c>
      <c r="L307" s="143">
        <v>4</v>
      </c>
      <c r="M307" s="144" t="s">
        <v>12</v>
      </c>
      <c r="N307" s="367">
        <v>5</v>
      </c>
      <c r="O307" s="151" t="s">
        <v>199</v>
      </c>
    </row>
    <row r="308" spans="1:15" ht="22.5">
      <c r="A308" s="142" t="s">
        <v>2921</v>
      </c>
      <c r="B308" s="142" t="s">
        <v>2922</v>
      </c>
      <c r="C308" s="145" t="s">
        <v>135</v>
      </c>
      <c r="D308" s="152" t="s">
        <v>242</v>
      </c>
      <c r="E308" s="154"/>
      <c r="F308" s="470" t="s">
        <v>1908</v>
      </c>
      <c r="G308" s="462" t="s">
        <v>2923</v>
      </c>
      <c r="H308" s="156" t="s">
        <v>188</v>
      </c>
      <c r="I308" s="155" t="s">
        <v>1453</v>
      </c>
      <c r="J308" s="155"/>
      <c r="K308" s="155" t="s">
        <v>191</v>
      </c>
      <c r="L308" s="143">
        <v>4</v>
      </c>
      <c r="M308" s="144" t="s">
        <v>12</v>
      </c>
      <c r="N308" s="367">
        <v>5</v>
      </c>
      <c r="O308" s="151" t="s">
        <v>199</v>
      </c>
    </row>
    <row r="309" spans="1:15" ht="22.5">
      <c r="A309" s="142" t="s">
        <v>2924</v>
      </c>
      <c r="B309" s="142" t="s">
        <v>2925</v>
      </c>
      <c r="C309" s="145" t="s">
        <v>135</v>
      </c>
      <c r="D309" s="152" t="s">
        <v>242</v>
      </c>
      <c r="E309" s="154"/>
      <c r="F309" s="470" t="s">
        <v>1908</v>
      </c>
      <c r="G309" s="462" t="s">
        <v>2926</v>
      </c>
      <c r="H309" s="156" t="s">
        <v>188</v>
      </c>
      <c r="I309" s="155" t="s">
        <v>1453</v>
      </c>
      <c r="J309" s="155"/>
      <c r="K309" s="155" t="s">
        <v>191</v>
      </c>
      <c r="L309" s="143">
        <v>4</v>
      </c>
      <c r="M309" s="144" t="s">
        <v>12</v>
      </c>
      <c r="N309" s="367">
        <v>5</v>
      </c>
      <c r="O309" s="151" t="s">
        <v>199</v>
      </c>
    </row>
    <row r="310" spans="1:15" ht="22.5">
      <c r="A310" s="142" t="s">
        <v>2927</v>
      </c>
      <c r="B310" s="142" t="s">
        <v>2928</v>
      </c>
      <c r="C310" s="145" t="s">
        <v>135</v>
      </c>
      <c r="D310" s="152" t="s">
        <v>242</v>
      </c>
      <c r="E310" s="154"/>
      <c r="F310" s="470" t="s">
        <v>1908</v>
      </c>
      <c r="G310" s="462" t="s">
        <v>2929</v>
      </c>
      <c r="H310" s="156" t="s">
        <v>188</v>
      </c>
      <c r="I310" s="155" t="s">
        <v>1453</v>
      </c>
      <c r="J310" s="155"/>
      <c r="K310" s="155" t="s">
        <v>191</v>
      </c>
      <c r="L310" s="143">
        <v>4</v>
      </c>
      <c r="M310" s="144" t="s">
        <v>12</v>
      </c>
      <c r="N310" s="367">
        <v>5</v>
      </c>
      <c r="O310" s="151" t="s">
        <v>199</v>
      </c>
    </row>
    <row r="311" spans="1:15" ht="22.5">
      <c r="A311" s="142" t="s">
        <v>2930</v>
      </c>
      <c r="B311" s="142" t="s">
        <v>2931</v>
      </c>
      <c r="C311" s="145" t="s">
        <v>135</v>
      </c>
      <c r="D311" s="152" t="s">
        <v>242</v>
      </c>
      <c r="E311" s="154"/>
      <c r="F311" s="470" t="s">
        <v>1908</v>
      </c>
      <c r="G311" s="462" t="s">
        <v>2932</v>
      </c>
      <c r="H311" s="156" t="s">
        <v>188</v>
      </c>
      <c r="I311" s="155" t="s">
        <v>1453</v>
      </c>
      <c r="J311" s="155"/>
      <c r="K311" s="155" t="s">
        <v>191</v>
      </c>
      <c r="L311" s="143">
        <v>4</v>
      </c>
      <c r="M311" s="144" t="s">
        <v>12</v>
      </c>
      <c r="N311" s="367">
        <v>5</v>
      </c>
      <c r="O311" s="151" t="s">
        <v>199</v>
      </c>
    </row>
    <row r="312" spans="1:15" ht="22.5">
      <c r="A312" s="142" t="s">
        <v>2933</v>
      </c>
      <c r="B312" s="142" t="s">
        <v>2934</v>
      </c>
      <c r="C312" s="145" t="s">
        <v>135</v>
      </c>
      <c r="D312" s="152" t="s">
        <v>242</v>
      </c>
      <c r="E312" s="154"/>
      <c r="F312" s="470" t="s">
        <v>1908</v>
      </c>
      <c r="G312" s="462" t="s">
        <v>2935</v>
      </c>
      <c r="H312" s="156" t="s">
        <v>188</v>
      </c>
      <c r="I312" s="155" t="s">
        <v>1453</v>
      </c>
      <c r="J312" s="155"/>
      <c r="K312" s="155" t="s">
        <v>191</v>
      </c>
      <c r="L312" s="143">
        <v>4</v>
      </c>
      <c r="M312" s="144" t="s">
        <v>12</v>
      </c>
      <c r="N312" s="367">
        <v>5</v>
      </c>
      <c r="O312" s="151" t="s">
        <v>199</v>
      </c>
    </row>
    <row r="313" spans="1:15" ht="22.5">
      <c r="A313" s="142" t="s">
        <v>2936</v>
      </c>
      <c r="B313" s="142" t="s">
        <v>2937</v>
      </c>
      <c r="C313" s="145" t="s">
        <v>135</v>
      </c>
      <c r="D313" s="152" t="s">
        <v>242</v>
      </c>
      <c r="E313" s="154"/>
      <c r="F313" s="470" t="s">
        <v>1895</v>
      </c>
      <c r="G313" s="462" t="s">
        <v>2938</v>
      </c>
      <c r="H313" s="156" t="s">
        <v>188</v>
      </c>
      <c r="I313" s="155" t="s">
        <v>1453</v>
      </c>
      <c r="J313" s="155"/>
      <c r="K313" s="155" t="s">
        <v>191</v>
      </c>
      <c r="L313" s="143">
        <v>4</v>
      </c>
      <c r="M313" s="144" t="s">
        <v>12</v>
      </c>
      <c r="N313" s="367">
        <v>5</v>
      </c>
      <c r="O313" s="151" t="s">
        <v>199</v>
      </c>
    </row>
    <row r="314" spans="1:15" ht="22.5">
      <c r="A314" s="142" t="s">
        <v>2939</v>
      </c>
      <c r="B314" s="142" t="s">
        <v>2940</v>
      </c>
      <c r="C314" s="145" t="s">
        <v>135</v>
      </c>
      <c r="D314" s="152" t="s">
        <v>242</v>
      </c>
      <c r="E314" s="154"/>
      <c r="F314" s="470" t="s">
        <v>1895</v>
      </c>
      <c r="G314" s="462" t="s">
        <v>2941</v>
      </c>
      <c r="H314" s="156" t="s">
        <v>188</v>
      </c>
      <c r="I314" s="155" t="s">
        <v>1453</v>
      </c>
      <c r="J314" s="155"/>
      <c r="K314" s="155" t="s">
        <v>191</v>
      </c>
      <c r="L314" s="143">
        <v>4</v>
      </c>
      <c r="M314" s="144" t="s">
        <v>12</v>
      </c>
      <c r="N314" s="367">
        <v>5</v>
      </c>
      <c r="O314" s="151" t="s">
        <v>199</v>
      </c>
    </row>
    <row r="315" spans="1:15" ht="22.5">
      <c r="A315" s="142" t="s">
        <v>2942</v>
      </c>
      <c r="B315" s="142" t="s">
        <v>2943</v>
      </c>
      <c r="C315" s="145" t="s">
        <v>135</v>
      </c>
      <c r="D315" s="152" t="s">
        <v>242</v>
      </c>
      <c r="E315" s="154"/>
      <c r="F315" s="470" t="s">
        <v>1942</v>
      </c>
      <c r="G315" s="462" t="s">
        <v>2944</v>
      </c>
      <c r="H315" s="156" t="s">
        <v>188</v>
      </c>
      <c r="I315" s="155" t="s">
        <v>1453</v>
      </c>
      <c r="J315" s="155"/>
      <c r="K315" s="155" t="s">
        <v>191</v>
      </c>
      <c r="L315" s="143">
        <v>4</v>
      </c>
      <c r="M315" s="144" t="s">
        <v>12</v>
      </c>
      <c r="N315" s="367">
        <v>5</v>
      </c>
      <c r="O315" s="151" t="s">
        <v>199</v>
      </c>
    </row>
    <row r="316" spans="1:15" ht="22.5">
      <c r="A316" s="142" t="s">
        <v>2945</v>
      </c>
      <c r="B316" s="142" t="s">
        <v>2946</v>
      </c>
      <c r="C316" s="145" t="s">
        <v>135</v>
      </c>
      <c r="D316" s="152" t="s">
        <v>242</v>
      </c>
      <c r="E316" s="154"/>
      <c r="F316" s="470" t="s">
        <v>1942</v>
      </c>
      <c r="G316" s="462" t="s">
        <v>2947</v>
      </c>
      <c r="H316" s="156" t="s">
        <v>188</v>
      </c>
      <c r="I316" s="155" t="s">
        <v>1453</v>
      </c>
      <c r="J316" s="155"/>
      <c r="K316" s="155" t="s">
        <v>191</v>
      </c>
      <c r="L316" s="143">
        <v>4</v>
      </c>
      <c r="M316" s="144" t="s">
        <v>12</v>
      </c>
      <c r="N316" s="367">
        <v>5</v>
      </c>
      <c r="O316" s="151" t="s">
        <v>199</v>
      </c>
    </row>
    <row r="317" spans="1:15" ht="22.5">
      <c r="A317" s="142" t="s">
        <v>2948</v>
      </c>
      <c r="B317" s="142" t="s">
        <v>2949</v>
      </c>
      <c r="C317" s="145" t="s">
        <v>135</v>
      </c>
      <c r="D317" s="152" t="s">
        <v>242</v>
      </c>
      <c r="E317" s="154"/>
      <c r="F317" s="470" t="s">
        <v>1942</v>
      </c>
      <c r="G317" s="462" t="s">
        <v>2950</v>
      </c>
      <c r="H317" s="156" t="s">
        <v>188</v>
      </c>
      <c r="I317" s="155" t="s">
        <v>1453</v>
      </c>
      <c r="J317" s="155"/>
      <c r="K317" s="155" t="s">
        <v>191</v>
      </c>
      <c r="L317" s="143">
        <v>4</v>
      </c>
      <c r="M317" s="144" t="s">
        <v>12</v>
      </c>
      <c r="N317" s="367">
        <v>5</v>
      </c>
      <c r="O317" s="151" t="s">
        <v>199</v>
      </c>
    </row>
    <row r="318" spans="1:15" ht="22.5">
      <c r="A318" s="142" t="s">
        <v>2951</v>
      </c>
      <c r="B318" s="142" t="s">
        <v>2952</v>
      </c>
      <c r="C318" s="140" t="s">
        <v>135</v>
      </c>
      <c r="D318" s="152" t="s">
        <v>242</v>
      </c>
      <c r="E318" s="154"/>
      <c r="F318" s="470" t="s">
        <v>2271</v>
      </c>
      <c r="G318" s="462" t="s">
        <v>2953</v>
      </c>
      <c r="H318" s="156" t="s">
        <v>188</v>
      </c>
      <c r="I318" s="155" t="s">
        <v>1453</v>
      </c>
      <c r="J318" s="155"/>
      <c r="K318" s="155" t="s">
        <v>191</v>
      </c>
      <c r="L318" s="143">
        <v>4</v>
      </c>
      <c r="M318" s="144" t="s">
        <v>12</v>
      </c>
      <c r="N318" s="367">
        <v>5</v>
      </c>
      <c r="O318" s="151" t="s">
        <v>199</v>
      </c>
    </row>
    <row r="319" spans="1:15" ht="22.5">
      <c r="A319" s="142" t="s">
        <v>2954</v>
      </c>
      <c r="B319" s="142" t="s">
        <v>2955</v>
      </c>
      <c r="C319" s="140" t="s">
        <v>135</v>
      </c>
      <c r="D319" s="152" t="s">
        <v>242</v>
      </c>
      <c r="E319" s="154"/>
      <c r="F319" s="470" t="s">
        <v>2271</v>
      </c>
      <c r="G319" s="462" t="s">
        <v>2956</v>
      </c>
      <c r="H319" s="156" t="s">
        <v>188</v>
      </c>
      <c r="I319" s="155" t="s">
        <v>1453</v>
      </c>
      <c r="J319" s="155"/>
      <c r="K319" s="155" t="s">
        <v>191</v>
      </c>
      <c r="L319" s="143">
        <v>4</v>
      </c>
      <c r="M319" s="144" t="s">
        <v>12</v>
      </c>
      <c r="N319" s="367">
        <v>5</v>
      </c>
      <c r="O319" s="151" t="s">
        <v>199</v>
      </c>
    </row>
    <row r="320" spans="1:15" ht="22.5">
      <c r="A320" s="142" t="s">
        <v>2957</v>
      </c>
      <c r="B320" s="142" t="s">
        <v>2958</v>
      </c>
      <c r="C320" s="140" t="s">
        <v>135</v>
      </c>
      <c r="D320" s="152" t="s">
        <v>242</v>
      </c>
      <c r="E320" s="154"/>
      <c r="F320" s="470" t="s">
        <v>2271</v>
      </c>
      <c r="G320" s="462" t="s">
        <v>2959</v>
      </c>
      <c r="H320" s="156" t="s">
        <v>188</v>
      </c>
      <c r="I320" s="155" t="s">
        <v>1453</v>
      </c>
      <c r="J320" s="155"/>
      <c r="K320" s="155" t="s">
        <v>191</v>
      </c>
      <c r="L320" s="143">
        <v>4</v>
      </c>
      <c r="M320" s="144" t="s">
        <v>12</v>
      </c>
      <c r="N320" s="367">
        <v>5</v>
      </c>
      <c r="O320" s="151" t="s">
        <v>199</v>
      </c>
    </row>
    <row r="321" spans="1:15" ht="22.5">
      <c r="A321" s="145" t="s">
        <v>2960</v>
      </c>
      <c r="B321" s="142" t="s">
        <v>2961</v>
      </c>
      <c r="C321" s="140" t="s">
        <v>2962</v>
      </c>
      <c r="D321" s="152" t="s">
        <v>242</v>
      </c>
      <c r="E321" s="154"/>
      <c r="F321" s="470" t="s">
        <v>1987</v>
      </c>
      <c r="G321" s="462" t="s">
        <v>2963</v>
      </c>
      <c r="H321" s="156" t="s">
        <v>188</v>
      </c>
      <c r="I321" s="155" t="s">
        <v>1453</v>
      </c>
      <c r="J321" s="155"/>
      <c r="K321" s="155" t="s">
        <v>191</v>
      </c>
      <c r="L321" s="143">
        <v>4</v>
      </c>
      <c r="M321" s="144" t="s">
        <v>12</v>
      </c>
      <c r="N321" s="367">
        <v>5</v>
      </c>
      <c r="O321" s="151" t="s">
        <v>199</v>
      </c>
    </row>
    <row r="322" spans="1:15" ht="22.5">
      <c r="A322" s="145" t="s">
        <v>2964</v>
      </c>
      <c r="B322" s="142" t="s">
        <v>2965</v>
      </c>
      <c r="C322" s="140" t="s">
        <v>135</v>
      </c>
      <c r="D322" s="152" t="s">
        <v>242</v>
      </c>
      <c r="E322" s="154"/>
      <c r="F322" s="470" t="s">
        <v>1908</v>
      </c>
      <c r="G322" s="462" t="s">
        <v>2966</v>
      </c>
      <c r="H322" s="156" t="s">
        <v>188</v>
      </c>
      <c r="I322" s="155" t="s">
        <v>1453</v>
      </c>
      <c r="J322" s="155"/>
      <c r="K322" s="155" t="s">
        <v>191</v>
      </c>
      <c r="L322" s="143">
        <v>4</v>
      </c>
      <c r="M322" s="144" t="s">
        <v>12</v>
      </c>
      <c r="N322" s="367">
        <v>5</v>
      </c>
      <c r="O322" s="151" t="s">
        <v>199</v>
      </c>
    </row>
    <row r="323" spans="1:15" ht="22.5">
      <c r="A323" s="145" t="s">
        <v>2967</v>
      </c>
      <c r="B323" s="142" t="s">
        <v>2968</v>
      </c>
      <c r="C323" s="140" t="s">
        <v>135</v>
      </c>
      <c r="D323" s="152" t="s">
        <v>242</v>
      </c>
      <c r="E323" s="154"/>
      <c r="F323" s="470" t="s">
        <v>1908</v>
      </c>
      <c r="G323" s="462" t="s">
        <v>2969</v>
      </c>
      <c r="H323" s="156" t="s">
        <v>188</v>
      </c>
      <c r="I323" s="155" t="s">
        <v>1453</v>
      </c>
      <c r="J323" s="155"/>
      <c r="K323" s="155" t="s">
        <v>191</v>
      </c>
      <c r="L323" s="143">
        <v>4</v>
      </c>
      <c r="M323" s="144" t="s">
        <v>12</v>
      </c>
      <c r="N323" s="367">
        <v>5</v>
      </c>
      <c r="O323" s="151" t="s">
        <v>199</v>
      </c>
    </row>
    <row r="324" spans="1:15" ht="22.5">
      <c r="A324" s="145" t="s">
        <v>2970</v>
      </c>
      <c r="B324" s="142" t="s">
        <v>2971</v>
      </c>
      <c r="C324" s="140" t="s">
        <v>2972</v>
      </c>
      <c r="D324" s="152" t="s">
        <v>242</v>
      </c>
      <c r="E324" s="154"/>
      <c r="F324" s="470" t="s">
        <v>1867</v>
      </c>
      <c r="G324" s="462" t="s">
        <v>2973</v>
      </c>
      <c r="H324" s="156" t="s">
        <v>188</v>
      </c>
      <c r="I324" s="155" t="s">
        <v>1453</v>
      </c>
      <c r="J324" s="155"/>
      <c r="K324" s="155" t="s">
        <v>191</v>
      </c>
      <c r="L324" s="143">
        <v>4</v>
      </c>
      <c r="M324" s="144" t="s">
        <v>12</v>
      </c>
      <c r="N324" s="367">
        <v>5</v>
      </c>
      <c r="O324" s="151" t="s">
        <v>199</v>
      </c>
    </row>
    <row r="325" spans="1:15" ht="22.5">
      <c r="A325" s="145" t="s">
        <v>2974</v>
      </c>
      <c r="B325" s="142" t="s">
        <v>2975</v>
      </c>
      <c r="C325" s="140" t="s">
        <v>135</v>
      </c>
      <c r="D325" s="152" t="s">
        <v>242</v>
      </c>
      <c r="E325" s="154"/>
      <c r="F325" s="470" t="s">
        <v>1908</v>
      </c>
      <c r="G325" s="462" t="s">
        <v>2976</v>
      </c>
      <c r="H325" s="156" t="s">
        <v>188</v>
      </c>
      <c r="I325" s="155" t="s">
        <v>1453</v>
      </c>
      <c r="J325" s="155"/>
      <c r="K325" s="155" t="s">
        <v>191</v>
      </c>
      <c r="L325" s="143">
        <v>4</v>
      </c>
      <c r="M325" s="144" t="s">
        <v>12</v>
      </c>
      <c r="N325" s="367">
        <v>5</v>
      </c>
      <c r="O325" s="151" t="s">
        <v>199</v>
      </c>
    </row>
    <row r="326" spans="1:15" ht="22.5">
      <c r="A326" s="145" t="s">
        <v>2977</v>
      </c>
      <c r="B326" s="142" t="s">
        <v>2978</v>
      </c>
      <c r="C326" s="140" t="s">
        <v>135</v>
      </c>
      <c r="D326" s="152" t="s">
        <v>242</v>
      </c>
      <c r="E326" s="154"/>
      <c r="F326" s="470" t="s">
        <v>1908</v>
      </c>
      <c r="G326" s="462" t="s">
        <v>2979</v>
      </c>
      <c r="H326" s="156" t="s">
        <v>188</v>
      </c>
      <c r="I326" s="155" t="s">
        <v>1453</v>
      </c>
      <c r="J326" s="155"/>
      <c r="K326" s="155" t="s">
        <v>191</v>
      </c>
      <c r="L326" s="143">
        <v>4</v>
      </c>
      <c r="M326" s="144" t="s">
        <v>12</v>
      </c>
      <c r="N326" s="367">
        <v>5</v>
      </c>
      <c r="O326" s="151" t="s">
        <v>199</v>
      </c>
    </row>
    <row r="327" spans="1:15" ht="22.5">
      <c r="A327" s="145" t="s">
        <v>2980</v>
      </c>
      <c r="B327" s="142" t="s">
        <v>2981</v>
      </c>
      <c r="C327" s="140" t="s">
        <v>135</v>
      </c>
      <c r="D327" s="152" t="s">
        <v>242</v>
      </c>
      <c r="E327" s="154"/>
      <c r="F327" s="470" t="s">
        <v>1908</v>
      </c>
      <c r="G327" s="462" t="s">
        <v>2982</v>
      </c>
      <c r="H327" s="156" t="s">
        <v>188</v>
      </c>
      <c r="I327" s="155" t="s">
        <v>1453</v>
      </c>
      <c r="J327" s="155"/>
      <c r="K327" s="155" t="s">
        <v>191</v>
      </c>
      <c r="L327" s="143">
        <v>4</v>
      </c>
      <c r="M327" s="144" t="s">
        <v>12</v>
      </c>
      <c r="N327" s="367">
        <v>5</v>
      </c>
      <c r="O327" s="151" t="s">
        <v>199</v>
      </c>
    </row>
    <row r="328" spans="1:15" ht="22.5">
      <c r="A328" s="145" t="s">
        <v>2983</v>
      </c>
      <c r="B328" s="142" t="s">
        <v>2984</v>
      </c>
      <c r="C328" s="140" t="s">
        <v>135</v>
      </c>
      <c r="D328" s="152" t="s">
        <v>242</v>
      </c>
      <c r="E328" s="154"/>
      <c r="F328" s="470" t="s">
        <v>1908</v>
      </c>
      <c r="G328" s="462" t="s">
        <v>2985</v>
      </c>
      <c r="H328" s="156" t="s">
        <v>188</v>
      </c>
      <c r="I328" s="155" t="s">
        <v>1453</v>
      </c>
      <c r="J328" s="155"/>
      <c r="K328" s="155" t="s">
        <v>191</v>
      </c>
      <c r="L328" s="143">
        <v>4</v>
      </c>
      <c r="M328" s="144" t="s">
        <v>12</v>
      </c>
      <c r="N328" s="367">
        <v>5</v>
      </c>
      <c r="O328" s="151" t="s">
        <v>199</v>
      </c>
    </row>
    <row r="329" spans="1:15" ht="22.5">
      <c r="A329" s="145" t="s">
        <v>2986</v>
      </c>
      <c r="B329" s="142" t="s">
        <v>2987</v>
      </c>
      <c r="C329" s="140" t="s">
        <v>135</v>
      </c>
      <c r="D329" s="152" t="s">
        <v>242</v>
      </c>
      <c r="E329" s="154"/>
      <c r="F329" s="470" t="s">
        <v>1908</v>
      </c>
      <c r="G329" s="462" t="s">
        <v>2988</v>
      </c>
      <c r="H329" s="156" t="s">
        <v>188</v>
      </c>
      <c r="I329" s="155" t="s">
        <v>1453</v>
      </c>
      <c r="J329" s="155"/>
      <c r="K329" s="155" t="s">
        <v>191</v>
      </c>
      <c r="L329" s="143">
        <v>4</v>
      </c>
      <c r="M329" s="144" t="s">
        <v>12</v>
      </c>
      <c r="N329" s="367">
        <v>5</v>
      </c>
      <c r="O329" s="151" t="s">
        <v>199</v>
      </c>
    </row>
    <row r="330" spans="1:15" ht="22.5">
      <c r="A330" s="145" t="s">
        <v>2989</v>
      </c>
      <c r="B330" s="142" t="s">
        <v>2990</v>
      </c>
      <c r="C330" s="140" t="s">
        <v>2991</v>
      </c>
      <c r="D330" s="152" t="s">
        <v>242</v>
      </c>
      <c r="E330" s="154"/>
      <c r="F330" s="470" t="s">
        <v>2992</v>
      </c>
      <c r="G330" s="462" t="s">
        <v>2993</v>
      </c>
      <c r="H330" s="156" t="s">
        <v>188</v>
      </c>
      <c r="I330" s="155" t="s">
        <v>1453</v>
      </c>
      <c r="J330" s="155"/>
      <c r="K330" s="155" t="s">
        <v>191</v>
      </c>
      <c r="L330" s="143">
        <v>4</v>
      </c>
      <c r="M330" s="144" t="s">
        <v>12</v>
      </c>
      <c r="N330" s="367">
        <v>5</v>
      </c>
      <c r="O330" s="151" t="s">
        <v>199</v>
      </c>
    </row>
    <row r="331" spans="1:15" ht="22.5">
      <c r="A331" s="145" t="s">
        <v>2994</v>
      </c>
      <c r="B331" s="152" t="s">
        <v>2995</v>
      </c>
      <c r="C331" s="152" t="s">
        <v>2996</v>
      </c>
      <c r="D331" s="152" t="s">
        <v>242</v>
      </c>
      <c r="E331" s="154"/>
      <c r="F331" s="470" t="s">
        <v>2267</v>
      </c>
      <c r="G331" s="336" t="s">
        <v>2997</v>
      </c>
      <c r="H331" s="155" t="s">
        <v>198</v>
      </c>
      <c r="I331" s="155" t="s">
        <v>2998</v>
      </c>
      <c r="J331" s="155"/>
      <c r="K331" s="155" t="s">
        <v>191</v>
      </c>
      <c r="L331" s="143">
        <v>4</v>
      </c>
      <c r="M331" s="144" t="s">
        <v>12</v>
      </c>
      <c r="N331" s="367">
        <v>5</v>
      </c>
      <c r="O331" s="151" t="s">
        <v>199</v>
      </c>
    </row>
    <row r="332" spans="1:15" ht="22.5">
      <c r="A332" s="145" t="s">
        <v>2999</v>
      </c>
      <c r="B332" s="152" t="s">
        <v>3000</v>
      </c>
      <c r="C332" s="152" t="s">
        <v>3001</v>
      </c>
      <c r="D332" s="152" t="s">
        <v>242</v>
      </c>
      <c r="E332" s="154"/>
      <c r="F332" s="470" t="s">
        <v>2267</v>
      </c>
      <c r="G332" s="336" t="s">
        <v>3002</v>
      </c>
      <c r="H332" s="155" t="s">
        <v>198</v>
      </c>
      <c r="I332" s="155" t="s">
        <v>3003</v>
      </c>
      <c r="J332" s="155"/>
      <c r="K332" s="155" t="s">
        <v>191</v>
      </c>
      <c r="L332" s="143">
        <v>4</v>
      </c>
      <c r="M332" s="144" t="s">
        <v>12</v>
      </c>
      <c r="N332" s="367">
        <v>5</v>
      </c>
      <c r="O332" s="151" t="s">
        <v>199</v>
      </c>
    </row>
    <row r="333" spans="1:15" ht="22.5">
      <c r="A333" s="145" t="s">
        <v>3004</v>
      </c>
      <c r="B333" s="152" t="s">
        <v>3005</v>
      </c>
      <c r="C333" s="152" t="s">
        <v>3006</v>
      </c>
      <c r="D333" s="152" t="s">
        <v>242</v>
      </c>
      <c r="E333" s="154"/>
      <c r="F333" s="470" t="s">
        <v>2267</v>
      </c>
      <c r="G333" s="336" t="s">
        <v>3007</v>
      </c>
      <c r="H333" s="155" t="s">
        <v>198</v>
      </c>
      <c r="I333" s="155" t="s">
        <v>3003</v>
      </c>
      <c r="J333" s="155"/>
      <c r="K333" s="155" t="s">
        <v>191</v>
      </c>
      <c r="L333" s="143">
        <v>4</v>
      </c>
      <c r="M333" s="144" t="s">
        <v>12</v>
      </c>
      <c r="N333" s="367">
        <v>5</v>
      </c>
      <c r="O333" s="151" t="s">
        <v>199</v>
      </c>
    </row>
    <row r="334" spans="1:15" ht="33.75">
      <c r="A334" s="145" t="s">
        <v>3008</v>
      </c>
      <c r="B334" s="152" t="s">
        <v>3009</v>
      </c>
      <c r="C334" s="152" t="s">
        <v>758</v>
      </c>
      <c r="D334" s="152" t="s">
        <v>242</v>
      </c>
      <c r="E334" s="154"/>
      <c r="F334" s="470" t="s">
        <v>2339</v>
      </c>
      <c r="G334" s="336" t="s">
        <v>3010</v>
      </c>
      <c r="H334" s="155" t="s">
        <v>198</v>
      </c>
      <c r="I334" s="155" t="s">
        <v>3003</v>
      </c>
      <c r="J334" s="155"/>
      <c r="K334" s="155" t="s">
        <v>191</v>
      </c>
      <c r="L334" s="143">
        <v>4</v>
      </c>
      <c r="M334" s="144" t="s">
        <v>12</v>
      </c>
      <c r="N334" s="367">
        <v>5</v>
      </c>
      <c r="O334" s="151" t="s">
        <v>199</v>
      </c>
    </row>
    <row r="335" spans="1:15" ht="135">
      <c r="A335" s="145" t="s">
        <v>3011</v>
      </c>
      <c r="B335" s="152" t="s">
        <v>3012</v>
      </c>
      <c r="C335" s="152" t="s">
        <v>3013</v>
      </c>
      <c r="D335" s="152" t="s">
        <v>242</v>
      </c>
      <c r="E335" s="154"/>
      <c r="F335" s="470" t="s">
        <v>2120</v>
      </c>
      <c r="G335" s="336" t="s">
        <v>3014</v>
      </c>
      <c r="H335" s="155" t="s">
        <v>204</v>
      </c>
      <c r="I335" s="155" t="s">
        <v>3015</v>
      </c>
      <c r="J335" s="155"/>
      <c r="K335" s="155" t="s">
        <v>191</v>
      </c>
      <c r="L335" s="143">
        <v>4</v>
      </c>
      <c r="M335" s="144" t="s">
        <v>12</v>
      </c>
      <c r="N335" s="367">
        <v>5</v>
      </c>
      <c r="O335" s="151" t="s">
        <v>199</v>
      </c>
    </row>
    <row r="336" spans="1:15" ht="180">
      <c r="A336" s="145" t="s">
        <v>3016</v>
      </c>
      <c r="B336" s="152" t="s">
        <v>3017</v>
      </c>
      <c r="C336" s="152" t="s">
        <v>3018</v>
      </c>
      <c r="D336" s="152" t="s">
        <v>242</v>
      </c>
      <c r="E336" s="154"/>
      <c r="F336" s="470" t="s">
        <v>2120</v>
      </c>
      <c r="G336" s="336" t="s">
        <v>3019</v>
      </c>
      <c r="H336" s="155" t="s">
        <v>204</v>
      </c>
      <c r="I336" s="155" t="s">
        <v>3020</v>
      </c>
      <c r="J336" s="155"/>
      <c r="K336" s="155" t="s">
        <v>191</v>
      </c>
      <c r="L336" s="143">
        <v>4</v>
      </c>
      <c r="M336" s="144" t="s">
        <v>12</v>
      </c>
      <c r="N336" s="367">
        <v>5</v>
      </c>
      <c r="O336" s="151" t="s">
        <v>199</v>
      </c>
    </row>
    <row r="337" spans="1:15" ht="45">
      <c r="A337" s="145" t="s">
        <v>3021</v>
      </c>
      <c r="B337" s="152" t="s">
        <v>3022</v>
      </c>
      <c r="C337" s="152" t="s">
        <v>3023</v>
      </c>
      <c r="D337" s="152" t="s">
        <v>242</v>
      </c>
      <c r="E337" s="154"/>
      <c r="F337" s="470" t="s">
        <v>3024</v>
      </c>
      <c r="G337" s="336" t="s">
        <v>3025</v>
      </c>
      <c r="H337" s="155" t="s">
        <v>198</v>
      </c>
      <c r="I337" s="155" t="s">
        <v>3026</v>
      </c>
      <c r="J337" s="155"/>
      <c r="K337" s="155" t="s">
        <v>191</v>
      </c>
      <c r="L337" s="143">
        <v>4</v>
      </c>
      <c r="M337" s="144" t="s">
        <v>12</v>
      </c>
      <c r="N337" s="367">
        <v>5</v>
      </c>
      <c r="O337" s="151" t="s">
        <v>199</v>
      </c>
    </row>
    <row r="338" spans="1:15" ht="56.25">
      <c r="A338" s="145" t="s">
        <v>3027</v>
      </c>
      <c r="B338" s="152" t="s">
        <v>3028</v>
      </c>
      <c r="C338" s="152" t="s">
        <v>3029</v>
      </c>
      <c r="D338" s="152" t="s">
        <v>242</v>
      </c>
      <c r="E338" s="154"/>
      <c r="F338" s="470" t="s">
        <v>2120</v>
      </c>
      <c r="G338" s="336" t="s">
        <v>3030</v>
      </c>
      <c r="H338" s="155" t="s">
        <v>198</v>
      </c>
      <c r="I338" s="155" t="s">
        <v>3031</v>
      </c>
      <c r="J338" s="155"/>
      <c r="K338" s="155" t="s">
        <v>191</v>
      </c>
      <c r="L338" s="143">
        <v>4</v>
      </c>
      <c r="M338" s="144" t="s">
        <v>12</v>
      </c>
      <c r="N338" s="367">
        <v>5</v>
      </c>
      <c r="O338" s="151" t="s">
        <v>199</v>
      </c>
    </row>
    <row r="339" spans="1:15" ht="22.5">
      <c r="A339" s="145" t="s">
        <v>3032</v>
      </c>
      <c r="B339" s="142" t="s">
        <v>3033</v>
      </c>
      <c r="C339" s="152" t="s">
        <v>758</v>
      </c>
      <c r="D339" s="152" t="s">
        <v>242</v>
      </c>
      <c r="E339" s="154"/>
      <c r="F339" s="470" t="s">
        <v>3034</v>
      </c>
      <c r="G339" s="462" t="s">
        <v>3035</v>
      </c>
      <c r="H339" s="156" t="s">
        <v>204</v>
      </c>
      <c r="I339" s="155" t="s">
        <v>3036</v>
      </c>
      <c r="J339" s="155"/>
      <c r="K339" s="155" t="s">
        <v>191</v>
      </c>
      <c r="L339" s="143">
        <v>4</v>
      </c>
      <c r="M339" s="144" t="s">
        <v>12</v>
      </c>
      <c r="N339" s="367">
        <v>5</v>
      </c>
      <c r="O339" s="151" t="s">
        <v>199</v>
      </c>
    </row>
    <row r="340" spans="1:15" ht="22.5">
      <c r="A340" s="145" t="s">
        <v>3037</v>
      </c>
      <c r="B340" s="142" t="s">
        <v>3038</v>
      </c>
      <c r="C340" s="152" t="s">
        <v>758</v>
      </c>
      <c r="D340" s="152" t="s">
        <v>242</v>
      </c>
      <c r="E340" s="154"/>
      <c r="F340" s="470" t="s">
        <v>3034</v>
      </c>
      <c r="G340" s="462" t="s">
        <v>3039</v>
      </c>
      <c r="H340" s="156" t="s">
        <v>204</v>
      </c>
      <c r="I340" s="155"/>
      <c r="J340" s="155"/>
      <c r="K340" s="155" t="s">
        <v>191</v>
      </c>
      <c r="L340" s="143">
        <v>4</v>
      </c>
      <c r="M340" s="144" t="s">
        <v>12</v>
      </c>
      <c r="N340" s="367">
        <v>5</v>
      </c>
      <c r="O340" s="151" t="s">
        <v>199</v>
      </c>
    </row>
    <row r="341" spans="1:15" ht="22.5">
      <c r="A341" s="145" t="s">
        <v>3040</v>
      </c>
      <c r="B341" s="142" t="s">
        <v>3041</v>
      </c>
      <c r="C341" s="152" t="s">
        <v>758</v>
      </c>
      <c r="D341" s="152" t="s">
        <v>242</v>
      </c>
      <c r="E341" s="154"/>
      <c r="F341" s="470" t="s">
        <v>3034</v>
      </c>
      <c r="G341" s="462" t="s">
        <v>3042</v>
      </c>
      <c r="H341" s="156" t="s">
        <v>204</v>
      </c>
      <c r="I341" s="155" t="s">
        <v>3036</v>
      </c>
      <c r="J341" s="155"/>
      <c r="K341" s="155" t="s">
        <v>191</v>
      </c>
      <c r="L341" s="143">
        <v>4</v>
      </c>
      <c r="M341" s="144" t="s">
        <v>12</v>
      </c>
      <c r="N341" s="367">
        <v>5</v>
      </c>
      <c r="O341" s="151" t="s">
        <v>199</v>
      </c>
    </row>
    <row r="342" spans="1:15" ht="22.5">
      <c r="A342" s="145" t="s">
        <v>3043</v>
      </c>
      <c r="B342" s="142" t="s">
        <v>3044</v>
      </c>
      <c r="C342" s="152" t="s">
        <v>758</v>
      </c>
      <c r="D342" s="152" t="s">
        <v>242</v>
      </c>
      <c r="E342" s="154"/>
      <c r="F342" s="470" t="s">
        <v>3034</v>
      </c>
      <c r="G342" s="462" t="s">
        <v>3045</v>
      </c>
      <c r="H342" s="156" t="s">
        <v>204</v>
      </c>
      <c r="I342" s="155"/>
      <c r="J342" s="155"/>
      <c r="K342" s="155" t="s">
        <v>191</v>
      </c>
      <c r="L342" s="143">
        <v>4</v>
      </c>
      <c r="M342" s="144" t="s">
        <v>12</v>
      </c>
      <c r="N342" s="367">
        <v>5</v>
      </c>
      <c r="O342" s="151" t="s">
        <v>199</v>
      </c>
    </row>
    <row r="343" spans="1:15" ht="22.5">
      <c r="A343" s="145" t="s">
        <v>3046</v>
      </c>
      <c r="B343" s="142" t="s">
        <v>3047</v>
      </c>
      <c r="C343" s="152" t="s">
        <v>758</v>
      </c>
      <c r="D343" s="152" t="s">
        <v>242</v>
      </c>
      <c r="E343" s="154"/>
      <c r="F343" s="470" t="s">
        <v>2259</v>
      </c>
      <c r="G343" s="462" t="s">
        <v>3048</v>
      </c>
      <c r="H343" s="156" t="s">
        <v>204</v>
      </c>
      <c r="I343" s="155" t="s">
        <v>3036</v>
      </c>
      <c r="J343" s="155"/>
      <c r="K343" s="155" t="s">
        <v>191</v>
      </c>
      <c r="L343" s="143">
        <v>4</v>
      </c>
      <c r="M343" s="144" t="s">
        <v>12</v>
      </c>
      <c r="N343" s="367">
        <v>5</v>
      </c>
      <c r="O343" s="151" t="s">
        <v>199</v>
      </c>
    </row>
    <row r="344" spans="1:15" ht="22.5">
      <c r="A344" s="145" t="s">
        <v>3049</v>
      </c>
      <c r="B344" s="142" t="s">
        <v>3050</v>
      </c>
      <c r="C344" s="152" t="s">
        <v>758</v>
      </c>
      <c r="D344" s="152" t="s">
        <v>242</v>
      </c>
      <c r="E344" s="154"/>
      <c r="F344" s="470" t="s">
        <v>2259</v>
      </c>
      <c r="G344" s="462" t="s">
        <v>3051</v>
      </c>
      <c r="H344" s="156" t="s">
        <v>204</v>
      </c>
      <c r="I344" s="155" t="s">
        <v>3052</v>
      </c>
      <c r="J344" s="155"/>
      <c r="K344" s="155" t="s">
        <v>191</v>
      </c>
      <c r="L344" s="143">
        <v>4</v>
      </c>
      <c r="M344" s="144" t="s">
        <v>12</v>
      </c>
      <c r="N344" s="367">
        <v>5</v>
      </c>
      <c r="O344" s="151" t="s">
        <v>199</v>
      </c>
    </row>
    <row r="345" spans="1:15" ht="11.25">
      <c r="A345" s="145" t="s">
        <v>3053</v>
      </c>
      <c r="B345" s="142" t="s">
        <v>3054</v>
      </c>
      <c r="C345" s="152" t="s">
        <v>758</v>
      </c>
      <c r="D345" s="152" t="s">
        <v>242</v>
      </c>
      <c r="E345" s="154"/>
      <c r="F345" s="470" t="s">
        <v>3055</v>
      </c>
      <c r="G345" s="462" t="s">
        <v>3056</v>
      </c>
      <c r="H345" s="156" t="s">
        <v>204</v>
      </c>
      <c r="I345" s="155" t="s">
        <v>3036</v>
      </c>
      <c r="J345" s="155"/>
      <c r="K345" s="155" t="s">
        <v>191</v>
      </c>
      <c r="L345" s="143">
        <v>4</v>
      </c>
      <c r="M345" s="144" t="s">
        <v>12</v>
      </c>
      <c r="N345" s="367">
        <v>5</v>
      </c>
      <c r="O345" s="151" t="s">
        <v>199</v>
      </c>
    </row>
    <row r="346" spans="1:15" ht="22.5">
      <c r="A346" s="145" t="s">
        <v>3057</v>
      </c>
      <c r="B346" s="142" t="s">
        <v>3058</v>
      </c>
      <c r="C346" s="152" t="s">
        <v>758</v>
      </c>
      <c r="D346" s="152" t="s">
        <v>242</v>
      </c>
      <c r="E346" s="154"/>
      <c r="F346" s="470" t="s">
        <v>3055</v>
      </c>
      <c r="G346" s="462" t="s">
        <v>3059</v>
      </c>
      <c r="H346" s="156" t="s">
        <v>204</v>
      </c>
      <c r="I346" s="155" t="s">
        <v>3052</v>
      </c>
      <c r="J346" s="155"/>
      <c r="K346" s="155" t="s">
        <v>191</v>
      </c>
      <c r="L346" s="143">
        <v>4</v>
      </c>
      <c r="M346" s="144" t="s">
        <v>12</v>
      </c>
      <c r="N346" s="367">
        <v>5</v>
      </c>
      <c r="O346" s="151" t="s">
        <v>199</v>
      </c>
    </row>
    <row r="347" spans="1:15" ht="22.5">
      <c r="A347" s="145" t="s">
        <v>3060</v>
      </c>
      <c r="B347" s="142" t="s">
        <v>3061</v>
      </c>
      <c r="C347" s="152" t="s">
        <v>758</v>
      </c>
      <c r="D347" s="152" t="s">
        <v>242</v>
      </c>
      <c r="E347" s="154"/>
      <c r="F347" s="470" t="s">
        <v>2259</v>
      </c>
      <c r="G347" s="462" t="s">
        <v>3062</v>
      </c>
      <c r="H347" s="156" t="s">
        <v>204</v>
      </c>
      <c r="I347" s="155" t="s">
        <v>3063</v>
      </c>
      <c r="J347" s="155"/>
      <c r="K347" s="155" t="s">
        <v>191</v>
      </c>
      <c r="L347" s="143">
        <v>4</v>
      </c>
      <c r="M347" s="144" t="s">
        <v>12</v>
      </c>
      <c r="N347" s="367">
        <v>5</v>
      </c>
      <c r="O347" s="151" t="s">
        <v>199</v>
      </c>
    </row>
    <row r="348" spans="1:15" ht="22.5">
      <c r="A348" s="145" t="s">
        <v>3064</v>
      </c>
      <c r="B348" s="142" t="s">
        <v>3065</v>
      </c>
      <c r="C348" s="152" t="s">
        <v>758</v>
      </c>
      <c r="D348" s="152" t="s">
        <v>242</v>
      </c>
      <c r="E348" s="154"/>
      <c r="F348" s="470" t="s">
        <v>3034</v>
      </c>
      <c r="G348" s="462" t="s">
        <v>3066</v>
      </c>
      <c r="H348" s="156" t="s">
        <v>204</v>
      </c>
      <c r="I348" s="155" t="s">
        <v>3067</v>
      </c>
      <c r="J348" s="155"/>
      <c r="K348" s="155" t="s">
        <v>191</v>
      </c>
      <c r="L348" s="143">
        <v>4</v>
      </c>
      <c r="M348" s="144" t="s">
        <v>12</v>
      </c>
      <c r="N348" s="367">
        <v>5</v>
      </c>
      <c r="O348" s="151" t="s">
        <v>199</v>
      </c>
    </row>
    <row r="349" spans="1:15" ht="22.5">
      <c r="A349" s="145" t="s">
        <v>3068</v>
      </c>
      <c r="B349" s="142" t="s">
        <v>3069</v>
      </c>
      <c r="C349" s="152" t="s">
        <v>758</v>
      </c>
      <c r="D349" s="152" t="s">
        <v>242</v>
      </c>
      <c r="E349" s="154"/>
      <c r="F349" s="470" t="s">
        <v>3034</v>
      </c>
      <c r="G349" s="462" t="s">
        <v>3070</v>
      </c>
      <c r="H349" s="156" t="s">
        <v>204</v>
      </c>
      <c r="I349" s="155" t="s">
        <v>3067</v>
      </c>
      <c r="J349" s="155"/>
      <c r="K349" s="155" t="s">
        <v>191</v>
      </c>
      <c r="L349" s="143">
        <v>4</v>
      </c>
      <c r="M349" s="144" t="s">
        <v>12</v>
      </c>
      <c r="N349" s="367">
        <v>5</v>
      </c>
      <c r="O349" s="151" t="s">
        <v>199</v>
      </c>
    </row>
    <row r="350" spans="1:15" ht="28.5" customHeight="1">
      <c r="A350" s="145" t="s">
        <v>3071</v>
      </c>
      <c r="B350" s="142" t="s">
        <v>3072</v>
      </c>
      <c r="C350" s="152" t="s">
        <v>758</v>
      </c>
      <c r="D350" s="152" t="s">
        <v>242</v>
      </c>
      <c r="E350" s="154"/>
      <c r="F350" s="470" t="s">
        <v>3055</v>
      </c>
      <c r="G350" s="462" t="s">
        <v>3073</v>
      </c>
      <c r="H350" s="156" t="s">
        <v>204</v>
      </c>
      <c r="I350" s="155" t="s">
        <v>3063</v>
      </c>
      <c r="J350" s="155"/>
      <c r="K350" s="155" t="s">
        <v>191</v>
      </c>
      <c r="L350" s="143">
        <v>4</v>
      </c>
      <c r="M350" s="144" t="s">
        <v>12</v>
      </c>
      <c r="N350" s="367">
        <v>5</v>
      </c>
      <c r="O350" s="151" t="s">
        <v>199</v>
      </c>
    </row>
    <row r="351" spans="1:15" ht="22.5">
      <c r="A351" s="145" t="s">
        <v>3074</v>
      </c>
      <c r="B351" s="142" t="s">
        <v>3075</v>
      </c>
      <c r="C351" s="152" t="s">
        <v>758</v>
      </c>
      <c r="D351" s="152" t="s">
        <v>242</v>
      </c>
      <c r="E351" s="154"/>
      <c r="F351" s="470" t="s">
        <v>3034</v>
      </c>
      <c r="G351" s="462" t="s">
        <v>3051</v>
      </c>
      <c r="H351" s="156" t="s">
        <v>204</v>
      </c>
      <c r="I351" s="155" t="s">
        <v>3076</v>
      </c>
      <c r="J351" s="155"/>
      <c r="K351" s="155" t="s">
        <v>191</v>
      </c>
      <c r="L351" s="143">
        <v>4</v>
      </c>
      <c r="M351" s="144" t="s">
        <v>12</v>
      </c>
      <c r="N351" s="367">
        <v>5</v>
      </c>
      <c r="O351" s="151" t="s">
        <v>199</v>
      </c>
    </row>
    <row r="352" spans="1:15" ht="22.5">
      <c r="A352" s="145" t="s">
        <v>3077</v>
      </c>
      <c r="B352" s="142" t="s">
        <v>3078</v>
      </c>
      <c r="C352" s="152" t="s">
        <v>758</v>
      </c>
      <c r="D352" s="152" t="s">
        <v>242</v>
      </c>
      <c r="E352" s="154"/>
      <c r="F352" s="470" t="s">
        <v>3034</v>
      </c>
      <c r="G352" s="462" t="s">
        <v>3059</v>
      </c>
      <c r="H352" s="156" t="s">
        <v>204</v>
      </c>
      <c r="I352" s="155" t="s">
        <v>3076</v>
      </c>
      <c r="J352" s="155"/>
      <c r="K352" s="155" t="s">
        <v>191</v>
      </c>
      <c r="L352" s="143">
        <v>4</v>
      </c>
      <c r="M352" s="144" t="s">
        <v>12</v>
      </c>
      <c r="N352" s="367">
        <v>5</v>
      </c>
      <c r="O352" s="151" t="s">
        <v>199</v>
      </c>
    </row>
    <row r="353" spans="1:15" ht="22.5">
      <c r="A353" s="145" t="s">
        <v>3079</v>
      </c>
      <c r="B353" s="142" t="s">
        <v>3080</v>
      </c>
      <c r="C353" s="152" t="s">
        <v>758</v>
      </c>
      <c r="D353" s="152" t="s">
        <v>242</v>
      </c>
      <c r="E353" s="154"/>
      <c r="F353" s="470" t="s">
        <v>3034</v>
      </c>
      <c r="G353" s="462" t="s">
        <v>3081</v>
      </c>
      <c r="H353" s="156" t="s">
        <v>204</v>
      </c>
      <c r="I353" s="155" t="s">
        <v>3082</v>
      </c>
      <c r="J353" s="155"/>
      <c r="K353" s="155" t="s">
        <v>191</v>
      </c>
      <c r="L353" s="143">
        <v>4</v>
      </c>
      <c r="M353" s="144" t="s">
        <v>12</v>
      </c>
      <c r="N353" s="367">
        <v>5</v>
      </c>
      <c r="O353" s="151" t="s">
        <v>199</v>
      </c>
    </row>
    <row r="354" spans="1:15" ht="22.5">
      <c r="A354" s="145" t="s">
        <v>3083</v>
      </c>
      <c r="B354" s="142" t="s">
        <v>3084</v>
      </c>
      <c r="C354" s="152" t="s">
        <v>758</v>
      </c>
      <c r="D354" s="152" t="s">
        <v>242</v>
      </c>
      <c r="E354" s="154"/>
      <c r="F354" s="470" t="s">
        <v>3034</v>
      </c>
      <c r="G354" s="462" t="s">
        <v>3085</v>
      </c>
      <c r="H354" s="156" t="s">
        <v>204</v>
      </c>
      <c r="I354" s="155" t="s">
        <v>3082</v>
      </c>
      <c r="J354" s="155"/>
      <c r="K354" s="155" t="s">
        <v>191</v>
      </c>
      <c r="L354" s="143">
        <v>4</v>
      </c>
      <c r="M354" s="144" t="s">
        <v>12</v>
      </c>
      <c r="N354" s="367">
        <v>5</v>
      </c>
      <c r="O354" s="151" t="s">
        <v>199</v>
      </c>
    </row>
    <row r="355" spans="1:15" ht="22.5">
      <c r="A355" s="145" t="s">
        <v>3086</v>
      </c>
      <c r="B355" s="142" t="s">
        <v>3087</v>
      </c>
      <c r="C355" s="152" t="s">
        <v>758</v>
      </c>
      <c r="D355" s="152" t="s">
        <v>242</v>
      </c>
      <c r="E355" s="154"/>
      <c r="F355" s="470" t="s">
        <v>3034</v>
      </c>
      <c r="G355" s="462" t="s">
        <v>3088</v>
      </c>
      <c r="H355" s="156" t="s">
        <v>188</v>
      </c>
      <c r="I355" s="155" t="s">
        <v>1453</v>
      </c>
      <c r="J355" s="155"/>
      <c r="K355" s="155" t="s">
        <v>191</v>
      </c>
      <c r="L355" s="143">
        <v>4</v>
      </c>
      <c r="M355" s="144" t="s">
        <v>12</v>
      </c>
      <c r="N355" s="367">
        <v>5</v>
      </c>
      <c r="O355" s="151" t="s">
        <v>199</v>
      </c>
    </row>
    <row r="356" spans="1:15" ht="22.5">
      <c r="A356" s="145" t="s">
        <v>3089</v>
      </c>
      <c r="B356" s="142" t="s">
        <v>3090</v>
      </c>
      <c r="C356" s="152" t="s">
        <v>758</v>
      </c>
      <c r="D356" s="152" t="s">
        <v>242</v>
      </c>
      <c r="E356" s="154"/>
      <c r="F356" s="470" t="s">
        <v>3034</v>
      </c>
      <c r="G356" s="462" t="s">
        <v>3091</v>
      </c>
      <c r="H356" s="156" t="s">
        <v>188</v>
      </c>
      <c r="I356" s="155" t="s">
        <v>1453</v>
      </c>
      <c r="J356" s="155"/>
      <c r="K356" s="155" t="s">
        <v>191</v>
      </c>
      <c r="L356" s="143">
        <v>4</v>
      </c>
      <c r="M356" s="144" t="s">
        <v>12</v>
      </c>
      <c r="N356" s="367">
        <v>5</v>
      </c>
      <c r="O356" s="151" t="s">
        <v>199</v>
      </c>
    </row>
    <row r="357" spans="1:15" ht="22.5">
      <c r="A357" s="142" t="s">
        <v>3092</v>
      </c>
      <c r="B357" s="142" t="s">
        <v>3093</v>
      </c>
      <c r="C357" s="152" t="s">
        <v>758</v>
      </c>
      <c r="D357" s="152" t="s">
        <v>242</v>
      </c>
      <c r="E357" s="154"/>
      <c r="F357" s="470" t="s">
        <v>3034</v>
      </c>
      <c r="G357" s="462" t="s">
        <v>3094</v>
      </c>
      <c r="H357" s="156" t="s">
        <v>188</v>
      </c>
      <c r="I357" s="155" t="s">
        <v>787</v>
      </c>
      <c r="J357" s="155"/>
      <c r="K357" s="155" t="s">
        <v>191</v>
      </c>
      <c r="L357" s="143">
        <v>4</v>
      </c>
      <c r="M357" s="144" t="s">
        <v>12</v>
      </c>
      <c r="N357" s="367">
        <v>5</v>
      </c>
      <c r="O357" s="151" t="s">
        <v>199</v>
      </c>
    </row>
    <row r="358" spans="1:15" ht="22.5">
      <c r="A358" s="145" t="s">
        <v>3095</v>
      </c>
      <c r="B358" s="142" t="s">
        <v>3096</v>
      </c>
      <c r="C358" s="152" t="s">
        <v>758</v>
      </c>
      <c r="D358" s="152" t="s">
        <v>242</v>
      </c>
      <c r="E358" s="154"/>
      <c r="F358" s="470" t="s">
        <v>1905</v>
      </c>
      <c r="G358" s="462" t="s">
        <v>3094</v>
      </c>
      <c r="H358" s="156" t="s">
        <v>188</v>
      </c>
      <c r="I358" s="155" t="s">
        <v>787</v>
      </c>
      <c r="J358" s="155"/>
      <c r="K358" s="155" t="s">
        <v>191</v>
      </c>
      <c r="L358" s="143">
        <v>4</v>
      </c>
      <c r="M358" s="144" t="s">
        <v>12</v>
      </c>
      <c r="N358" s="367">
        <v>5</v>
      </c>
      <c r="O358" s="151" t="s">
        <v>199</v>
      </c>
    </row>
    <row r="359" spans="1:15" ht="22.5">
      <c r="A359" s="145" t="s">
        <v>3097</v>
      </c>
      <c r="B359" s="142" t="s">
        <v>3098</v>
      </c>
      <c r="C359" s="152" t="s">
        <v>758</v>
      </c>
      <c r="D359" s="152" t="s">
        <v>242</v>
      </c>
      <c r="E359" s="154"/>
      <c r="F359" s="470" t="s">
        <v>3034</v>
      </c>
      <c r="G359" s="462" t="s">
        <v>3099</v>
      </c>
      <c r="H359" s="156" t="s">
        <v>188</v>
      </c>
      <c r="I359" s="155" t="s">
        <v>3100</v>
      </c>
      <c r="J359" s="155"/>
      <c r="K359" s="155" t="s">
        <v>191</v>
      </c>
      <c r="L359" s="143">
        <v>4</v>
      </c>
      <c r="M359" s="144" t="s">
        <v>12</v>
      </c>
      <c r="N359" s="367">
        <v>5</v>
      </c>
      <c r="O359" s="151" t="s">
        <v>199</v>
      </c>
    </row>
    <row r="360" spans="1:15" ht="22.5">
      <c r="A360" s="145" t="s">
        <v>3101</v>
      </c>
      <c r="B360" s="142" t="s">
        <v>3102</v>
      </c>
      <c r="C360" s="152" t="s">
        <v>758</v>
      </c>
      <c r="D360" s="152" t="s">
        <v>242</v>
      </c>
      <c r="E360" s="154"/>
      <c r="F360" s="470" t="s">
        <v>3034</v>
      </c>
      <c r="G360" s="462" t="s">
        <v>3103</v>
      </c>
      <c r="H360" s="156" t="s">
        <v>188</v>
      </c>
      <c r="I360" s="155" t="s">
        <v>3100</v>
      </c>
      <c r="J360" s="155"/>
      <c r="K360" s="155" t="s">
        <v>191</v>
      </c>
      <c r="L360" s="143">
        <v>4</v>
      </c>
      <c r="M360" s="144" t="s">
        <v>12</v>
      </c>
      <c r="N360" s="367">
        <v>5</v>
      </c>
      <c r="O360" s="151" t="s">
        <v>199</v>
      </c>
    </row>
    <row r="361" spans="1:15" ht="22.5">
      <c r="A361" s="145" t="s">
        <v>3104</v>
      </c>
      <c r="B361" s="142" t="s">
        <v>3105</v>
      </c>
      <c r="C361" s="152" t="s">
        <v>758</v>
      </c>
      <c r="D361" s="152" t="s">
        <v>242</v>
      </c>
      <c r="E361" s="154"/>
      <c r="F361" s="470" t="s">
        <v>3034</v>
      </c>
      <c r="G361" s="462" t="s">
        <v>3106</v>
      </c>
      <c r="H361" s="156" t="s">
        <v>188</v>
      </c>
      <c r="I361" s="164" t="s">
        <v>787</v>
      </c>
      <c r="J361" s="164"/>
      <c r="K361" s="155" t="s">
        <v>191</v>
      </c>
      <c r="L361" s="143">
        <v>4</v>
      </c>
      <c r="M361" s="144" t="s">
        <v>12</v>
      </c>
      <c r="N361" s="367">
        <v>5</v>
      </c>
      <c r="O361" s="151" t="s">
        <v>199</v>
      </c>
    </row>
    <row r="362" spans="1:15" ht="22.5">
      <c r="A362" s="145" t="s">
        <v>3107</v>
      </c>
      <c r="B362" s="174" t="s">
        <v>3108</v>
      </c>
      <c r="C362" s="152" t="s">
        <v>758</v>
      </c>
      <c r="D362" s="152" t="s">
        <v>242</v>
      </c>
      <c r="E362" s="154"/>
      <c r="F362" s="470" t="s">
        <v>1895</v>
      </c>
      <c r="G362" s="462" t="s">
        <v>3106</v>
      </c>
      <c r="H362" s="156" t="s">
        <v>188</v>
      </c>
      <c r="I362" s="155" t="s">
        <v>787</v>
      </c>
      <c r="J362" s="155"/>
      <c r="K362" s="155" t="s">
        <v>191</v>
      </c>
      <c r="L362" s="143">
        <v>4</v>
      </c>
      <c r="M362" s="144" t="s">
        <v>12</v>
      </c>
      <c r="N362" s="367">
        <v>5</v>
      </c>
      <c r="O362" s="151" t="s">
        <v>199</v>
      </c>
    </row>
    <row r="363" spans="1:15" ht="45">
      <c r="A363" s="145" t="s">
        <v>3109</v>
      </c>
      <c r="B363" s="142" t="s">
        <v>3110</v>
      </c>
      <c r="C363" s="152" t="s">
        <v>758</v>
      </c>
      <c r="D363" s="152" t="s">
        <v>242</v>
      </c>
      <c r="E363" s="154"/>
      <c r="F363" s="470" t="s">
        <v>1908</v>
      </c>
      <c r="G363" s="462" t="s">
        <v>3111</v>
      </c>
      <c r="H363" s="156" t="s">
        <v>204</v>
      </c>
      <c r="I363" s="155" t="s">
        <v>3112</v>
      </c>
      <c r="J363" s="155"/>
      <c r="K363" s="155" t="s">
        <v>191</v>
      </c>
      <c r="L363" s="143">
        <v>4</v>
      </c>
      <c r="M363" s="144" t="s">
        <v>12</v>
      </c>
      <c r="N363" s="367">
        <v>5</v>
      </c>
      <c r="O363" s="151" t="s">
        <v>199</v>
      </c>
    </row>
    <row r="364" spans="1:15" ht="11.25">
      <c r="A364" s="145" t="s">
        <v>3113</v>
      </c>
      <c r="B364" s="142" t="s">
        <v>3114</v>
      </c>
      <c r="C364" s="152" t="s">
        <v>758</v>
      </c>
      <c r="D364" s="152" t="s">
        <v>242</v>
      </c>
      <c r="E364" s="154"/>
      <c r="F364" s="470" t="s">
        <v>1908</v>
      </c>
      <c r="G364" s="462" t="s">
        <v>3115</v>
      </c>
      <c r="H364" s="156" t="s">
        <v>204</v>
      </c>
      <c r="I364" s="155" t="s">
        <v>3116</v>
      </c>
      <c r="J364" s="155"/>
      <c r="K364" s="155" t="s">
        <v>191</v>
      </c>
      <c r="L364" s="143">
        <v>4</v>
      </c>
      <c r="M364" s="144" t="s">
        <v>12</v>
      </c>
      <c r="N364" s="367">
        <v>5</v>
      </c>
      <c r="O364" s="151" t="s">
        <v>199</v>
      </c>
    </row>
    <row r="365" spans="1:15" ht="22.5">
      <c r="A365" s="145" t="s">
        <v>3117</v>
      </c>
      <c r="B365" s="142" t="s">
        <v>3118</v>
      </c>
      <c r="C365" s="152" t="s">
        <v>758</v>
      </c>
      <c r="D365" s="152" t="s">
        <v>242</v>
      </c>
      <c r="E365" s="154"/>
      <c r="F365" s="470" t="s">
        <v>1908</v>
      </c>
      <c r="G365" s="462" t="s">
        <v>3119</v>
      </c>
      <c r="H365" s="156" t="s">
        <v>198</v>
      </c>
      <c r="I365" s="155" t="s">
        <v>3120</v>
      </c>
      <c r="J365" s="155"/>
      <c r="K365" s="155" t="s">
        <v>191</v>
      </c>
      <c r="L365" s="143">
        <v>4</v>
      </c>
      <c r="M365" s="144" t="s">
        <v>12</v>
      </c>
      <c r="N365" s="367">
        <v>5</v>
      </c>
      <c r="O365" s="151" t="s">
        <v>199</v>
      </c>
    </row>
    <row r="366" spans="1:15" ht="45">
      <c r="A366" s="145" t="s">
        <v>3121</v>
      </c>
      <c r="B366" s="142" t="s">
        <v>3122</v>
      </c>
      <c r="C366" s="152" t="s">
        <v>758</v>
      </c>
      <c r="D366" s="152" t="s">
        <v>242</v>
      </c>
      <c r="E366" s="154"/>
      <c r="F366" s="470" t="s">
        <v>1908</v>
      </c>
      <c r="G366" s="462" t="s">
        <v>3123</v>
      </c>
      <c r="H366" s="156" t="s">
        <v>204</v>
      </c>
      <c r="I366" s="155" t="s">
        <v>3124</v>
      </c>
      <c r="J366" s="155"/>
      <c r="K366" s="155" t="s">
        <v>191</v>
      </c>
      <c r="L366" s="143">
        <v>4</v>
      </c>
      <c r="M366" s="144" t="s">
        <v>12</v>
      </c>
      <c r="N366" s="367">
        <v>5</v>
      </c>
      <c r="O366" s="151" t="s">
        <v>199</v>
      </c>
    </row>
    <row r="367" spans="1:15" ht="22.5">
      <c r="A367" s="145" t="s">
        <v>3125</v>
      </c>
      <c r="B367" s="140" t="s">
        <v>3126</v>
      </c>
      <c r="C367" s="140" t="s">
        <v>3127</v>
      </c>
      <c r="D367" s="152" t="s">
        <v>242</v>
      </c>
      <c r="E367" s="154"/>
      <c r="F367" s="470" t="s">
        <v>1882</v>
      </c>
      <c r="G367" s="462" t="s">
        <v>3128</v>
      </c>
      <c r="H367" s="156" t="s">
        <v>188</v>
      </c>
      <c r="I367" s="155" t="s">
        <v>1453</v>
      </c>
      <c r="J367" s="155"/>
      <c r="K367" s="155" t="s">
        <v>191</v>
      </c>
      <c r="L367" s="143">
        <v>4</v>
      </c>
      <c r="M367" s="144" t="s">
        <v>12</v>
      </c>
      <c r="N367" s="367">
        <v>5</v>
      </c>
      <c r="O367" s="151" t="s">
        <v>199</v>
      </c>
    </row>
    <row r="368" spans="1:15" ht="28.5" customHeight="1">
      <c r="A368" s="140" t="s">
        <v>3129</v>
      </c>
      <c r="B368" s="140" t="s">
        <v>3130</v>
      </c>
      <c r="C368" s="140" t="s">
        <v>758</v>
      </c>
      <c r="D368" s="152" t="s">
        <v>242</v>
      </c>
      <c r="E368" s="154"/>
      <c r="F368" s="470" t="s">
        <v>1895</v>
      </c>
      <c r="G368" s="462" t="s">
        <v>3131</v>
      </c>
      <c r="H368" s="156" t="s">
        <v>188</v>
      </c>
      <c r="I368" s="155" t="s">
        <v>1453</v>
      </c>
      <c r="J368" s="155"/>
      <c r="K368" s="155" t="s">
        <v>191</v>
      </c>
      <c r="L368" s="143">
        <v>4</v>
      </c>
      <c r="M368" s="144" t="s">
        <v>12</v>
      </c>
      <c r="N368" s="367">
        <v>5</v>
      </c>
      <c r="O368" s="151" t="s">
        <v>199</v>
      </c>
    </row>
    <row r="369" spans="1:15" ht="22.5">
      <c r="A369" s="145" t="s">
        <v>3132</v>
      </c>
      <c r="B369" s="142" t="s">
        <v>3133</v>
      </c>
      <c r="C369" s="140" t="s">
        <v>3134</v>
      </c>
      <c r="D369" s="152" t="s">
        <v>242</v>
      </c>
      <c r="E369" s="154"/>
      <c r="F369" s="470" t="s">
        <v>1879</v>
      </c>
      <c r="G369" s="462" t="s">
        <v>3135</v>
      </c>
      <c r="H369" s="156" t="s">
        <v>188</v>
      </c>
      <c r="I369" s="155" t="s">
        <v>1453</v>
      </c>
      <c r="J369" s="155"/>
      <c r="K369" s="155" t="s">
        <v>191</v>
      </c>
      <c r="L369" s="143">
        <v>4</v>
      </c>
      <c r="M369" s="144" t="s">
        <v>12</v>
      </c>
      <c r="N369" s="367">
        <v>5</v>
      </c>
      <c r="O369" s="151" t="s">
        <v>199</v>
      </c>
    </row>
    <row r="370" spans="1:15" ht="24.75" customHeight="1">
      <c r="A370" s="145" t="s">
        <v>3136</v>
      </c>
      <c r="B370" s="142" t="s">
        <v>3137</v>
      </c>
      <c r="C370" s="152" t="s">
        <v>3138</v>
      </c>
      <c r="D370" s="152" t="s">
        <v>242</v>
      </c>
      <c r="E370" s="154"/>
      <c r="F370" s="470" t="s">
        <v>3139</v>
      </c>
      <c r="G370" s="336" t="s">
        <v>2702</v>
      </c>
      <c r="H370" s="155" t="s">
        <v>198</v>
      </c>
      <c r="I370" s="155"/>
      <c r="J370" s="155"/>
      <c r="K370" s="155" t="s">
        <v>191</v>
      </c>
      <c r="L370" s="143">
        <v>4</v>
      </c>
      <c r="M370" s="144" t="s">
        <v>12</v>
      </c>
      <c r="N370" s="367">
        <v>5</v>
      </c>
      <c r="O370" s="151" t="s">
        <v>199</v>
      </c>
    </row>
    <row r="371" spans="1:15" ht="23.25" customHeight="1">
      <c r="A371" s="145" t="s">
        <v>3140</v>
      </c>
      <c r="B371" s="152" t="s">
        <v>3141</v>
      </c>
      <c r="C371" s="164" t="s">
        <v>758</v>
      </c>
      <c r="D371" s="152" t="s">
        <v>242</v>
      </c>
      <c r="E371" s="154"/>
      <c r="F371" s="470" t="s">
        <v>1895</v>
      </c>
      <c r="G371" s="336" t="s">
        <v>2702</v>
      </c>
      <c r="H371" s="155" t="s">
        <v>198</v>
      </c>
      <c r="I371" s="155"/>
      <c r="J371" s="155"/>
      <c r="K371" s="155" t="s">
        <v>191</v>
      </c>
      <c r="L371" s="143">
        <v>4</v>
      </c>
      <c r="M371" s="144" t="s">
        <v>12</v>
      </c>
      <c r="N371" s="367">
        <v>5</v>
      </c>
      <c r="O371" s="151" t="s">
        <v>199</v>
      </c>
    </row>
    <row r="372" spans="1:15" ht="23.25" customHeight="1">
      <c r="A372" s="145" t="s">
        <v>3142</v>
      </c>
      <c r="B372" s="152" t="s">
        <v>3143</v>
      </c>
      <c r="C372" s="152" t="s">
        <v>3144</v>
      </c>
      <c r="D372" s="152" t="s">
        <v>242</v>
      </c>
      <c r="E372" s="154"/>
      <c r="F372" s="470" t="s">
        <v>3139</v>
      </c>
      <c r="G372" s="336" t="s">
        <v>3145</v>
      </c>
      <c r="H372" s="155" t="s">
        <v>198</v>
      </c>
      <c r="I372" s="155"/>
      <c r="J372" s="155"/>
      <c r="K372" s="155" t="s">
        <v>191</v>
      </c>
      <c r="L372" s="143">
        <v>4</v>
      </c>
      <c r="M372" s="144" t="s">
        <v>12</v>
      </c>
      <c r="N372" s="367">
        <v>5</v>
      </c>
      <c r="O372" s="151" t="s">
        <v>199</v>
      </c>
    </row>
    <row r="373" spans="1:15" ht="27.75" customHeight="1">
      <c r="A373" s="145" t="s">
        <v>3146</v>
      </c>
      <c r="B373" s="152" t="s">
        <v>3147</v>
      </c>
      <c r="C373" s="152" t="s">
        <v>758</v>
      </c>
      <c r="D373" s="152" t="s">
        <v>242</v>
      </c>
      <c r="E373" s="202"/>
      <c r="F373" s="470" t="s">
        <v>1905</v>
      </c>
      <c r="G373" s="336" t="s">
        <v>3145</v>
      </c>
      <c r="H373" s="155" t="s">
        <v>198</v>
      </c>
      <c r="I373" s="155"/>
      <c r="J373" s="155"/>
      <c r="K373" s="155" t="s">
        <v>191</v>
      </c>
      <c r="L373" s="143">
        <v>4</v>
      </c>
      <c r="M373" s="144" t="s">
        <v>12</v>
      </c>
      <c r="N373" s="367">
        <v>5</v>
      </c>
      <c r="O373" s="151" t="s">
        <v>199</v>
      </c>
    </row>
    <row r="374" spans="1:15" ht="183.75" customHeight="1">
      <c r="A374" s="145" t="s">
        <v>3148</v>
      </c>
      <c r="B374" s="152" t="s">
        <v>3149</v>
      </c>
      <c r="C374" s="152" t="s">
        <v>3150</v>
      </c>
      <c r="D374" s="152" t="s">
        <v>242</v>
      </c>
      <c r="E374" s="154"/>
      <c r="F374" s="470" t="s">
        <v>3139</v>
      </c>
      <c r="G374" s="336" t="s">
        <v>3151</v>
      </c>
      <c r="H374" s="155" t="s">
        <v>204</v>
      </c>
      <c r="I374" s="155" t="s">
        <v>3152</v>
      </c>
      <c r="J374" s="155"/>
      <c r="K374" s="155" t="s">
        <v>191</v>
      </c>
      <c r="L374" s="143">
        <v>4</v>
      </c>
      <c r="M374" s="144" t="s">
        <v>12</v>
      </c>
      <c r="N374" s="367">
        <v>5</v>
      </c>
      <c r="O374" s="151" t="s">
        <v>199</v>
      </c>
    </row>
    <row r="375" spans="1:15" ht="34.5" customHeight="1">
      <c r="A375" s="145" t="s">
        <v>3153</v>
      </c>
      <c r="B375" s="152" t="s">
        <v>3154</v>
      </c>
      <c r="C375" s="164" t="s">
        <v>758</v>
      </c>
      <c r="D375" s="152" t="s">
        <v>242</v>
      </c>
      <c r="E375" s="154"/>
      <c r="F375" s="470" t="s">
        <v>2082</v>
      </c>
      <c r="G375" s="336" t="s">
        <v>3155</v>
      </c>
      <c r="H375" s="155" t="s">
        <v>198</v>
      </c>
      <c r="I375" s="155"/>
      <c r="J375" s="155"/>
      <c r="K375" s="155" t="s">
        <v>191</v>
      </c>
      <c r="L375" s="143">
        <v>4</v>
      </c>
      <c r="M375" s="144" t="s">
        <v>12</v>
      </c>
      <c r="N375" s="367">
        <v>5</v>
      </c>
      <c r="O375" s="151" t="s">
        <v>199</v>
      </c>
    </row>
    <row r="376" spans="1:15" ht="188.25" customHeight="1">
      <c r="A376" s="145" t="s">
        <v>3156</v>
      </c>
      <c r="B376" s="152" t="s">
        <v>3157</v>
      </c>
      <c r="C376" s="152" t="s">
        <v>3158</v>
      </c>
      <c r="D376" s="152" t="s">
        <v>242</v>
      </c>
      <c r="E376" s="154"/>
      <c r="F376" s="470" t="s">
        <v>3139</v>
      </c>
      <c r="G376" s="336" t="s">
        <v>3159</v>
      </c>
      <c r="H376" s="155" t="s">
        <v>204</v>
      </c>
      <c r="I376" s="155" t="s">
        <v>3160</v>
      </c>
      <c r="J376" s="155"/>
      <c r="K376" s="155" t="s">
        <v>191</v>
      </c>
      <c r="L376" s="143">
        <v>4</v>
      </c>
      <c r="M376" s="144" t="s">
        <v>12</v>
      </c>
      <c r="N376" s="367">
        <v>5</v>
      </c>
      <c r="O376" s="151" t="s">
        <v>199</v>
      </c>
    </row>
    <row r="377" spans="1:15" ht="27" customHeight="1">
      <c r="A377" s="145" t="s">
        <v>3161</v>
      </c>
      <c r="B377" s="152" t="s">
        <v>3162</v>
      </c>
      <c r="C377" s="164" t="s">
        <v>758</v>
      </c>
      <c r="D377" s="152" t="s">
        <v>242</v>
      </c>
      <c r="E377" s="154"/>
      <c r="F377" s="470" t="s">
        <v>2082</v>
      </c>
      <c r="G377" s="336" t="s">
        <v>3163</v>
      </c>
      <c r="H377" s="155" t="s">
        <v>198</v>
      </c>
      <c r="I377" s="155"/>
      <c r="J377" s="155"/>
      <c r="K377" s="155" t="s">
        <v>191</v>
      </c>
      <c r="L377" s="143">
        <v>4</v>
      </c>
      <c r="M377" s="144" t="s">
        <v>12</v>
      </c>
      <c r="N377" s="367">
        <v>5</v>
      </c>
      <c r="O377" s="151" t="s">
        <v>199</v>
      </c>
    </row>
    <row r="378" spans="1:15" ht="188.25" customHeight="1">
      <c r="A378" s="145" t="s">
        <v>3164</v>
      </c>
      <c r="B378" s="152" t="s">
        <v>3165</v>
      </c>
      <c r="C378" s="152" t="s">
        <v>3166</v>
      </c>
      <c r="D378" s="152" t="s">
        <v>242</v>
      </c>
      <c r="E378" s="154"/>
      <c r="F378" s="470" t="s">
        <v>3139</v>
      </c>
      <c r="G378" s="336" t="s">
        <v>3167</v>
      </c>
      <c r="H378" s="155" t="s">
        <v>204</v>
      </c>
      <c r="I378" s="155" t="s">
        <v>3168</v>
      </c>
      <c r="J378" s="155"/>
      <c r="K378" s="155" t="s">
        <v>191</v>
      </c>
      <c r="L378" s="143">
        <v>4</v>
      </c>
      <c r="M378" s="144" t="s">
        <v>12</v>
      </c>
      <c r="N378" s="367">
        <v>5</v>
      </c>
      <c r="O378" s="151" t="s">
        <v>199</v>
      </c>
    </row>
    <row r="379" spans="1:15" ht="19.149999999999999" customHeight="1">
      <c r="A379" s="145" t="s">
        <v>3169</v>
      </c>
      <c r="B379" s="152" t="s">
        <v>3170</v>
      </c>
      <c r="C379" s="142" t="s">
        <v>758</v>
      </c>
      <c r="D379" s="152" t="s">
        <v>242</v>
      </c>
      <c r="E379" s="154"/>
      <c r="F379" s="470" t="s">
        <v>2082</v>
      </c>
      <c r="G379" s="336" t="s">
        <v>3171</v>
      </c>
      <c r="H379" s="155" t="s">
        <v>198</v>
      </c>
      <c r="I379" s="155"/>
      <c r="J379" s="155"/>
      <c r="K379" s="155" t="s">
        <v>191</v>
      </c>
      <c r="L379" s="143">
        <v>4</v>
      </c>
      <c r="M379" s="144" t="s">
        <v>12</v>
      </c>
      <c r="N379" s="367">
        <v>5</v>
      </c>
      <c r="O379" s="151" t="s">
        <v>199</v>
      </c>
    </row>
    <row r="380" spans="1:15" ht="11.25">
      <c r="A380" s="145" t="s">
        <v>3172</v>
      </c>
      <c r="B380" s="152" t="s">
        <v>3173</v>
      </c>
      <c r="C380" s="152" t="s">
        <v>758</v>
      </c>
      <c r="D380" s="152" t="s">
        <v>242</v>
      </c>
      <c r="E380" s="154"/>
      <c r="F380" s="470" t="s">
        <v>1946</v>
      </c>
      <c r="G380" s="336" t="s">
        <v>3174</v>
      </c>
      <c r="H380" s="155" t="s">
        <v>198</v>
      </c>
      <c r="I380" s="155" t="s">
        <v>3175</v>
      </c>
      <c r="J380" s="155"/>
      <c r="K380" s="155" t="s">
        <v>191</v>
      </c>
      <c r="L380" s="143">
        <v>4</v>
      </c>
      <c r="M380" s="144" t="s">
        <v>12</v>
      </c>
      <c r="N380" s="367">
        <v>5</v>
      </c>
      <c r="O380" s="151" t="s">
        <v>199</v>
      </c>
    </row>
    <row r="381" spans="1:15" ht="11.25">
      <c r="A381" s="145" t="s">
        <v>3176</v>
      </c>
      <c r="B381" s="152" t="s">
        <v>3177</v>
      </c>
      <c r="C381" s="152" t="s">
        <v>758</v>
      </c>
      <c r="D381" s="152" t="s">
        <v>242</v>
      </c>
      <c r="E381" s="154"/>
      <c r="F381" s="470" t="s">
        <v>1946</v>
      </c>
      <c r="G381" s="336" t="s">
        <v>3178</v>
      </c>
      <c r="H381" s="155" t="s">
        <v>198</v>
      </c>
      <c r="I381" s="155" t="s">
        <v>3175</v>
      </c>
      <c r="J381" s="155"/>
      <c r="K381" s="155" t="s">
        <v>191</v>
      </c>
      <c r="L381" s="143">
        <v>4</v>
      </c>
      <c r="M381" s="144" t="s">
        <v>12</v>
      </c>
      <c r="N381" s="367">
        <v>5</v>
      </c>
      <c r="O381" s="151" t="s">
        <v>199</v>
      </c>
    </row>
    <row r="382" spans="1:15" ht="11.25">
      <c r="A382" s="145" t="s">
        <v>3179</v>
      </c>
      <c r="B382" s="152" t="s">
        <v>3180</v>
      </c>
      <c r="C382" s="152" t="s">
        <v>758</v>
      </c>
      <c r="D382" s="152" t="s">
        <v>242</v>
      </c>
      <c r="E382" s="154"/>
      <c r="F382" s="470" t="s">
        <v>1946</v>
      </c>
      <c r="G382" s="336" t="s">
        <v>3181</v>
      </c>
      <c r="H382" s="155" t="s">
        <v>198</v>
      </c>
      <c r="I382" s="155" t="s">
        <v>3175</v>
      </c>
      <c r="J382" s="155"/>
      <c r="K382" s="155" t="s">
        <v>191</v>
      </c>
      <c r="L382" s="143">
        <v>4</v>
      </c>
      <c r="M382" s="144" t="s">
        <v>12</v>
      </c>
      <c r="N382" s="367">
        <v>5</v>
      </c>
      <c r="O382" s="151" t="s">
        <v>199</v>
      </c>
    </row>
    <row r="383" spans="1:15" ht="11.25">
      <c r="A383" s="145" t="s">
        <v>3182</v>
      </c>
      <c r="B383" s="152" t="s">
        <v>3183</v>
      </c>
      <c r="C383" s="152" t="s">
        <v>758</v>
      </c>
      <c r="D383" s="152" t="s">
        <v>242</v>
      </c>
      <c r="E383" s="154"/>
      <c r="F383" s="470" t="s">
        <v>1946</v>
      </c>
      <c r="G383" s="336" t="s">
        <v>3184</v>
      </c>
      <c r="H383" s="155" t="s">
        <v>198</v>
      </c>
      <c r="I383" s="155" t="s">
        <v>3175</v>
      </c>
      <c r="J383" s="155"/>
      <c r="K383" s="155" t="s">
        <v>191</v>
      </c>
      <c r="L383" s="143">
        <v>4</v>
      </c>
      <c r="M383" s="144" t="s">
        <v>12</v>
      </c>
      <c r="N383" s="367">
        <v>5</v>
      </c>
      <c r="O383" s="151" t="s">
        <v>199</v>
      </c>
    </row>
    <row r="384" spans="1:15" ht="11.25">
      <c r="A384" s="145" t="s">
        <v>3185</v>
      </c>
      <c r="B384" s="152" t="s">
        <v>3186</v>
      </c>
      <c r="C384" s="152" t="s">
        <v>758</v>
      </c>
      <c r="D384" s="152" t="s">
        <v>242</v>
      </c>
      <c r="E384" s="154"/>
      <c r="F384" s="470" t="s">
        <v>1946</v>
      </c>
      <c r="G384" s="336" t="s">
        <v>3187</v>
      </c>
      <c r="H384" s="155" t="s">
        <v>198</v>
      </c>
      <c r="I384" s="155" t="s">
        <v>3188</v>
      </c>
      <c r="J384" s="155"/>
      <c r="K384" s="155" t="s">
        <v>191</v>
      </c>
      <c r="L384" s="143">
        <v>4</v>
      </c>
      <c r="M384" s="144" t="s">
        <v>12</v>
      </c>
      <c r="N384" s="367">
        <v>5</v>
      </c>
      <c r="O384" s="151" t="s">
        <v>199</v>
      </c>
    </row>
    <row r="385" spans="1:15" ht="11.25">
      <c r="A385" s="145" t="s">
        <v>3189</v>
      </c>
      <c r="B385" s="152" t="s">
        <v>3190</v>
      </c>
      <c r="C385" s="152" t="s">
        <v>758</v>
      </c>
      <c r="D385" s="152" t="s">
        <v>242</v>
      </c>
      <c r="E385" s="154"/>
      <c r="F385" s="470" t="s">
        <v>1946</v>
      </c>
      <c r="G385" s="336" t="s">
        <v>3191</v>
      </c>
      <c r="H385" s="155" t="s">
        <v>198</v>
      </c>
      <c r="I385" s="155" t="s">
        <v>3188</v>
      </c>
      <c r="J385" s="155"/>
      <c r="K385" s="155" t="s">
        <v>191</v>
      </c>
      <c r="L385" s="143">
        <v>4</v>
      </c>
      <c r="M385" s="144" t="s">
        <v>12</v>
      </c>
      <c r="N385" s="367">
        <v>5</v>
      </c>
      <c r="O385" s="151" t="s">
        <v>199</v>
      </c>
    </row>
    <row r="386" spans="1:15" ht="22.5">
      <c r="A386" s="145" t="s">
        <v>3192</v>
      </c>
      <c r="B386" s="152" t="s">
        <v>3193</v>
      </c>
      <c r="C386" s="152" t="s">
        <v>758</v>
      </c>
      <c r="D386" s="152" t="s">
        <v>242</v>
      </c>
      <c r="E386" s="154"/>
      <c r="F386" s="470" t="s">
        <v>1946</v>
      </c>
      <c r="G386" s="336" t="s">
        <v>3194</v>
      </c>
      <c r="H386" s="155" t="s">
        <v>198</v>
      </c>
      <c r="I386" s="155" t="s">
        <v>3188</v>
      </c>
      <c r="J386" s="155"/>
      <c r="K386" s="155" t="s">
        <v>191</v>
      </c>
      <c r="L386" s="143">
        <v>4</v>
      </c>
      <c r="M386" s="144" t="s">
        <v>12</v>
      </c>
      <c r="N386" s="367">
        <v>5</v>
      </c>
      <c r="O386" s="151" t="s">
        <v>199</v>
      </c>
    </row>
    <row r="387" spans="1:15" ht="11.25">
      <c r="A387" s="145" t="s">
        <v>3195</v>
      </c>
      <c r="B387" s="152" t="s">
        <v>3196</v>
      </c>
      <c r="C387" s="152" t="s">
        <v>758</v>
      </c>
      <c r="D387" s="152" t="s">
        <v>242</v>
      </c>
      <c r="E387" s="154"/>
      <c r="F387" s="470" t="s">
        <v>1946</v>
      </c>
      <c r="G387" s="336" t="s">
        <v>3197</v>
      </c>
      <c r="H387" s="155" t="s">
        <v>198</v>
      </c>
      <c r="I387" s="155" t="s">
        <v>3188</v>
      </c>
      <c r="J387" s="155"/>
      <c r="K387" s="155" t="s">
        <v>191</v>
      </c>
      <c r="L387" s="143">
        <v>4</v>
      </c>
      <c r="M387" s="144" t="s">
        <v>12</v>
      </c>
      <c r="N387" s="367">
        <v>5</v>
      </c>
      <c r="O387" s="151" t="s">
        <v>199</v>
      </c>
    </row>
    <row r="388" spans="1:15" ht="22.5">
      <c r="A388" s="145" t="s">
        <v>3198</v>
      </c>
      <c r="B388" s="152" t="s">
        <v>3199</v>
      </c>
      <c r="C388" s="152" t="s">
        <v>3200</v>
      </c>
      <c r="D388" s="152" t="s">
        <v>242</v>
      </c>
      <c r="E388" s="154"/>
      <c r="F388" s="470" t="s">
        <v>3139</v>
      </c>
      <c r="G388" s="336" t="s">
        <v>3201</v>
      </c>
      <c r="H388" s="155" t="s">
        <v>198</v>
      </c>
      <c r="I388" s="155"/>
      <c r="J388" s="155"/>
      <c r="K388" s="155" t="s">
        <v>191</v>
      </c>
      <c r="L388" s="143">
        <v>4</v>
      </c>
      <c r="M388" s="144" t="s">
        <v>12</v>
      </c>
      <c r="N388" s="367">
        <v>5</v>
      </c>
      <c r="O388" s="151" t="s">
        <v>199</v>
      </c>
    </row>
    <row r="389" spans="1:15" ht="45">
      <c r="A389" s="145" t="s">
        <v>3202</v>
      </c>
      <c r="B389" s="152" t="s">
        <v>3203</v>
      </c>
      <c r="C389" s="152" t="s">
        <v>3204</v>
      </c>
      <c r="D389" s="152" t="s">
        <v>242</v>
      </c>
      <c r="E389" s="154"/>
      <c r="F389" s="470" t="s">
        <v>3139</v>
      </c>
      <c r="G389" s="336" t="s">
        <v>3205</v>
      </c>
      <c r="H389" s="155" t="s">
        <v>198</v>
      </c>
      <c r="I389" s="155"/>
      <c r="J389" s="155"/>
      <c r="K389" s="155" t="s">
        <v>191</v>
      </c>
      <c r="L389" s="143">
        <v>4</v>
      </c>
      <c r="M389" s="144" t="s">
        <v>12</v>
      </c>
      <c r="N389" s="367">
        <v>5</v>
      </c>
      <c r="O389" s="151" t="s">
        <v>199</v>
      </c>
    </row>
    <row r="390" spans="1:15" ht="11.25">
      <c r="A390" s="145" t="s">
        <v>3206</v>
      </c>
      <c r="B390" s="152" t="s">
        <v>3207</v>
      </c>
      <c r="C390" s="152" t="s">
        <v>758</v>
      </c>
      <c r="D390" s="152" t="s">
        <v>242</v>
      </c>
      <c r="E390" s="154"/>
      <c r="F390" s="470" t="s">
        <v>1895</v>
      </c>
      <c r="G390" s="336" t="s">
        <v>3208</v>
      </c>
      <c r="H390" s="155" t="s">
        <v>198</v>
      </c>
      <c r="I390" s="155"/>
      <c r="J390" s="155"/>
      <c r="K390" s="155" t="s">
        <v>191</v>
      </c>
      <c r="L390" s="143">
        <v>4</v>
      </c>
      <c r="M390" s="144" t="s">
        <v>12</v>
      </c>
      <c r="N390" s="367">
        <v>5</v>
      </c>
      <c r="O390" s="151" t="s">
        <v>199</v>
      </c>
    </row>
    <row r="391" spans="1:15" ht="11.25">
      <c r="A391" s="145" t="s">
        <v>3209</v>
      </c>
      <c r="B391" s="152" t="s">
        <v>3210</v>
      </c>
      <c r="C391" s="152" t="s">
        <v>758</v>
      </c>
      <c r="D391" s="152" t="s">
        <v>242</v>
      </c>
      <c r="E391" s="154"/>
      <c r="F391" s="470" t="s">
        <v>1895</v>
      </c>
      <c r="G391" s="336" t="s">
        <v>3211</v>
      </c>
      <c r="H391" s="155" t="s">
        <v>198</v>
      </c>
      <c r="I391" s="155"/>
      <c r="J391" s="155"/>
      <c r="K391" s="155" t="s">
        <v>191</v>
      </c>
      <c r="L391" s="143">
        <v>4</v>
      </c>
      <c r="M391" s="144" t="s">
        <v>12</v>
      </c>
      <c r="N391" s="367">
        <v>5</v>
      </c>
      <c r="O391" s="151" t="s">
        <v>199</v>
      </c>
    </row>
    <row r="392" spans="1:15" ht="11.25">
      <c r="A392" s="145" t="s">
        <v>3212</v>
      </c>
      <c r="B392" s="152" t="s">
        <v>3213</v>
      </c>
      <c r="C392" s="152" t="s">
        <v>758</v>
      </c>
      <c r="D392" s="152" t="s">
        <v>242</v>
      </c>
      <c r="E392" s="154"/>
      <c r="F392" s="470" t="s">
        <v>1895</v>
      </c>
      <c r="G392" s="336" t="s">
        <v>3214</v>
      </c>
      <c r="H392" s="155" t="s">
        <v>198</v>
      </c>
      <c r="I392" s="155"/>
      <c r="J392" s="155"/>
      <c r="K392" s="155" t="s">
        <v>191</v>
      </c>
      <c r="L392" s="143">
        <v>4</v>
      </c>
      <c r="M392" s="144" t="s">
        <v>12</v>
      </c>
      <c r="N392" s="367">
        <v>5</v>
      </c>
      <c r="O392" s="151" t="s">
        <v>199</v>
      </c>
    </row>
    <row r="393" spans="1:15" ht="56.25">
      <c r="A393" s="145" t="s">
        <v>3215</v>
      </c>
      <c r="B393" s="152" t="s">
        <v>3216</v>
      </c>
      <c r="C393" s="152" t="s">
        <v>758</v>
      </c>
      <c r="D393" s="152" t="s">
        <v>242</v>
      </c>
      <c r="E393" s="154"/>
      <c r="F393" s="470" t="s">
        <v>1908</v>
      </c>
      <c r="G393" s="336" t="s">
        <v>3217</v>
      </c>
      <c r="H393" s="155" t="s">
        <v>204</v>
      </c>
      <c r="I393" s="155" t="s">
        <v>3218</v>
      </c>
      <c r="J393" s="155"/>
      <c r="K393" s="155" t="s">
        <v>191</v>
      </c>
      <c r="L393" s="143">
        <v>4</v>
      </c>
      <c r="M393" s="144" t="s">
        <v>12</v>
      </c>
      <c r="N393" s="367">
        <v>5</v>
      </c>
      <c r="O393" s="151" t="s">
        <v>199</v>
      </c>
    </row>
    <row r="394" spans="1:15" ht="56.25">
      <c r="A394" s="145" t="s">
        <v>3219</v>
      </c>
      <c r="B394" s="152" t="s">
        <v>3220</v>
      </c>
      <c r="C394" s="152" t="s">
        <v>758</v>
      </c>
      <c r="D394" s="152" t="s">
        <v>242</v>
      </c>
      <c r="E394" s="154"/>
      <c r="F394" s="470" t="s">
        <v>1908</v>
      </c>
      <c r="G394" s="336" t="s">
        <v>3221</v>
      </c>
      <c r="H394" s="155" t="s">
        <v>204</v>
      </c>
      <c r="I394" s="155" t="s">
        <v>3218</v>
      </c>
      <c r="J394" s="155"/>
      <c r="K394" s="155" t="s">
        <v>191</v>
      </c>
      <c r="L394" s="143">
        <v>4</v>
      </c>
      <c r="M394" s="144" t="s">
        <v>12</v>
      </c>
      <c r="N394" s="367">
        <v>5</v>
      </c>
      <c r="O394" s="151" t="s">
        <v>199</v>
      </c>
    </row>
    <row r="395" spans="1:15" ht="78.75">
      <c r="A395" s="145" t="s">
        <v>3222</v>
      </c>
      <c r="B395" s="152" t="s">
        <v>3223</v>
      </c>
      <c r="C395" s="152" t="s">
        <v>758</v>
      </c>
      <c r="D395" s="152" t="s">
        <v>242</v>
      </c>
      <c r="E395" s="154"/>
      <c r="F395" s="470" t="s">
        <v>1908</v>
      </c>
      <c r="G395" s="336" t="s">
        <v>3224</v>
      </c>
      <c r="H395" s="155" t="s">
        <v>204</v>
      </c>
      <c r="I395" s="155" t="s">
        <v>3225</v>
      </c>
      <c r="J395" s="155"/>
      <c r="K395" s="155" t="s">
        <v>191</v>
      </c>
      <c r="L395" s="143">
        <v>4</v>
      </c>
      <c r="M395" s="144" t="s">
        <v>12</v>
      </c>
      <c r="N395" s="367">
        <v>5</v>
      </c>
      <c r="O395" s="151" t="s">
        <v>199</v>
      </c>
    </row>
    <row r="396" spans="1:15" ht="22.5">
      <c r="A396" s="145" t="s">
        <v>3226</v>
      </c>
      <c r="B396" s="152" t="s">
        <v>1718</v>
      </c>
      <c r="C396" s="152" t="s">
        <v>758</v>
      </c>
      <c r="D396" s="152" t="s">
        <v>242</v>
      </c>
      <c r="E396" s="154"/>
      <c r="F396" s="470" t="s">
        <v>1908</v>
      </c>
      <c r="G396" s="336" t="s">
        <v>3227</v>
      </c>
      <c r="H396" s="155" t="s">
        <v>198</v>
      </c>
      <c r="I396" s="155" t="s">
        <v>3228</v>
      </c>
      <c r="J396" s="155"/>
      <c r="K396" s="155" t="s">
        <v>191</v>
      </c>
      <c r="L396" s="143">
        <v>4</v>
      </c>
      <c r="M396" s="144" t="s">
        <v>12</v>
      </c>
      <c r="N396" s="367">
        <v>5</v>
      </c>
      <c r="O396" s="151" t="s">
        <v>199</v>
      </c>
    </row>
    <row r="397" spans="1:15" ht="11.25">
      <c r="A397" s="145" t="s">
        <v>3229</v>
      </c>
      <c r="B397" s="152" t="s">
        <v>3230</v>
      </c>
      <c r="C397" s="152" t="s">
        <v>758</v>
      </c>
      <c r="D397" s="152" t="s">
        <v>242</v>
      </c>
      <c r="E397" s="154"/>
      <c r="F397" s="470" t="s">
        <v>1905</v>
      </c>
      <c r="G397" s="336" t="s">
        <v>3231</v>
      </c>
      <c r="H397" s="155" t="s">
        <v>198</v>
      </c>
      <c r="I397" s="155" t="s">
        <v>3228</v>
      </c>
      <c r="J397" s="155"/>
      <c r="K397" s="155" t="s">
        <v>191</v>
      </c>
      <c r="L397" s="143">
        <v>4</v>
      </c>
      <c r="M397" s="144" t="s">
        <v>12</v>
      </c>
      <c r="N397" s="367">
        <v>5</v>
      </c>
      <c r="O397" s="151" t="s">
        <v>199</v>
      </c>
    </row>
    <row r="398" spans="1:15" ht="11.25">
      <c r="A398" s="145" t="s">
        <v>3232</v>
      </c>
      <c r="B398" s="152" t="s">
        <v>3233</v>
      </c>
      <c r="C398" s="152" t="s">
        <v>758</v>
      </c>
      <c r="D398" s="152" t="s">
        <v>242</v>
      </c>
      <c r="E398" s="154"/>
      <c r="F398" s="470" t="s">
        <v>1908</v>
      </c>
      <c r="G398" s="164" t="s">
        <v>3234</v>
      </c>
      <c r="H398" s="155" t="s">
        <v>198</v>
      </c>
      <c r="I398" s="155" t="s">
        <v>3228</v>
      </c>
      <c r="J398" s="155"/>
      <c r="K398" s="155" t="s">
        <v>191</v>
      </c>
      <c r="L398" s="143">
        <v>4</v>
      </c>
      <c r="M398" s="144" t="s">
        <v>12</v>
      </c>
      <c r="N398" s="367">
        <v>5</v>
      </c>
      <c r="O398" s="151" t="s">
        <v>199</v>
      </c>
    </row>
    <row r="399" spans="1:15" ht="11.25">
      <c r="A399" s="152" t="s">
        <v>3235</v>
      </c>
      <c r="B399" s="152" t="s">
        <v>3236</v>
      </c>
      <c r="C399" s="152" t="s">
        <v>758</v>
      </c>
      <c r="D399" s="152" t="s">
        <v>242</v>
      </c>
      <c r="E399" s="154"/>
      <c r="F399" s="470" t="s">
        <v>1895</v>
      </c>
      <c r="G399" s="336" t="s">
        <v>3237</v>
      </c>
      <c r="H399" s="155" t="s">
        <v>198</v>
      </c>
      <c r="I399" s="155" t="s">
        <v>3228</v>
      </c>
      <c r="J399" s="155"/>
      <c r="K399" s="155" t="s">
        <v>191</v>
      </c>
      <c r="L399" s="143">
        <v>4</v>
      </c>
      <c r="M399" s="144" t="s">
        <v>12</v>
      </c>
      <c r="N399" s="367">
        <v>5</v>
      </c>
      <c r="O399" s="151" t="s">
        <v>199</v>
      </c>
    </row>
    <row r="400" spans="1:15" ht="11.25">
      <c r="A400" s="152" t="s">
        <v>3238</v>
      </c>
      <c r="B400" s="152" t="s">
        <v>3239</v>
      </c>
      <c r="C400" s="152" t="s">
        <v>758</v>
      </c>
      <c r="D400" s="152" t="s">
        <v>242</v>
      </c>
      <c r="E400" s="154"/>
      <c r="F400" s="470" t="s">
        <v>1908</v>
      </c>
      <c r="G400" s="336" t="s">
        <v>3240</v>
      </c>
      <c r="H400" s="155" t="s">
        <v>198</v>
      </c>
      <c r="I400" s="155" t="s">
        <v>3228</v>
      </c>
      <c r="J400" s="155"/>
      <c r="K400" s="155" t="s">
        <v>191</v>
      </c>
      <c r="L400" s="143">
        <v>4</v>
      </c>
      <c r="M400" s="144" t="s">
        <v>12</v>
      </c>
      <c r="N400" s="367">
        <v>5</v>
      </c>
      <c r="O400" s="151" t="s">
        <v>199</v>
      </c>
    </row>
    <row r="401" spans="1:15" ht="22.5">
      <c r="A401" s="152" t="s">
        <v>3146</v>
      </c>
      <c r="B401" s="152" t="s">
        <v>3147</v>
      </c>
      <c r="C401" s="152" t="s">
        <v>758</v>
      </c>
      <c r="D401" s="152" t="s">
        <v>242</v>
      </c>
      <c r="E401" s="154"/>
      <c r="F401" s="470" t="s">
        <v>1905</v>
      </c>
      <c r="G401" s="336" t="s">
        <v>3241</v>
      </c>
      <c r="H401" s="155" t="s">
        <v>198</v>
      </c>
      <c r="I401" s="155" t="s">
        <v>3228</v>
      </c>
      <c r="J401" s="155"/>
      <c r="K401" s="155" t="s">
        <v>191</v>
      </c>
      <c r="L401" s="143">
        <v>4</v>
      </c>
      <c r="M401" s="144" t="s">
        <v>12</v>
      </c>
      <c r="N401" s="367">
        <v>5</v>
      </c>
      <c r="O401" s="151" t="s">
        <v>199</v>
      </c>
    </row>
    <row r="402" spans="1:15" ht="21" customHeight="1">
      <c r="A402" s="152" t="s">
        <v>3242</v>
      </c>
      <c r="B402" s="152" t="s">
        <v>3243</v>
      </c>
      <c r="C402" s="152" t="s">
        <v>758</v>
      </c>
      <c r="D402" s="152" t="s">
        <v>242</v>
      </c>
      <c r="E402" s="154"/>
      <c r="F402" s="470" t="s">
        <v>1905</v>
      </c>
      <c r="G402" s="462" t="s">
        <v>3244</v>
      </c>
      <c r="H402" s="156" t="s">
        <v>198</v>
      </c>
      <c r="I402" s="155"/>
      <c r="J402" s="155"/>
      <c r="K402" s="155" t="s">
        <v>191</v>
      </c>
      <c r="L402" s="143">
        <v>4</v>
      </c>
      <c r="M402" s="144" t="s">
        <v>12</v>
      </c>
      <c r="N402" s="367">
        <v>5</v>
      </c>
      <c r="O402" s="151" t="s">
        <v>199</v>
      </c>
    </row>
    <row r="403" spans="1:15" ht="16.5" customHeight="1">
      <c r="A403" s="152" t="s">
        <v>3245</v>
      </c>
      <c r="B403" s="152" t="s">
        <v>3246</v>
      </c>
      <c r="C403" s="152" t="s">
        <v>758</v>
      </c>
      <c r="D403" s="152" t="s">
        <v>242</v>
      </c>
      <c r="E403" s="154"/>
      <c r="F403" s="470" t="s">
        <v>1905</v>
      </c>
      <c r="G403" s="462" t="s">
        <v>3247</v>
      </c>
      <c r="H403" s="156" t="s">
        <v>198</v>
      </c>
      <c r="I403" s="155"/>
      <c r="J403" s="155"/>
      <c r="K403" s="155" t="s">
        <v>191</v>
      </c>
      <c r="L403" s="143">
        <v>4</v>
      </c>
      <c r="M403" s="144" t="s">
        <v>12</v>
      </c>
      <c r="N403" s="367">
        <v>5</v>
      </c>
      <c r="O403" s="151" t="s">
        <v>199</v>
      </c>
    </row>
    <row r="404" spans="1:15" ht="11.25">
      <c r="A404" s="152" t="s">
        <v>3248</v>
      </c>
      <c r="B404" s="152" t="s">
        <v>3249</v>
      </c>
      <c r="C404" s="152" t="s">
        <v>758</v>
      </c>
      <c r="D404" s="152" t="s">
        <v>242</v>
      </c>
      <c r="E404" s="154"/>
      <c r="F404" s="470" t="s">
        <v>1905</v>
      </c>
      <c r="G404" s="462" t="s">
        <v>3250</v>
      </c>
      <c r="H404" s="156" t="s">
        <v>198</v>
      </c>
      <c r="I404" s="155"/>
      <c r="J404" s="155"/>
      <c r="K404" s="155" t="s">
        <v>191</v>
      </c>
      <c r="L404" s="143">
        <v>4</v>
      </c>
      <c r="M404" s="144" t="s">
        <v>12</v>
      </c>
      <c r="N404" s="367">
        <v>5</v>
      </c>
      <c r="O404" s="151" t="s">
        <v>199</v>
      </c>
    </row>
    <row r="405" spans="1:15" ht="22.5">
      <c r="A405" s="145" t="s">
        <v>3251</v>
      </c>
      <c r="B405" s="152" t="s">
        <v>3252</v>
      </c>
      <c r="C405" s="152" t="s">
        <v>758</v>
      </c>
      <c r="D405" s="152" t="s">
        <v>242</v>
      </c>
      <c r="E405" s="154"/>
      <c r="F405" s="470" t="s">
        <v>1905</v>
      </c>
      <c r="G405" s="462" t="s">
        <v>3253</v>
      </c>
      <c r="H405" s="156" t="s">
        <v>198</v>
      </c>
      <c r="I405" s="155"/>
      <c r="J405" s="155"/>
      <c r="K405" s="155" t="s">
        <v>191</v>
      </c>
      <c r="L405" s="143">
        <v>4</v>
      </c>
      <c r="M405" s="144" t="s">
        <v>12</v>
      </c>
      <c r="N405" s="367">
        <v>5</v>
      </c>
      <c r="O405" s="151" t="s">
        <v>199</v>
      </c>
    </row>
    <row r="406" spans="1:15" ht="19.5" customHeight="1">
      <c r="A406" s="145" t="s">
        <v>3254</v>
      </c>
      <c r="B406" s="152" t="s">
        <v>3255</v>
      </c>
      <c r="C406" s="152" t="s">
        <v>758</v>
      </c>
      <c r="D406" s="152" t="s">
        <v>242</v>
      </c>
      <c r="E406" s="154"/>
      <c r="F406" s="470" t="s">
        <v>1905</v>
      </c>
      <c r="G406" s="336" t="s">
        <v>3256</v>
      </c>
      <c r="H406" s="156" t="s">
        <v>198</v>
      </c>
      <c r="I406" s="155"/>
      <c r="J406" s="155"/>
      <c r="K406" s="155" t="s">
        <v>191</v>
      </c>
      <c r="L406" s="143">
        <v>4</v>
      </c>
      <c r="M406" s="144" t="s">
        <v>12</v>
      </c>
      <c r="N406" s="367">
        <v>5</v>
      </c>
      <c r="O406" s="151" t="s">
        <v>199</v>
      </c>
    </row>
    <row r="407" spans="1:15" ht="17.25" customHeight="1">
      <c r="A407" s="145" t="s">
        <v>3257</v>
      </c>
      <c r="B407" s="152" t="s">
        <v>3258</v>
      </c>
      <c r="C407" s="152" t="s">
        <v>758</v>
      </c>
      <c r="D407" s="152" t="s">
        <v>242</v>
      </c>
      <c r="E407" s="154"/>
      <c r="F407" s="470" t="s">
        <v>1905</v>
      </c>
      <c r="G407" s="336" t="s">
        <v>3259</v>
      </c>
      <c r="H407" s="156" t="s">
        <v>198</v>
      </c>
      <c r="I407" s="155"/>
      <c r="J407" s="155"/>
      <c r="K407" s="155" t="s">
        <v>191</v>
      </c>
      <c r="L407" s="143">
        <v>4</v>
      </c>
      <c r="M407" s="144" t="s">
        <v>12</v>
      </c>
      <c r="N407" s="367">
        <v>5</v>
      </c>
      <c r="O407" s="151" t="s">
        <v>199</v>
      </c>
    </row>
    <row r="408" spans="1:15" ht="15.75" customHeight="1">
      <c r="A408" s="145" t="s">
        <v>3260</v>
      </c>
      <c r="B408" s="152" t="s">
        <v>3261</v>
      </c>
      <c r="C408" s="152" t="s">
        <v>758</v>
      </c>
      <c r="D408" s="152" t="s">
        <v>242</v>
      </c>
      <c r="E408" s="154"/>
      <c r="F408" s="470" t="s">
        <v>1905</v>
      </c>
      <c r="G408" s="336" t="s">
        <v>3262</v>
      </c>
      <c r="H408" s="156" t="s">
        <v>198</v>
      </c>
      <c r="I408" s="155"/>
      <c r="J408" s="155"/>
      <c r="K408" s="155" t="s">
        <v>191</v>
      </c>
      <c r="L408" s="143">
        <v>4</v>
      </c>
      <c r="M408" s="144" t="s">
        <v>12</v>
      </c>
      <c r="N408" s="367">
        <v>5</v>
      </c>
      <c r="O408" s="151" t="s">
        <v>199</v>
      </c>
    </row>
    <row r="409" spans="1:15" ht="16.5" customHeight="1">
      <c r="A409" s="145" t="s">
        <v>3263</v>
      </c>
      <c r="B409" s="152" t="s">
        <v>3264</v>
      </c>
      <c r="C409" s="152" t="s">
        <v>758</v>
      </c>
      <c r="D409" s="152" t="s">
        <v>242</v>
      </c>
      <c r="E409" s="154"/>
      <c r="F409" s="470" t="s">
        <v>1905</v>
      </c>
      <c r="G409" s="336" t="s">
        <v>3265</v>
      </c>
      <c r="H409" s="156" t="s">
        <v>198</v>
      </c>
      <c r="I409" s="155"/>
      <c r="J409" s="155"/>
      <c r="K409" s="155" t="s">
        <v>191</v>
      </c>
      <c r="L409" s="143">
        <v>4</v>
      </c>
      <c r="M409" s="144" t="s">
        <v>12</v>
      </c>
      <c r="N409" s="367">
        <v>5</v>
      </c>
      <c r="O409" s="151" t="s">
        <v>199</v>
      </c>
    </row>
    <row r="410" spans="1:15" ht="17.25" customHeight="1">
      <c r="A410" s="145" t="s">
        <v>3266</v>
      </c>
      <c r="B410" s="152" t="s">
        <v>3267</v>
      </c>
      <c r="C410" s="152" t="s">
        <v>758</v>
      </c>
      <c r="D410" s="152" t="s">
        <v>242</v>
      </c>
      <c r="E410" s="154"/>
      <c r="F410" s="470" t="s">
        <v>1905</v>
      </c>
      <c r="G410" s="336" t="s">
        <v>3268</v>
      </c>
      <c r="H410" s="156" t="s">
        <v>198</v>
      </c>
      <c r="I410" s="155"/>
      <c r="J410" s="155"/>
      <c r="K410" s="155" t="s">
        <v>191</v>
      </c>
      <c r="L410" s="143">
        <v>4</v>
      </c>
      <c r="M410" s="144" t="s">
        <v>12</v>
      </c>
      <c r="N410" s="367">
        <v>5</v>
      </c>
      <c r="O410" s="151" t="s">
        <v>199</v>
      </c>
    </row>
    <row r="411" spans="1:15" ht="17.25" customHeight="1">
      <c r="A411" s="145" t="s">
        <v>3269</v>
      </c>
      <c r="B411" s="152" t="s">
        <v>3270</v>
      </c>
      <c r="C411" s="152" t="s">
        <v>758</v>
      </c>
      <c r="D411" s="152" t="s">
        <v>242</v>
      </c>
      <c r="E411" s="154"/>
      <c r="F411" s="470" t="s">
        <v>1908</v>
      </c>
      <c r="G411" s="336" t="s">
        <v>3271</v>
      </c>
      <c r="H411" s="156" t="s">
        <v>198</v>
      </c>
      <c r="I411" s="155"/>
      <c r="J411" s="155"/>
      <c r="K411" s="155" t="s">
        <v>191</v>
      </c>
      <c r="L411" s="143">
        <v>4</v>
      </c>
      <c r="M411" s="144" t="s">
        <v>12</v>
      </c>
      <c r="N411" s="367">
        <v>5</v>
      </c>
      <c r="O411" s="151" t="s">
        <v>199</v>
      </c>
    </row>
    <row r="412" spans="1:15" ht="17.25" customHeight="1">
      <c r="A412" s="145" t="s">
        <v>3272</v>
      </c>
      <c r="B412" s="152" t="s">
        <v>3273</v>
      </c>
      <c r="C412" s="152" t="s">
        <v>758</v>
      </c>
      <c r="D412" s="152" t="s">
        <v>242</v>
      </c>
      <c r="E412" s="154"/>
      <c r="F412" s="470" t="s">
        <v>1908</v>
      </c>
      <c r="G412" s="336" t="s">
        <v>3274</v>
      </c>
      <c r="H412" s="156" t="s">
        <v>198</v>
      </c>
      <c r="I412" s="155" t="s">
        <v>3275</v>
      </c>
      <c r="J412" s="155"/>
      <c r="K412" s="155" t="s">
        <v>191</v>
      </c>
      <c r="L412" s="143">
        <v>4</v>
      </c>
      <c r="M412" s="144" t="s">
        <v>12</v>
      </c>
      <c r="N412" s="367">
        <v>5</v>
      </c>
      <c r="O412" s="151" t="s">
        <v>199</v>
      </c>
    </row>
    <row r="413" spans="1:15" ht="17.25" customHeight="1">
      <c r="A413" s="145" t="s">
        <v>3276</v>
      </c>
      <c r="B413" s="152" t="s">
        <v>3277</v>
      </c>
      <c r="C413" s="152" t="s">
        <v>758</v>
      </c>
      <c r="D413" s="152" t="s">
        <v>242</v>
      </c>
      <c r="E413" s="154"/>
      <c r="F413" s="470" t="s">
        <v>1908</v>
      </c>
      <c r="G413" s="336" t="s">
        <v>3278</v>
      </c>
      <c r="H413" s="156" t="s">
        <v>198</v>
      </c>
      <c r="I413" s="155"/>
      <c r="J413" s="155"/>
      <c r="K413" s="155" t="s">
        <v>191</v>
      </c>
      <c r="L413" s="143">
        <v>4</v>
      </c>
      <c r="M413" s="144" t="s">
        <v>12</v>
      </c>
      <c r="N413" s="367">
        <v>5</v>
      </c>
      <c r="O413" s="151" t="s">
        <v>199</v>
      </c>
    </row>
    <row r="414" spans="1:15" ht="17.25" customHeight="1">
      <c r="A414" s="145" t="s">
        <v>3263</v>
      </c>
      <c r="B414" s="152" t="s">
        <v>3279</v>
      </c>
      <c r="C414" s="152" t="s">
        <v>758</v>
      </c>
      <c r="D414" s="152" t="s">
        <v>242</v>
      </c>
      <c r="E414" s="154"/>
      <c r="F414" s="470" t="s">
        <v>1905</v>
      </c>
      <c r="G414" s="336" t="s">
        <v>3280</v>
      </c>
      <c r="H414" s="156" t="s">
        <v>198</v>
      </c>
      <c r="I414" s="155"/>
      <c r="J414" s="155"/>
      <c r="K414" s="155" t="s">
        <v>191</v>
      </c>
      <c r="L414" s="143">
        <v>4</v>
      </c>
      <c r="M414" s="144" t="s">
        <v>12</v>
      </c>
      <c r="N414" s="367">
        <v>5</v>
      </c>
      <c r="O414" s="151" t="s">
        <v>199</v>
      </c>
    </row>
    <row r="415" spans="1:15" ht="17.25" customHeight="1">
      <c r="A415" s="145" t="s">
        <v>3266</v>
      </c>
      <c r="B415" s="152" t="s">
        <v>3281</v>
      </c>
      <c r="C415" s="152" t="s">
        <v>758</v>
      </c>
      <c r="D415" s="152" t="s">
        <v>242</v>
      </c>
      <c r="E415" s="154"/>
      <c r="F415" s="470" t="s">
        <v>1905</v>
      </c>
      <c r="G415" s="336" t="s">
        <v>3282</v>
      </c>
      <c r="H415" s="156" t="s">
        <v>198</v>
      </c>
      <c r="I415" s="155" t="s">
        <v>3275</v>
      </c>
      <c r="J415" s="155"/>
      <c r="K415" s="155" t="s">
        <v>191</v>
      </c>
      <c r="L415" s="143">
        <v>4</v>
      </c>
      <c r="M415" s="144" t="s">
        <v>12</v>
      </c>
      <c r="N415" s="367">
        <v>5</v>
      </c>
      <c r="O415" s="151" t="s">
        <v>199</v>
      </c>
    </row>
    <row r="416" spans="1:15" ht="17.25" customHeight="1">
      <c r="A416" s="145" t="s">
        <v>3248</v>
      </c>
      <c r="B416" s="152" t="s">
        <v>3283</v>
      </c>
      <c r="C416" s="152" t="s">
        <v>758</v>
      </c>
      <c r="D416" s="152" t="s">
        <v>242</v>
      </c>
      <c r="E416" s="154"/>
      <c r="F416" s="470" t="s">
        <v>1905</v>
      </c>
      <c r="G416" s="336" t="s">
        <v>3284</v>
      </c>
      <c r="H416" s="156" t="s">
        <v>198</v>
      </c>
      <c r="I416" s="155"/>
      <c r="J416" s="155"/>
      <c r="K416" s="155" t="s">
        <v>191</v>
      </c>
      <c r="L416" s="143">
        <v>4</v>
      </c>
      <c r="M416" s="144" t="s">
        <v>12</v>
      </c>
      <c r="N416" s="367">
        <v>5</v>
      </c>
      <c r="O416" s="151" t="s">
        <v>199</v>
      </c>
    </row>
    <row r="417" spans="1:15" ht="17.25" customHeight="1">
      <c r="A417" s="145" t="s">
        <v>3285</v>
      </c>
      <c r="B417" s="152" t="s">
        <v>3286</v>
      </c>
      <c r="C417" s="152" t="s">
        <v>758</v>
      </c>
      <c r="D417" s="152" t="s">
        <v>242</v>
      </c>
      <c r="E417" s="154"/>
      <c r="F417" s="470" t="s">
        <v>1908</v>
      </c>
      <c r="G417" s="336" t="s">
        <v>3287</v>
      </c>
      <c r="H417" s="156" t="s">
        <v>198</v>
      </c>
      <c r="I417" s="155"/>
      <c r="J417" s="155"/>
      <c r="K417" s="155" t="s">
        <v>191</v>
      </c>
      <c r="L417" s="143">
        <v>4</v>
      </c>
      <c r="M417" s="144" t="s">
        <v>12</v>
      </c>
      <c r="N417" s="367">
        <v>5</v>
      </c>
      <c r="O417" s="151" t="s">
        <v>199</v>
      </c>
    </row>
    <row r="418" spans="1:15" ht="17.25" customHeight="1">
      <c r="A418" s="145" t="s">
        <v>3288</v>
      </c>
      <c r="B418" s="152" t="s">
        <v>3289</v>
      </c>
      <c r="C418" s="152" t="s">
        <v>758</v>
      </c>
      <c r="D418" s="152" t="s">
        <v>242</v>
      </c>
      <c r="E418" s="154"/>
      <c r="F418" s="470" t="s">
        <v>1908</v>
      </c>
      <c r="G418" s="336" t="s">
        <v>3290</v>
      </c>
      <c r="H418" s="156" t="s">
        <v>198</v>
      </c>
      <c r="I418" s="155" t="s">
        <v>3275</v>
      </c>
      <c r="J418" s="155"/>
      <c r="K418" s="155" t="s">
        <v>191</v>
      </c>
      <c r="L418" s="143">
        <v>4</v>
      </c>
      <c r="M418" s="144" t="s">
        <v>12</v>
      </c>
      <c r="N418" s="367">
        <v>5</v>
      </c>
      <c r="O418" s="151" t="s">
        <v>199</v>
      </c>
    </row>
    <row r="419" spans="1:15" ht="17.25" customHeight="1">
      <c r="A419" s="145" t="s">
        <v>3291</v>
      </c>
      <c r="B419" s="152" t="s">
        <v>3292</v>
      </c>
      <c r="C419" s="152" t="s">
        <v>758</v>
      </c>
      <c r="D419" s="152" t="s">
        <v>242</v>
      </c>
      <c r="E419" s="154"/>
      <c r="F419" s="470" t="s">
        <v>1908</v>
      </c>
      <c r="G419" s="336" t="s">
        <v>3293</v>
      </c>
      <c r="H419" s="156" t="s">
        <v>198</v>
      </c>
      <c r="I419" s="155"/>
      <c r="J419" s="155"/>
      <c r="K419" s="155" t="s">
        <v>191</v>
      </c>
      <c r="L419" s="143">
        <v>4</v>
      </c>
      <c r="M419" s="144" t="s">
        <v>12</v>
      </c>
      <c r="N419" s="367">
        <v>5</v>
      </c>
      <c r="O419" s="151" t="s">
        <v>199</v>
      </c>
    </row>
    <row r="420" spans="1:15" ht="17.25" customHeight="1">
      <c r="A420" s="145" t="s">
        <v>3294</v>
      </c>
      <c r="B420" s="152" t="s">
        <v>3295</v>
      </c>
      <c r="C420" s="152" t="s">
        <v>758</v>
      </c>
      <c r="D420" s="152" t="s">
        <v>242</v>
      </c>
      <c r="E420" s="154"/>
      <c r="F420" s="470" t="s">
        <v>1908</v>
      </c>
      <c r="G420" s="336" t="s">
        <v>3296</v>
      </c>
      <c r="H420" s="156" t="s">
        <v>198</v>
      </c>
      <c r="I420" s="155"/>
      <c r="J420" s="155"/>
      <c r="K420" s="155" t="s">
        <v>191</v>
      </c>
      <c r="L420" s="143">
        <v>4</v>
      </c>
      <c r="M420" s="144" t="s">
        <v>12</v>
      </c>
      <c r="N420" s="367">
        <v>5</v>
      </c>
      <c r="O420" s="151" t="s">
        <v>199</v>
      </c>
    </row>
    <row r="421" spans="1:15" ht="17.25" customHeight="1">
      <c r="A421" s="145" t="s">
        <v>3297</v>
      </c>
      <c r="B421" s="152" t="s">
        <v>3298</v>
      </c>
      <c r="C421" s="152" t="s">
        <v>758</v>
      </c>
      <c r="D421" s="152" t="s">
        <v>242</v>
      </c>
      <c r="E421" s="154"/>
      <c r="F421" s="470" t="s">
        <v>1908</v>
      </c>
      <c r="G421" s="336" t="s">
        <v>3299</v>
      </c>
      <c r="H421" s="156" t="s">
        <v>198</v>
      </c>
      <c r="I421" s="155" t="s">
        <v>3275</v>
      </c>
      <c r="J421" s="155"/>
      <c r="K421" s="155" t="s">
        <v>191</v>
      </c>
      <c r="L421" s="143">
        <v>4</v>
      </c>
      <c r="M421" s="144" t="s">
        <v>12</v>
      </c>
      <c r="N421" s="367">
        <v>5</v>
      </c>
      <c r="O421" s="151" t="s">
        <v>199</v>
      </c>
    </row>
    <row r="422" spans="1:15" ht="17.25" customHeight="1">
      <c r="A422" s="145" t="s">
        <v>3300</v>
      </c>
      <c r="B422" s="152" t="s">
        <v>3301</v>
      </c>
      <c r="C422" s="152" t="s">
        <v>758</v>
      </c>
      <c r="D422" s="152" t="s">
        <v>242</v>
      </c>
      <c r="E422" s="154"/>
      <c r="F422" s="470" t="s">
        <v>1908</v>
      </c>
      <c r="G422" s="336" t="s">
        <v>3302</v>
      </c>
      <c r="H422" s="156" t="s">
        <v>198</v>
      </c>
      <c r="I422" s="155"/>
      <c r="J422" s="155"/>
      <c r="K422" s="155" t="s">
        <v>191</v>
      </c>
      <c r="L422" s="143">
        <v>4</v>
      </c>
      <c r="M422" s="144" t="s">
        <v>12</v>
      </c>
      <c r="N422" s="367">
        <v>5</v>
      </c>
      <c r="O422" s="151" t="s">
        <v>199</v>
      </c>
    </row>
    <row r="423" spans="1:15" ht="11.25">
      <c r="A423" s="145" t="s">
        <v>3303</v>
      </c>
      <c r="B423" s="140" t="s">
        <v>3304</v>
      </c>
      <c r="C423" s="140" t="s">
        <v>3305</v>
      </c>
      <c r="D423" s="152" t="s">
        <v>242</v>
      </c>
      <c r="E423" s="154"/>
      <c r="F423" s="470" t="s">
        <v>2106</v>
      </c>
      <c r="G423" s="462" t="s">
        <v>3306</v>
      </c>
      <c r="H423" s="156" t="s">
        <v>198</v>
      </c>
      <c r="I423" s="155"/>
      <c r="J423" s="155"/>
      <c r="K423" s="155" t="s">
        <v>191</v>
      </c>
      <c r="L423" s="143">
        <v>4</v>
      </c>
      <c r="M423" s="144" t="s">
        <v>12</v>
      </c>
      <c r="N423" s="367">
        <v>5</v>
      </c>
      <c r="O423" s="151" t="s">
        <v>199</v>
      </c>
    </row>
    <row r="424" spans="1:15" ht="11.25">
      <c r="A424" s="145" t="s">
        <v>3307</v>
      </c>
      <c r="B424" s="142" t="s">
        <v>3308</v>
      </c>
      <c r="C424" s="140" t="s">
        <v>3309</v>
      </c>
      <c r="D424" s="152" t="s">
        <v>242</v>
      </c>
      <c r="E424" s="154"/>
      <c r="F424" s="470" t="s">
        <v>3310</v>
      </c>
      <c r="G424" s="462" t="s">
        <v>3311</v>
      </c>
      <c r="H424" s="156" t="s">
        <v>198</v>
      </c>
      <c r="I424" s="155"/>
      <c r="J424" s="155"/>
      <c r="K424" s="155" t="s">
        <v>191</v>
      </c>
      <c r="L424" s="143">
        <v>4</v>
      </c>
      <c r="M424" s="144" t="s">
        <v>12</v>
      </c>
      <c r="N424" s="367">
        <v>5</v>
      </c>
      <c r="O424" s="151" t="s">
        <v>199</v>
      </c>
    </row>
    <row r="425" spans="1:15" ht="22.5">
      <c r="A425" s="145" t="s">
        <v>3312</v>
      </c>
      <c r="B425" s="142" t="s">
        <v>3313</v>
      </c>
      <c r="C425" s="140" t="s">
        <v>758</v>
      </c>
      <c r="D425" s="152" t="s">
        <v>242</v>
      </c>
      <c r="E425" s="154"/>
      <c r="F425" s="470" t="s">
        <v>2164</v>
      </c>
      <c r="G425" s="462" t="s">
        <v>3314</v>
      </c>
      <c r="H425" s="156" t="s">
        <v>198</v>
      </c>
      <c r="I425" s="155"/>
      <c r="J425" s="155"/>
      <c r="K425" s="155" t="s">
        <v>191</v>
      </c>
      <c r="L425" s="143">
        <v>4</v>
      </c>
      <c r="M425" s="144" t="s">
        <v>12</v>
      </c>
      <c r="N425" s="367">
        <v>5</v>
      </c>
      <c r="O425" s="151" t="s">
        <v>199</v>
      </c>
    </row>
    <row r="426" spans="1:15" ht="45">
      <c r="A426" s="145" t="s">
        <v>3315</v>
      </c>
      <c r="B426" s="152" t="s">
        <v>3316</v>
      </c>
      <c r="C426" s="152" t="s">
        <v>758</v>
      </c>
      <c r="D426" s="152" t="s">
        <v>242</v>
      </c>
      <c r="E426" s="154"/>
      <c r="F426" s="470" t="s">
        <v>1946</v>
      </c>
      <c r="G426" s="336" t="s">
        <v>3317</v>
      </c>
      <c r="H426" s="155" t="s">
        <v>204</v>
      </c>
      <c r="I426" s="155" t="s">
        <v>3318</v>
      </c>
      <c r="J426" s="155"/>
      <c r="K426" s="155" t="s">
        <v>191</v>
      </c>
      <c r="L426" s="143">
        <v>4</v>
      </c>
      <c r="M426" s="144" t="s">
        <v>12</v>
      </c>
      <c r="N426" s="367">
        <v>5</v>
      </c>
      <c r="O426" s="151" t="s">
        <v>199</v>
      </c>
    </row>
    <row r="427" spans="1:15" ht="11.25">
      <c r="A427" s="145" t="s">
        <v>3319</v>
      </c>
      <c r="B427" s="142" t="s">
        <v>3320</v>
      </c>
      <c r="C427" s="140" t="s">
        <v>3321</v>
      </c>
      <c r="D427" s="152" t="s">
        <v>242</v>
      </c>
      <c r="E427" s="154"/>
      <c r="F427" s="470" t="s">
        <v>2106</v>
      </c>
      <c r="G427" s="462" t="s">
        <v>3322</v>
      </c>
      <c r="H427" s="156" t="s">
        <v>198</v>
      </c>
      <c r="I427" s="155"/>
      <c r="J427" s="155"/>
      <c r="K427" s="155" t="s">
        <v>191</v>
      </c>
      <c r="L427" s="143">
        <v>4</v>
      </c>
      <c r="M427" s="144" t="s">
        <v>12</v>
      </c>
      <c r="N427" s="367">
        <v>5</v>
      </c>
      <c r="O427" s="151" t="s">
        <v>199</v>
      </c>
    </row>
    <row r="428" spans="1:15" ht="11.25">
      <c r="A428" s="142" t="s">
        <v>3323</v>
      </c>
      <c r="B428" s="142" t="s">
        <v>1660</v>
      </c>
      <c r="C428" s="140" t="s">
        <v>758</v>
      </c>
      <c r="D428" s="152" t="s">
        <v>242</v>
      </c>
      <c r="E428" s="154"/>
      <c r="F428" s="470" t="s">
        <v>2250</v>
      </c>
      <c r="G428" s="462" t="s">
        <v>3324</v>
      </c>
      <c r="H428" s="156" t="s">
        <v>204</v>
      </c>
      <c r="I428" s="155" t="s">
        <v>3325</v>
      </c>
      <c r="J428" s="155"/>
      <c r="K428" s="155" t="s">
        <v>191</v>
      </c>
      <c r="L428" s="143">
        <v>4</v>
      </c>
      <c r="M428" s="144" t="s">
        <v>12</v>
      </c>
      <c r="N428" s="367">
        <v>5</v>
      </c>
      <c r="O428" s="151" t="s">
        <v>199</v>
      </c>
    </row>
    <row r="429" spans="1:15" ht="11.25">
      <c r="A429" s="142" t="s">
        <v>3326</v>
      </c>
      <c r="B429" s="142" t="s">
        <v>1664</v>
      </c>
      <c r="C429" s="140" t="s">
        <v>758</v>
      </c>
      <c r="D429" s="152" t="s">
        <v>242</v>
      </c>
      <c r="E429" s="154"/>
      <c r="F429" s="470" t="s">
        <v>2250</v>
      </c>
      <c r="G429" s="462" t="s">
        <v>3327</v>
      </c>
      <c r="H429" s="156" t="s">
        <v>204</v>
      </c>
      <c r="I429" s="155" t="s">
        <v>3328</v>
      </c>
      <c r="J429" s="155"/>
      <c r="K429" s="155" t="s">
        <v>191</v>
      </c>
      <c r="L429" s="143">
        <v>4</v>
      </c>
      <c r="M429" s="144" t="s">
        <v>12</v>
      </c>
      <c r="N429" s="367">
        <v>5</v>
      </c>
      <c r="O429" s="151" t="s">
        <v>199</v>
      </c>
    </row>
    <row r="430" spans="1:15" ht="11.25">
      <c r="A430" s="142" t="s">
        <v>3329</v>
      </c>
      <c r="B430" s="142" t="s">
        <v>1668</v>
      </c>
      <c r="C430" s="140" t="s">
        <v>758</v>
      </c>
      <c r="D430" s="152" t="s">
        <v>242</v>
      </c>
      <c r="E430" s="154"/>
      <c r="F430" s="470" t="s">
        <v>2250</v>
      </c>
      <c r="G430" s="462" t="s">
        <v>3330</v>
      </c>
      <c r="H430" s="156" t="s">
        <v>204</v>
      </c>
      <c r="I430" s="155" t="s">
        <v>3328</v>
      </c>
      <c r="J430" s="155"/>
      <c r="K430" s="155" t="s">
        <v>191</v>
      </c>
      <c r="L430" s="143">
        <v>4</v>
      </c>
      <c r="M430" s="144" t="s">
        <v>12</v>
      </c>
      <c r="N430" s="367">
        <v>5</v>
      </c>
      <c r="O430" s="151" t="s">
        <v>199</v>
      </c>
    </row>
    <row r="431" spans="1:15" ht="11.25">
      <c r="A431" s="142" t="s">
        <v>3331</v>
      </c>
      <c r="B431" s="142" t="s">
        <v>1671</v>
      </c>
      <c r="C431" s="140" t="s">
        <v>758</v>
      </c>
      <c r="D431" s="152" t="s">
        <v>242</v>
      </c>
      <c r="E431" s="154"/>
      <c r="F431" s="470" t="s">
        <v>2250</v>
      </c>
      <c r="G431" s="462" t="s">
        <v>3332</v>
      </c>
      <c r="H431" s="156" t="s">
        <v>204</v>
      </c>
      <c r="I431" s="155" t="s">
        <v>3328</v>
      </c>
      <c r="J431" s="155"/>
      <c r="K431" s="155" t="s">
        <v>191</v>
      </c>
      <c r="L431" s="143">
        <v>4</v>
      </c>
      <c r="M431" s="144" t="s">
        <v>12</v>
      </c>
      <c r="N431" s="367">
        <v>5</v>
      </c>
      <c r="O431" s="151" t="s">
        <v>199</v>
      </c>
    </row>
    <row r="432" spans="1:15" ht="11.25">
      <c r="A432" s="142" t="s">
        <v>3333</v>
      </c>
      <c r="B432" s="142" t="s">
        <v>1674</v>
      </c>
      <c r="C432" s="140" t="s">
        <v>758</v>
      </c>
      <c r="D432" s="152" t="s">
        <v>242</v>
      </c>
      <c r="E432" s="154"/>
      <c r="F432" s="470" t="s">
        <v>2250</v>
      </c>
      <c r="G432" s="462" t="s">
        <v>3334</v>
      </c>
      <c r="H432" s="156" t="s">
        <v>204</v>
      </c>
      <c r="I432" s="155" t="s">
        <v>3328</v>
      </c>
      <c r="J432" s="155"/>
      <c r="K432" s="155" t="s">
        <v>191</v>
      </c>
      <c r="L432" s="143">
        <v>4</v>
      </c>
      <c r="M432" s="144" t="s">
        <v>12</v>
      </c>
      <c r="N432" s="367">
        <v>5</v>
      </c>
      <c r="O432" s="151" t="s">
        <v>199</v>
      </c>
    </row>
    <row r="433" spans="1:15" ht="11.25">
      <c r="A433" s="142" t="s">
        <v>3335</v>
      </c>
      <c r="B433" s="142" t="s">
        <v>1677</v>
      </c>
      <c r="C433" s="140" t="s">
        <v>758</v>
      </c>
      <c r="D433" s="152" t="s">
        <v>242</v>
      </c>
      <c r="E433" s="154"/>
      <c r="F433" s="470" t="s">
        <v>2250</v>
      </c>
      <c r="G433" s="462" t="s">
        <v>3336</v>
      </c>
      <c r="H433" s="156" t="s">
        <v>204</v>
      </c>
      <c r="I433" s="155" t="s">
        <v>3325</v>
      </c>
      <c r="J433" s="155"/>
      <c r="K433" s="155" t="s">
        <v>191</v>
      </c>
      <c r="L433" s="143">
        <v>4</v>
      </c>
      <c r="M433" s="144" t="s">
        <v>12</v>
      </c>
      <c r="N433" s="367">
        <v>5</v>
      </c>
      <c r="O433" s="151" t="s">
        <v>199</v>
      </c>
    </row>
    <row r="434" spans="1:15" ht="11.25">
      <c r="A434" s="142" t="s">
        <v>3337</v>
      </c>
      <c r="B434" s="142" t="s">
        <v>1680</v>
      </c>
      <c r="C434" s="140" t="s">
        <v>758</v>
      </c>
      <c r="D434" s="152" t="s">
        <v>242</v>
      </c>
      <c r="E434" s="154"/>
      <c r="F434" s="470" t="s">
        <v>2250</v>
      </c>
      <c r="G434" s="462" t="s">
        <v>3338</v>
      </c>
      <c r="H434" s="156" t="s">
        <v>204</v>
      </c>
      <c r="I434" s="155" t="s">
        <v>3328</v>
      </c>
      <c r="J434" s="155"/>
      <c r="K434" s="155" t="s">
        <v>191</v>
      </c>
      <c r="L434" s="143">
        <v>4</v>
      </c>
      <c r="M434" s="144" t="s">
        <v>12</v>
      </c>
      <c r="N434" s="367">
        <v>5</v>
      </c>
      <c r="O434" s="151" t="s">
        <v>199</v>
      </c>
    </row>
    <row r="435" spans="1:15" ht="11.25">
      <c r="A435" s="142" t="s">
        <v>3339</v>
      </c>
      <c r="B435" s="142" t="s">
        <v>1683</v>
      </c>
      <c r="C435" s="140" t="s">
        <v>758</v>
      </c>
      <c r="D435" s="152" t="s">
        <v>242</v>
      </c>
      <c r="E435" s="154"/>
      <c r="F435" s="470" t="s">
        <v>2250</v>
      </c>
      <c r="G435" s="462" t="s">
        <v>3340</v>
      </c>
      <c r="H435" s="156" t="s">
        <v>204</v>
      </c>
      <c r="I435" s="155" t="s">
        <v>3328</v>
      </c>
      <c r="J435" s="155"/>
      <c r="K435" s="155" t="s">
        <v>191</v>
      </c>
      <c r="L435" s="143">
        <v>4</v>
      </c>
      <c r="M435" s="144" t="s">
        <v>12</v>
      </c>
      <c r="N435" s="367">
        <v>5</v>
      </c>
      <c r="O435" s="151" t="s">
        <v>199</v>
      </c>
    </row>
    <row r="436" spans="1:15" ht="11.25">
      <c r="A436" s="142" t="s">
        <v>3341</v>
      </c>
      <c r="B436" s="142" t="s">
        <v>1686</v>
      </c>
      <c r="C436" s="140" t="s">
        <v>758</v>
      </c>
      <c r="D436" s="152" t="s">
        <v>242</v>
      </c>
      <c r="E436" s="154"/>
      <c r="F436" s="470" t="s">
        <v>2250</v>
      </c>
      <c r="G436" s="462" t="s">
        <v>3342</v>
      </c>
      <c r="H436" s="156" t="s">
        <v>204</v>
      </c>
      <c r="I436" s="155" t="s">
        <v>3328</v>
      </c>
      <c r="J436" s="155"/>
      <c r="K436" s="155" t="s">
        <v>191</v>
      </c>
      <c r="L436" s="143">
        <v>4</v>
      </c>
      <c r="M436" s="144" t="s">
        <v>12</v>
      </c>
      <c r="N436" s="367">
        <v>5</v>
      </c>
      <c r="O436" s="151" t="s">
        <v>199</v>
      </c>
    </row>
    <row r="437" spans="1:15" ht="22.5">
      <c r="A437" s="142" t="s">
        <v>3343</v>
      </c>
      <c r="B437" s="142" t="s">
        <v>1689</v>
      </c>
      <c r="C437" s="140" t="s">
        <v>758</v>
      </c>
      <c r="D437" s="152" t="s">
        <v>242</v>
      </c>
      <c r="E437" s="154"/>
      <c r="F437" s="470" t="s">
        <v>2250</v>
      </c>
      <c r="G437" s="462" t="s">
        <v>3344</v>
      </c>
      <c r="H437" s="156" t="s">
        <v>204</v>
      </c>
      <c r="I437" s="155" t="s">
        <v>3345</v>
      </c>
      <c r="J437" s="155"/>
      <c r="K437" s="155" t="s">
        <v>191</v>
      </c>
      <c r="L437" s="143">
        <v>4</v>
      </c>
      <c r="M437" s="144" t="s">
        <v>12</v>
      </c>
      <c r="N437" s="367">
        <v>5</v>
      </c>
      <c r="O437" s="151" t="s">
        <v>199</v>
      </c>
    </row>
    <row r="438" spans="1:15" ht="22.5">
      <c r="A438" s="145" t="s">
        <v>3346</v>
      </c>
      <c r="B438" s="142" t="s">
        <v>3347</v>
      </c>
      <c r="C438" s="140" t="s">
        <v>3348</v>
      </c>
      <c r="D438" s="152" t="s">
        <v>242</v>
      </c>
      <c r="E438" s="154"/>
      <c r="F438" s="470" t="s">
        <v>1987</v>
      </c>
      <c r="G438" s="462" t="s">
        <v>3349</v>
      </c>
      <c r="H438" s="156" t="s">
        <v>188</v>
      </c>
      <c r="I438" s="155" t="s">
        <v>3350</v>
      </c>
      <c r="J438" s="155"/>
      <c r="K438" s="155" t="s">
        <v>191</v>
      </c>
      <c r="L438" s="143">
        <v>4</v>
      </c>
      <c r="M438" s="144" t="s">
        <v>12</v>
      </c>
      <c r="N438" s="367">
        <v>5</v>
      </c>
      <c r="O438" s="151" t="s">
        <v>199</v>
      </c>
    </row>
    <row r="439" spans="1:15" ht="22.5">
      <c r="A439" s="145" t="s">
        <v>3351</v>
      </c>
      <c r="B439" s="142" t="s">
        <v>3352</v>
      </c>
      <c r="C439" s="140" t="s">
        <v>3353</v>
      </c>
      <c r="D439" s="152" t="s">
        <v>242</v>
      </c>
      <c r="E439" s="154"/>
      <c r="F439" s="470" t="s">
        <v>1987</v>
      </c>
      <c r="G439" s="462" t="s">
        <v>3354</v>
      </c>
      <c r="H439" s="156" t="s">
        <v>188</v>
      </c>
      <c r="I439" s="155" t="s">
        <v>3350</v>
      </c>
      <c r="J439" s="155"/>
      <c r="K439" s="155" t="s">
        <v>191</v>
      </c>
      <c r="L439" s="143">
        <v>4</v>
      </c>
      <c r="M439" s="144" t="s">
        <v>12</v>
      </c>
      <c r="N439" s="367">
        <v>5</v>
      </c>
      <c r="O439" s="151" t="s">
        <v>199</v>
      </c>
    </row>
    <row r="440" spans="1:15" ht="22.5">
      <c r="A440" s="145" t="s">
        <v>3355</v>
      </c>
      <c r="B440" s="142" t="s">
        <v>1467</v>
      </c>
      <c r="C440" s="140" t="s">
        <v>3356</v>
      </c>
      <c r="D440" s="152" t="s">
        <v>242</v>
      </c>
      <c r="E440" s="154"/>
      <c r="F440" s="470" t="s">
        <v>3357</v>
      </c>
      <c r="G440" s="462" t="s">
        <v>3358</v>
      </c>
      <c r="H440" s="156" t="s">
        <v>188</v>
      </c>
      <c r="I440" s="155" t="s">
        <v>1453</v>
      </c>
      <c r="J440" s="155"/>
      <c r="K440" s="155" t="s">
        <v>191</v>
      </c>
      <c r="L440" s="143">
        <v>4</v>
      </c>
      <c r="M440" s="144" t="s">
        <v>12</v>
      </c>
      <c r="N440" s="367">
        <v>5</v>
      </c>
      <c r="O440" s="151" t="s">
        <v>199</v>
      </c>
    </row>
    <row r="441" spans="1:15" ht="22.5">
      <c r="A441" s="145" t="s">
        <v>3359</v>
      </c>
      <c r="B441" s="142" t="s">
        <v>1471</v>
      </c>
      <c r="C441" s="140" t="s">
        <v>3360</v>
      </c>
      <c r="D441" s="152" t="s">
        <v>242</v>
      </c>
      <c r="E441" s="154"/>
      <c r="F441" s="470" t="s">
        <v>3357</v>
      </c>
      <c r="G441" s="462" t="s">
        <v>3361</v>
      </c>
      <c r="H441" s="156" t="s">
        <v>188</v>
      </c>
      <c r="I441" s="155" t="s">
        <v>1453</v>
      </c>
      <c r="J441" s="155"/>
      <c r="K441" s="155" t="s">
        <v>191</v>
      </c>
      <c r="L441" s="143">
        <v>4</v>
      </c>
      <c r="M441" s="144" t="s">
        <v>12</v>
      </c>
      <c r="N441" s="367">
        <v>5</v>
      </c>
      <c r="O441" s="151" t="s">
        <v>199</v>
      </c>
    </row>
    <row r="442" spans="1:15" ht="22.5">
      <c r="A442" s="145" t="s">
        <v>3362</v>
      </c>
      <c r="B442" s="142" t="s">
        <v>3363</v>
      </c>
      <c r="C442" s="140" t="s">
        <v>3364</v>
      </c>
      <c r="D442" s="152" t="s">
        <v>242</v>
      </c>
      <c r="E442" s="154"/>
      <c r="F442" s="470" t="s">
        <v>3357</v>
      </c>
      <c r="G442" s="462" t="s">
        <v>3365</v>
      </c>
      <c r="H442" s="156" t="s">
        <v>188</v>
      </c>
      <c r="I442" s="155" t="s">
        <v>1453</v>
      </c>
      <c r="J442" s="155"/>
      <c r="K442" s="155" t="s">
        <v>191</v>
      </c>
      <c r="L442" s="143">
        <v>4</v>
      </c>
      <c r="M442" s="144" t="s">
        <v>12</v>
      </c>
      <c r="N442" s="367">
        <v>5</v>
      </c>
      <c r="O442" s="151" t="s">
        <v>199</v>
      </c>
    </row>
    <row r="443" spans="1:15" ht="22.5">
      <c r="A443" s="145" t="s">
        <v>3366</v>
      </c>
      <c r="B443" s="142" t="s">
        <v>3367</v>
      </c>
      <c r="C443" s="140" t="s">
        <v>135</v>
      </c>
      <c r="D443" s="152" t="s">
        <v>242</v>
      </c>
      <c r="E443" s="154"/>
      <c r="F443" s="470" t="s">
        <v>2254</v>
      </c>
      <c r="G443" s="462" t="s">
        <v>3368</v>
      </c>
      <c r="H443" s="156" t="s">
        <v>188</v>
      </c>
      <c r="I443" s="155" t="s">
        <v>1453</v>
      </c>
      <c r="J443" s="155"/>
      <c r="K443" s="155" t="s">
        <v>191</v>
      </c>
      <c r="L443" s="143">
        <v>4</v>
      </c>
      <c r="M443" s="144" t="s">
        <v>12</v>
      </c>
      <c r="N443" s="367">
        <v>5</v>
      </c>
      <c r="O443" s="151" t="s">
        <v>199</v>
      </c>
    </row>
    <row r="444" spans="1:15" ht="22.5">
      <c r="A444" s="142" t="s">
        <v>3369</v>
      </c>
      <c r="B444" s="142" t="s">
        <v>3370</v>
      </c>
      <c r="C444" s="140" t="s">
        <v>135</v>
      </c>
      <c r="D444" s="152" t="s">
        <v>242</v>
      </c>
      <c r="E444" s="154"/>
      <c r="F444" s="470" t="s">
        <v>3371</v>
      </c>
      <c r="G444" s="462" t="s">
        <v>3372</v>
      </c>
      <c r="H444" s="156" t="s">
        <v>188</v>
      </c>
      <c r="I444" s="155" t="s">
        <v>3373</v>
      </c>
      <c r="J444" s="155"/>
      <c r="K444" s="155" t="s">
        <v>191</v>
      </c>
      <c r="L444" s="143">
        <v>4</v>
      </c>
      <c r="M444" s="144" t="s">
        <v>12</v>
      </c>
      <c r="N444" s="367">
        <v>5</v>
      </c>
      <c r="O444" s="151" t="s">
        <v>199</v>
      </c>
    </row>
    <row r="445" spans="1:15" ht="22.5">
      <c r="A445" s="142" t="s">
        <v>3374</v>
      </c>
      <c r="B445" s="142" t="s">
        <v>3375</v>
      </c>
      <c r="C445" s="140" t="s">
        <v>135</v>
      </c>
      <c r="D445" s="152" t="s">
        <v>242</v>
      </c>
      <c r="E445" s="154"/>
      <c r="F445" s="470" t="s">
        <v>3376</v>
      </c>
      <c r="G445" s="462" t="s">
        <v>3377</v>
      </c>
      <c r="H445" s="156" t="s">
        <v>188</v>
      </c>
      <c r="I445" s="155" t="s">
        <v>3378</v>
      </c>
      <c r="J445" s="155"/>
      <c r="K445" s="155" t="s">
        <v>191</v>
      </c>
      <c r="L445" s="143">
        <v>4</v>
      </c>
      <c r="M445" s="144" t="s">
        <v>12</v>
      </c>
      <c r="N445" s="367">
        <v>5</v>
      </c>
      <c r="O445" s="151" t="s">
        <v>199</v>
      </c>
    </row>
    <row r="446" spans="1:15" ht="56.25">
      <c r="A446" s="142" t="s">
        <v>3379</v>
      </c>
      <c r="B446" s="142" t="s">
        <v>3380</v>
      </c>
      <c r="C446" s="140" t="s">
        <v>135</v>
      </c>
      <c r="D446" s="152" t="s">
        <v>242</v>
      </c>
      <c r="E446" s="154"/>
      <c r="F446" s="470" t="s">
        <v>3381</v>
      </c>
      <c r="G446" s="462" t="s">
        <v>3382</v>
      </c>
      <c r="H446" s="156" t="s">
        <v>204</v>
      </c>
      <c r="I446" s="155" t="s">
        <v>3383</v>
      </c>
      <c r="J446" s="155"/>
      <c r="K446" s="155" t="s">
        <v>191</v>
      </c>
      <c r="L446" s="143">
        <v>4</v>
      </c>
      <c r="M446" s="144" t="s">
        <v>12</v>
      </c>
      <c r="N446" s="367">
        <v>5</v>
      </c>
      <c r="O446" s="151" t="s">
        <v>199</v>
      </c>
    </row>
    <row r="447" spans="1:15" ht="33.75">
      <c r="A447" s="142" t="s">
        <v>3384</v>
      </c>
      <c r="B447" s="142" t="s">
        <v>3385</v>
      </c>
      <c r="C447" s="140" t="s">
        <v>135</v>
      </c>
      <c r="D447" s="152" t="s">
        <v>242</v>
      </c>
      <c r="E447" s="154"/>
      <c r="F447" s="470" t="s">
        <v>3381</v>
      </c>
      <c r="G447" s="469" t="s">
        <v>3386</v>
      </c>
      <c r="H447" s="242" t="s">
        <v>204</v>
      </c>
      <c r="I447" s="175" t="s">
        <v>3387</v>
      </c>
      <c r="J447" s="164"/>
      <c r="K447" s="155" t="s">
        <v>191</v>
      </c>
      <c r="L447" s="143">
        <v>4</v>
      </c>
      <c r="M447" s="144" t="s">
        <v>12</v>
      </c>
      <c r="N447" s="367">
        <v>5</v>
      </c>
      <c r="O447" s="151" t="s">
        <v>199</v>
      </c>
    </row>
    <row r="448" spans="1:15" ht="33.75">
      <c r="A448" s="145" t="s">
        <v>2127</v>
      </c>
      <c r="B448" s="142" t="s">
        <v>1330</v>
      </c>
      <c r="C448" s="140" t="s">
        <v>2128</v>
      </c>
      <c r="D448" s="140" t="s">
        <v>493</v>
      </c>
      <c r="E448" s="229"/>
      <c r="F448" s="470" t="s">
        <v>2086</v>
      </c>
      <c r="G448" s="462" t="s">
        <v>1332</v>
      </c>
      <c r="H448" s="241" t="s">
        <v>204</v>
      </c>
      <c r="I448" s="155" t="s">
        <v>3388</v>
      </c>
      <c r="J448" s="155"/>
      <c r="K448" s="155" t="s">
        <v>191</v>
      </c>
      <c r="L448" s="143">
        <v>4</v>
      </c>
      <c r="M448" s="144" t="s">
        <v>12</v>
      </c>
      <c r="N448" s="367">
        <v>5</v>
      </c>
      <c r="O448" s="151" t="s">
        <v>199</v>
      </c>
    </row>
    <row r="449" spans="1:15">
      <c r="A449" s="164"/>
      <c r="B449" s="164"/>
      <c r="C449" s="164"/>
      <c r="D449" s="164"/>
      <c r="E449" s="164"/>
      <c r="F449" s="165"/>
      <c r="G449" s="164"/>
      <c r="H449" s="164"/>
      <c r="I449" s="164"/>
      <c r="J449" s="164"/>
      <c r="K449" s="164"/>
      <c r="L449" s="163"/>
      <c r="M449" s="166"/>
      <c r="N449" s="166"/>
      <c r="O449" s="151"/>
    </row>
    <row r="450" spans="1:15" ht="13.5" customHeight="1">
      <c r="A450" s="165" t="s">
        <v>3389</v>
      </c>
      <c r="B450" s="164"/>
      <c r="C450" s="164"/>
      <c r="D450" s="164"/>
      <c r="E450" s="164"/>
      <c r="F450" s="165"/>
      <c r="G450" s="164"/>
      <c r="H450" s="164"/>
      <c r="I450" s="164"/>
      <c r="J450" s="164"/>
      <c r="K450" s="164"/>
      <c r="L450" s="163"/>
      <c r="M450" s="166"/>
      <c r="N450" s="166"/>
      <c r="O450" s="151"/>
    </row>
    <row r="451" spans="1:15" ht="11.25">
      <c r="A451" s="145" t="s">
        <v>2084</v>
      </c>
      <c r="B451" s="142" t="s">
        <v>770</v>
      </c>
      <c r="C451" s="140" t="s">
        <v>2085</v>
      </c>
      <c r="D451" s="140" t="s">
        <v>493</v>
      </c>
      <c r="E451" s="229"/>
      <c r="F451" s="470" t="s">
        <v>2086</v>
      </c>
      <c r="G451" s="462" t="s">
        <v>503</v>
      </c>
      <c r="H451" s="156" t="s">
        <v>198</v>
      </c>
      <c r="I451" s="155"/>
      <c r="J451" s="155"/>
      <c r="K451" s="155" t="s">
        <v>191</v>
      </c>
      <c r="L451" s="143">
        <v>4</v>
      </c>
      <c r="M451" s="144" t="s">
        <v>14</v>
      </c>
      <c r="N451" s="367">
        <v>5</v>
      </c>
      <c r="O451" s="151" t="s">
        <v>199</v>
      </c>
    </row>
    <row r="452" spans="1:15" ht="11.25">
      <c r="A452" s="145" t="s">
        <v>3390</v>
      </c>
      <c r="B452" s="140" t="s">
        <v>491</v>
      </c>
      <c r="C452" s="140" t="s">
        <v>2088</v>
      </c>
      <c r="D452" s="140" t="s">
        <v>493</v>
      </c>
      <c r="E452" s="229"/>
      <c r="F452" s="470" t="s">
        <v>2086</v>
      </c>
      <c r="G452" s="462" t="s">
        <v>494</v>
      </c>
      <c r="H452" s="156" t="s">
        <v>466</v>
      </c>
      <c r="I452" s="155"/>
      <c r="J452" s="155"/>
      <c r="K452" s="155" t="s">
        <v>191</v>
      </c>
      <c r="L452" s="143">
        <v>4</v>
      </c>
      <c r="M452" s="144" t="s">
        <v>14</v>
      </c>
      <c r="N452" s="367">
        <v>3</v>
      </c>
      <c r="O452" s="151" t="s">
        <v>199</v>
      </c>
    </row>
    <row r="453" spans="1:15" ht="26.25" customHeight="1">
      <c r="A453" s="145" t="s">
        <v>3391</v>
      </c>
      <c r="B453" s="142" t="s">
        <v>3392</v>
      </c>
      <c r="C453" s="140" t="s">
        <v>3393</v>
      </c>
      <c r="D453" s="140" t="s">
        <v>242</v>
      </c>
      <c r="E453" s="229"/>
      <c r="F453" s="470" t="s">
        <v>3394</v>
      </c>
      <c r="G453" s="462" t="s">
        <v>3395</v>
      </c>
      <c r="H453" s="156" t="s">
        <v>204</v>
      </c>
      <c r="I453" s="155" t="s">
        <v>3396</v>
      </c>
      <c r="J453" s="155"/>
      <c r="K453" s="155" t="s">
        <v>191</v>
      </c>
      <c r="L453" s="143">
        <v>4</v>
      </c>
      <c r="M453" s="144" t="s">
        <v>14</v>
      </c>
      <c r="N453" s="367">
        <v>5</v>
      </c>
      <c r="O453" s="151" t="s">
        <v>199</v>
      </c>
    </row>
    <row r="454" spans="1:15" ht="11.25">
      <c r="A454" s="145" t="s">
        <v>3397</v>
      </c>
      <c r="B454" s="142" t="s">
        <v>3398</v>
      </c>
      <c r="C454" s="140" t="s">
        <v>758</v>
      </c>
      <c r="D454" s="140" t="s">
        <v>242</v>
      </c>
      <c r="E454" s="229"/>
      <c r="F454" s="470" t="s">
        <v>2786</v>
      </c>
      <c r="G454" s="462" t="s">
        <v>3399</v>
      </c>
      <c r="H454" s="156" t="s">
        <v>204</v>
      </c>
      <c r="I454" s="155" t="s">
        <v>3396</v>
      </c>
      <c r="J454" s="155"/>
      <c r="K454" s="155" t="s">
        <v>191</v>
      </c>
      <c r="L454" s="143">
        <v>4</v>
      </c>
      <c r="M454" s="144" t="s">
        <v>14</v>
      </c>
      <c r="N454" s="367">
        <v>5</v>
      </c>
      <c r="O454" s="151" t="s">
        <v>199</v>
      </c>
    </row>
    <row r="455" spans="1:15" ht="33.75">
      <c r="A455" s="145" t="s">
        <v>3400</v>
      </c>
      <c r="B455" s="142" t="s">
        <v>3401</v>
      </c>
      <c r="C455" s="140" t="s">
        <v>3402</v>
      </c>
      <c r="D455" s="140" t="s">
        <v>242</v>
      </c>
      <c r="E455" s="229"/>
      <c r="F455" s="470" t="s">
        <v>3394</v>
      </c>
      <c r="G455" s="462" t="s">
        <v>3403</v>
      </c>
      <c r="H455" s="156" t="s">
        <v>204</v>
      </c>
      <c r="I455" s="155" t="s">
        <v>3404</v>
      </c>
      <c r="J455" s="155"/>
      <c r="K455" s="155" t="s">
        <v>191</v>
      </c>
      <c r="L455" s="143">
        <v>4</v>
      </c>
      <c r="M455" s="144" t="s">
        <v>14</v>
      </c>
      <c r="N455" s="367">
        <v>5</v>
      </c>
      <c r="O455" s="151" t="s">
        <v>199</v>
      </c>
    </row>
    <row r="456" spans="1:15" ht="11.25">
      <c r="A456" s="145" t="s">
        <v>3405</v>
      </c>
      <c r="B456" s="152" t="s">
        <v>3406</v>
      </c>
      <c r="C456" s="152" t="s">
        <v>758</v>
      </c>
      <c r="D456" s="152" t="s">
        <v>242</v>
      </c>
      <c r="E456" s="154"/>
      <c r="F456" s="470" t="s">
        <v>1890</v>
      </c>
      <c r="G456" s="336" t="s">
        <v>3407</v>
      </c>
      <c r="H456" s="155" t="s">
        <v>466</v>
      </c>
      <c r="I456" s="155"/>
      <c r="J456" s="155"/>
      <c r="K456" s="155" t="s">
        <v>191</v>
      </c>
      <c r="L456" s="143">
        <v>4</v>
      </c>
      <c r="M456" s="144" t="s">
        <v>14</v>
      </c>
      <c r="N456" s="367">
        <v>4</v>
      </c>
      <c r="O456" s="151" t="s">
        <v>199</v>
      </c>
    </row>
    <row r="457" spans="1:15" ht="26.25" customHeight="1">
      <c r="A457" s="145" t="s">
        <v>3408</v>
      </c>
      <c r="B457" s="142" t="s">
        <v>3409</v>
      </c>
      <c r="C457" s="140" t="s">
        <v>3410</v>
      </c>
      <c r="D457" s="140" t="s">
        <v>242</v>
      </c>
      <c r="E457" s="229"/>
      <c r="F457" s="470" t="s">
        <v>3394</v>
      </c>
      <c r="G457" s="462" t="s">
        <v>3411</v>
      </c>
      <c r="H457" s="156" t="s">
        <v>198</v>
      </c>
      <c r="I457" s="155"/>
      <c r="J457" s="155"/>
      <c r="K457" s="155" t="s">
        <v>191</v>
      </c>
      <c r="L457" s="143">
        <v>4</v>
      </c>
      <c r="M457" s="144" t="s">
        <v>14</v>
      </c>
      <c r="N457" s="367">
        <v>5</v>
      </c>
      <c r="O457" s="151" t="s">
        <v>199</v>
      </c>
    </row>
    <row r="458" spans="1:15" ht="11.25">
      <c r="A458" s="145" t="s">
        <v>3412</v>
      </c>
      <c r="B458" s="152" t="s">
        <v>3413</v>
      </c>
      <c r="C458" s="152" t="s">
        <v>758</v>
      </c>
      <c r="D458" s="152" t="s">
        <v>242</v>
      </c>
      <c r="E458" s="154"/>
      <c r="F458" s="470" t="s">
        <v>1890</v>
      </c>
      <c r="G458" s="336" t="s">
        <v>3414</v>
      </c>
      <c r="H458" s="155" t="s">
        <v>204</v>
      </c>
      <c r="I458" s="155"/>
      <c r="J458" s="155"/>
      <c r="K458" s="155" t="s">
        <v>191</v>
      </c>
      <c r="L458" s="143">
        <v>4</v>
      </c>
      <c r="M458" s="144" t="s">
        <v>14</v>
      </c>
      <c r="N458" s="367">
        <v>5</v>
      </c>
      <c r="O458" s="151" t="s">
        <v>199</v>
      </c>
    </row>
    <row r="459" spans="1:15" ht="11.25">
      <c r="A459" s="145" t="s">
        <v>3415</v>
      </c>
      <c r="B459" s="142" t="s">
        <v>3416</v>
      </c>
      <c r="C459" s="140" t="s">
        <v>3417</v>
      </c>
      <c r="D459" s="140" t="s">
        <v>242</v>
      </c>
      <c r="E459" s="229"/>
      <c r="F459" s="470" t="s">
        <v>3394</v>
      </c>
      <c r="G459" s="462" t="s">
        <v>3418</v>
      </c>
      <c r="H459" s="156" t="s">
        <v>204</v>
      </c>
      <c r="I459" s="155" t="s">
        <v>3419</v>
      </c>
      <c r="J459" s="155"/>
      <c r="K459" s="155" t="s">
        <v>191</v>
      </c>
      <c r="L459" s="143">
        <v>4</v>
      </c>
      <c r="M459" s="144" t="s">
        <v>14</v>
      </c>
      <c r="N459" s="367">
        <v>5</v>
      </c>
      <c r="O459" s="151" t="s">
        <v>199</v>
      </c>
    </row>
    <row r="460" spans="1:15" ht="43.5" customHeight="1">
      <c r="A460" s="145" t="s">
        <v>3420</v>
      </c>
      <c r="B460" s="142" t="s">
        <v>3421</v>
      </c>
      <c r="C460" s="140" t="s">
        <v>3422</v>
      </c>
      <c r="D460" s="140" t="s">
        <v>242</v>
      </c>
      <c r="E460" s="229"/>
      <c r="F460" s="470" t="s">
        <v>3394</v>
      </c>
      <c r="G460" s="462" t="s">
        <v>3423</v>
      </c>
      <c r="H460" s="156" t="s">
        <v>188</v>
      </c>
      <c r="I460" s="155" t="s">
        <v>1479</v>
      </c>
      <c r="J460" s="155"/>
      <c r="K460" s="155" t="s">
        <v>191</v>
      </c>
      <c r="L460" s="143">
        <v>4</v>
      </c>
      <c r="M460" s="144" t="s">
        <v>14</v>
      </c>
      <c r="N460" s="367">
        <v>5</v>
      </c>
      <c r="O460" s="151" t="s">
        <v>199</v>
      </c>
    </row>
    <row r="461" spans="1:15" ht="22.5">
      <c r="A461" s="145" t="s">
        <v>3424</v>
      </c>
      <c r="B461" s="142" t="s">
        <v>3425</v>
      </c>
      <c r="C461" s="140" t="s">
        <v>3426</v>
      </c>
      <c r="D461" s="140" t="s">
        <v>242</v>
      </c>
      <c r="E461" s="229"/>
      <c r="F461" s="470" t="s">
        <v>3427</v>
      </c>
      <c r="G461" s="462" t="s">
        <v>3428</v>
      </c>
      <c r="H461" s="156" t="s">
        <v>188</v>
      </c>
      <c r="I461" s="155" t="s">
        <v>1479</v>
      </c>
      <c r="J461" s="155"/>
      <c r="K461" s="155" t="s">
        <v>191</v>
      </c>
      <c r="L461" s="143">
        <v>4</v>
      </c>
      <c r="M461" s="144" t="s">
        <v>14</v>
      </c>
      <c r="N461" s="367">
        <v>5</v>
      </c>
      <c r="O461" s="151" t="s">
        <v>199</v>
      </c>
    </row>
    <row r="462" spans="1:15" ht="22.5">
      <c r="A462" s="145" t="s">
        <v>3429</v>
      </c>
      <c r="B462" s="142" t="s">
        <v>3430</v>
      </c>
      <c r="C462" s="140" t="s">
        <v>3431</v>
      </c>
      <c r="D462" s="140" t="s">
        <v>242</v>
      </c>
      <c r="E462" s="229"/>
      <c r="F462" s="470" t="s">
        <v>3394</v>
      </c>
      <c r="G462" s="462" t="s">
        <v>3432</v>
      </c>
      <c r="H462" s="156" t="s">
        <v>204</v>
      </c>
      <c r="I462" s="155" t="s">
        <v>3433</v>
      </c>
      <c r="J462" s="155"/>
      <c r="K462" s="155" t="s">
        <v>191</v>
      </c>
      <c r="L462" s="143">
        <v>4</v>
      </c>
      <c r="M462" s="144" t="s">
        <v>14</v>
      </c>
      <c r="N462" s="367">
        <v>5</v>
      </c>
      <c r="O462" s="151" t="s">
        <v>199</v>
      </c>
    </row>
    <row r="463" spans="1:15" ht="33.75">
      <c r="A463" s="145" t="s">
        <v>3434</v>
      </c>
      <c r="B463" s="142" t="s">
        <v>3435</v>
      </c>
      <c r="C463" s="140" t="s">
        <v>3436</v>
      </c>
      <c r="D463" s="140" t="s">
        <v>242</v>
      </c>
      <c r="E463" s="229"/>
      <c r="F463" s="470" t="s">
        <v>3394</v>
      </c>
      <c r="G463" s="462" t="s">
        <v>3437</v>
      </c>
      <c r="H463" s="156" t="s">
        <v>204</v>
      </c>
      <c r="I463" s="155" t="s">
        <v>3438</v>
      </c>
      <c r="J463" s="155"/>
      <c r="K463" s="155" t="s">
        <v>191</v>
      </c>
      <c r="L463" s="143">
        <v>4</v>
      </c>
      <c r="M463" s="144" t="s">
        <v>14</v>
      </c>
      <c r="N463" s="367">
        <v>5</v>
      </c>
      <c r="O463" s="151" t="s">
        <v>199</v>
      </c>
    </row>
    <row r="464" spans="1:15" ht="45">
      <c r="A464" s="145" t="s">
        <v>3439</v>
      </c>
      <c r="B464" s="142" t="s">
        <v>3440</v>
      </c>
      <c r="C464" s="140" t="s">
        <v>758</v>
      </c>
      <c r="D464" s="140" t="s">
        <v>242</v>
      </c>
      <c r="E464" s="229"/>
      <c r="F464" s="470" t="s">
        <v>2332</v>
      </c>
      <c r="G464" s="462" t="s">
        <v>3441</v>
      </c>
      <c r="H464" s="156" t="s">
        <v>198</v>
      </c>
      <c r="I464" s="155" t="s">
        <v>3442</v>
      </c>
      <c r="J464" s="155"/>
      <c r="K464" s="155" t="s">
        <v>191</v>
      </c>
      <c r="L464" s="143">
        <v>4</v>
      </c>
      <c r="M464" s="144" t="s">
        <v>14</v>
      </c>
      <c r="N464" s="367">
        <v>5</v>
      </c>
      <c r="O464" s="151" t="s">
        <v>199</v>
      </c>
    </row>
    <row r="465" spans="1:15" ht="42" customHeight="1">
      <c r="A465" s="145" t="s">
        <v>3443</v>
      </c>
      <c r="B465" s="142" t="s">
        <v>3444</v>
      </c>
      <c r="C465" s="140" t="s">
        <v>3445</v>
      </c>
      <c r="D465" s="140" t="s">
        <v>242</v>
      </c>
      <c r="E465" s="229"/>
      <c r="F465" s="470" t="s">
        <v>3394</v>
      </c>
      <c r="G465" s="462" t="s">
        <v>3446</v>
      </c>
      <c r="H465" s="156" t="s">
        <v>198</v>
      </c>
      <c r="I465" s="155" t="s">
        <v>3447</v>
      </c>
      <c r="J465" s="155"/>
      <c r="K465" s="155" t="s">
        <v>191</v>
      </c>
      <c r="L465" s="143">
        <v>4</v>
      </c>
      <c r="M465" s="144" t="s">
        <v>14</v>
      </c>
      <c r="N465" s="367">
        <v>5</v>
      </c>
      <c r="O465" s="151" t="s">
        <v>199</v>
      </c>
    </row>
    <row r="466" spans="1:15" ht="33.75">
      <c r="A466" s="145" t="s">
        <v>3448</v>
      </c>
      <c r="B466" s="142" t="s">
        <v>3449</v>
      </c>
      <c r="C466" s="140" t="s">
        <v>3450</v>
      </c>
      <c r="D466" s="140" t="s">
        <v>242</v>
      </c>
      <c r="E466" s="229"/>
      <c r="F466" s="470" t="s">
        <v>3394</v>
      </c>
      <c r="G466" s="462" t="s">
        <v>3451</v>
      </c>
      <c r="H466" s="156" t="s">
        <v>198</v>
      </c>
      <c r="I466" s="155" t="s">
        <v>3447</v>
      </c>
      <c r="J466" s="155"/>
      <c r="K466" s="155" t="s">
        <v>191</v>
      </c>
      <c r="L466" s="143">
        <v>4</v>
      </c>
      <c r="M466" s="144" t="s">
        <v>14</v>
      </c>
      <c r="N466" s="367">
        <v>5</v>
      </c>
      <c r="O466" s="151" t="s">
        <v>199</v>
      </c>
    </row>
    <row r="467" spans="1:15" ht="33.75">
      <c r="A467" s="145" t="s">
        <v>3452</v>
      </c>
      <c r="B467" s="142" t="s">
        <v>3453</v>
      </c>
      <c r="C467" s="140" t="s">
        <v>3454</v>
      </c>
      <c r="D467" s="140" t="s">
        <v>242</v>
      </c>
      <c r="E467" s="229"/>
      <c r="F467" s="470" t="s">
        <v>1867</v>
      </c>
      <c r="G467" s="462" t="s">
        <v>3455</v>
      </c>
      <c r="H467" s="156" t="s">
        <v>198</v>
      </c>
      <c r="I467" s="155" t="s">
        <v>3447</v>
      </c>
      <c r="J467" s="155"/>
      <c r="K467" s="155" t="s">
        <v>191</v>
      </c>
      <c r="L467" s="143">
        <v>4</v>
      </c>
      <c r="M467" s="144" t="s">
        <v>14</v>
      </c>
      <c r="N467" s="367">
        <v>5</v>
      </c>
      <c r="O467" s="151" t="s">
        <v>199</v>
      </c>
    </row>
    <row r="468" spans="1:15" ht="33.75">
      <c r="A468" s="145" t="s">
        <v>3456</v>
      </c>
      <c r="B468" s="142" t="s">
        <v>3457</v>
      </c>
      <c r="C468" s="140" t="s">
        <v>3458</v>
      </c>
      <c r="D468" s="140" t="s">
        <v>242</v>
      </c>
      <c r="E468" s="229"/>
      <c r="F468" s="470" t="s">
        <v>1867</v>
      </c>
      <c r="G468" s="462" t="s">
        <v>3459</v>
      </c>
      <c r="H468" s="156" t="s">
        <v>198</v>
      </c>
      <c r="I468" s="155" t="s">
        <v>3447</v>
      </c>
      <c r="J468" s="155"/>
      <c r="K468" s="155" t="s">
        <v>191</v>
      </c>
      <c r="L468" s="143">
        <v>4</v>
      </c>
      <c r="M468" s="144" t="s">
        <v>14</v>
      </c>
      <c r="N468" s="367">
        <v>5</v>
      </c>
      <c r="O468" s="151" t="s">
        <v>199</v>
      </c>
    </row>
    <row r="469" spans="1:15" ht="33.75">
      <c r="A469" s="145" t="s">
        <v>3460</v>
      </c>
      <c r="B469" s="142" t="s">
        <v>3461</v>
      </c>
      <c r="C469" s="140" t="s">
        <v>3462</v>
      </c>
      <c r="D469" s="140" t="s">
        <v>242</v>
      </c>
      <c r="E469" s="229"/>
      <c r="F469" s="470" t="s">
        <v>1867</v>
      </c>
      <c r="G469" s="462" t="s">
        <v>3463</v>
      </c>
      <c r="H469" s="156" t="s">
        <v>198</v>
      </c>
      <c r="I469" s="155" t="s">
        <v>3447</v>
      </c>
      <c r="J469" s="155"/>
      <c r="K469" s="155" t="s">
        <v>191</v>
      </c>
      <c r="L469" s="143">
        <v>4</v>
      </c>
      <c r="M469" s="144" t="s">
        <v>14</v>
      </c>
      <c r="N469" s="367">
        <v>5</v>
      </c>
      <c r="O469" s="151" t="s">
        <v>199</v>
      </c>
    </row>
    <row r="470" spans="1:15" ht="33.75">
      <c r="A470" s="145" t="s">
        <v>3464</v>
      </c>
      <c r="B470" s="142" t="s">
        <v>3465</v>
      </c>
      <c r="C470" s="140" t="s">
        <v>3466</v>
      </c>
      <c r="D470" s="140" t="s">
        <v>242</v>
      </c>
      <c r="E470" s="229"/>
      <c r="F470" s="470" t="s">
        <v>1867</v>
      </c>
      <c r="G470" s="462" t="s">
        <v>3467</v>
      </c>
      <c r="H470" s="156" t="s">
        <v>198</v>
      </c>
      <c r="I470" s="155" t="s">
        <v>3468</v>
      </c>
      <c r="J470" s="155"/>
      <c r="K470" s="155" t="s">
        <v>191</v>
      </c>
      <c r="L470" s="143">
        <v>4</v>
      </c>
      <c r="M470" s="144" t="s">
        <v>14</v>
      </c>
      <c r="N470" s="367">
        <v>5</v>
      </c>
      <c r="O470" s="151" t="s">
        <v>199</v>
      </c>
    </row>
    <row r="471" spans="1:15" ht="33.75">
      <c r="A471" s="145" t="s">
        <v>3469</v>
      </c>
      <c r="B471" s="152" t="s">
        <v>3470</v>
      </c>
      <c r="C471" s="152" t="s">
        <v>3466</v>
      </c>
      <c r="D471" s="152" t="s">
        <v>242</v>
      </c>
      <c r="E471" s="154"/>
      <c r="F471" s="470" t="s">
        <v>1946</v>
      </c>
      <c r="G471" s="336" t="s">
        <v>3467</v>
      </c>
      <c r="H471" s="155" t="s">
        <v>198</v>
      </c>
      <c r="I471" s="155" t="s">
        <v>3471</v>
      </c>
      <c r="J471" s="155"/>
      <c r="K471" s="155" t="s">
        <v>191</v>
      </c>
      <c r="L471" s="143">
        <v>4</v>
      </c>
      <c r="M471" s="144" t="s">
        <v>14</v>
      </c>
      <c r="N471" s="367">
        <v>5</v>
      </c>
      <c r="O471" s="151" t="s">
        <v>199</v>
      </c>
    </row>
    <row r="472" spans="1:15" ht="11.25">
      <c r="A472" s="145" t="s">
        <v>3472</v>
      </c>
      <c r="B472" s="142" t="s">
        <v>3473</v>
      </c>
      <c r="C472" s="140" t="s">
        <v>3474</v>
      </c>
      <c r="D472" s="140" t="s">
        <v>242</v>
      </c>
      <c r="E472" s="229"/>
      <c r="F472" s="470" t="s">
        <v>1867</v>
      </c>
      <c r="G472" s="462" t="s">
        <v>3475</v>
      </c>
      <c r="H472" s="156" t="s">
        <v>204</v>
      </c>
      <c r="I472" s="155" t="s">
        <v>3476</v>
      </c>
      <c r="J472" s="155"/>
      <c r="K472" s="155" t="s">
        <v>191</v>
      </c>
      <c r="L472" s="143">
        <v>4</v>
      </c>
      <c r="M472" s="144" t="s">
        <v>14</v>
      </c>
      <c r="N472" s="367">
        <v>5</v>
      </c>
      <c r="O472" s="151" t="s">
        <v>199</v>
      </c>
    </row>
    <row r="473" spans="1:15" ht="11.25">
      <c r="A473" s="145" t="s">
        <v>3477</v>
      </c>
      <c r="B473" s="142" t="s">
        <v>3478</v>
      </c>
      <c r="C473" s="140" t="s">
        <v>758</v>
      </c>
      <c r="D473" s="140" t="s">
        <v>242</v>
      </c>
      <c r="E473" s="229"/>
      <c r="F473" s="470" t="s">
        <v>1942</v>
      </c>
      <c r="G473" s="462" t="s">
        <v>3479</v>
      </c>
      <c r="H473" s="156" t="s">
        <v>198</v>
      </c>
      <c r="I473" s="155" t="s">
        <v>3480</v>
      </c>
      <c r="J473" s="155"/>
      <c r="K473" s="155" t="s">
        <v>191</v>
      </c>
      <c r="L473" s="143">
        <v>4</v>
      </c>
      <c r="M473" s="144" t="s">
        <v>14</v>
      </c>
      <c r="N473" s="367">
        <v>5</v>
      </c>
      <c r="O473" s="151" t="s">
        <v>199</v>
      </c>
    </row>
    <row r="474" spans="1:15" ht="11.25">
      <c r="A474" s="145" t="s">
        <v>3481</v>
      </c>
      <c r="B474" s="142" t="s">
        <v>3482</v>
      </c>
      <c r="C474" s="140" t="s">
        <v>758</v>
      </c>
      <c r="D474" s="140" t="s">
        <v>242</v>
      </c>
      <c r="E474" s="229"/>
      <c r="F474" s="470" t="s">
        <v>1942</v>
      </c>
      <c r="G474" s="462" t="s">
        <v>3483</v>
      </c>
      <c r="H474" s="156" t="s">
        <v>204</v>
      </c>
      <c r="I474" s="155" t="s">
        <v>3484</v>
      </c>
      <c r="J474" s="155"/>
      <c r="K474" s="155" t="s">
        <v>191</v>
      </c>
      <c r="L474" s="143">
        <v>4</v>
      </c>
      <c r="M474" s="144" t="s">
        <v>14</v>
      </c>
      <c r="N474" s="367">
        <v>5</v>
      </c>
      <c r="O474" s="151" t="s">
        <v>199</v>
      </c>
    </row>
    <row r="475" spans="1:15" ht="11.25">
      <c r="A475" s="145" t="s">
        <v>2480</v>
      </c>
      <c r="B475" s="142" t="s">
        <v>2481</v>
      </c>
      <c r="C475" s="140" t="s">
        <v>3485</v>
      </c>
      <c r="D475" s="140" t="s">
        <v>242</v>
      </c>
      <c r="E475" s="229"/>
      <c r="F475" s="470" t="s">
        <v>2483</v>
      </c>
      <c r="G475" s="462" t="s">
        <v>3486</v>
      </c>
      <c r="H475" s="156" t="s">
        <v>204</v>
      </c>
      <c r="I475" s="155" t="s">
        <v>3487</v>
      </c>
      <c r="J475" s="155"/>
      <c r="K475" s="155" t="s">
        <v>191</v>
      </c>
      <c r="L475" s="143">
        <v>4</v>
      </c>
      <c r="M475" s="144" t="s">
        <v>14</v>
      </c>
      <c r="N475" s="367">
        <v>5</v>
      </c>
      <c r="O475" s="151" t="s">
        <v>199</v>
      </c>
    </row>
    <row r="476" spans="1:15" ht="11.25">
      <c r="A476" s="145" t="s">
        <v>3488</v>
      </c>
      <c r="B476" s="142" t="s">
        <v>3489</v>
      </c>
      <c r="C476" s="140" t="s">
        <v>3490</v>
      </c>
      <c r="D476" s="140" t="s">
        <v>242</v>
      </c>
      <c r="E476" s="229"/>
      <c r="F476" s="470" t="s">
        <v>1867</v>
      </c>
      <c r="G476" s="462" t="s">
        <v>3491</v>
      </c>
      <c r="H476" s="156" t="s">
        <v>204</v>
      </c>
      <c r="I476" s="155" t="s">
        <v>3487</v>
      </c>
      <c r="J476" s="155"/>
      <c r="K476" s="155" t="s">
        <v>191</v>
      </c>
      <c r="L476" s="143">
        <v>4</v>
      </c>
      <c r="M476" s="144" t="s">
        <v>14</v>
      </c>
      <c r="N476" s="367">
        <v>5</v>
      </c>
      <c r="O476" s="151" t="s">
        <v>199</v>
      </c>
    </row>
    <row r="477" spans="1:15" ht="22.5">
      <c r="A477" s="145" t="s">
        <v>3492</v>
      </c>
      <c r="B477" s="152" t="s">
        <v>3493</v>
      </c>
      <c r="C477" s="152" t="s">
        <v>758</v>
      </c>
      <c r="D477" s="152" t="s">
        <v>242</v>
      </c>
      <c r="E477" s="154"/>
      <c r="F477" s="470" t="s">
        <v>1962</v>
      </c>
      <c r="G477" s="336" t="s">
        <v>3494</v>
      </c>
      <c r="H477" s="155" t="s">
        <v>204</v>
      </c>
      <c r="I477" s="155" t="s">
        <v>3495</v>
      </c>
      <c r="J477" s="155"/>
      <c r="K477" s="155" t="s">
        <v>191</v>
      </c>
      <c r="L477" s="143">
        <v>4</v>
      </c>
      <c r="M477" s="144" t="s">
        <v>14</v>
      </c>
      <c r="N477" s="367">
        <v>5</v>
      </c>
      <c r="O477" s="151" t="s">
        <v>199</v>
      </c>
    </row>
    <row r="478" spans="1:15" ht="22.5">
      <c r="A478" s="145" t="s">
        <v>3496</v>
      </c>
      <c r="B478" s="152" t="s">
        <v>3497</v>
      </c>
      <c r="C478" s="152" t="s">
        <v>758</v>
      </c>
      <c r="D478" s="152" t="s">
        <v>242</v>
      </c>
      <c r="E478" s="154"/>
      <c r="F478" s="470" t="s">
        <v>1962</v>
      </c>
      <c r="G478" s="336" t="s">
        <v>3498</v>
      </c>
      <c r="H478" s="155" t="s">
        <v>204</v>
      </c>
      <c r="I478" s="155" t="s">
        <v>3495</v>
      </c>
      <c r="J478" s="155"/>
      <c r="K478" s="155" t="s">
        <v>191</v>
      </c>
      <c r="L478" s="143">
        <v>4</v>
      </c>
      <c r="M478" s="144" t="s">
        <v>14</v>
      </c>
      <c r="N478" s="367">
        <v>5</v>
      </c>
      <c r="O478" s="151" t="s">
        <v>199</v>
      </c>
    </row>
    <row r="479" spans="1:15" ht="22.5">
      <c r="A479" s="145" t="s">
        <v>3499</v>
      </c>
      <c r="B479" s="152" t="s">
        <v>3500</v>
      </c>
      <c r="C479" s="152" t="s">
        <v>758</v>
      </c>
      <c r="D479" s="152" t="s">
        <v>242</v>
      </c>
      <c r="E479" s="154"/>
      <c r="F479" s="470" t="s">
        <v>1962</v>
      </c>
      <c r="G479" s="336" t="s">
        <v>3501</v>
      </c>
      <c r="H479" s="155" t="s">
        <v>204</v>
      </c>
      <c r="I479" s="155" t="s">
        <v>3495</v>
      </c>
      <c r="J479" s="155"/>
      <c r="K479" s="155" t="s">
        <v>191</v>
      </c>
      <c r="L479" s="143">
        <v>4</v>
      </c>
      <c r="M479" s="144" t="s">
        <v>14</v>
      </c>
      <c r="N479" s="367">
        <v>5</v>
      </c>
      <c r="O479" s="151" t="s">
        <v>199</v>
      </c>
    </row>
    <row r="480" spans="1:15" ht="22.5">
      <c r="A480" s="145" t="s">
        <v>3502</v>
      </c>
      <c r="B480" s="152" t="s">
        <v>3503</v>
      </c>
      <c r="C480" s="152" t="s">
        <v>758</v>
      </c>
      <c r="D480" s="152" t="s">
        <v>242</v>
      </c>
      <c r="E480" s="154"/>
      <c r="F480" s="470" t="s">
        <v>1962</v>
      </c>
      <c r="G480" s="336" t="s">
        <v>3504</v>
      </c>
      <c r="H480" s="155" t="s">
        <v>204</v>
      </c>
      <c r="I480" s="155" t="s">
        <v>3495</v>
      </c>
      <c r="J480" s="155"/>
      <c r="K480" s="155" t="s">
        <v>191</v>
      </c>
      <c r="L480" s="143">
        <v>4</v>
      </c>
      <c r="M480" s="144" t="s">
        <v>14</v>
      </c>
      <c r="N480" s="367">
        <v>5</v>
      </c>
      <c r="O480" s="151" t="s">
        <v>199</v>
      </c>
    </row>
    <row r="481" spans="1:15" ht="11.25">
      <c r="A481" s="145" t="s">
        <v>3505</v>
      </c>
      <c r="B481" s="152" t="s">
        <v>3506</v>
      </c>
      <c r="C481" s="152" t="s">
        <v>3507</v>
      </c>
      <c r="D481" s="152" t="s">
        <v>242</v>
      </c>
      <c r="E481" s="154"/>
      <c r="F481" s="470" t="s">
        <v>1867</v>
      </c>
      <c r="G481" s="336" t="s">
        <v>3508</v>
      </c>
      <c r="H481" s="155" t="s">
        <v>204</v>
      </c>
      <c r="I481" s="155" t="s">
        <v>3509</v>
      </c>
      <c r="J481" s="155"/>
      <c r="K481" s="155" t="s">
        <v>191</v>
      </c>
      <c r="L481" s="143">
        <v>4</v>
      </c>
      <c r="M481" s="144" t="s">
        <v>14</v>
      </c>
      <c r="N481" s="367">
        <v>5</v>
      </c>
      <c r="O481" s="151" t="s">
        <v>199</v>
      </c>
    </row>
    <row r="482" spans="1:15" ht="11.25">
      <c r="A482" s="145" t="s">
        <v>3510</v>
      </c>
      <c r="B482" s="142" t="s">
        <v>3511</v>
      </c>
      <c r="C482" s="140" t="s">
        <v>3512</v>
      </c>
      <c r="D482" s="140" t="s">
        <v>242</v>
      </c>
      <c r="E482" s="229"/>
      <c r="F482" s="470" t="s">
        <v>1867</v>
      </c>
      <c r="G482" s="462" t="s">
        <v>3513</v>
      </c>
      <c r="H482" s="156" t="s">
        <v>198</v>
      </c>
      <c r="I482" s="155" t="s">
        <v>3514</v>
      </c>
      <c r="J482" s="155"/>
      <c r="K482" s="155" t="s">
        <v>191</v>
      </c>
      <c r="L482" s="143">
        <v>4</v>
      </c>
      <c r="M482" s="144" t="s">
        <v>14</v>
      </c>
      <c r="N482" s="367">
        <v>5</v>
      </c>
      <c r="O482" s="151" t="s">
        <v>199</v>
      </c>
    </row>
    <row r="483" spans="1:15" ht="11.25">
      <c r="A483" s="145" t="s">
        <v>3515</v>
      </c>
      <c r="B483" s="152" t="s">
        <v>3516</v>
      </c>
      <c r="C483" s="152" t="s">
        <v>758</v>
      </c>
      <c r="D483" s="152" t="s">
        <v>242</v>
      </c>
      <c r="E483" s="154"/>
      <c r="F483" s="470" t="s">
        <v>1946</v>
      </c>
      <c r="G483" s="336" t="s">
        <v>3517</v>
      </c>
      <c r="H483" s="155" t="s">
        <v>198</v>
      </c>
      <c r="I483" s="155" t="s">
        <v>3518</v>
      </c>
      <c r="J483" s="155"/>
      <c r="K483" s="155" t="s">
        <v>191</v>
      </c>
      <c r="L483" s="143">
        <v>4</v>
      </c>
      <c r="M483" s="144" t="s">
        <v>14</v>
      </c>
      <c r="N483" s="367">
        <v>5</v>
      </c>
      <c r="O483" s="151" t="s">
        <v>199</v>
      </c>
    </row>
    <row r="484" spans="1:15" ht="22.5">
      <c r="A484" s="145" t="s">
        <v>3519</v>
      </c>
      <c r="B484" s="152" t="s">
        <v>3520</v>
      </c>
      <c r="C484" s="152" t="s">
        <v>758</v>
      </c>
      <c r="D484" s="152" t="s">
        <v>242</v>
      </c>
      <c r="E484" s="154"/>
      <c r="F484" s="470" t="s">
        <v>1946</v>
      </c>
      <c r="G484" s="336" t="s">
        <v>3521</v>
      </c>
      <c r="H484" s="155" t="s">
        <v>204</v>
      </c>
      <c r="I484" s="155" t="s">
        <v>3522</v>
      </c>
      <c r="J484" s="155"/>
      <c r="K484" s="155" t="s">
        <v>191</v>
      </c>
      <c r="L484" s="143">
        <v>4</v>
      </c>
      <c r="M484" s="144" t="s">
        <v>14</v>
      </c>
      <c r="N484" s="367">
        <v>5</v>
      </c>
      <c r="O484" s="151" t="s">
        <v>199</v>
      </c>
    </row>
    <row r="485" spans="1:15" ht="123.75">
      <c r="A485" s="145" t="s">
        <v>3523</v>
      </c>
      <c r="B485" s="152" t="s">
        <v>3524</v>
      </c>
      <c r="C485" s="152" t="s">
        <v>758</v>
      </c>
      <c r="D485" s="152" t="s">
        <v>242</v>
      </c>
      <c r="E485" s="154"/>
      <c r="F485" s="470" t="s">
        <v>1946</v>
      </c>
      <c r="G485" s="336" t="s">
        <v>3525</v>
      </c>
      <c r="H485" s="155" t="s">
        <v>204</v>
      </c>
      <c r="I485" s="155" t="s">
        <v>3526</v>
      </c>
      <c r="J485" s="155"/>
      <c r="K485" s="155" t="s">
        <v>191</v>
      </c>
      <c r="L485" s="143">
        <v>4</v>
      </c>
      <c r="M485" s="144" t="s">
        <v>14</v>
      </c>
      <c r="N485" s="367">
        <v>5</v>
      </c>
      <c r="O485" s="151" t="s">
        <v>199</v>
      </c>
    </row>
    <row r="486" spans="1:15" ht="11.25">
      <c r="A486" s="145" t="s">
        <v>3527</v>
      </c>
      <c r="B486" s="142" t="s">
        <v>3528</v>
      </c>
      <c r="C486" s="140" t="s">
        <v>3529</v>
      </c>
      <c r="D486" s="140" t="s">
        <v>242</v>
      </c>
      <c r="E486" s="229"/>
      <c r="F486" s="470" t="s">
        <v>1867</v>
      </c>
      <c r="G486" s="462" t="s">
        <v>3530</v>
      </c>
      <c r="H486" s="156" t="s">
        <v>204</v>
      </c>
      <c r="I486" s="155" t="s">
        <v>3531</v>
      </c>
      <c r="J486" s="155"/>
      <c r="K486" s="155" t="s">
        <v>191</v>
      </c>
      <c r="L486" s="143">
        <v>4</v>
      </c>
      <c r="M486" s="144" t="s">
        <v>14</v>
      </c>
      <c r="N486" s="367">
        <v>5</v>
      </c>
      <c r="O486" s="151" t="s">
        <v>199</v>
      </c>
    </row>
    <row r="487" spans="1:15" ht="146.25" customHeight="1">
      <c r="A487" s="145" t="s">
        <v>3532</v>
      </c>
      <c r="B487" s="142" t="s">
        <v>3533</v>
      </c>
      <c r="C487" s="140" t="s">
        <v>758</v>
      </c>
      <c r="D487" s="140" t="s">
        <v>242</v>
      </c>
      <c r="E487" s="229"/>
      <c r="F487" s="470" t="s">
        <v>3381</v>
      </c>
      <c r="G487" s="462" t="s">
        <v>3534</v>
      </c>
      <c r="H487" s="156" t="s">
        <v>204</v>
      </c>
      <c r="I487" s="155" t="s">
        <v>3535</v>
      </c>
      <c r="J487" s="155"/>
      <c r="K487" s="155" t="s">
        <v>191</v>
      </c>
      <c r="L487" s="143">
        <v>4</v>
      </c>
      <c r="M487" s="144" t="s">
        <v>14</v>
      </c>
      <c r="N487" s="367">
        <v>5</v>
      </c>
      <c r="O487" s="151" t="s">
        <v>199</v>
      </c>
    </row>
    <row r="488" spans="1:15" ht="11.25">
      <c r="A488" s="145" t="s">
        <v>3536</v>
      </c>
      <c r="B488" s="142" t="s">
        <v>3537</v>
      </c>
      <c r="C488" s="140" t="s">
        <v>758</v>
      </c>
      <c r="D488" s="140" t="s">
        <v>242</v>
      </c>
      <c r="E488" s="229"/>
      <c r="F488" s="470" t="s">
        <v>3381</v>
      </c>
      <c r="G488" s="462" t="s">
        <v>3538</v>
      </c>
      <c r="H488" s="156" t="s">
        <v>204</v>
      </c>
      <c r="I488" s="155" t="s">
        <v>3539</v>
      </c>
      <c r="J488" s="155"/>
      <c r="K488" s="155" t="s">
        <v>191</v>
      </c>
      <c r="L488" s="143">
        <v>4</v>
      </c>
      <c r="M488" s="144" t="s">
        <v>14</v>
      </c>
      <c r="N488" s="367">
        <v>5</v>
      </c>
      <c r="O488" s="151" t="s">
        <v>199</v>
      </c>
    </row>
    <row r="489" spans="1:15" ht="11.25">
      <c r="A489" s="145" t="s">
        <v>3540</v>
      </c>
      <c r="B489" s="142" t="s">
        <v>3541</v>
      </c>
      <c r="C489" s="140" t="s">
        <v>758</v>
      </c>
      <c r="D489" s="140" t="s">
        <v>242</v>
      </c>
      <c r="E489" s="229"/>
      <c r="F489" s="470" t="s">
        <v>3542</v>
      </c>
      <c r="G489" s="462" t="s">
        <v>3543</v>
      </c>
      <c r="H489" s="156" t="s">
        <v>204</v>
      </c>
      <c r="I489" s="155" t="s">
        <v>3544</v>
      </c>
      <c r="J489" s="155"/>
      <c r="K489" s="155" t="s">
        <v>191</v>
      </c>
      <c r="L489" s="143">
        <v>4</v>
      </c>
      <c r="M489" s="144" t="s">
        <v>14</v>
      </c>
      <c r="N489" s="367">
        <v>5</v>
      </c>
      <c r="O489" s="151" t="s">
        <v>199</v>
      </c>
    </row>
    <row r="490" spans="1:15" ht="22.5">
      <c r="A490" s="145" t="s">
        <v>3369</v>
      </c>
      <c r="B490" s="142" t="s">
        <v>3370</v>
      </c>
      <c r="C490" s="140" t="s">
        <v>758</v>
      </c>
      <c r="D490" s="140" t="s">
        <v>242</v>
      </c>
      <c r="E490" s="229"/>
      <c r="F490" s="470" t="s">
        <v>3371</v>
      </c>
      <c r="G490" s="462" t="s">
        <v>3372</v>
      </c>
      <c r="H490" s="156" t="s">
        <v>188</v>
      </c>
      <c r="I490" s="155" t="s">
        <v>3545</v>
      </c>
      <c r="J490" s="155"/>
      <c r="K490" s="155" t="s">
        <v>191</v>
      </c>
      <c r="L490" s="143">
        <v>4</v>
      </c>
      <c r="M490" s="144" t="s">
        <v>14</v>
      </c>
      <c r="N490" s="367">
        <v>5</v>
      </c>
      <c r="O490" s="151" t="s">
        <v>199</v>
      </c>
    </row>
    <row r="491" spans="1:15" ht="22.5">
      <c r="A491" s="145" t="s">
        <v>3374</v>
      </c>
      <c r="B491" s="142" t="s">
        <v>3375</v>
      </c>
      <c r="C491" s="140" t="s">
        <v>758</v>
      </c>
      <c r="D491" s="140" t="s">
        <v>242</v>
      </c>
      <c r="E491" s="229"/>
      <c r="F491" s="470" t="s">
        <v>3376</v>
      </c>
      <c r="G491" s="462" t="s">
        <v>3377</v>
      </c>
      <c r="H491" s="156" t="s">
        <v>188</v>
      </c>
      <c r="I491" s="155" t="s">
        <v>3378</v>
      </c>
      <c r="J491" s="155"/>
      <c r="K491" s="155" t="s">
        <v>191</v>
      </c>
      <c r="L491" s="143">
        <v>4</v>
      </c>
      <c r="M491" s="144" t="s">
        <v>14</v>
      </c>
      <c r="N491" s="367">
        <v>5</v>
      </c>
      <c r="O491" s="151" t="s">
        <v>199</v>
      </c>
    </row>
    <row r="492" spans="1:15" ht="146.25">
      <c r="A492" s="145" t="s">
        <v>2127</v>
      </c>
      <c r="B492" s="152" t="s">
        <v>1330</v>
      </c>
      <c r="C492" s="152" t="s">
        <v>3546</v>
      </c>
      <c r="D492" s="152" t="s">
        <v>493</v>
      </c>
      <c r="E492" s="154"/>
      <c r="F492" s="470" t="s">
        <v>2086</v>
      </c>
      <c r="G492" s="336" t="s">
        <v>1332</v>
      </c>
      <c r="H492" s="155" t="s">
        <v>204</v>
      </c>
      <c r="I492" s="155" t="s">
        <v>2129</v>
      </c>
      <c r="J492" s="155"/>
      <c r="K492" s="155" t="s">
        <v>191</v>
      </c>
      <c r="L492" s="143">
        <v>4</v>
      </c>
      <c r="M492" s="144" t="s">
        <v>14</v>
      </c>
      <c r="N492" s="367">
        <v>5</v>
      </c>
      <c r="O492" s="151" t="s">
        <v>199</v>
      </c>
    </row>
  </sheetData>
  <autoFilter ref="A5:Q59" xr:uid="{00000000-0009-0000-0000-000009000000}"/>
  <phoneticPr fontId="39" type="noConversion"/>
  <conditionalFormatting sqref="P7:P59 O60:O61 P62:P68">
    <cfRule type="containsText" dxfId="67" priority="2" operator="containsText" text="Yes">
      <formula>NOT(ISERROR(SEARCH("Yes",O7)))</formula>
    </cfRule>
  </conditionalFormatting>
  <dataValidations count="2">
    <dataValidation type="list" allowBlank="1" showInputMessage="1" showErrorMessage="1" sqref="Q6 F6" xr:uid="{00000000-0002-0000-0900-000000000000}">
      <formula1>"All available, Specific years,Not applicable"</formula1>
    </dataValidation>
    <dataValidation type="list" allowBlank="1" showInputMessage="1" showErrorMessage="1" sqref="P6:P59 O60:O61 P62:P68" xr:uid="{00000000-0002-0000-0900-000001000000}">
      <formula1>"No,Yes"</formula1>
    </dataValidation>
  </dataValidations>
  <pageMargins left="0.15748031496063003" right="0.15748031496063003" top="0.43307086614173201" bottom="0.47244094488189015" header="0.15748031496063003" footer="0.15748031496063003"/>
  <pageSetup paperSize="9" scale="65" fitToWidth="0" fitToHeight="0" orientation="landscape" r:id="rId1"/>
  <headerFooter alignWithMargins="0">
    <oddHeader>&amp;C&amp;F</oddHeader>
    <oddFooter>&amp;L&amp;A&amp;CPage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AH264"/>
  <sheetViews>
    <sheetView showGridLines="0" zoomScale="75" zoomScaleNormal="75" workbookViewId="0">
      <pane xSplit="1" ySplit="6" topLeftCell="B53" activePane="bottomRight" state="frozen"/>
      <selection pane="bottomRight" activeCell="P16" sqref="P16"/>
      <selection pane="bottomLeft" activeCell="A101" sqref="A101"/>
      <selection pane="topRight" activeCell="A101" sqref="A101"/>
    </sheetView>
  </sheetViews>
  <sheetFormatPr defaultColWidth="9" defaultRowHeight="12.75"/>
  <cols>
    <col min="1" max="1" width="27.5703125" style="85" customWidth="1"/>
    <col min="2" max="2" width="32.5703125" style="85" bestFit="1" customWidth="1"/>
    <col min="3" max="3" width="15.5703125" style="85" customWidth="1"/>
    <col min="4" max="5" width="15.5703125" style="85" hidden="1" customWidth="1"/>
    <col min="6" max="6" width="17" style="102" customWidth="1"/>
    <col min="7" max="7" width="48" style="45" customWidth="1"/>
    <col min="8" max="8" width="8.85546875" style="45" hidden="1" customWidth="1"/>
    <col min="9" max="9" width="19" style="85" customWidth="1"/>
    <col min="10" max="10" width="10.5703125" style="85" hidden="1" customWidth="1"/>
    <col min="11" max="11" width="6.28515625" style="85" hidden="1" customWidth="1"/>
    <col min="12" max="12" width="13.85546875" style="39" customWidth="1"/>
    <col min="13" max="13" width="13" style="85" bestFit="1" customWidth="1"/>
    <col min="14" max="14" width="12" style="72" bestFit="1" customWidth="1"/>
    <col min="15" max="15" width="19" style="84" customWidth="1"/>
    <col min="16" max="16" width="17.5703125" style="49" customWidth="1"/>
    <col min="17" max="28" width="9" style="84"/>
    <col min="29" max="29" width="38.5703125" style="84" customWidth="1"/>
    <col min="30" max="30" width="27.5703125" style="84" customWidth="1"/>
    <col min="31" max="31" width="22.5703125" style="84" customWidth="1"/>
    <col min="32" max="32" width="19" style="84" customWidth="1"/>
    <col min="33" max="16384" width="9" style="84"/>
  </cols>
  <sheetData>
    <row r="1" spans="1:16">
      <c r="A1" s="40" t="s">
        <v>3547</v>
      </c>
      <c r="E1" s="101"/>
      <c r="F1" s="72"/>
      <c r="G1" s="72"/>
      <c r="H1" s="72"/>
      <c r="I1" s="72"/>
      <c r="J1" s="72"/>
      <c r="K1" s="39"/>
      <c r="L1" s="85"/>
      <c r="M1" s="72"/>
      <c r="N1" s="84"/>
      <c r="O1" s="49"/>
      <c r="P1" s="84"/>
    </row>
    <row r="2" spans="1:16">
      <c r="A2" s="40"/>
      <c r="E2" s="101"/>
      <c r="F2" s="72"/>
      <c r="G2" s="72"/>
      <c r="H2" s="72"/>
      <c r="I2" s="72"/>
      <c r="J2" s="72"/>
      <c r="K2" s="39"/>
      <c r="L2" s="85"/>
      <c r="M2" s="72"/>
      <c r="N2" s="84"/>
      <c r="O2" s="49"/>
      <c r="P2" s="84"/>
    </row>
    <row r="3" spans="1:16">
      <c r="A3" s="139" t="s">
        <v>159</v>
      </c>
      <c r="E3" s="101"/>
      <c r="F3" s="72"/>
      <c r="G3" s="72"/>
      <c r="H3" s="72"/>
      <c r="I3" s="72"/>
      <c r="J3" s="72"/>
      <c r="K3" s="39"/>
      <c r="L3" s="85"/>
      <c r="M3" s="72"/>
      <c r="N3" s="84"/>
      <c r="O3" s="49"/>
      <c r="P3" s="84"/>
    </row>
    <row r="4" spans="1:16">
      <c r="E4" s="102"/>
      <c r="F4" s="45"/>
      <c r="H4" s="85"/>
      <c r="K4" s="129"/>
      <c r="L4" s="85"/>
      <c r="M4" s="72"/>
      <c r="N4" s="84"/>
      <c r="O4" s="49"/>
      <c r="P4" s="84"/>
    </row>
    <row r="5" spans="1:16" ht="33.75">
      <c r="A5" s="58" t="s">
        <v>3548</v>
      </c>
      <c r="B5" s="58" t="s">
        <v>166</v>
      </c>
      <c r="C5" s="81" t="s">
        <v>167</v>
      </c>
      <c r="D5" s="58" t="s">
        <v>168</v>
      </c>
      <c r="E5" s="58" t="s">
        <v>169</v>
      </c>
      <c r="F5" s="77" t="s">
        <v>170</v>
      </c>
      <c r="G5" s="77" t="s">
        <v>20</v>
      </c>
      <c r="H5" s="58" t="s">
        <v>171</v>
      </c>
      <c r="I5" s="58" t="s">
        <v>172</v>
      </c>
      <c r="J5" s="58" t="s">
        <v>174</v>
      </c>
      <c r="K5" s="58" t="s">
        <v>175</v>
      </c>
      <c r="L5" s="59" t="s">
        <v>176</v>
      </c>
      <c r="M5" s="60" t="s">
        <v>655</v>
      </c>
      <c r="N5" s="60" t="s">
        <v>179</v>
      </c>
      <c r="O5" s="291" t="s">
        <v>180</v>
      </c>
      <c r="P5" s="379" t="s">
        <v>181</v>
      </c>
    </row>
    <row r="6" spans="1:16" ht="11.25">
      <c r="A6" s="71" t="s">
        <v>3549</v>
      </c>
      <c r="B6" s="96"/>
      <c r="F6" s="52"/>
      <c r="G6" s="95"/>
      <c r="H6" s="95"/>
      <c r="I6" s="96"/>
      <c r="J6" s="96"/>
      <c r="K6" s="96"/>
      <c r="L6" s="61"/>
      <c r="M6" s="73"/>
      <c r="N6" s="74"/>
      <c r="O6" s="279"/>
      <c r="P6" s="238"/>
    </row>
    <row r="7" spans="1:16" ht="90" customHeight="1">
      <c r="A7" s="61" t="s">
        <v>3550</v>
      </c>
      <c r="B7" s="61" t="s">
        <v>731</v>
      </c>
      <c r="C7" s="61" t="s">
        <v>3551</v>
      </c>
      <c r="D7" s="61" t="s">
        <v>185</v>
      </c>
      <c r="E7" s="61"/>
      <c r="F7" s="64" t="s">
        <v>3552</v>
      </c>
      <c r="G7" s="63" t="s">
        <v>187</v>
      </c>
      <c r="H7" s="63" t="s">
        <v>188</v>
      </c>
      <c r="I7" s="63" t="s">
        <v>189</v>
      </c>
      <c r="J7" s="63"/>
      <c r="K7" s="61" t="s">
        <v>191</v>
      </c>
      <c r="L7" s="64">
        <v>4</v>
      </c>
      <c r="M7" s="73">
        <v>5</v>
      </c>
      <c r="N7" s="73" t="s">
        <v>192</v>
      </c>
      <c r="O7" s="279" t="s">
        <v>14</v>
      </c>
      <c r="P7" s="126"/>
    </row>
    <row r="8" spans="1:16" ht="11.25">
      <c r="A8" s="61" t="s">
        <v>3553</v>
      </c>
      <c r="B8" s="61" t="s">
        <v>735</v>
      </c>
      <c r="C8" s="61" t="s">
        <v>3554</v>
      </c>
      <c r="D8" s="61" t="s">
        <v>185</v>
      </c>
      <c r="E8" s="61"/>
      <c r="F8" s="64" t="s">
        <v>3552</v>
      </c>
      <c r="G8" s="63" t="s">
        <v>197</v>
      </c>
      <c r="H8" s="63" t="s">
        <v>198</v>
      </c>
      <c r="I8" s="61"/>
      <c r="J8" s="61"/>
      <c r="K8" s="61" t="s">
        <v>191</v>
      </c>
      <c r="L8" s="64">
        <v>2</v>
      </c>
      <c r="M8" s="73">
        <v>5</v>
      </c>
      <c r="N8" s="75" t="s">
        <v>199</v>
      </c>
      <c r="O8" s="279" t="s">
        <v>14</v>
      </c>
      <c r="P8" s="126"/>
    </row>
    <row r="9" spans="1:16" ht="11.25">
      <c r="A9" s="61" t="s">
        <v>3555</v>
      </c>
      <c r="B9" s="61" t="s">
        <v>738</v>
      </c>
      <c r="C9" s="61" t="s">
        <v>3556</v>
      </c>
      <c r="D9" s="61" t="s">
        <v>185</v>
      </c>
      <c r="E9" s="61"/>
      <c r="F9" s="64" t="s">
        <v>3552</v>
      </c>
      <c r="G9" s="63" t="s">
        <v>203</v>
      </c>
      <c r="H9" s="63" t="s">
        <v>204</v>
      </c>
      <c r="I9" s="61"/>
      <c r="J9" s="61"/>
      <c r="K9" s="61" t="s">
        <v>191</v>
      </c>
      <c r="L9" s="64">
        <v>2</v>
      </c>
      <c r="M9" s="73">
        <v>5</v>
      </c>
      <c r="N9" s="75" t="s">
        <v>199</v>
      </c>
      <c r="O9" s="279" t="s">
        <v>14</v>
      </c>
      <c r="P9" s="126"/>
    </row>
    <row r="10" spans="1:16" ht="11.25">
      <c r="A10" s="61" t="s">
        <v>3557</v>
      </c>
      <c r="B10" s="61" t="s">
        <v>742</v>
      </c>
      <c r="C10" s="61" t="s">
        <v>3558</v>
      </c>
      <c r="D10" s="61" t="s">
        <v>185</v>
      </c>
      <c r="E10" s="61"/>
      <c r="F10" s="64" t="s">
        <v>3552</v>
      </c>
      <c r="G10" s="63" t="s">
        <v>209</v>
      </c>
      <c r="H10" s="63" t="s">
        <v>198</v>
      </c>
      <c r="I10" s="61"/>
      <c r="J10" s="61"/>
      <c r="K10" s="61" t="s">
        <v>191</v>
      </c>
      <c r="L10" s="64">
        <v>2</v>
      </c>
      <c r="M10" s="73">
        <v>5</v>
      </c>
      <c r="N10" s="75" t="s">
        <v>199</v>
      </c>
      <c r="O10" s="279" t="s">
        <v>14</v>
      </c>
      <c r="P10" s="126"/>
    </row>
    <row r="11" spans="1:16" ht="11.25">
      <c r="A11" s="61" t="s">
        <v>3559</v>
      </c>
      <c r="B11" s="61" t="s">
        <v>745</v>
      </c>
      <c r="C11" s="61" t="s">
        <v>3560</v>
      </c>
      <c r="D11" s="61" t="s">
        <v>185</v>
      </c>
      <c r="E11" s="61"/>
      <c r="F11" s="64" t="s">
        <v>3552</v>
      </c>
      <c r="G11" s="63" t="s">
        <v>213</v>
      </c>
      <c r="H11" s="63" t="s">
        <v>204</v>
      </c>
      <c r="I11" s="61"/>
      <c r="J11" s="61"/>
      <c r="K11" s="61" t="s">
        <v>191</v>
      </c>
      <c r="L11" s="64">
        <v>2</v>
      </c>
      <c r="M11" s="73">
        <v>5</v>
      </c>
      <c r="N11" s="75" t="s">
        <v>199</v>
      </c>
      <c r="O11" s="279" t="s">
        <v>14</v>
      </c>
      <c r="P11" s="126"/>
    </row>
    <row r="12" spans="1:16" ht="11.25">
      <c r="A12" s="61" t="s">
        <v>3561</v>
      </c>
      <c r="B12" s="61" t="s">
        <v>1877</v>
      </c>
      <c r="C12" s="61" t="s">
        <v>3562</v>
      </c>
      <c r="D12" s="61" t="s">
        <v>185</v>
      </c>
      <c r="E12" s="61"/>
      <c r="F12" s="64" t="s">
        <v>3563</v>
      </c>
      <c r="G12" s="63" t="s">
        <v>3564</v>
      </c>
      <c r="H12" s="63" t="s">
        <v>198</v>
      </c>
      <c r="I12" s="43" t="s">
        <v>3565</v>
      </c>
      <c r="J12" s="43"/>
      <c r="K12" s="61" t="s">
        <v>191</v>
      </c>
      <c r="L12" s="64">
        <v>2</v>
      </c>
      <c r="M12" s="73">
        <v>4</v>
      </c>
      <c r="N12" s="75" t="s">
        <v>199</v>
      </c>
      <c r="O12" s="279" t="s">
        <v>14</v>
      </c>
      <c r="P12" s="126"/>
    </row>
    <row r="13" spans="1:16" ht="22.5">
      <c r="A13" s="61" t="s">
        <v>3566</v>
      </c>
      <c r="B13" s="61" t="s">
        <v>1933</v>
      </c>
      <c r="C13" s="61" t="s">
        <v>3567</v>
      </c>
      <c r="D13" s="136" t="s">
        <v>185</v>
      </c>
      <c r="E13" s="224"/>
      <c r="F13" s="64" t="s">
        <v>3563</v>
      </c>
      <c r="G13" s="63" t="s">
        <v>1935</v>
      </c>
      <c r="H13" s="63" t="s">
        <v>188</v>
      </c>
      <c r="I13" s="63" t="s">
        <v>1453</v>
      </c>
      <c r="J13" s="63"/>
      <c r="K13" s="61" t="s">
        <v>191</v>
      </c>
      <c r="L13" s="64">
        <v>4</v>
      </c>
      <c r="M13" s="73">
        <v>5</v>
      </c>
      <c r="N13" s="73" t="s">
        <v>199</v>
      </c>
      <c r="O13" s="279" t="s">
        <v>14</v>
      </c>
      <c r="P13" s="126"/>
    </row>
    <row r="14" spans="1:16" ht="11.25">
      <c r="A14" s="132" t="s">
        <v>3568</v>
      </c>
      <c r="B14" s="132" t="s">
        <v>1884</v>
      </c>
      <c r="C14" s="132" t="s">
        <v>3569</v>
      </c>
      <c r="D14" s="132" t="s">
        <v>301</v>
      </c>
      <c r="E14" s="132"/>
      <c r="F14" s="133" t="s">
        <v>3570</v>
      </c>
      <c r="G14" s="131" t="s">
        <v>3571</v>
      </c>
      <c r="H14" s="131" t="s">
        <v>204</v>
      </c>
      <c r="I14" s="132"/>
      <c r="J14" s="132"/>
      <c r="K14" s="61" t="s">
        <v>191</v>
      </c>
      <c r="L14" s="133">
        <v>1</v>
      </c>
      <c r="M14" s="73">
        <v>4</v>
      </c>
      <c r="N14" s="75" t="s">
        <v>192</v>
      </c>
      <c r="O14" s="279" t="s">
        <v>14</v>
      </c>
      <c r="P14" s="126"/>
    </row>
    <row r="15" spans="1:16" s="664" customFormat="1" ht="56.25">
      <c r="A15" s="208" t="s">
        <v>3572</v>
      </c>
      <c r="B15" s="208" t="s">
        <v>446</v>
      </c>
      <c r="C15" s="208" t="s">
        <v>3573</v>
      </c>
      <c r="D15" s="660" t="s">
        <v>185</v>
      </c>
      <c r="E15" s="661"/>
      <c r="F15" s="210" t="s">
        <v>3552</v>
      </c>
      <c r="G15" s="209" t="s">
        <v>2062</v>
      </c>
      <c r="H15" s="662" t="s">
        <v>204</v>
      </c>
      <c r="I15" s="208"/>
      <c r="J15" s="208"/>
      <c r="K15" s="208" t="s">
        <v>191</v>
      </c>
      <c r="L15" s="210">
        <v>1</v>
      </c>
      <c r="M15" s="213">
        <v>5</v>
      </c>
      <c r="N15" s="213" t="s">
        <v>199</v>
      </c>
      <c r="O15" s="279" t="s">
        <v>14</v>
      </c>
      <c r="P15" s="663"/>
    </row>
    <row r="16" spans="1:16" s="664" customFormat="1" ht="56.25">
      <c r="A16" s="208" t="s">
        <v>3574</v>
      </c>
      <c r="B16" s="208" t="s">
        <v>3575</v>
      </c>
      <c r="C16" s="208" t="s">
        <v>758</v>
      </c>
      <c r="D16" s="208" t="s">
        <v>185</v>
      </c>
      <c r="E16" s="208"/>
      <c r="F16" s="210" t="s">
        <v>704</v>
      </c>
      <c r="G16" s="209" t="s">
        <v>3576</v>
      </c>
      <c r="H16" s="662" t="s">
        <v>204</v>
      </c>
      <c r="I16" s="208"/>
      <c r="J16" s="208"/>
      <c r="K16" s="208" t="s">
        <v>191</v>
      </c>
      <c r="L16" s="210">
        <v>1</v>
      </c>
      <c r="M16" s="213">
        <v>5</v>
      </c>
      <c r="N16" s="213" t="s">
        <v>199</v>
      </c>
      <c r="O16" s="279" t="s">
        <v>14</v>
      </c>
      <c r="P16" s="663"/>
    </row>
    <row r="17" spans="1:16" s="664" customFormat="1" ht="56.25">
      <c r="A17" s="208" t="s">
        <v>3577</v>
      </c>
      <c r="B17" s="208" t="s">
        <v>764</v>
      </c>
      <c r="C17" s="208" t="s">
        <v>3578</v>
      </c>
      <c r="D17" s="208" t="s">
        <v>185</v>
      </c>
      <c r="E17" s="208"/>
      <c r="F17" s="210" t="s">
        <v>3552</v>
      </c>
      <c r="G17" s="209" t="s">
        <v>456</v>
      </c>
      <c r="H17" s="662" t="s">
        <v>204</v>
      </c>
      <c r="I17" s="208"/>
      <c r="J17" s="208"/>
      <c r="K17" s="208" t="s">
        <v>191</v>
      </c>
      <c r="L17" s="210">
        <v>1</v>
      </c>
      <c r="M17" s="213">
        <v>4</v>
      </c>
      <c r="N17" s="213" t="s">
        <v>199</v>
      </c>
      <c r="O17" s="626" t="s">
        <v>12</v>
      </c>
      <c r="P17" s="663" t="s">
        <v>704</v>
      </c>
    </row>
    <row r="18" spans="1:16" s="664" customFormat="1" ht="69.95" customHeight="1">
      <c r="A18" s="208" t="s">
        <v>3579</v>
      </c>
      <c r="B18" s="208" t="s">
        <v>463</v>
      </c>
      <c r="C18" s="208" t="s">
        <v>3580</v>
      </c>
      <c r="D18" s="208" t="s">
        <v>185</v>
      </c>
      <c r="E18" s="208"/>
      <c r="F18" s="210" t="s">
        <v>3552</v>
      </c>
      <c r="G18" s="209" t="s">
        <v>1424</v>
      </c>
      <c r="H18" s="662" t="s">
        <v>466</v>
      </c>
      <c r="I18" s="208"/>
      <c r="J18" s="208"/>
      <c r="K18" s="208" t="s">
        <v>191</v>
      </c>
      <c r="L18" s="210">
        <v>1</v>
      </c>
      <c r="M18" s="213">
        <v>4</v>
      </c>
      <c r="N18" s="213" t="s">
        <v>199</v>
      </c>
      <c r="O18" s="626" t="s">
        <v>12</v>
      </c>
      <c r="P18" s="663" t="s">
        <v>704</v>
      </c>
    </row>
    <row r="19" spans="1:16" ht="32.1" customHeight="1">
      <c r="A19" s="380" t="s">
        <v>3581</v>
      </c>
      <c r="B19" s="218"/>
      <c r="C19" s="218"/>
      <c r="D19" s="218"/>
      <c r="E19" s="218"/>
      <c r="F19" s="238"/>
      <c r="G19" s="217"/>
      <c r="H19" s="217"/>
      <c r="I19" s="217"/>
      <c r="J19" s="217"/>
      <c r="K19" s="217"/>
      <c r="L19" s="218"/>
      <c r="M19" s="73"/>
      <c r="N19" s="73"/>
      <c r="O19" s="279" t="s">
        <v>14</v>
      </c>
      <c r="P19" s="238"/>
    </row>
    <row r="20" spans="1:16" ht="33.75">
      <c r="A20" s="714" t="s">
        <v>3582</v>
      </c>
      <c r="B20" s="714" t="s">
        <v>757</v>
      </c>
      <c r="C20" s="224"/>
      <c r="D20" s="224" t="s">
        <v>185</v>
      </c>
      <c r="E20" s="224"/>
      <c r="F20" s="709" t="s">
        <v>3583</v>
      </c>
      <c r="G20" s="715" t="s">
        <v>760</v>
      </c>
      <c r="H20" s="715" t="s">
        <v>198</v>
      </c>
      <c r="I20" s="705"/>
      <c r="J20" s="705"/>
      <c r="K20" s="224" t="s">
        <v>191</v>
      </c>
      <c r="L20" s="709">
        <v>1</v>
      </c>
      <c r="M20" s="716">
        <v>5</v>
      </c>
      <c r="N20" s="251" t="s">
        <v>199</v>
      </c>
      <c r="O20" s="279" t="s">
        <v>14</v>
      </c>
      <c r="P20" s="400"/>
    </row>
    <row r="21" spans="1:16" ht="22.5">
      <c r="A21" s="61" t="s">
        <v>3584</v>
      </c>
      <c r="B21" s="61" t="s">
        <v>3126</v>
      </c>
      <c r="C21" s="61" t="s">
        <v>3585</v>
      </c>
      <c r="D21" s="136" t="s">
        <v>185</v>
      </c>
      <c r="E21" s="224"/>
      <c r="F21" s="64" t="s">
        <v>3563</v>
      </c>
      <c r="G21" s="63" t="s">
        <v>3586</v>
      </c>
      <c r="H21" s="63" t="s">
        <v>188</v>
      </c>
      <c r="I21" s="43" t="s">
        <v>1453</v>
      </c>
      <c r="J21" s="43"/>
      <c r="K21" s="61" t="s">
        <v>191</v>
      </c>
      <c r="L21" s="64">
        <v>1</v>
      </c>
      <c r="M21" s="73">
        <v>5</v>
      </c>
      <c r="N21" s="75" t="s">
        <v>199</v>
      </c>
      <c r="O21" s="279" t="s">
        <v>14</v>
      </c>
      <c r="P21" s="400"/>
    </row>
    <row r="22" spans="1:16" ht="22.5">
      <c r="A22" s="61" t="s">
        <v>3587</v>
      </c>
      <c r="B22" s="61" t="s">
        <v>1949</v>
      </c>
      <c r="C22" s="61" t="s">
        <v>3588</v>
      </c>
      <c r="D22" s="61" t="s">
        <v>185</v>
      </c>
      <c r="E22" s="61"/>
      <c r="F22" s="64" t="s">
        <v>3563</v>
      </c>
      <c r="G22" s="63" t="s">
        <v>1951</v>
      </c>
      <c r="H22" s="63" t="s">
        <v>188</v>
      </c>
      <c r="I22" s="63" t="s">
        <v>1453</v>
      </c>
      <c r="J22" s="63"/>
      <c r="K22" s="61" t="s">
        <v>191</v>
      </c>
      <c r="L22" s="64">
        <v>2</v>
      </c>
      <c r="M22" s="73">
        <v>5</v>
      </c>
      <c r="N22" s="75" t="s">
        <v>222</v>
      </c>
      <c r="O22" s="279" t="s">
        <v>14</v>
      </c>
      <c r="P22" s="126"/>
    </row>
    <row r="23" spans="1:16" ht="22.5">
      <c r="A23" s="61" t="s">
        <v>3589</v>
      </c>
      <c r="B23" s="61" t="s">
        <v>1953</v>
      </c>
      <c r="C23" s="61" t="s">
        <v>3590</v>
      </c>
      <c r="D23" s="61" t="s">
        <v>185</v>
      </c>
      <c r="E23" s="61"/>
      <c r="F23" s="64" t="s">
        <v>3563</v>
      </c>
      <c r="G23" s="63" t="s">
        <v>1955</v>
      </c>
      <c r="H23" s="63" t="s">
        <v>188</v>
      </c>
      <c r="I23" s="63" t="s">
        <v>1453</v>
      </c>
      <c r="J23" s="63"/>
      <c r="K23" s="61" t="s">
        <v>191</v>
      </c>
      <c r="L23" s="64">
        <v>2</v>
      </c>
      <c r="M23" s="73">
        <v>5</v>
      </c>
      <c r="N23" s="75" t="s">
        <v>222</v>
      </c>
      <c r="O23" s="279" t="s">
        <v>14</v>
      </c>
      <c r="P23" s="126"/>
    </row>
    <row r="24" spans="1:16" ht="22.5">
      <c r="A24" s="61" t="s">
        <v>3591</v>
      </c>
      <c r="B24" s="61" t="s">
        <v>1980</v>
      </c>
      <c r="C24" s="61" t="s">
        <v>3592</v>
      </c>
      <c r="D24" s="61" t="s">
        <v>185</v>
      </c>
      <c r="E24" s="61"/>
      <c r="F24" s="64" t="s">
        <v>3563</v>
      </c>
      <c r="G24" s="63" t="s">
        <v>1982</v>
      </c>
      <c r="H24" s="63" t="s">
        <v>188</v>
      </c>
      <c r="I24" s="63" t="s">
        <v>1453</v>
      </c>
      <c r="J24" s="63"/>
      <c r="K24" s="61" t="s">
        <v>191</v>
      </c>
      <c r="L24" s="64">
        <v>2</v>
      </c>
      <c r="M24" s="73">
        <v>5</v>
      </c>
      <c r="N24" s="75" t="s">
        <v>222</v>
      </c>
      <c r="O24" s="279" t="s">
        <v>14</v>
      </c>
      <c r="P24" s="126"/>
    </row>
    <row r="25" spans="1:16" ht="22.5">
      <c r="A25" s="61" t="s">
        <v>3593</v>
      </c>
      <c r="B25" s="61" t="s">
        <v>3594</v>
      </c>
      <c r="C25" s="61" t="s">
        <v>3595</v>
      </c>
      <c r="D25" s="61" t="s">
        <v>185</v>
      </c>
      <c r="E25" s="61"/>
      <c r="F25" s="64" t="s">
        <v>3563</v>
      </c>
      <c r="G25" s="63" t="s">
        <v>3596</v>
      </c>
      <c r="H25" s="63" t="s">
        <v>188</v>
      </c>
      <c r="I25" s="63" t="s">
        <v>1453</v>
      </c>
      <c r="J25" s="63"/>
      <c r="K25" s="61" t="s">
        <v>191</v>
      </c>
      <c r="L25" s="64">
        <v>1</v>
      </c>
      <c r="M25" s="73">
        <v>5</v>
      </c>
      <c r="N25" s="75" t="s">
        <v>1899</v>
      </c>
      <c r="O25" s="279" t="s">
        <v>14</v>
      </c>
      <c r="P25" s="126"/>
    </row>
    <row r="26" spans="1:16" ht="22.5">
      <c r="A26" s="61" t="s">
        <v>3597</v>
      </c>
      <c r="B26" s="61" t="s">
        <v>1985</v>
      </c>
      <c r="C26" s="61" t="s">
        <v>3598</v>
      </c>
      <c r="D26" s="61" t="s">
        <v>185</v>
      </c>
      <c r="E26" s="61"/>
      <c r="F26" s="64" t="s">
        <v>3563</v>
      </c>
      <c r="G26" s="63" t="s">
        <v>1988</v>
      </c>
      <c r="H26" s="63" t="s">
        <v>188</v>
      </c>
      <c r="I26" s="63" t="s">
        <v>1453</v>
      </c>
      <c r="J26" s="63"/>
      <c r="K26" s="61" t="s">
        <v>191</v>
      </c>
      <c r="L26" s="64">
        <v>2</v>
      </c>
      <c r="M26" s="73">
        <v>4</v>
      </c>
      <c r="N26" s="75" t="s">
        <v>222</v>
      </c>
      <c r="O26" s="279" t="s">
        <v>14</v>
      </c>
      <c r="P26" s="126"/>
    </row>
    <row r="27" spans="1:16" ht="22.5">
      <c r="A27" s="61" t="s">
        <v>3599</v>
      </c>
      <c r="B27" s="61" t="s">
        <v>1990</v>
      </c>
      <c r="C27" s="61" t="s">
        <v>3600</v>
      </c>
      <c r="D27" s="61" t="s">
        <v>185</v>
      </c>
      <c r="E27" s="61"/>
      <c r="F27" s="64" t="s">
        <v>3563</v>
      </c>
      <c r="G27" s="63" t="s">
        <v>1992</v>
      </c>
      <c r="H27" s="63" t="s">
        <v>188</v>
      </c>
      <c r="I27" s="63" t="s">
        <v>1453</v>
      </c>
      <c r="J27" s="63"/>
      <c r="K27" s="61" t="s">
        <v>191</v>
      </c>
      <c r="L27" s="64">
        <v>2</v>
      </c>
      <c r="M27" s="73">
        <v>4</v>
      </c>
      <c r="N27" s="75" t="s">
        <v>222</v>
      </c>
      <c r="O27" s="279" t="s">
        <v>14</v>
      </c>
      <c r="P27" s="126"/>
    </row>
    <row r="28" spans="1:16" ht="22.5">
      <c r="A28" s="61" t="s">
        <v>3601</v>
      </c>
      <c r="B28" s="61" t="s">
        <v>1994</v>
      </c>
      <c r="C28" s="61" t="s">
        <v>3602</v>
      </c>
      <c r="D28" s="61" t="s">
        <v>185</v>
      </c>
      <c r="E28" s="61"/>
      <c r="F28" s="64" t="s">
        <v>3563</v>
      </c>
      <c r="G28" s="63" t="s">
        <v>1996</v>
      </c>
      <c r="H28" s="63" t="s">
        <v>188</v>
      </c>
      <c r="I28" s="63" t="s">
        <v>1453</v>
      </c>
      <c r="J28" s="63"/>
      <c r="K28" s="61" t="s">
        <v>191</v>
      </c>
      <c r="L28" s="64">
        <v>2</v>
      </c>
      <c r="M28" s="73">
        <v>4</v>
      </c>
      <c r="N28" s="75" t="s">
        <v>222</v>
      </c>
      <c r="O28" s="279" t="s">
        <v>14</v>
      </c>
      <c r="P28" s="126"/>
    </row>
    <row r="29" spans="1:16" ht="22.5">
      <c r="A29" s="61" t="s">
        <v>3603</v>
      </c>
      <c r="B29" s="61" t="s">
        <v>1998</v>
      </c>
      <c r="C29" s="61" t="s">
        <v>3604</v>
      </c>
      <c r="D29" s="61" t="s">
        <v>185</v>
      </c>
      <c r="E29" s="61"/>
      <c r="F29" s="64" t="s">
        <v>3563</v>
      </c>
      <c r="G29" s="63" t="s">
        <v>2000</v>
      </c>
      <c r="H29" s="63" t="s">
        <v>188</v>
      </c>
      <c r="I29" s="63" t="s">
        <v>1453</v>
      </c>
      <c r="J29" s="63"/>
      <c r="K29" s="61" t="s">
        <v>191</v>
      </c>
      <c r="L29" s="64">
        <v>2</v>
      </c>
      <c r="M29" s="73">
        <v>4</v>
      </c>
      <c r="N29" s="75" t="s">
        <v>222</v>
      </c>
      <c r="O29" s="279" t="s">
        <v>14</v>
      </c>
      <c r="P29" s="126"/>
    </row>
    <row r="30" spans="1:16" ht="22.5">
      <c r="A30" s="61" t="s">
        <v>3605</v>
      </c>
      <c r="B30" s="61" t="s">
        <v>2002</v>
      </c>
      <c r="C30" s="61" t="s">
        <v>3606</v>
      </c>
      <c r="D30" s="61" t="s">
        <v>185</v>
      </c>
      <c r="E30" s="61"/>
      <c r="F30" s="64" t="s">
        <v>3563</v>
      </c>
      <c r="G30" s="63" t="s">
        <v>2004</v>
      </c>
      <c r="H30" s="63" t="s">
        <v>188</v>
      </c>
      <c r="I30" s="63" t="s">
        <v>1453</v>
      </c>
      <c r="J30" s="63"/>
      <c r="K30" s="61" t="s">
        <v>191</v>
      </c>
      <c r="L30" s="64">
        <v>2</v>
      </c>
      <c r="M30" s="73">
        <v>4</v>
      </c>
      <c r="N30" s="75" t="s">
        <v>222</v>
      </c>
      <c r="O30" s="279" t="s">
        <v>14</v>
      </c>
      <c r="P30" s="126"/>
    </row>
    <row r="31" spans="1:16" ht="22.5">
      <c r="A31" s="61" t="s">
        <v>3607</v>
      </c>
      <c r="B31" s="61" t="s">
        <v>2006</v>
      </c>
      <c r="C31" s="61" t="s">
        <v>3608</v>
      </c>
      <c r="D31" s="61" t="s">
        <v>185</v>
      </c>
      <c r="E31" s="61"/>
      <c r="F31" s="64" t="s">
        <v>3563</v>
      </c>
      <c r="G31" s="63" t="s">
        <v>2008</v>
      </c>
      <c r="H31" s="63" t="s">
        <v>188</v>
      </c>
      <c r="I31" s="63" t="s">
        <v>1453</v>
      </c>
      <c r="J31" s="63"/>
      <c r="K31" s="61" t="s">
        <v>191</v>
      </c>
      <c r="L31" s="64">
        <v>2</v>
      </c>
      <c r="M31" s="73">
        <v>4</v>
      </c>
      <c r="N31" s="75" t="s">
        <v>222</v>
      </c>
      <c r="O31" s="279" t="s">
        <v>14</v>
      </c>
      <c r="P31" s="126"/>
    </row>
    <row r="32" spans="1:16" ht="22.5">
      <c r="A32" s="61" t="s">
        <v>3609</v>
      </c>
      <c r="B32" s="61" t="s">
        <v>2010</v>
      </c>
      <c r="C32" s="61" t="s">
        <v>3610</v>
      </c>
      <c r="D32" s="61" t="s">
        <v>185</v>
      </c>
      <c r="E32" s="61"/>
      <c r="F32" s="64" t="s">
        <v>3563</v>
      </c>
      <c r="G32" s="63" t="s">
        <v>2012</v>
      </c>
      <c r="H32" s="63" t="s">
        <v>188</v>
      </c>
      <c r="I32" s="63" t="s">
        <v>1453</v>
      </c>
      <c r="J32" s="63"/>
      <c r="K32" s="61" t="s">
        <v>191</v>
      </c>
      <c r="L32" s="64">
        <v>2</v>
      </c>
      <c r="M32" s="73">
        <v>4</v>
      </c>
      <c r="N32" s="75" t="s">
        <v>222</v>
      </c>
      <c r="O32" s="279" t="s">
        <v>14</v>
      </c>
      <c r="P32" s="126"/>
    </row>
    <row r="33" spans="1:16" ht="22.5">
      <c r="A33" s="61" t="s">
        <v>3611</v>
      </c>
      <c r="B33" s="61" t="s">
        <v>2014</v>
      </c>
      <c r="C33" s="61" t="s">
        <v>3612</v>
      </c>
      <c r="D33" s="61" t="s">
        <v>185</v>
      </c>
      <c r="E33" s="61"/>
      <c r="F33" s="64" t="s">
        <v>3563</v>
      </c>
      <c r="G33" s="63" t="s">
        <v>2016</v>
      </c>
      <c r="H33" s="63" t="s">
        <v>188</v>
      </c>
      <c r="I33" s="63" t="s">
        <v>1453</v>
      </c>
      <c r="J33" s="63"/>
      <c r="K33" s="61" t="s">
        <v>191</v>
      </c>
      <c r="L33" s="64">
        <v>2</v>
      </c>
      <c r="M33" s="73">
        <v>4</v>
      </c>
      <c r="N33" s="75" t="s">
        <v>222</v>
      </c>
      <c r="O33" s="279" t="s">
        <v>14</v>
      </c>
      <c r="P33" s="126"/>
    </row>
    <row r="34" spans="1:16" ht="22.5">
      <c r="A34" s="61" t="s">
        <v>3613</v>
      </c>
      <c r="B34" s="61" t="s">
        <v>2018</v>
      </c>
      <c r="C34" s="61" t="s">
        <v>3614</v>
      </c>
      <c r="D34" s="61" t="s">
        <v>185</v>
      </c>
      <c r="E34" s="61"/>
      <c r="F34" s="64" t="s">
        <v>3563</v>
      </c>
      <c r="G34" s="63" t="s">
        <v>2020</v>
      </c>
      <c r="H34" s="63" t="s">
        <v>188</v>
      </c>
      <c r="I34" s="63" t="s">
        <v>1453</v>
      </c>
      <c r="J34" s="63"/>
      <c r="K34" s="61" t="s">
        <v>191</v>
      </c>
      <c r="L34" s="64">
        <v>2</v>
      </c>
      <c r="M34" s="73">
        <v>4</v>
      </c>
      <c r="N34" s="75" t="s">
        <v>222</v>
      </c>
      <c r="O34" s="279" t="s">
        <v>14</v>
      </c>
      <c r="P34" s="126"/>
    </row>
    <row r="35" spans="1:16" ht="22.5">
      <c r="A35" s="61" t="s">
        <v>3615</v>
      </c>
      <c r="B35" s="61" t="s">
        <v>2022</v>
      </c>
      <c r="C35" s="61" t="s">
        <v>3616</v>
      </c>
      <c r="D35" s="61" t="s">
        <v>185</v>
      </c>
      <c r="E35" s="61"/>
      <c r="F35" s="64" t="s">
        <v>3563</v>
      </c>
      <c r="G35" s="63" t="s">
        <v>2024</v>
      </c>
      <c r="H35" s="63" t="s">
        <v>188</v>
      </c>
      <c r="I35" s="63" t="s">
        <v>1453</v>
      </c>
      <c r="J35" s="63"/>
      <c r="K35" s="61" t="s">
        <v>191</v>
      </c>
      <c r="L35" s="64">
        <v>2</v>
      </c>
      <c r="M35" s="73">
        <v>4</v>
      </c>
      <c r="N35" s="75" t="s">
        <v>222</v>
      </c>
      <c r="O35" s="279" t="s">
        <v>14</v>
      </c>
      <c r="P35" s="126"/>
    </row>
    <row r="36" spans="1:16" ht="22.5">
      <c r="A36" s="61" t="s">
        <v>3617</v>
      </c>
      <c r="B36" s="61" t="s">
        <v>2026</v>
      </c>
      <c r="C36" s="61" t="s">
        <v>3618</v>
      </c>
      <c r="D36" s="61" t="s">
        <v>185</v>
      </c>
      <c r="E36" s="61"/>
      <c r="F36" s="64" t="s">
        <v>3563</v>
      </c>
      <c r="G36" s="63" t="s">
        <v>2028</v>
      </c>
      <c r="H36" s="63" t="s">
        <v>188</v>
      </c>
      <c r="I36" s="63" t="s">
        <v>1453</v>
      </c>
      <c r="J36" s="63"/>
      <c r="K36" s="61" t="s">
        <v>191</v>
      </c>
      <c r="L36" s="64">
        <v>2</v>
      </c>
      <c r="M36" s="73">
        <v>4</v>
      </c>
      <c r="N36" s="75" t="s">
        <v>222</v>
      </c>
      <c r="O36" s="279" t="s">
        <v>14</v>
      </c>
      <c r="P36" s="126"/>
    </row>
    <row r="37" spans="1:16" ht="22.5">
      <c r="A37" s="61" t="s">
        <v>3619</v>
      </c>
      <c r="B37" s="61" t="s">
        <v>2030</v>
      </c>
      <c r="C37" s="61" t="s">
        <v>3620</v>
      </c>
      <c r="D37" s="61" t="s">
        <v>185</v>
      </c>
      <c r="E37" s="61"/>
      <c r="F37" s="64" t="s">
        <v>3563</v>
      </c>
      <c r="G37" s="63" t="s">
        <v>2032</v>
      </c>
      <c r="H37" s="63" t="s">
        <v>188</v>
      </c>
      <c r="I37" s="63" t="s">
        <v>1453</v>
      </c>
      <c r="J37" s="63"/>
      <c r="K37" s="61" t="s">
        <v>191</v>
      </c>
      <c r="L37" s="64">
        <v>2</v>
      </c>
      <c r="M37" s="73">
        <v>4</v>
      </c>
      <c r="N37" s="75" t="s">
        <v>222</v>
      </c>
      <c r="O37" s="279" t="s">
        <v>14</v>
      </c>
      <c r="P37" s="126"/>
    </row>
    <row r="38" spans="1:16" ht="22.5">
      <c r="A38" s="61" t="s">
        <v>3621</v>
      </c>
      <c r="B38" s="61" t="s">
        <v>2034</v>
      </c>
      <c r="C38" s="61" t="s">
        <v>3622</v>
      </c>
      <c r="D38" s="61" t="s">
        <v>185</v>
      </c>
      <c r="E38" s="61"/>
      <c r="F38" s="64" t="s">
        <v>3563</v>
      </c>
      <c r="G38" s="63" t="s">
        <v>2036</v>
      </c>
      <c r="H38" s="63" t="s">
        <v>188</v>
      </c>
      <c r="I38" s="63" t="s">
        <v>1453</v>
      </c>
      <c r="J38" s="63"/>
      <c r="K38" s="61" t="s">
        <v>191</v>
      </c>
      <c r="L38" s="64">
        <v>2</v>
      </c>
      <c r="M38" s="73">
        <v>4</v>
      </c>
      <c r="N38" s="75" t="s">
        <v>222</v>
      </c>
      <c r="O38" s="279" t="s">
        <v>14</v>
      </c>
      <c r="P38" s="126"/>
    </row>
    <row r="39" spans="1:16" ht="22.5">
      <c r="A39" s="61" t="s">
        <v>3623</v>
      </c>
      <c r="B39" s="61" t="s">
        <v>2038</v>
      </c>
      <c r="C39" s="61" t="s">
        <v>3624</v>
      </c>
      <c r="D39" s="61" t="s">
        <v>185</v>
      </c>
      <c r="E39" s="61"/>
      <c r="F39" s="64" t="s">
        <v>3563</v>
      </c>
      <c r="G39" s="63" t="s">
        <v>2040</v>
      </c>
      <c r="H39" s="63" t="s">
        <v>188</v>
      </c>
      <c r="I39" s="63" t="s">
        <v>1453</v>
      </c>
      <c r="J39" s="63"/>
      <c r="K39" s="61" t="s">
        <v>191</v>
      </c>
      <c r="L39" s="64">
        <v>2</v>
      </c>
      <c r="M39" s="73">
        <v>4</v>
      </c>
      <c r="N39" s="75" t="s">
        <v>222</v>
      </c>
      <c r="O39" s="279" t="s">
        <v>14</v>
      </c>
      <c r="P39" s="126"/>
    </row>
    <row r="40" spans="1:16" ht="22.5">
      <c r="A40" s="61" t="s">
        <v>3625</v>
      </c>
      <c r="B40" s="61" t="s">
        <v>2042</v>
      </c>
      <c r="C40" s="61" t="s">
        <v>3626</v>
      </c>
      <c r="D40" s="61" t="s">
        <v>185</v>
      </c>
      <c r="E40" s="61"/>
      <c r="F40" s="64" t="s">
        <v>3563</v>
      </c>
      <c r="G40" s="63" t="s">
        <v>2044</v>
      </c>
      <c r="H40" s="63" t="s">
        <v>188</v>
      </c>
      <c r="I40" s="63" t="s">
        <v>1453</v>
      </c>
      <c r="J40" s="63"/>
      <c r="K40" s="61" t="s">
        <v>191</v>
      </c>
      <c r="L40" s="64">
        <v>2</v>
      </c>
      <c r="M40" s="73">
        <v>4</v>
      </c>
      <c r="N40" s="75" t="s">
        <v>222</v>
      </c>
      <c r="O40" s="279" t="s">
        <v>14</v>
      </c>
      <c r="P40" s="126"/>
    </row>
    <row r="41" spans="1:16" ht="22.5">
      <c r="A41" s="61" t="s">
        <v>3627</v>
      </c>
      <c r="B41" s="61" t="s">
        <v>2046</v>
      </c>
      <c r="C41" s="61" t="s">
        <v>3628</v>
      </c>
      <c r="D41" s="61" t="s">
        <v>185</v>
      </c>
      <c r="E41" s="61"/>
      <c r="F41" s="64" t="s">
        <v>3563</v>
      </c>
      <c r="G41" s="63" t="s">
        <v>2048</v>
      </c>
      <c r="H41" s="63" t="s">
        <v>188</v>
      </c>
      <c r="I41" s="63" t="s">
        <v>1453</v>
      </c>
      <c r="J41" s="63"/>
      <c r="K41" s="61" t="s">
        <v>191</v>
      </c>
      <c r="L41" s="64">
        <v>2</v>
      </c>
      <c r="M41" s="73">
        <v>4</v>
      </c>
      <c r="N41" s="75" t="s">
        <v>222</v>
      </c>
      <c r="O41" s="279" t="s">
        <v>14</v>
      </c>
      <c r="P41" s="126"/>
    </row>
    <row r="42" spans="1:16" ht="22.5">
      <c r="A42" s="61" t="s">
        <v>3629</v>
      </c>
      <c r="B42" s="61" t="s">
        <v>2050</v>
      </c>
      <c r="C42" s="61" t="s">
        <v>3630</v>
      </c>
      <c r="D42" s="61" t="s">
        <v>185</v>
      </c>
      <c r="E42" s="61"/>
      <c r="F42" s="64" t="s">
        <v>3563</v>
      </c>
      <c r="G42" s="63" t="s">
        <v>2052</v>
      </c>
      <c r="H42" s="63" t="s">
        <v>188</v>
      </c>
      <c r="I42" s="63" t="s">
        <v>1453</v>
      </c>
      <c r="J42" s="63"/>
      <c r="K42" s="61" t="s">
        <v>191</v>
      </c>
      <c r="L42" s="64">
        <v>2</v>
      </c>
      <c r="M42" s="73">
        <v>4</v>
      </c>
      <c r="N42" s="75" t="s">
        <v>222</v>
      </c>
      <c r="O42" s="279" t="s">
        <v>14</v>
      </c>
      <c r="P42" s="126"/>
    </row>
    <row r="43" spans="1:16" ht="22.5">
      <c r="A43" s="61" t="s">
        <v>3631</v>
      </c>
      <c r="B43" s="61" t="s">
        <v>2054</v>
      </c>
      <c r="C43" s="61" t="s">
        <v>3632</v>
      </c>
      <c r="D43" s="61" t="s">
        <v>185</v>
      </c>
      <c r="E43" s="61"/>
      <c r="F43" s="64" t="s">
        <v>3563</v>
      </c>
      <c r="G43" s="63" t="s">
        <v>2056</v>
      </c>
      <c r="H43" s="63" t="s">
        <v>188</v>
      </c>
      <c r="I43" s="63" t="s">
        <v>1453</v>
      </c>
      <c r="J43" s="63"/>
      <c r="K43" s="61" t="s">
        <v>191</v>
      </c>
      <c r="L43" s="64">
        <v>2</v>
      </c>
      <c r="M43" s="73">
        <v>4</v>
      </c>
      <c r="N43" s="75" t="s">
        <v>222</v>
      </c>
      <c r="O43" s="279" t="s">
        <v>14</v>
      </c>
      <c r="P43" s="126"/>
    </row>
    <row r="44" spans="1:16" ht="22.5">
      <c r="A44" s="61" t="s">
        <v>3633</v>
      </c>
      <c r="B44" s="61" t="s">
        <v>1937</v>
      </c>
      <c r="C44" s="61" t="s">
        <v>3634</v>
      </c>
      <c r="D44" s="136" t="s">
        <v>242</v>
      </c>
      <c r="E44" s="224"/>
      <c r="F44" s="88" t="s">
        <v>3563</v>
      </c>
      <c r="G44" s="63" t="s">
        <v>1939</v>
      </c>
      <c r="H44" s="63" t="s">
        <v>188</v>
      </c>
      <c r="I44" s="43" t="s">
        <v>1453</v>
      </c>
      <c r="J44" s="43"/>
      <c r="K44" s="61" t="s">
        <v>191</v>
      </c>
      <c r="L44" s="64">
        <v>4</v>
      </c>
      <c r="M44" s="73">
        <v>5</v>
      </c>
      <c r="N44" s="239" t="s">
        <v>192</v>
      </c>
      <c r="O44" s="279" t="s">
        <v>14</v>
      </c>
      <c r="P44" s="238"/>
    </row>
    <row r="45" spans="1:16" ht="20.100000000000001" customHeight="1">
      <c r="A45" s="61" t="s">
        <v>3635</v>
      </c>
      <c r="B45" s="61" t="s">
        <v>3347</v>
      </c>
      <c r="C45" s="61" t="s">
        <v>3636</v>
      </c>
      <c r="D45" s="136" t="s">
        <v>242</v>
      </c>
      <c r="E45" s="224"/>
      <c r="F45" s="88" t="s">
        <v>3563</v>
      </c>
      <c r="G45" s="63" t="s">
        <v>3349</v>
      </c>
      <c r="H45" s="63" t="s">
        <v>204</v>
      </c>
      <c r="I45" s="61"/>
      <c r="J45" s="61"/>
      <c r="K45" s="61" t="s">
        <v>191</v>
      </c>
      <c r="L45" s="64">
        <v>4</v>
      </c>
      <c r="M45" s="73">
        <v>5</v>
      </c>
      <c r="N45" s="239" t="s">
        <v>199</v>
      </c>
      <c r="O45" s="279" t="s">
        <v>14</v>
      </c>
      <c r="P45" s="238"/>
    </row>
    <row r="46" spans="1:16" ht="21" customHeight="1">
      <c r="A46" s="61" t="s">
        <v>3637</v>
      </c>
      <c r="B46" s="61" t="s">
        <v>3352</v>
      </c>
      <c r="C46" s="61" t="s">
        <v>3638</v>
      </c>
      <c r="D46" s="136" t="s">
        <v>242</v>
      </c>
      <c r="E46" s="224"/>
      <c r="F46" s="88" t="s">
        <v>3563</v>
      </c>
      <c r="G46" s="63" t="s">
        <v>3354</v>
      </c>
      <c r="H46" s="63" t="s">
        <v>204</v>
      </c>
      <c r="I46" s="61"/>
      <c r="J46" s="61"/>
      <c r="K46" s="61" t="s">
        <v>191</v>
      </c>
      <c r="L46" s="64">
        <v>4</v>
      </c>
      <c r="M46" s="73">
        <v>5</v>
      </c>
      <c r="N46" s="239" t="s">
        <v>199</v>
      </c>
      <c r="O46" s="279" t="s">
        <v>14</v>
      </c>
      <c r="P46" s="238"/>
    </row>
    <row r="48" spans="1:16">
      <c r="A48" s="40" t="s">
        <v>3547</v>
      </c>
      <c r="B48" s="101"/>
      <c r="F48" s="101"/>
      <c r="G48" s="72"/>
      <c r="H48" s="72"/>
      <c r="I48" s="72"/>
      <c r="J48" s="72"/>
      <c r="K48" s="72"/>
    </row>
    <row r="49" spans="1:34">
      <c r="A49" s="40"/>
      <c r="B49" s="101"/>
      <c r="F49" s="101"/>
      <c r="G49" s="72"/>
      <c r="H49" s="72"/>
      <c r="I49" s="72"/>
      <c r="J49" s="72"/>
      <c r="K49" s="72"/>
      <c r="AG49" s="375"/>
      <c r="AH49" s="376"/>
    </row>
    <row r="50" spans="1:34">
      <c r="A50" s="40" t="s">
        <v>488</v>
      </c>
      <c r="B50" s="101"/>
      <c r="F50" s="101"/>
      <c r="G50" s="72"/>
      <c r="H50" s="72"/>
      <c r="I50" s="72"/>
      <c r="J50" s="72"/>
      <c r="K50" s="72"/>
      <c r="AG50" s="375"/>
      <c r="AH50" s="376"/>
    </row>
    <row r="51" spans="1:34">
      <c r="A51" s="46" t="s">
        <v>489</v>
      </c>
      <c r="H51" s="72"/>
      <c r="J51" s="72"/>
      <c r="K51" s="72"/>
      <c r="L51" s="84"/>
      <c r="P51" s="84"/>
    </row>
    <row r="52" spans="1:34">
      <c r="A52" s="129"/>
      <c r="L52" s="84"/>
      <c r="P52" s="84"/>
    </row>
    <row r="53" spans="1:34" ht="33.75">
      <c r="A53" s="58" t="s">
        <v>3548</v>
      </c>
      <c r="B53" s="58" t="s">
        <v>166</v>
      </c>
      <c r="C53" s="58" t="s">
        <v>167</v>
      </c>
      <c r="D53" s="58" t="s">
        <v>168</v>
      </c>
      <c r="E53" s="58" t="s">
        <v>169</v>
      </c>
      <c r="F53" s="77" t="s">
        <v>170</v>
      </c>
      <c r="G53" s="77" t="s">
        <v>20</v>
      </c>
      <c r="H53" s="58" t="s">
        <v>171</v>
      </c>
      <c r="I53" s="58" t="s">
        <v>172</v>
      </c>
      <c r="J53" s="58" t="s">
        <v>174</v>
      </c>
      <c r="K53" s="58" t="s">
        <v>175</v>
      </c>
      <c r="L53" s="137" t="s">
        <v>176</v>
      </c>
      <c r="M53" s="388" t="s">
        <v>655</v>
      </c>
      <c r="N53" s="389" t="s">
        <v>179</v>
      </c>
      <c r="P53" s="84"/>
    </row>
    <row r="54" spans="1:34" ht="11.25">
      <c r="A54" s="147" t="s">
        <v>3549</v>
      </c>
      <c r="B54" s="176"/>
      <c r="C54" s="170"/>
      <c r="D54" s="170"/>
      <c r="E54" s="170"/>
      <c r="F54" s="177"/>
      <c r="G54" s="177"/>
      <c r="H54" s="177"/>
      <c r="I54" s="176"/>
      <c r="J54" s="176"/>
      <c r="K54" s="176"/>
      <c r="L54" s="140"/>
      <c r="M54" s="368"/>
      <c r="N54" s="148"/>
      <c r="P54" s="84"/>
    </row>
    <row r="55" spans="1:34" ht="11.25">
      <c r="A55" s="140" t="s">
        <v>3639</v>
      </c>
      <c r="B55" s="140" t="s">
        <v>770</v>
      </c>
      <c r="C55" s="140" t="s">
        <v>3640</v>
      </c>
      <c r="D55" s="140" t="s">
        <v>493</v>
      </c>
      <c r="E55" s="140"/>
      <c r="F55" s="147" t="s">
        <v>3552</v>
      </c>
      <c r="G55" s="142" t="s">
        <v>503</v>
      </c>
      <c r="H55" s="142" t="s">
        <v>198</v>
      </c>
      <c r="I55" s="140"/>
      <c r="J55" s="140"/>
      <c r="K55" s="140" t="s">
        <v>191</v>
      </c>
      <c r="L55" s="143">
        <v>4</v>
      </c>
      <c r="M55" s="368">
        <v>5</v>
      </c>
      <c r="N55" s="148" t="s">
        <v>199</v>
      </c>
      <c r="P55" s="84"/>
    </row>
    <row r="56" spans="1:34" ht="11.25">
      <c r="A56" s="140" t="s">
        <v>3641</v>
      </c>
      <c r="B56" s="140" t="s">
        <v>491</v>
      </c>
      <c r="C56" s="140" t="s">
        <v>3642</v>
      </c>
      <c r="D56" s="140" t="s">
        <v>493</v>
      </c>
      <c r="E56" s="140"/>
      <c r="F56" s="147" t="s">
        <v>3552</v>
      </c>
      <c r="G56" s="142" t="s">
        <v>494</v>
      </c>
      <c r="H56" s="142" t="s">
        <v>466</v>
      </c>
      <c r="I56" s="140"/>
      <c r="J56" s="140"/>
      <c r="K56" s="140" t="s">
        <v>191</v>
      </c>
      <c r="L56" s="143">
        <v>4</v>
      </c>
      <c r="M56" s="368">
        <v>3</v>
      </c>
      <c r="N56" s="148" t="s">
        <v>199</v>
      </c>
      <c r="P56" s="84"/>
    </row>
    <row r="57" spans="1:34" ht="11.25">
      <c r="A57" s="140" t="s">
        <v>3643</v>
      </c>
      <c r="B57" s="140" t="s">
        <v>2090</v>
      </c>
      <c r="C57" s="140" t="s">
        <v>3644</v>
      </c>
      <c r="D57" s="140" t="s">
        <v>185</v>
      </c>
      <c r="E57" s="140"/>
      <c r="F57" s="147" t="s">
        <v>3645</v>
      </c>
      <c r="G57" s="142" t="s">
        <v>2093</v>
      </c>
      <c r="H57" s="142" t="s">
        <v>198</v>
      </c>
      <c r="I57" s="140" t="s">
        <v>2094</v>
      </c>
      <c r="J57" s="140"/>
      <c r="K57" s="140" t="s">
        <v>191</v>
      </c>
      <c r="L57" s="143">
        <v>4</v>
      </c>
      <c r="M57" s="368">
        <v>5</v>
      </c>
      <c r="N57" s="148" t="s">
        <v>199</v>
      </c>
      <c r="P57" s="84"/>
    </row>
    <row r="58" spans="1:34" ht="22.5">
      <c r="A58" s="140" t="s">
        <v>3646</v>
      </c>
      <c r="B58" s="140" t="s">
        <v>1436</v>
      </c>
      <c r="C58" s="140" t="s">
        <v>3647</v>
      </c>
      <c r="D58" s="140" t="s">
        <v>185</v>
      </c>
      <c r="E58" s="140"/>
      <c r="F58" s="147" t="s">
        <v>3552</v>
      </c>
      <c r="G58" s="142" t="s">
        <v>1438</v>
      </c>
      <c r="H58" s="142" t="s">
        <v>204</v>
      </c>
      <c r="I58" s="145" t="s">
        <v>782</v>
      </c>
      <c r="J58" s="145"/>
      <c r="K58" s="140" t="s">
        <v>191</v>
      </c>
      <c r="L58" s="143">
        <v>4</v>
      </c>
      <c r="M58" s="368">
        <v>5</v>
      </c>
      <c r="N58" s="148" t="s">
        <v>199</v>
      </c>
      <c r="P58" s="84"/>
    </row>
    <row r="59" spans="1:34" ht="45">
      <c r="A59" s="140" t="s">
        <v>3648</v>
      </c>
      <c r="B59" s="140" t="s">
        <v>3385</v>
      </c>
      <c r="C59" s="140"/>
      <c r="D59" s="140" t="s">
        <v>242</v>
      </c>
      <c r="E59" s="140"/>
      <c r="F59" s="147" t="s">
        <v>3649</v>
      </c>
      <c r="G59" s="142" t="s">
        <v>3650</v>
      </c>
      <c r="H59" s="142" t="s">
        <v>204</v>
      </c>
      <c r="I59" s="145" t="s">
        <v>3651</v>
      </c>
      <c r="J59" s="145"/>
      <c r="K59" s="140" t="s">
        <v>191</v>
      </c>
      <c r="L59" s="143">
        <v>4</v>
      </c>
      <c r="M59" s="368">
        <v>5</v>
      </c>
      <c r="N59" s="148" t="s">
        <v>199</v>
      </c>
      <c r="P59" s="84"/>
    </row>
    <row r="60" spans="1:34" ht="22.5">
      <c r="A60" s="140" t="s">
        <v>3652</v>
      </c>
      <c r="B60" s="140" t="s">
        <v>780</v>
      </c>
      <c r="C60" s="140" t="s">
        <v>3653</v>
      </c>
      <c r="D60" s="140" t="s">
        <v>185</v>
      </c>
      <c r="E60" s="140"/>
      <c r="F60" s="147" t="s">
        <v>3654</v>
      </c>
      <c r="G60" s="142" t="s">
        <v>1447</v>
      </c>
      <c r="H60" s="142" t="s">
        <v>204</v>
      </c>
      <c r="I60" s="145" t="s">
        <v>782</v>
      </c>
      <c r="J60" s="145"/>
      <c r="K60" s="140" t="s">
        <v>191</v>
      </c>
      <c r="L60" s="143">
        <v>4</v>
      </c>
      <c r="M60" s="368">
        <v>5</v>
      </c>
      <c r="N60" s="148" t="s">
        <v>199</v>
      </c>
      <c r="P60" s="84"/>
    </row>
    <row r="61" spans="1:34" ht="22.5">
      <c r="A61" s="140" t="s">
        <v>3655</v>
      </c>
      <c r="B61" s="140" t="s">
        <v>1449</v>
      </c>
      <c r="C61" s="140" t="s">
        <v>3656</v>
      </c>
      <c r="D61" s="140" t="s">
        <v>185</v>
      </c>
      <c r="E61" s="140"/>
      <c r="F61" s="147" t="s">
        <v>3563</v>
      </c>
      <c r="G61" s="142" t="s">
        <v>3657</v>
      </c>
      <c r="H61" s="142" t="s">
        <v>188</v>
      </c>
      <c r="I61" s="142" t="s">
        <v>1453</v>
      </c>
      <c r="J61" s="142"/>
      <c r="K61" s="140" t="s">
        <v>191</v>
      </c>
      <c r="L61" s="143">
        <v>4</v>
      </c>
      <c r="M61" s="368">
        <v>5</v>
      </c>
      <c r="N61" s="148" t="s">
        <v>199</v>
      </c>
      <c r="P61" s="84"/>
    </row>
    <row r="62" spans="1:34" ht="22.5">
      <c r="A62" s="140" t="s">
        <v>3658</v>
      </c>
      <c r="B62" s="140" t="s">
        <v>1455</v>
      </c>
      <c r="C62" s="140" t="s">
        <v>3659</v>
      </c>
      <c r="D62" s="140" t="s">
        <v>185</v>
      </c>
      <c r="E62" s="140"/>
      <c r="F62" s="147" t="s">
        <v>3563</v>
      </c>
      <c r="G62" s="142" t="s">
        <v>2110</v>
      </c>
      <c r="H62" s="142" t="s">
        <v>188</v>
      </c>
      <c r="I62" s="142" t="s">
        <v>1453</v>
      </c>
      <c r="J62" s="142"/>
      <c r="K62" s="140" t="s">
        <v>191</v>
      </c>
      <c r="L62" s="143">
        <v>4</v>
      </c>
      <c r="M62" s="368">
        <v>5</v>
      </c>
      <c r="N62" s="148" t="s">
        <v>199</v>
      </c>
      <c r="P62" s="84"/>
    </row>
    <row r="63" spans="1:34" ht="22.5">
      <c r="A63" s="140" t="s">
        <v>3660</v>
      </c>
      <c r="B63" s="140" t="s">
        <v>1459</v>
      </c>
      <c r="C63" s="140" t="s">
        <v>3661</v>
      </c>
      <c r="D63" s="140" t="s">
        <v>185</v>
      </c>
      <c r="E63" s="140"/>
      <c r="F63" s="147" t="s">
        <v>3563</v>
      </c>
      <c r="G63" s="142" t="s">
        <v>3662</v>
      </c>
      <c r="H63" s="142" t="s">
        <v>188</v>
      </c>
      <c r="I63" s="142" t="s">
        <v>1453</v>
      </c>
      <c r="J63" s="142"/>
      <c r="K63" s="140" t="s">
        <v>191</v>
      </c>
      <c r="L63" s="143">
        <v>4</v>
      </c>
      <c r="M63" s="368">
        <v>5</v>
      </c>
      <c r="N63" s="148" t="s">
        <v>199</v>
      </c>
      <c r="P63" s="84"/>
    </row>
    <row r="64" spans="1:34" ht="22.5">
      <c r="A64" s="140" t="s">
        <v>3663</v>
      </c>
      <c r="B64" s="140" t="s">
        <v>1463</v>
      </c>
      <c r="C64" s="140" t="s">
        <v>3664</v>
      </c>
      <c r="D64" s="140" t="s">
        <v>185</v>
      </c>
      <c r="E64" s="140"/>
      <c r="F64" s="147" t="s">
        <v>3563</v>
      </c>
      <c r="G64" s="142" t="s">
        <v>2116</v>
      </c>
      <c r="H64" s="142" t="s">
        <v>188</v>
      </c>
      <c r="I64" s="142" t="s">
        <v>1453</v>
      </c>
      <c r="J64" s="142"/>
      <c r="K64" s="140" t="s">
        <v>191</v>
      </c>
      <c r="L64" s="143">
        <v>4</v>
      </c>
      <c r="M64" s="368">
        <v>5</v>
      </c>
      <c r="N64" s="148" t="s">
        <v>199</v>
      </c>
      <c r="P64" s="84"/>
    </row>
    <row r="65" spans="1:16" ht="22.5">
      <c r="A65" s="140" t="s">
        <v>3665</v>
      </c>
      <c r="B65" s="140" t="s">
        <v>2118</v>
      </c>
      <c r="C65" s="140" t="s">
        <v>3666</v>
      </c>
      <c r="D65" s="140" t="s">
        <v>185</v>
      </c>
      <c r="E65" s="140"/>
      <c r="F65" s="147" t="s">
        <v>2120</v>
      </c>
      <c r="G65" s="142" t="s">
        <v>2121</v>
      </c>
      <c r="H65" s="142" t="s">
        <v>204</v>
      </c>
      <c r="I65" s="145" t="s">
        <v>3667</v>
      </c>
      <c r="J65" s="145"/>
      <c r="K65" s="140" t="s">
        <v>191</v>
      </c>
      <c r="L65" s="143">
        <v>4</v>
      </c>
      <c r="M65" s="368">
        <v>5</v>
      </c>
      <c r="N65" s="148" t="s">
        <v>199</v>
      </c>
      <c r="P65" s="84"/>
    </row>
    <row r="66" spans="1:16" ht="22.5">
      <c r="A66" s="140" t="s">
        <v>3668</v>
      </c>
      <c r="B66" s="140" t="s">
        <v>2123</v>
      </c>
      <c r="C66" s="140" t="s">
        <v>3669</v>
      </c>
      <c r="D66" s="140" t="s">
        <v>185</v>
      </c>
      <c r="E66" s="140"/>
      <c r="F66" s="147" t="s">
        <v>2106</v>
      </c>
      <c r="G66" s="142" t="s">
        <v>2121</v>
      </c>
      <c r="H66" s="142" t="s">
        <v>204</v>
      </c>
      <c r="I66" s="145" t="s">
        <v>3667</v>
      </c>
      <c r="J66" s="145"/>
      <c r="K66" s="140" t="s">
        <v>191</v>
      </c>
      <c r="L66" s="143">
        <v>4</v>
      </c>
      <c r="M66" s="368">
        <v>5</v>
      </c>
      <c r="N66" s="148" t="s">
        <v>199</v>
      </c>
      <c r="P66" s="84"/>
    </row>
    <row r="67" spans="1:16" ht="247.5">
      <c r="A67" s="178" t="s">
        <v>3670</v>
      </c>
      <c r="B67" s="178" t="s">
        <v>1330</v>
      </c>
      <c r="C67" s="178" t="s">
        <v>3671</v>
      </c>
      <c r="D67" s="178" t="s">
        <v>493</v>
      </c>
      <c r="E67" s="178"/>
      <c r="F67" s="179" t="s">
        <v>3552</v>
      </c>
      <c r="G67" s="180" t="s">
        <v>1332</v>
      </c>
      <c r="H67" s="142" t="s">
        <v>204</v>
      </c>
      <c r="I67" s="181" t="s">
        <v>2129</v>
      </c>
      <c r="J67" s="181"/>
      <c r="K67" s="140" t="s">
        <v>191</v>
      </c>
      <c r="L67" s="182">
        <v>4</v>
      </c>
      <c r="M67" s="368">
        <v>5</v>
      </c>
      <c r="N67" s="148" t="s">
        <v>199</v>
      </c>
      <c r="P67" s="84"/>
    </row>
    <row r="68" spans="1:16" ht="11.25">
      <c r="A68" s="170"/>
      <c r="B68" s="170"/>
      <c r="C68" s="170"/>
      <c r="D68" s="170"/>
      <c r="E68" s="170"/>
      <c r="F68" s="183"/>
      <c r="G68" s="173"/>
      <c r="H68" s="173"/>
      <c r="I68" s="164"/>
      <c r="J68" s="164"/>
      <c r="K68" s="164"/>
      <c r="L68" s="184"/>
      <c r="M68" s="185"/>
      <c r="N68" s="148"/>
      <c r="P68" s="84"/>
    </row>
    <row r="69" spans="1:16" ht="11.25">
      <c r="A69" s="183" t="s">
        <v>3581</v>
      </c>
      <c r="B69" s="170"/>
      <c r="C69" s="170"/>
      <c r="D69" s="170"/>
      <c r="E69" s="170"/>
      <c r="F69" s="183"/>
      <c r="G69" s="173"/>
      <c r="H69" s="173"/>
      <c r="I69" s="173"/>
      <c r="J69" s="173"/>
      <c r="K69" s="173"/>
      <c r="L69" s="170"/>
      <c r="M69" s="185"/>
      <c r="N69" s="148"/>
      <c r="P69" s="84"/>
    </row>
    <row r="70" spans="1:16" ht="33.75">
      <c r="A70" s="187" t="s">
        <v>3672</v>
      </c>
      <c r="B70" s="187" t="s">
        <v>1524</v>
      </c>
      <c r="C70" s="187" t="s">
        <v>3673</v>
      </c>
      <c r="D70" s="187" t="s">
        <v>242</v>
      </c>
      <c r="E70" s="187"/>
      <c r="F70" s="188" t="s">
        <v>1532</v>
      </c>
      <c r="G70" s="189" t="s">
        <v>2133</v>
      </c>
      <c r="H70" s="189" t="s">
        <v>204</v>
      </c>
      <c r="I70" s="189" t="s">
        <v>2134</v>
      </c>
      <c r="J70" s="189"/>
      <c r="K70" s="140" t="s">
        <v>191</v>
      </c>
      <c r="L70" s="190">
        <v>4</v>
      </c>
      <c r="M70" s="368">
        <v>5</v>
      </c>
      <c r="N70" s="148" t="s">
        <v>199</v>
      </c>
      <c r="P70" s="84"/>
    </row>
    <row r="71" spans="1:16" ht="22.5">
      <c r="A71" s="140" t="s">
        <v>3674</v>
      </c>
      <c r="B71" s="140" t="s">
        <v>1530</v>
      </c>
      <c r="C71" s="140" t="s">
        <v>3675</v>
      </c>
      <c r="D71" s="187" t="s">
        <v>242</v>
      </c>
      <c r="E71" s="161"/>
      <c r="F71" s="147" t="s">
        <v>1532</v>
      </c>
      <c r="G71" s="142" t="s">
        <v>2137</v>
      </c>
      <c r="H71" s="142" t="s">
        <v>188</v>
      </c>
      <c r="I71" s="142" t="s">
        <v>1534</v>
      </c>
      <c r="J71" s="142"/>
      <c r="K71" s="140" t="s">
        <v>191</v>
      </c>
      <c r="L71" s="143">
        <v>4</v>
      </c>
      <c r="M71" s="368">
        <v>5</v>
      </c>
      <c r="N71" s="148" t="s">
        <v>199</v>
      </c>
      <c r="P71" s="84"/>
    </row>
    <row r="72" spans="1:16" ht="33.75">
      <c r="A72" s="140" t="s">
        <v>3676</v>
      </c>
      <c r="B72" s="140" t="s">
        <v>2139</v>
      </c>
      <c r="C72" s="140" t="s">
        <v>3677</v>
      </c>
      <c r="D72" s="187" t="s">
        <v>242</v>
      </c>
      <c r="E72" s="161"/>
      <c r="F72" s="147" t="s">
        <v>1532</v>
      </c>
      <c r="G72" s="142" t="s">
        <v>2141</v>
      </c>
      <c r="H72" s="142" t="s">
        <v>740</v>
      </c>
      <c r="I72" s="142" t="s">
        <v>2142</v>
      </c>
      <c r="J72" s="142"/>
      <c r="K72" s="140" t="s">
        <v>191</v>
      </c>
      <c r="L72" s="143">
        <v>4</v>
      </c>
      <c r="M72" s="368">
        <v>5</v>
      </c>
      <c r="N72" s="148" t="s">
        <v>199</v>
      </c>
      <c r="P72" s="84"/>
    </row>
    <row r="73" spans="1:16" ht="33.75">
      <c r="A73" s="140" t="s">
        <v>3678</v>
      </c>
      <c r="B73" s="140" t="s">
        <v>2144</v>
      </c>
      <c r="C73" s="140" t="s">
        <v>3679</v>
      </c>
      <c r="D73" s="187" t="s">
        <v>242</v>
      </c>
      <c r="E73" s="161"/>
      <c r="F73" s="147" t="s">
        <v>1532</v>
      </c>
      <c r="G73" s="142" t="s">
        <v>2146</v>
      </c>
      <c r="H73" s="142" t="s">
        <v>740</v>
      </c>
      <c r="I73" s="142" t="s">
        <v>2142</v>
      </c>
      <c r="J73" s="142"/>
      <c r="K73" s="140" t="s">
        <v>191</v>
      </c>
      <c r="L73" s="143">
        <v>4</v>
      </c>
      <c r="M73" s="368">
        <v>5</v>
      </c>
      <c r="N73" s="148" t="s">
        <v>199</v>
      </c>
      <c r="P73" s="84"/>
    </row>
    <row r="74" spans="1:16" ht="22.5">
      <c r="A74" s="140" t="s">
        <v>3680</v>
      </c>
      <c r="B74" s="140" t="s">
        <v>1467</v>
      </c>
      <c r="C74" s="140"/>
      <c r="D74" s="187" t="s">
        <v>242</v>
      </c>
      <c r="E74" s="161"/>
      <c r="F74" s="153" t="s">
        <v>2106</v>
      </c>
      <c r="G74" s="145" t="s">
        <v>3681</v>
      </c>
      <c r="H74" s="145" t="s">
        <v>188</v>
      </c>
      <c r="I74" s="142" t="s">
        <v>1453</v>
      </c>
      <c r="J74" s="142"/>
      <c r="K74" s="140" t="s">
        <v>191</v>
      </c>
      <c r="L74" s="143">
        <v>4</v>
      </c>
      <c r="M74" s="368">
        <v>5</v>
      </c>
      <c r="N74" s="148" t="s">
        <v>199</v>
      </c>
      <c r="P74" s="84"/>
    </row>
    <row r="75" spans="1:16" ht="22.5">
      <c r="A75" s="140" t="s">
        <v>3682</v>
      </c>
      <c r="B75" s="140" t="s">
        <v>1471</v>
      </c>
      <c r="C75" s="140"/>
      <c r="D75" s="187" t="s">
        <v>242</v>
      </c>
      <c r="E75" s="161"/>
      <c r="F75" s="153" t="s">
        <v>2106</v>
      </c>
      <c r="G75" s="145" t="s">
        <v>3683</v>
      </c>
      <c r="H75" s="145" t="s">
        <v>188</v>
      </c>
      <c r="I75" s="142" t="s">
        <v>1453</v>
      </c>
      <c r="J75" s="142"/>
      <c r="K75" s="140" t="s">
        <v>191</v>
      </c>
      <c r="L75" s="143">
        <v>4</v>
      </c>
      <c r="M75" s="368">
        <v>5</v>
      </c>
      <c r="N75" s="148" t="s">
        <v>199</v>
      </c>
      <c r="P75" s="84"/>
    </row>
    <row r="76" spans="1:16" ht="22.5">
      <c r="A76" s="157" t="s">
        <v>3684</v>
      </c>
      <c r="B76" s="157" t="s">
        <v>3685</v>
      </c>
      <c r="C76" s="140"/>
      <c r="D76" s="187" t="s">
        <v>242</v>
      </c>
      <c r="E76" s="161"/>
      <c r="F76" s="147" t="s">
        <v>3686</v>
      </c>
      <c r="G76" s="191" t="s">
        <v>3687</v>
      </c>
      <c r="H76" s="145" t="s">
        <v>188</v>
      </c>
      <c r="I76" s="142" t="s">
        <v>1479</v>
      </c>
      <c r="J76" s="142"/>
      <c r="K76" s="140" t="s">
        <v>191</v>
      </c>
      <c r="L76" s="143">
        <v>4</v>
      </c>
      <c r="M76" s="368">
        <v>5</v>
      </c>
      <c r="N76" s="148" t="s">
        <v>199</v>
      </c>
      <c r="P76" s="84"/>
    </row>
    <row r="77" spans="1:16" ht="22.5">
      <c r="A77" s="157" t="s">
        <v>3688</v>
      </c>
      <c r="B77" s="157" t="s">
        <v>3689</v>
      </c>
      <c r="C77" s="140"/>
      <c r="D77" s="187" t="s">
        <v>242</v>
      </c>
      <c r="E77" s="161"/>
      <c r="F77" s="147" t="s">
        <v>3686</v>
      </c>
      <c r="G77" s="191" t="s">
        <v>3690</v>
      </c>
      <c r="H77" s="145" t="s">
        <v>188</v>
      </c>
      <c r="I77" s="142" t="s">
        <v>1479</v>
      </c>
      <c r="J77" s="142"/>
      <c r="K77" s="140" t="s">
        <v>191</v>
      </c>
      <c r="L77" s="143">
        <v>4</v>
      </c>
      <c r="M77" s="368">
        <v>5</v>
      </c>
      <c r="N77" s="148" t="s">
        <v>199</v>
      </c>
      <c r="P77" s="84"/>
    </row>
    <row r="78" spans="1:16" ht="22.5">
      <c r="A78" s="157" t="s">
        <v>3691</v>
      </c>
      <c r="B78" s="157" t="s">
        <v>3692</v>
      </c>
      <c r="C78" s="140"/>
      <c r="D78" s="187" t="s">
        <v>242</v>
      </c>
      <c r="E78" s="161"/>
      <c r="F78" s="147" t="s">
        <v>3686</v>
      </c>
      <c r="G78" s="191" t="s">
        <v>3693</v>
      </c>
      <c r="H78" s="145" t="s">
        <v>188</v>
      </c>
      <c r="I78" s="142" t="s">
        <v>1479</v>
      </c>
      <c r="J78" s="142"/>
      <c r="K78" s="140" t="s">
        <v>191</v>
      </c>
      <c r="L78" s="143">
        <v>4</v>
      </c>
      <c r="M78" s="368">
        <v>5</v>
      </c>
      <c r="N78" s="148" t="s">
        <v>199</v>
      </c>
      <c r="P78" s="84"/>
    </row>
    <row r="79" spans="1:16" ht="22.5">
      <c r="A79" s="157" t="s">
        <v>3694</v>
      </c>
      <c r="B79" s="157" t="s">
        <v>3695</v>
      </c>
      <c r="C79" s="140"/>
      <c r="D79" s="187" t="s">
        <v>242</v>
      </c>
      <c r="E79" s="161"/>
      <c r="F79" s="147" t="s">
        <v>3686</v>
      </c>
      <c r="G79" s="191" t="s">
        <v>3696</v>
      </c>
      <c r="H79" s="145" t="s">
        <v>188</v>
      </c>
      <c r="I79" s="142" t="s">
        <v>1453</v>
      </c>
      <c r="J79" s="142"/>
      <c r="K79" s="140" t="s">
        <v>191</v>
      </c>
      <c r="L79" s="143">
        <v>4</v>
      </c>
      <c r="M79" s="368">
        <v>5</v>
      </c>
      <c r="N79" s="148" t="s">
        <v>199</v>
      </c>
      <c r="P79" s="84"/>
    </row>
    <row r="80" spans="1:16" ht="22.5">
      <c r="A80" s="157" t="s">
        <v>3697</v>
      </c>
      <c r="B80" s="157" t="s">
        <v>3698</v>
      </c>
      <c r="C80" s="140"/>
      <c r="D80" s="187" t="s">
        <v>242</v>
      </c>
      <c r="E80" s="161"/>
      <c r="F80" s="147" t="s">
        <v>3686</v>
      </c>
      <c r="G80" s="191" t="s">
        <v>3699</v>
      </c>
      <c r="H80" s="145" t="s">
        <v>188</v>
      </c>
      <c r="I80" s="142" t="s">
        <v>1453</v>
      </c>
      <c r="J80" s="142"/>
      <c r="K80" s="140" t="s">
        <v>191</v>
      </c>
      <c r="L80" s="143">
        <v>4</v>
      </c>
      <c r="M80" s="368">
        <v>5</v>
      </c>
      <c r="N80" s="148" t="s">
        <v>199</v>
      </c>
      <c r="P80" s="84"/>
    </row>
    <row r="81" spans="1:16" ht="22.5">
      <c r="A81" s="157" t="s">
        <v>3700</v>
      </c>
      <c r="B81" s="157" t="s">
        <v>3701</v>
      </c>
      <c r="C81" s="140"/>
      <c r="D81" s="187" t="s">
        <v>242</v>
      </c>
      <c r="E81" s="161"/>
      <c r="F81" s="147" t="s">
        <v>3686</v>
      </c>
      <c r="G81" s="191" t="s">
        <v>3702</v>
      </c>
      <c r="H81" s="145" t="s">
        <v>188</v>
      </c>
      <c r="I81" s="142" t="s">
        <v>1453</v>
      </c>
      <c r="J81" s="142"/>
      <c r="K81" s="140" t="s">
        <v>191</v>
      </c>
      <c r="L81" s="143">
        <v>4</v>
      </c>
      <c r="M81" s="368">
        <v>5</v>
      </c>
      <c r="N81" s="148" t="s">
        <v>199</v>
      </c>
      <c r="P81" s="84"/>
    </row>
    <row r="82" spans="1:16" ht="22.5">
      <c r="A82" s="157" t="s">
        <v>3703</v>
      </c>
      <c r="B82" s="157" t="s">
        <v>2801</v>
      </c>
      <c r="C82" s="140"/>
      <c r="D82" s="187" t="s">
        <v>242</v>
      </c>
      <c r="E82" s="161"/>
      <c r="F82" s="147" t="s">
        <v>3686</v>
      </c>
      <c r="G82" s="191" t="s">
        <v>3704</v>
      </c>
      <c r="H82" s="145" t="s">
        <v>188</v>
      </c>
      <c r="I82" s="142" t="s">
        <v>1453</v>
      </c>
      <c r="J82" s="142"/>
      <c r="K82" s="140" t="s">
        <v>191</v>
      </c>
      <c r="L82" s="143">
        <v>4</v>
      </c>
      <c r="M82" s="368">
        <v>5</v>
      </c>
      <c r="N82" s="148" t="s">
        <v>199</v>
      </c>
      <c r="P82" s="84"/>
    </row>
    <row r="83" spans="1:16" ht="22.5">
      <c r="A83" s="157" t="s">
        <v>3705</v>
      </c>
      <c r="B83" s="157" t="s">
        <v>2808</v>
      </c>
      <c r="C83" s="140"/>
      <c r="D83" s="187" t="s">
        <v>242</v>
      </c>
      <c r="E83" s="161"/>
      <c r="F83" s="147" t="s">
        <v>3686</v>
      </c>
      <c r="G83" s="191" t="s">
        <v>3706</v>
      </c>
      <c r="H83" s="145" t="s">
        <v>188</v>
      </c>
      <c r="I83" s="142" t="s">
        <v>1453</v>
      </c>
      <c r="J83" s="142"/>
      <c r="K83" s="140" t="s">
        <v>191</v>
      </c>
      <c r="L83" s="143">
        <v>4</v>
      </c>
      <c r="M83" s="368">
        <v>5</v>
      </c>
      <c r="N83" s="148" t="s">
        <v>199</v>
      </c>
      <c r="P83" s="84"/>
    </row>
    <row r="84" spans="1:16" ht="22.5">
      <c r="A84" s="157" t="s">
        <v>3707</v>
      </c>
      <c r="B84" s="157" t="s">
        <v>2823</v>
      </c>
      <c r="C84" s="140"/>
      <c r="D84" s="187" t="s">
        <v>242</v>
      </c>
      <c r="E84" s="161"/>
      <c r="F84" s="147" t="s">
        <v>3686</v>
      </c>
      <c r="G84" s="191" t="s">
        <v>3708</v>
      </c>
      <c r="H84" s="145" t="s">
        <v>188</v>
      </c>
      <c r="I84" s="142" t="s">
        <v>1453</v>
      </c>
      <c r="J84" s="142"/>
      <c r="K84" s="140" t="s">
        <v>191</v>
      </c>
      <c r="L84" s="143">
        <v>4</v>
      </c>
      <c r="M84" s="368">
        <v>5</v>
      </c>
      <c r="N84" s="148" t="s">
        <v>199</v>
      </c>
      <c r="P84" s="84"/>
    </row>
    <row r="85" spans="1:16" ht="22.5">
      <c r="A85" s="157" t="s">
        <v>3709</v>
      </c>
      <c r="B85" s="157" t="s">
        <v>2856</v>
      </c>
      <c r="C85" s="140"/>
      <c r="D85" s="187" t="s">
        <v>242</v>
      </c>
      <c r="E85" s="161"/>
      <c r="F85" s="147" t="s">
        <v>3686</v>
      </c>
      <c r="G85" s="191" t="s">
        <v>3710</v>
      </c>
      <c r="H85" s="145" t="s">
        <v>188</v>
      </c>
      <c r="I85" s="142" t="s">
        <v>1453</v>
      </c>
      <c r="J85" s="142"/>
      <c r="K85" s="140" t="s">
        <v>191</v>
      </c>
      <c r="L85" s="143">
        <v>4</v>
      </c>
      <c r="M85" s="368">
        <v>5</v>
      </c>
      <c r="N85" s="148" t="s">
        <v>199</v>
      </c>
      <c r="P85" s="84"/>
    </row>
    <row r="86" spans="1:16" ht="22.5">
      <c r="A86" s="157" t="s">
        <v>3711</v>
      </c>
      <c r="B86" s="157" t="s">
        <v>2862</v>
      </c>
      <c r="C86" s="140"/>
      <c r="D86" s="187" t="s">
        <v>242</v>
      </c>
      <c r="E86" s="161"/>
      <c r="F86" s="147" t="s">
        <v>3686</v>
      </c>
      <c r="G86" s="191" t="s">
        <v>3712</v>
      </c>
      <c r="H86" s="145" t="s">
        <v>188</v>
      </c>
      <c r="I86" s="142" t="s">
        <v>1453</v>
      </c>
      <c r="J86" s="142"/>
      <c r="K86" s="140" t="s">
        <v>191</v>
      </c>
      <c r="L86" s="143">
        <v>4</v>
      </c>
      <c r="M86" s="368">
        <v>5</v>
      </c>
      <c r="N86" s="148" t="s">
        <v>199</v>
      </c>
      <c r="P86" s="84"/>
    </row>
    <row r="87" spans="1:16" ht="22.5">
      <c r="A87" s="157" t="s">
        <v>3713</v>
      </c>
      <c r="B87" s="157" t="s">
        <v>2875</v>
      </c>
      <c r="C87" s="140"/>
      <c r="D87" s="187" t="s">
        <v>242</v>
      </c>
      <c r="E87" s="161"/>
      <c r="F87" s="147" t="s">
        <v>3686</v>
      </c>
      <c r="G87" s="191" t="s">
        <v>3714</v>
      </c>
      <c r="H87" s="145" t="s">
        <v>188</v>
      </c>
      <c r="I87" s="142" t="s">
        <v>1453</v>
      </c>
      <c r="J87" s="142"/>
      <c r="K87" s="140" t="s">
        <v>191</v>
      </c>
      <c r="L87" s="143">
        <v>4</v>
      </c>
      <c r="M87" s="368">
        <v>5</v>
      </c>
      <c r="N87" s="148" t="s">
        <v>199</v>
      </c>
      <c r="P87" s="84"/>
    </row>
    <row r="88" spans="1:16" ht="22.5">
      <c r="A88" s="157" t="s">
        <v>3715</v>
      </c>
      <c r="B88" s="157" t="s">
        <v>2148</v>
      </c>
      <c r="C88" s="140" t="s">
        <v>3716</v>
      </c>
      <c r="D88" s="187" t="s">
        <v>242</v>
      </c>
      <c r="E88" s="161"/>
      <c r="F88" s="147" t="s">
        <v>3717</v>
      </c>
      <c r="G88" s="191" t="s">
        <v>2150</v>
      </c>
      <c r="H88" s="145" t="s">
        <v>188</v>
      </c>
      <c r="I88" s="142" t="s">
        <v>1453</v>
      </c>
      <c r="J88" s="142"/>
      <c r="K88" s="140" t="s">
        <v>191</v>
      </c>
      <c r="L88" s="143">
        <v>4</v>
      </c>
      <c r="M88" s="368">
        <v>5</v>
      </c>
      <c r="N88" s="148" t="s">
        <v>199</v>
      </c>
      <c r="P88" s="84"/>
    </row>
    <row r="89" spans="1:16" ht="11.25">
      <c r="A89" s="140" t="s">
        <v>3718</v>
      </c>
      <c r="B89" s="140" t="s">
        <v>2158</v>
      </c>
      <c r="C89" s="140" t="s">
        <v>3719</v>
      </c>
      <c r="D89" s="187" t="s">
        <v>242</v>
      </c>
      <c r="E89" s="161"/>
      <c r="F89" s="147" t="s">
        <v>3654</v>
      </c>
      <c r="G89" s="142" t="s">
        <v>2161</v>
      </c>
      <c r="H89" s="142" t="s">
        <v>198</v>
      </c>
      <c r="I89" s="140"/>
      <c r="J89" s="140"/>
      <c r="K89" s="140" t="s">
        <v>191</v>
      </c>
      <c r="L89" s="143">
        <v>4</v>
      </c>
      <c r="M89" s="368">
        <v>5</v>
      </c>
      <c r="N89" s="148" t="s">
        <v>199</v>
      </c>
      <c r="P89" s="84"/>
    </row>
    <row r="90" spans="1:16" ht="11.25">
      <c r="A90" s="140" t="s">
        <v>3720</v>
      </c>
      <c r="B90" s="140" t="s">
        <v>2170</v>
      </c>
      <c r="C90" s="140" t="s">
        <v>3721</v>
      </c>
      <c r="D90" s="187" t="s">
        <v>242</v>
      </c>
      <c r="E90" s="161"/>
      <c r="F90" s="147" t="s">
        <v>3654</v>
      </c>
      <c r="G90" s="142" t="s">
        <v>2172</v>
      </c>
      <c r="H90" s="142" t="s">
        <v>198</v>
      </c>
      <c r="I90" s="140"/>
      <c r="J90" s="140"/>
      <c r="K90" s="140" t="s">
        <v>191</v>
      </c>
      <c r="L90" s="143">
        <v>4</v>
      </c>
      <c r="M90" s="368">
        <v>5</v>
      </c>
      <c r="N90" s="148" t="s">
        <v>199</v>
      </c>
      <c r="P90" s="84"/>
    </row>
    <row r="91" spans="1:16" ht="11.25">
      <c r="A91" s="140" t="s">
        <v>3722</v>
      </c>
      <c r="B91" s="140" t="s">
        <v>2174</v>
      </c>
      <c r="C91" s="140" t="s">
        <v>3723</v>
      </c>
      <c r="D91" s="187" t="s">
        <v>242</v>
      </c>
      <c r="E91" s="161"/>
      <c r="F91" s="147" t="s">
        <v>3724</v>
      </c>
      <c r="G91" s="142" t="s">
        <v>2177</v>
      </c>
      <c r="H91" s="142" t="s">
        <v>198</v>
      </c>
      <c r="I91" s="140"/>
      <c r="J91" s="140"/>
      <c r="K91" s="140" t="s">
        <v>191</v>
      </c>
      <c r="L91" s="143">
        <v>4</v>
      </c>
      <c r="M91" s="368">
        <v>5</v>
      </c>
      <c r="N91" s="148" t="s">
        <v>199</v>
      </c>
      <c r="P91" s="84"/>
    </row>
    <row r="92" spans="1:16" ht="22.5">
      <c r="A92" s="140" t="s">
        <v>3725</v>
      </c>
      <c r="B92" s="140" t="s">
        <v>2179</v>
      </c>
      <c r="C92" s="140" t="s">
        <v>3726</v>
      </c>
      <c r="D92" s="187" t="s">
        <v>242</v>
      </c>
      <c r="E92" s="161"/>
      <c r="F92" s="147" t="s">
        <v>3727</v>
      </c>
      <c r="G92" s="142" t="s">
        <v>2182</v>
      </c>
      <c r="H92" s="142" t="s">
        <v>188</v>
      </c>
      <c r="I92" s="145" t="s">
        <v>1453</v>
      </c>
      <c r="J92" s="145"/>
      <c r="K92" s="140" t="s">
        <v>191</v>
      </c>
      <c r="L92" s="143">
        <v>4</v>
      </c>
      <c r="M92" s="368">
        <v>5</v>
      </c>
      <c r="N92" s="148" t="s">
        <v>199</v>
      </c>
      <c r="P92" s="84"/>
    </row>
    <row r="93" spans="1:16" ht="22.5">
      <c r="A93" s="140" t="s">
        <v>3728</v>
      </c>
      <c r="B93" s="140" t="s">
        <v>2184</v>
      </c>
      <c r="C93" s="140" t="s">
        <v>3729</v>
      </c>
      <c r="D93" s="187" t="s">
        <v>242</v>
      </c>
      <c r="E93" s="161"/>
      <c r="F93" s="147" t="s">
        <v>3727</v>
      </c>
      <c r="G93" s="142" t="s">
        <v>2186</v>
      </c>
      <c r="H93" s="142" t="s">
        <v>188</v>
      </c>
      <c r="I93" s="145" t="s">
        <v>1453</v>
      </c>
      <c r="J93" s="145"/>
      <c r="K93" s="140" t="s">
        <v>191</v>
      </c>
      <c r="L93" s="143">
        <v>4</v>
      </c>
      <c r="M93" s="368">
        <v>5</v>
      </c>
      <c r="N93" s="148" t="s">
        <v>199</v>
      </c>
      <c r="P93" s="84"/>
    </row>
    <row r="94" spans="1:16" ht="22.5">
      <c r="A94" s="140" t="s">
        <v>3730</v>
      </c>
      <c r="B94" s="140" t="s">
        <v>2188</v>
      </c>
      <c r="C94" s="140" t="s">
        <v>3731</v>
      </c>
      <c r="D94" s="187" t="s">
        <v>242</v>
      </c>
      <c r="E94" s="161"/>
      <c r="F94" s="147" t="s">
        <v>3727</v>
      </c>
      <c r="G94" s="142" t="s">
        <v>2190</v>
      </c>
      <c r="H94" s="142" t="s">
        <v>188</v>
      </c>
      <c r="I94" s="145" t="s">
        <v>1453</v>
      </c>
      <c r="J94" s="145"/>
      <c r="K94" s="140" t="s">
        <v>191</v>
      </c>
      <c r="L94" s="143">
        <v>4</v>
      </c>
      <c r="M94" s="368">
        <v>5</v>
      </c>
      <c r="N94" s="148" t="s">
        <v>199</v>
      </c>
      <c r="P94" s="84"/>
    </row>
    <row r="95" spans="1:16" ht="33.75" customHeight="1">
      <c r="A95" s="140" t="s">
        <v>3732</v>
      </c>
      <c r="B95" s="140" t="s">
        <v>2248</v>
      </c>
      <c r="C95" s="140" t="s">
        <v>758</v>
      </c>
      <c r="D95" s="187" t="s">
        <v>242</v>
      </c>
      <c r="E95" s="161"/>
      <c r="F95" s="147" t="s">
        <v>3733</v>
      </c>
      <c r="G95" s="168" t="s">
        <v>3734</v>
      </c>
      <c r="H95" s="173" t="s">
        <v>188</v>
      </c>
      <c r="I95" s="145" t="s">
        <v>1453</v>
      </c>
      <c r="J95" s="145"/>
      <c r="K95" s="140" t="s">
        <v>191</v>
      </c>
      <c r="L95" s="143">
        <v>4</v>
      </c>
      <c r="M95" s="368">
        <v>5</v>
      </c>
      <c r="N95" s="148" t="s">
        <v>199</v>
      </c>
      <c r="P95" s="84"/>
    </row>
    <row r="96" spans="1:16" ht="33.75" customHeight="1">
      <c r="A96" s="140" t="s">
        <v>3735</v>
      </c>
      <c r="B96" s="140" t="s">
        <v>2257</v>
      </c>
      <c r="C96" s="140" t="s">
        <v>758</v>
      </c>
      <c r="D96" s="187" t="s">
        <v>242</v>
      </c>
      <c r="E96" s="161"/>
      <c r="F96" s="147" t="s">
        <v>3733</v>
      </c>
      <c r="G96" s="142" t="s">
        <v>3736</v>
      </c>
      <c r="H96" s="142" t="s">
        <v>188</v>
      </c>
      <c r="I96" s="145" t="s">
        <v>1453</v>
      </c>
      <c r="J96" s="145"/>
      <c r="K96" s="140" t="s">
        <v>191</v>
      </c>
      <c r="L96" s="143">
        <v>4</v>
      </c>
      <c r="M96" s="368">
        <v>5</v>
      </c>
      <c r="N96" s="148" t="s">
        <v>199</v>
      </c>
      <c r="P96" s="84"/>
    </row>
    <row r="97" spans="1:16" ht="33.75" customHeight="1">
      <c r="A97" s="140" t="s">
        <v>3737</v>
      </c>
      <c r="B97" s="140" t="s">
        <v>2265</v>
      </c>
      <c r="C97" s="140" t="s">
        <v>3738</v>
      </c>
      <c r="D97" s="187" t="s">
        <v>242</v>
      </c>
      <c r="E97" s="161"/>
      <c r="F97" s="147" t="s">
        <v>3727</v>
      </c>
      <c r="G97" s="142" t="s">
        <v>3739</v>
      </c>
      <c r="H97" s="142" t="s">
        <v>188</v>
      </c>
      <c r="I97" s="145" t="s">
        <v>1453</v>
      </c>
      <c r="J97" s="145"/>
      <c r="K97" s="140" t="s">
        <v>191</v>
      </c>
      <c r="L97" s="143">
        <v>4</v>
      </c>
      <c r="M97" s="368">
        <v>5</v>
      </c>
      <c r="N97" s="148" t="s">
        <v>199</v>
      </c>
      <c r="P97" s="84"/>
    </row>
    <row r="98" spans="1:16" ht="33.75">
      <c r="A98" s="140" t="s">
        <v>3740</v>
      </c>
      <c r="B98" s="140" t="s">
        <v>2274</v>
      </c>
      <c r="C98" s="140" t="s">
        <v>3741</v>
      </c>
      <c r="D98" s="187" t="s">
        <v>242</v>
      </c>
      <c r="E98" s="161"/>
      <c r="F98" s="147" t="s">
        <v>3727</v>
      </c>
      <c r="G98" s="142" t="s">
        <v>3742</v>
      </c>
      <c r="H98" s="142" t="s">
        <v>188</v>
      </c>
      <c r="I98" s="145" t="s">
        <v>1453</v>
      </c>
      <c r="J98" s="145"/>
      <c r="K98" s="140" t="s">
        <v>191</v>
      </c>
      <c r="L98" s="143">
        <v>4</v>
      </c>
      <c r="M98" s="368">
        <v>5</v>
      </c>
      <c r="N98" s="148" t="s">
        <v>199</v>
      </c>
      <c r="P98" s="84"/>
    </row>
    <row r="99" spans="1:16" ht="33.75" customHeight="1">
      <c r="A99" s="140" t="s">
        <v>3743</v>
      </c>
      <c r="B99" s="140" t="s">
        <v>2307</v>
      </c>
      <c r="C99" s="140" t="s">
        <v>3744</v>
      </c>
      <c r="D99" s="187" t="s">
        <v>242</v>
      </c>
      <c r="E99" s="161"/>
      <c r="F99" s="147" t="s">
        <v>3727</v>
      </c>
      <c r="G99" s="142" t="s">
        <v>3745</v>
      </c>
      <c r="H99" s="142" t="s">
        <v>188</v>
      </c>
      <c r="I99" s="145" t="s">
        <v>1453</v>
      </c>
      <c r="J99" s="145"/>
      <c r="K99" s="140" t="s">
        <v>191</v>
      </c>
      <c r="L99" s="143">
        <v>4</v>
      </c>
      <c r="M99" s="368">
        <v>5</v>
      </c>
      <c r="N99" s="148" t="s">
        <v>199</v>
      </c>
      <c r="P99" s="84"/>
    </row>
    <row r="100" spans="1:16" ht="56.25">
      <c r="A100" s="140" t="s">
        <v>3746</v>
      </c>
      <c r="B100" s="140" t="s">
        <v>2324</v>
      </c>
      <c r="C100" s="140" t="s">
        <v>3747</v>
      </c>
      <c r="D100" s="187" t="s">
        <v>242</v>
      </c>
      <c r="E100" s="161"/>
      <c r="F100" s="147" t="s">
        <v>3727</v>
      </c>
      <c r="G100" s="142" t="s">
        <v>3748</v>
      </c>
      <c r="H100" s="142" t="s">
        <v>188</v>
      </c>
      <c r="I100" s="145" t="s">
        <v>1453</v>
      </c>
      <c r="J100" s="145"/>
      <c r="K100" s="140" t="s">
        <v>191</v>
      </c>
      <c r="L100" s="143">
        <v>4</v>
      </c>
      <c r="M100" s="368">
        <v>5</v>
      </c>
      <c r="N100" s="148" t="s">
        <v>199</v>
      </c>
      <c r="P100" s="84"/>
    </row>
    <row r="101" spans="1:16" ht="56.25">
      <c r="A101" s="140" t="s">
        <v>3749</v>
      </c>
      <c r="B101" s="140" t="s">
        <v>2345</v>
      </c>
      <c r="C101" s="140" t="s">
        <v>3750</v>
      </c>
      <c r="D101" s="187" t="s">
        <v>242</v>
      </c>
      <c r="E101" s="161"/>
      <c r="F101" s="147" t="s">
        <v>3727</v>
      </c>
      <c r="G101" s="142" t="s">
        <v>3751</v>
      </c>
      <c r="H101" s="142" t="s">
        <v>188</v>
      </c>
      <c r="I101" s="145" t="s">
        <v>1453</v>
      </c>
      <c r="J101" s="145"/>
      <c r="K101" s="140" t="s">
        <v>191</v>
      </c>
      <c r="L101" s="143">
        <v>4</v>
      </c>
      <c r="M101" s="368">
        <v>5</v>
      </c>
      <c r="N101" s="148" t="s">
        <v>199</v>
      </c>
      <c r="P101" s="84"/>
    </row>
    <row r="102" spans="1:16" ht="56.25">
      <c r="A102" s="140" t="s">
        <v>3752</v>
      </c>
      <c r="B102" s="140" t="s">
        <v>2352</v>
      </c>
      <c r="C102" s="140" t="s">
        <v>3753</v>
      </c>
      <c r="D102" s="187" t="s">
        <v>242</v>
      </c>
      <c r="E102" s="161"/>
      <c r="F102" s="147" t="s">
        <v>3727</v>
      </c>
      <c r="G102" s="142" t="s">
        <v>3754</v>
      </c>
      <c r="H102" s="142" t="s">
        <v>188</v>
      </c>
      <c r="I102" s="145" t="s">
        <v>1453</v>
      </c>
      <c r="J102" s="145"/>
      <c r="K102" s="140" t="s">
        <v>191</v>
      </c>
      <c r="L102" s="143">
        <v>4</v>
      </c>
      <c r="M102" s="368">
        <v>5</v>
      </c>
      <c r="N102" s="148" t="s">
        <v>199</v>
      </c>
      <c r="P102" s="84"/>
    </row>
    <row r="103" spans="1:16" ht="22.5">
      <c r="A103" s="140" t="s">
        <v>3755</v>
      </c>
      <c r="B103" s="140" t="s">
        <v>3756</v>
      </c>
      <c r="C103" s="140" t="s">
        <v>3757</v>
      </c>
      <c r="D103" s="187" t="s">
        <v>242</v>
      </c>
      <c r="E103" s="161"/>
      <c r="F103" s="147" t="s">
        <v>1442</v>
      </c>
      <c r="G103" s="142" t="s">
        <v>3758</v>
      </c>
      <c r="H103" s="142" t="s">
        <v>740</v>
      </c>
      <c r="I103" s="140"/>
      <c r="J103" s="140"/>
      <c r="K103" s="140" t="s">
        <v>191</v>
      </c>
      <c r="L103" s="143">
        <v>4</v>
      </c>
      <c r="M103" s="368">
        <v>5</v>
      </c>
      <c r="N103" s="148" t="s">
        <v>199</v>
      </c>
      <c r="P103" s="84"/>
    </row>
    <row r="104" spans="1:16" ht="11.25">
      <c r="A104" s="140" t="s">
        <v>3759</v>
      </c>
      <c r="B104" s="140" t="s">
        <v>2406</v>
      </c>
      <c r="C104" s="140" t="s">
        <v>3760</v>
      </c>
      <c r="D104" s="187" t="s">
        <v>242</v>
      </c>
      <c r="E104" s="161"/>
      <c r="F104" s="147" t="s">
        <v>3761</v>
      </c>
      <c r="G104" s="142" t="s">
        <v>2409</v>
      </c>
      <c r="H104" s="142" t="s">
        <v>740</v>
      </c>
      <c r="I104" s="142" t="s">
        <v>3762</v>
      </c>
      <c r="J104" s="142"/>
      <c r="K104" s="140" t="s">
        <v>191</v>
      </c>
      <c r="L104" s="143">
        <v>4</v>
      </c>
      <c r="M104" s="368">
        <v>5</v>
      </c>
      <c r="N104" s="148" t="s">
        <v>199</v>
      </c>
      <c r="P104" s="84"/>
    </row>
    <row r="105" spans="1:16" ht="33.75">
      <c r="A105" s="140" t="s">
        <v>3763</v>
      </c>
      <c r="B105" s="140" t="s">
        <v>2412</v>
      </c>
      <c r="C105" s="140" t="s">
        <v>3764</v>
      </c>
      <c r="D105" s="187" t="s">
        <v>242</v>
      </c>
      <c r="E105" s="161"/>
      <c r="F105" s="147" t="s">
        <v>3761</v>
      </c>
      <c r="G105" s="142" t="s">
        <v>2414</v>
      </c>
      <c r="H105" s="142" t="s">
        <v>740</v>
      </c>
      <c r="I105" s="142" t="s">
        <v>3765</v>
      </c>
      <c r="J105" s="142"/>
      <c r="K105" s="140" t="s">
        <v>191</v>
      </c>
      <c r="L105" s="143">
        <v>4</v>
      </c>
      <c r="M105" s="368">
        <v>5</v>
      </c>
      <c r="N105" s="148" t="s">
        <v>199</v>
      </c>
      <c r="P105" s="84"/>
    </row>
    <row r="106" spans="1:16" ht="281.25" customHeight="1">
      <c r="A106" s="140" t="s">
        <v>3766</v>
      </c>
      <c r="B106" s="140" t="s">
        <v>2417</v>
      </c>
      <c r="C106" s="140" t="s">
        <v>3767</v>
      </c>
      <c r="D106" s="187" t="s">
        <v>242</v>
      </c>
      <c r="E106" s="161"/>
      <c r="F106" s="147" t="s">
        <v>3768</v>
      </c>
      <c r="G106" s="142" t="s">
        <v>2420</v>
      </c>
      <c r="H106" s="142" t="s">
        <v>740</v>
      </c>
      <c r="I106" s="142" t="s">
        <v>3769</v>
      </c>
      <c r="J106" s="142"/>
      <c r="K106" s="140" t="s">
        <v>191</v>
      </c>
      <c r="L106" s="143">
        <v>4</v>
      </c>
      <c r="M106" s="368">
        <v>5</v>
      </c>
      <c r="N106" s="148" t="s">
        <v>199</v>
      </c>
      <c r="P106" s="84"/>
    </row>
    <row r="107" spans="1:16" ht="22.5">
      <c r="A107" s="140" t="s">
        <v>3770</v>
      </c>
      <c r="B107" s="140" t="s">
        <v>3771</v>
      </c>
      <c r="C107" s="140" t="s">
        <v>3772</v>
      </c>
      <c r="D107" s="187" t="s">
        <v>242</v>
      </c>
      <c r="E107" s="161"/>
      <c r="F107" s="147" t="s">
        <v>3773</v>
      </c>
      <c r="G107" s="142" t="s">
        <v>3774</v>
      </c>
      <c r="H107" s="142" t="s">
        <v>198</v>
      </c>
      <c r="I107" s="142" t="s">
        <v>3775</v>
      </c>
      <c r="J107" s="142"/>
      <c r="K107" s="140" t="s">
        <v>191</v>
      </c>
      <c r="L107" s="143">
        <v>4</v>
      </c>
      <c r="M107" s="368">
        <v>5</v>
      </c>
      <c r="N107" s="148" t="s">
        <v>199</v>
      </c>
      <c r="P107" s="84"/>
    </row>
    <row r="108" spans="1:16" ht="22.5">
      <c r="A108" s="140" t="s">
        <v>3776</v>
      </c>
      <c r="B108" s="140" t="s">
        <v>3777</v>
      </c>
      <c r="C108" s="140" t="s">
        <v>3778</v>
      </c>
      <c r="D108" s="187" t="s">
        <v>242</v>
      </c>
      <c r="E108" s="161"/>
      <c r="F108" s="147" t="s">
        <v>3773</v>
      </c>
      <c r="G108" s="142" t="s">
        <v>3779</v>
      </c>
      <c r="H108" s="142" t="s">
        <v>198</v>
      </c>
      <c r="I108" s="142" t="s">
        <v>3775</v>
      </c>
      <c r="J108" s="142"/>
      <c r="K108" s="140" t="s">
        <v>191</v>
      </c>
      <c r="L108" s="143">
        <v>4</v>
      </c>
      <c r="M108" s="368">
        <v>5</v>
      </c>
      <c r="N108" s="148" t="s">
        <v>199</v>
      </c>
      <c r="P108" s="84"/>
    </row>
    <row r="109" spans="1:16" ht="33.75">
      <c r="A109" s="140" t="s">
        <v>3780</v>
      </c>
      <c r="B109" s="140" t="s">
        <v>3781</v>
      </c>
      <c r="C109" s="140" t="s">
        <v>3782</v>
      </c>
      <c r="D109" s="187" t="s">
        <v>242</v>
      </c>
      <c r="E109" s="161"/>
      <c r="F109" s="147" t="s">
        <v>3783</v>
      </c>
      <c r="G109" s="142" t="s">
        <v>2425</v>
      </c>
      <c r="H109" s="142" t="s">
        <v>198</v>
      </c>
      <c r="I109" s="142" t="s">
        <v>3784</v>
      </c>
      <c r="J109" s="142"/>
      <c r="K109" s="140" t="s">
        <v>191</v>
      </c>
      <c r="L109" s="143">
        <v>4</v>
      </c>
      <c r="M109" s="368">
        <v>5</v>
      </c>
      <c r="N109" s="148" t="s">
        <v>199</v>
      </c>
      <c r="P109" s="84"/>
    </row>
    <row r="110" spans="1:16" ht="33.75">
      <c r="A110" s="140" t="s">
        <v>3785</v>
      </c>
      <c r="B110" s="140" t="s">
        <v>3786</v>
      </c>
      <c r="C110" s="140" t="s">
        <v>3787</v>
      </c>
      <c r="D110" s="187" t="s">
        <v>242</v>
      </c>
      <c r="E110" s="161"/>
      <c r="F110" s="147" t="s">
        <v>3783</v>
      </c>
      <c r="G110" s="142" t="s">
        <v>3788</v>
      </c>
      <c r="H110" s="142" t="s">
        <v>198</v>
      </c>
      <c r="I110" s="142" t="s">
        <v>3789</v>
      </c>
      <c r="J110" s="142"/>
      <c r="K110" s="140" t="s">
        <v>191</v>
      </c>
      <c r="L110" s="143">
        <v>4</v>
      </c>
      <c r="M110" s="368">
        <v>5</v>
      </c>
      <c r="N110" s="148" t="s">
        <v>199</v>
      </c>
      <c r="P110" s="84"/>
    </row>
    <row r="111" spans="1:16" ht="33.75">
      <c r="A111" s="140" t="s">
        <v>3790</v>
      </c>
      <c r="B111" s="140" t="s">
        <v>2455</v>
      </c>
      <c r="C111" s="140" t="s">
        <v>3791</v>
      </c>
      <c r="D111" s="187" t="s">
        <v>242</v>
      </c>
      <c r="E111" s="161"/>
      <c r="F111" s="147" t="s">
        <v>3783</v>
      </c>
      <c r="G111" s="142" t="s">
        <v>3792</v>
      </c>
      <c r="H111" s="142" t="s">
        <v>198</v>
      </c>
      <c r="I111" s="142" t="s">
        <v>3793</v>
      </c>
      <c r="J111" s="142"/>
      <c r="K111" s="140" t="s">
        <v>191</v>
      </c>
      <c r="L111" s="143">
        <v>4</v>
      </c>
      <c r="M111" s="368">
        <v>5</v>
      </c>
      <c r="N111" s="148" t="s">
        <v>199</v>
      </c>
      <c r="P111" s="84"/>
    </row>
    <row r="112" spans="1:16" ht="33.75">
      <c r="A112" s="140" t="s">
        <v>3794</v>
      </c>
      <c r="B112" s="140" t="s">
        <v>3795</v>
      </c>
      <c r="C112" s="140" t="s">
        <v>3796</v>
      </c>
      <c r="D112" s="187" t="s">
        <v>242</v>
      </c>
      <c r="E112" s="161"/>
      <c r="F112" s="147" t="s">
        <v>3783</v>
      </c>
      <c r="G112" s="142" t="s">
        <v>3797</v>
      </c>
      <c r="H112" s="142" t="s">
        <v>198</v>
      </c>
      <c r="I112" s="142" t="s">
        <v>3798</v>
      </c>
      <c r="J112" s="142"/>
      <c r="K112" s="140" t="s">
        <v>191</v>
      </c>
      <c r="L112" s="143">
        <v>4</v>
      </c>
      <c r="M112" s="368">
        <v>5</v>
      </c>
      <c r="N112" s="148" t="s">
        <v>199</v>
      </c>
      <c r="P112" s="84"/>
    </row>
    <row r="113" spans="1:16" ht="33.75">
      <c r="A113" s="140" t="s">
        <v>3799</v>
      </c>
      <c r="B113" s="140" t="s">
        <v>3800</v>
      </c>
      <c r="C113" s="140" t="s">
        <v>3801</v>
      </c>
      <c r="D113" s="187" t="s">
        <v>242</v>
      </c>
      <c r="E113" s="161"/>
      <c r="F113" s="147" t="s">
        <v>3783</v>
      </c>
      <c r="G113" s="142" t="s">
        <v>3802</v>
      </c>
      <c r="H113" s="142" t="s">
        <v>198</v>
      </c>
      <c r="I113" s="142" t="s">
        <v>3803</v>
      </c>
      <c r="J113" s="142"/>
      <c r="K113" s="140" t="s">
        <v>191</v>
      </c>
      <c r="L113" s="143">
        <v>4</v>
      </c>
      <c r="M113" s="368">
        <v>5</v>
      </c>
      <c r="N113" s="148" t="s">
        <v>199</v>
      </c>
      <c r="P113" s="84"/>
    </row>
    <row r="114" spans="1:16" ht="33.75">
      <c r="A114" s="140" t="s">
        <v>3804</v>
      </c>
      <c r="B114" s="140" t="s">
        <v>3805</v>
      </c>
      <c r="C114" s="140" t="s">
        <v>3806</v>
      </c>
      <c r="D114" s="187" t="s">
        <v>242</v>
      </c>
      <c r="E114" s="161"/>
      <c r="F114" s="147" t="s">
        <v>3783</v>
      </c>
      <c r="G114" s="142" t="s">
        <v>3807</v>
      </c>
      <c r="H114" s="142" t="s">
        <v>198</v>
      </c>
      <c r="I114" s="142" t="s">
        <v>3803</v>
      </c>
      <c r="J114" s="142"/>
      <c r="K114" s="140" t="s">
        <v>191</v>
      </c>
      <c r="L114" s="143">
        <v>4</v>
      </c>
      <c r="M114" s="368">
        <v>5</v>
      </c>
      <c r="N114" s="148" t="s">
        <v>199</v>
      </c>
      <c r="P114" s="84"/>
    </row>
    <row r="115" spans="1:16" ht="45">
      <c r="A115" s="140" t="s">
        <v>3808</v>
      </c>
      <c r="B115" s="140" t="s">
        <v>2471</v>
      </c>
      <c r="C115" s="140" t="s">
        <v>3809</v>
      </c>
      <c r="D115" s="187" t="s">
        <v>242</v>
      </c>
      <c r="E115" s="161"/>
      <c r="F115" s="147" t="s">
        <v>3768</v>
      </c>
      <c r="G115" s="142" t="s">
        <v>3810</v>
      </c>
      <c r="H115" s="142" t="s">
        <v>198</v>
      </c>
      <c r="I115" s="142" t="s">
        <v>3811</v>
      </c>
      <c r="J115" s="142"/>
      <c r="K115" s="140" t="s">
        <v>191</v>
      </c>
      <c r="L115" s="143">
        <v>4</v>
      </c>
      <c r="M115" s="368">
        <v>5</v>
      </c>
      <c r="N115" s="148" t="s">
        <v>199</v>
      </c>
      <c r="P115" s="84"/>
    </row>
    <row r="116" spans="1:16" ht="22.5">
      <c r="A116" s="140" t="s">
        <v>3812</v>
      </c>
      <c r="B116" s="140" t="s">
        <v>2476</v>
      </c>
      <c r="C116" s="140" t="s">
        <v>3813</v>
      </c>
      <c r="D116" s="187" t="s">
        <v>242</v>
      </c>
      <c r="E116" s="161"/>
      <c r="F116" s="147" t="s">
        <v>3773</v>
      </c>
      <c r="G116" s="142" t="s">
        <v>2478</v>
      </c>
      <c r="H116" s="142" t="s">
        <v>198</v>
      </c>
      <c r="I116" s="142" t="s">
        <v>3814</v>
      </c>
      <c r="J116" s="142"/>
      <c r="K116" s="140" t="s">
        <v>191</v>
      </c>
      <c r="L116" s="143">
        <v>4</v>
      </c>
      <c r="M116" s="368">
        <v>5</v>
      </c>
      <c r="N116" s="148" t="s">
        <v>199</v>
      </c>
      <c r="P116" s="84"/>
    </row>
    <row r="117" spans="1:16" ht="326.25" customHeight="1">
      <c r="A117" s="140" t="s">
        <v>3815</v>
      </c>
      <c r="B117" s="140" t="s">
        <v>2481</v>
      </c>
      <c r="C117" s="140" t="s">
        <v>3816</v>
      </c>
      <c r="D117" s="187" t="s">
        <v>242</v>
      </c>
      <c r="E117" s="161"/>
      <c r="F117" s="147" t="s">
        <v>3783</v>
      </c>
      <c r="G117" s="142" t="s">
        <v>2484</v>
      </c>
      <c r="H117" s="142" t="s">
        <v>740</v>
      </c>
      <c r="I117" s="142" t="s">
        <v>3817</v>
      </c>
      <c r="J117" s="142"/>
      <c r="K117" s="140" t="s">
        <v>191</v>
      </c>
      <c r="L117" s="143">
        <v>4</v>
      </c>
      <c r="M117" s="368">
        <v>5</v>
      </c>
      <c r="N117" s="148" t="s">
        <v>199</v>
      </c>
      <c r="P117" s="84"/>
    </row>
    <row r="118" spans="1:16" ht="326.25" customHeight="1">
      <c r="A118" s="140" t="s">
        <v>3818</v>
      </c>
      <c r="B118" s="140" t="s">
        <v>3489</v>
      </c>
      <c r="C118" s="140" t="s">
        <v>3819</v>
      </c>
      <c r="D118" s="187" t="s">
        <v>242</v>
      </c>
      <c r="E118" s="161"/>
      <c r="F118" s="147" t="s">
        <v>3783</v>
      </c>
      <c r="G118" s="142" t="s">
        <v>3820</v>
      </c>
      <c r="H118" s="142" t="s">
        <v>204</v>
      </c>
      <c r="I118" s="142" t="s">
        <v>3821</v>
      </c>
      <c r="J118" s="142"/>
      <c r="K118" s="140" t="s">
        <v>191</v>
      </c>
      <c r="L118" s="143">
        <v>4</v>
      </c>
      <c r="M118" s="368">
        <v>5</v>
      </c>
      <c r="N118" s="148" t="s">
        <v>199</v>
      </c>
      <c r="P118" s="84"/>
    </row>
    <row r="119" spans="1:16" ht="326.25" customHeight="1">
      <c r="A119" s="140" t="s">
        <v>3822</v>
      </c>
      <c r="B119" s="140" t="s">
        <v>2491</v>
      </c>
      <c r="C119" s="140" t="s">
        <v>3823</v>
      </c>
      <c r="D119" s="187" t="s">
        <v>242</v>
      </c>
      <c r="E119" s="161"/>
      <c r="F119" s="147" t="s">
        <v>3552</v>
      </c>
      <c r="G119" s="142" t="s">
        <v>2494</v>
      </c>
      <c r="H119" s="142" t="s">
        <v>204</v>
      </c>
      <c r="I119" s="142" t="s">
        <v>3824</v>
      </c>
      <c r="J119" s="142"/>
      <c r="K119" s="140" t="s">
        <v>191</v>
      </c>
      <c r="L119" s="143">
        <v>4</v>
      </c>
      <c r="M119" s="368">
        <v>5</v>
      </c>
      <c r="N119" s="148" t="s">
        <v>199</v>
      </c>
      <c r="P119" s="84"/>
    </row>
    <row r="120" spans="1:16" ht="213.75" customHeight="1">
      <c r="A120" s="140" t="s">
        <v>3825</v>
      </c>
      <c r="B120" s="140" t="s">
        <v>2497</v>
      </c>
      <c r="C120" s="140" t="s">
        <v>3826</v>
      </c>
      <c r="D120" s="187" t="s">
        <v>242</v>
      </c>
      <c r="E120" s="161"/>
      <c r="F120" s="147" t="s">
        <v>1532</v>
      </c>
      <c r="G120" s="142" t="s">
        <v>2499</v>
      </c>
      <c r="H120" s="142" t="s">
        <v>204</v>
      </c>
      <c r="I120" s="142" t="s">
        <v>3827</v>
      </c>
      <c r="J120" s="142"/>
      <c r="K120" s="140" t="s">
        <v>191</v>
      </c>
      <c r="L120" s="143">
        <v>4</v>
      </c>
      <c r="M120" s="368">
        <v>5</v>
      </c>
      <c r="N120" s="148" t="s">
        <v>199</v>
      </c>
      <c r="P120" s="84"/>
    </row>
    <row r="121" spans="1:16" ht="326.25" customHeight="1">
      <c r="A121" s="140" t="s">
        <v>3828</v>
      </c>
      <c r="B121" s="140" t="s">
        <v>1601</v>
      </c>
      <c r="C121" s="140" t="s">
        <v>3829</v>
      </c>
      <c r="D121" s="187" t="s">
        <v>242</v>
      </c>
      <c r="E121" s="161"/>
      <c r="F121" s="147" t="s">
        <v>3768</v>
      </c>
      <c r="G121" s="142" t="s">
        <v>2503</v>
      </c>
      <c r="H121" s="142" t="s">
        <v>204</v>
      </c>
      <c r="I121" s="142" t="s">
        <v>3830</v>
      </c>
      <c r="J121" s="142"/>
      <c r="K121" s="140" t="s">
        <v>191</v>
      </c>
      <c r="L121" s="143">
        <v>4</v>
      </c>
      <c r="M121" s="368">
        <v>5</v>
      </c>
      <c r="N121" s="148" t="s">
        <v>199</v>
      </c>
      <c r="P121" s="84"/>
    </row>
    <row r="122" spans="1:16" ht="45">
      <c r="A122" s="140" t="s">
        <v>3831</v>
      </c>
      <c r="B122" s="140" t="s">
        <v>2508</v>
      </c>
      <c r="C122" s="140" t="s">
        <v>3832</v>
      </c>
      <c r="D122" s="187" t="s">
        <v>242</v>
      </c>
      <c r="E122" s="161"/>
      <c r="F122" s="147" t="s">
        <v>3773</v>
      </c>
      <c r="G122" s="142" t="s">
        <v>2510</v>
      </c>
      <c r="H122" s="142" t="s">
        <v>204</v>
      </c>
      <c r="I122" s="142" t="s">
        <v>3833</v>
      </c>
      <c r="J122" s="142"/>
      <c r="K122" s="140" t="s">
        <v>191</v>
      </c>
      <c r="L122" s="143">
        <v>4</v>
      </c>
      <c r="M122" s="368">
        <v>5</v>
      </c>
      <c r="N122" s="148" t="s">
        <v>199</v>
      </c>
      <c r="P122" s="84"/>
    </row>
    <row r="123" spans="1:16" ht="11.25">
      <c r="A123" s="140" t="s">
        <v>3834</v>
      </c>
      <c r="B123" s="140" t="s">
        <v>2513</v>
      </c>
      <c r="C123" s="140" t="s">
        <v>3835</v>
      </c>
      <c r="D123" s="187" t="s">
        <v>242</v>
      </c>
      <c r="E123" s="161"/>
      <c r="F123" s="147" t="s">
        <v>3645</v>
      </c>
      <c r="G123" s="142" t="s">
        <v>2516</v>
      </c>
      <c r="H123" s="142" t="s">
        <v>204</v>
      </c>
      <c r="I123" s="140" t="s">
        <v>2517</v>
      </c>
      <c r="J123" s="140"/>
      <c r="K123" s="140" t="s">
        <v>191</v>
      </c>
      <c r="L123" s="143">
        <v>4</v>
      </c>
      <c r="M123" s="368">
        <v>5</v>
      </c>
      <c r="N123" s="148" t="s">
        <v>199</v>
      </c>
      <c r="P123" s="84"/>
    </row>
    <row r="124" spans="1:16" ht="11.25">
      <c r="A124" s="140" t="s">
        <v>3836</v>
      </c>
      <c r="B124" s="140" t="s">
        <v>2519</v>
      </c>
      <c r="C124" s="140" t="s">
        <v>3837</v>
      </c>
      <c r="D124" s="187" t="s">
        <v>242</v>
      </c>
      <c r="E124" s="161"/>
      <c r="F124" s="147" t="s">
        <v>3645</v>
      </c>
      <c r="G124" s="142" t="s">
        <v>2521</v>
      </c>
      <c r="H124" s="142" t="s">
        <v>204</v>
      </c>
      <c r="I124" s="140"/>
      <c r="J124" s="140"/>
      <c r="K124" s="140" t="s">
        <v>191</v>
      </c>
      <c r="L124" s="143">
        <v>4</v>
      </c>
      <c r="M124" s="368">
        <v>5</v>
      </c>
      <c r="N124" s="148" t="s">
        <v>199</v>
      </c>
      <c r="P124" s="84"/>
    </row>
    <row r="125" spans="1:16" ht="258.75">
      <c r="A125" s="140" t="s">
        <v>3838</v>
      </c>
      <c r="B125" s="140" t="s">
        <v>2524</v>
      </c>
      <c r="C125" s="140" t="s">
        <v>3839</v>
      </c>
      <c r="D125" s="187" t="s">
        <v>242</v>
      </c>
      <c r="E125" s="161"/>
      <c r="F125" s="147" t="s">
        <v>3768</v>
      </c>
      <c r="G125" s="142" t="s">
        <v>2526</v>
      </c>
      <c r="H125" s="142" t="s">
        <v>204</v>
      </c>
      <c r="I125" s="142" t="s">
        <v>3840</v>
      </c>
      <c r="J125" s="142"/>
      <c r="K125" s="140" t="s">
        <v>191</v>
      </c>
      <c r="L125" s="143">
        <v>4</v>
      </c>
      <c r="M125" s="368">
        <v>5</v>
      </c>
      <c r="N125" s="148" t="s">
        <v>199</v>
      </c>
      <c r="P125" s="84"/>
    </row>
    <row r="126" spans="1:16" ht="45">
      <c r="A126" s="140" t="s">
        <v>3841</v>
      </c>
      <c r="B126" s="140" t="s">
        <v>3842</v>
      </c>
      <c r="C126" s="140" t="s">
        <v>3843</v>
      </c>
      <c r="D126" s="187" t="s">
        <v>242</v>
      </c>
      <c r="E126" s="161"/>
      <c r="F126" s="147" t="s">
        <v>3768</v>
      </c>
      <c r="G126" s="142" t="s">
        <v>3844</v>
      </c>
      <c r="H126" s="142" t="s">
        <v>198</v>
      </c>
      <c r="I126" s="142" t="s">
        <v>3845</v>
      </c>
      <c r="J126" s="142"/>
      <c r="K126" s="140" t="s">
        <v>191</v>
      </c>
      <c r="L126" s="143">
        <v>4</v>
      </c>
      <c r="M126" s="368">
        <v>5</v>
      </c>
      <c r="N126" s="148" t="s">
        <v>199</v>
      </c>
      <c r="P126" s="84"/>
    </row>
    <row r="127" spans="1:16" ht="45">
      <c r="A127" s="140" t="s">
        <v>3846</v>
      </c>
      <c r="B127" s="140" t="s">
        <v>3847</v>
      </c>
      <c r="C127" s="140" t="s">
        <v>3848</v>
      </c>
      <c r="D127" s="187" t="s">
        <v>242</v>
      </c>
      <c r="E127" s="161"/>
      <c r="F127" s="147" t="s">
        <v>3768</v>
      </c>
      <c r="G127" s="142" t="s">
        <v>3849</v>
      </c>
      <c r="H127" s="142" t="s">
        <v>198</v>
      </c>
      <c r="I127" s="142" t="s">
        <v>3845</v>
      </c>
      <c r="J127" s="142"/>
      <c r="K127" s="140" t="s">
        <v>191</v>
      </c>
      <c r="L127" s="143">
        <v>4</v>
      </c>
      <c r="M127" s="368">
        <v>5</v>
      </c>
      <c r="N127" s="148" t="s">
        <v>199</v>
      </c>
      <c r="P127" s="84"/>
    </row>
    <row r="128" spans="1:16" ht="45">
      <c r="A128" s="140" t="s">
        <v>3850</v>
      </c>
      <c r="B128" s="140" t="s">
        <v>2538</v>
      </c>
      <c r="C128" s="140" t="s">
        <v>3851</v>
      </c>
      <c r="D128" s="187" t="s">
        <v>242</v>
      </c>
      <c r="E128" s="161"/>
      <c r="F128" s="147" t="s">
        <v>3768</v>
      </c>
      <c r="G128" s="142" t="s">
        <v>2541</v>
      </c>
      <c r="H128" s="142" t="s">
        <v>198</v>
      </c>
      <c r="I128" s="142" t="s">
        <v>3852</v>
      </c>
      <c r="J128" s="142"/>
      <c r="K128" s="140" t="s">
        <v>191</v>
      </c>
      <c r="L128" s="143">
        <v>4</v>
      </c>
      <c r="M128" s="368">
        <v>5</v>
      </c>
      <c r="N128" s="148" t="s">
        <v>199</v>
      </c>
      <c r="P128" s="84"/>
    </row>
    <row r="129" spans="1:16" ht="45">
      <c r="A129" s="140" t="s">
        <v>3853</v>
      </c>
      <c r="B129" s="140" t="s">
        <v>2544</v>
      </c>
      <c r="C129" s="140" t="s">
        <v>3854</v>
      </c>
      <c r="D129" s="187" t="s">
        <v>242</v>
      </c>
      <c r="E129" s="161"/>
      <c r="F129" s="147" t="s">
        <v>3768</v>
      </c>
      <c r="G129" s="142" t="s">
        <v>3855</v>
      </c>
      <c r="H129" s="142" t="s">
        <v>198</v>
      </c>
      <c r="I129" s="142" t="s">
        <v>3856</v>
      </c>
      <c r="J129" s="142"/>
      <c r="K129" s="140" t="s">
        <v>191</v>
      </c>
      <c r="L129" s="143">
        <v>4</v>
      </c>
      <c r="M129" s="368">
        <v>5</v>
      </c>
      <c r="N129" s="148" t="s">
        <v>199</v>
      </c>
      <c r="P129" s="84"/>
    </row>
    <row r="130" spans="1:16" ht="22.5">
      <c r="A130" s="140" t="s">
        <v>3857</v>
      </c>
      <c r="B130" s="140" t="s">
        <v>2548</v>
      </c>
      <c r="C130" s="140" t="s">
        <v>3858</v>
      </c>
      <c r="D130" s="187" t="s">
        <v>242</v>
      </c>
      <c r="E130" s="161"/>
      <c r="F130" s="147" t="s">
        <v>3773</v>
      </c>
      <c r="G130" s="142" t="s">
        <v>2550</v>
      </c>
      <c r="H130" s="142" t="s">
        <v>198</v>
      </c>
      <c r="I130" s="142" t="s">
        <v>3859</v>
      </c>
      <c r="J130" s="142"/>
      <c r="K130" s="140" t="s">
        <v>191</v>
      </c>
      <c r="L130" s="143">
        <v>4</v>
      </c>
      <c r="M130" s="368">
        <v>5</v>
      </c>
      <c r="N130" s="148" t="s">
        <v>199</v>
      </c>
      <c r="P130" s="84"/>
    </row>
    <row r="131" spans="1:16" ht="326.25" customHeight="1">
      <c r="A131" s="140" t="s">
        <v>3860</v>
      </c>
      <c r="B131" s="140" t="s">
        <v>2553</v>
      </c>
      <c r="C131" s="140" t="s">
        <v>3861</v>
      </c>
      <c r="D131" s="187" t="s">
        <v>242</v>
      </c>
      <c r="E131" s="161"/>
      <c r="F131" s="147" t="s">
        <v>3552</v>
      </c>
      <c r="G131" s="142" t="s">
        <v>2555</v>
      </c>
      <c r="H131" s="142" t="s">
        <v>204</v>
      </c>
      <c r="I131" s="142" t="s">
        <v>3862</v>
      </c>
      <c r="J131" s="142"/>
      <c r="K131" s="140" t="s">
        <v>191</v>
      </c>
      <c r="L131" s="143">
        <v>4</v>
      </c>
      <c r="M131" s="368">
        <v>5</v>
      </c>
      <c r="N131" s="148" t="s">
        <v>199</v>
      </c>
      <c r="P131" s="84"/>
    </row>
    <row r="132" spans="1:16" ht="225" customHeight="1">
      <c r="A132" s="140" t="s">
        <v>3863</v>
      </c>
      <c r="B132" s="140" t="s">
        <v>2558</v>
      </c>
      <c r="C132" s="140" t="s">
        <v>3864</v>
      </c>
      <c r="D132" s="187" t="s">
        <v>242</v>
      </c>
      <c r="E132" s="161"/>
      <c r="F132" s="147" t="s">
        <v>1532</v>
      </c>
      <c r="G132" s="142" t="s">
        <v>2560</v>
      </c>
      <c r="H132" s="142" t="s">
        <v>204</v>
      </c>
      <c r="I132" s="142" t="s">
        <v>3865</v>
      </c>
      <c r="J132" s="142"/>
      <c r="K132" s="140" t="s">
        <v>191</v>
      </c>
      <c r="L132" s="143">
        <v>4</v>
      </c>
      <c r="M132" s="368">
        <v>5</v>
      </c>
      <c r="N132" s="148" t="s">
        <v>199</v>
      </c>
      <c r="P132" s="84"/>
    </row>
    <row r="133" spans="1:16" ht="405" customHeight="1">
      <c r="A133" s="140" t="s">
        <v>3866</v>
      </c>
      <c r="B133" s="140" t="s">
        <v>2563</v>
      </c>
      <c r="C133" s="140" t="s">
        <v>3867</v>
      </c>
      <c r="D133" s="187" t="s">
        <v>242</v>
      </c>
      <c r="E133" s="161"/>
      <c r="F133" s="147" t="s">
        <v>3768</v>
      </c>
      <c r="G133" s="142" t="s">
        <v>2565</v>
      </c>
      <c r="H133" s="142" t="s">
        <v>204</v>
      </c>
      <c r="I133" s="142" t="s">
        <v>3868</v>
      </c>
      <c r="J133" s="142"/>
      <c r="K133" s="140" t="s">
        <v>191</v>
      </c>
      <c r="L133" s="143">
        <v>4</v>
      </c>
      <c r="M133" s="368">
        <v>5</v>
      </c>
      <c r="N133" s="148" t="s">
        <v>199</v>
      </c>
      <c r="P133" s="84"/>
    </row>
    <row r="134" spans="1:16" ht="33.75">
      <c r="A134" s="140" t="s">
        <v>3869</v>
      </c>
      <c r="B134" s="140" t="s">
        <v>2568</v>
      </c>
      <c r="C134" s="140" t="s">
        <v>3870</v>
      </c>
      <c r="D134" s="187" t="s">
        <v>242</v>
      </c>
      <c r="E134" s="161"/>
      <c r="F134" s="147" t="s">
        <v>3773</v>
      </c>
      <c r="G134" s="142" t="s">
        <v>2570</v>
      </c>
      <c r="H134" s="142" t="s">
        <v>204</v>
      </c>
      <c r="I134" s="142" t="s">
        <v>3871</v>
      </c>
      <c r="J134" s="142"/>
      <c r="K134" s="140" t="s">
        <v>191</v>
      </c>
      <c r="L134" s="143">
        <v>4</v>
      </c>
      <c r="M134" s="368">
        <v>5</v>
      </c>
      <c r="N134" s="148" t="s">
        <v>199</v>
      </c>
      <c r="P134" s="84"/>
    </row>
    <row r="135" spans="1:16" ht="11.25">
      <c r="A135" s="140" t="s">
        <v>3872</v>
      </c>
      <c r="B135" s="140" t="s">
        <v>1709</v>
      </c>
      <c r="C135" s="140" t="s">
        <v>3873</v>
      </c>
      <c r="D135" s="187" t="s">
        <v>242</v>
      </c>
      <c r="E135" s="161"/>
      <c r="F135" s="147" t="s">
        <v>3645</v>
      </c>
      <c r="G135" s="142" t="s">
        <v>1711</v>
      </c>
      <c r="H135" s="142" t="s">
        <v>204</v>
      </c>
      <c r="I135" s="140" t="s">
        <v>2517</v>
      </c>
      <c r="J135" s="140"/>
      <c r="K135" s="140" t="s">
        <v>191</v>
      </c>
      <c r="L135" s="143">
        <v>4</v>
      </c>
      <c r="M135" s="368">
        <v>5</v>
      </c>
      <c r="N135" s="148" t="s">
        <v>199</v>
      </c>
      <c r="P135" s="84"/>
    </row>
    <row r="136" spans="1:16" ht="11.25">
      <c r="A136" s="140" t="s">
        <v>3874</v>
      </c>
      <c r="B136" s="140" t="s">
        <v>2577</v>
      </c>
      <c r="C136" s="140" t="s">
        <v>3875</v>
      </c>
      <c r="D136" s="187" t="s">
        <v>242</v>
      </c>
      <c r="E136" s="161"/>
      <c r="F136" s="147" t="s">
        <v>3645</v>
      </c>
      <c r="G136" s="142" t="s">
        <v>2579</v>
      </c>
      <c r="H136" s="142" t="s">
        <v>204</v>
      </c>
      <c r="I136" s="140"/>
      <c r="J136" s="140"/>
      <c r="K136" s="140" t="s">
        <v>191</v>
      </c>
      <c r="L136" s="143">
        <v>4</v>
      </c>
      <c r="M136" s="368">
        <v>5</v>
      </c>
      <c r="N136" s="148" t="s">
        <v>199</v>
      </c>
      <c r="P136" s="84"/>
    </row>
    <row r="137" spans="1:16" ht="315">
      <c r="A137" s="140" t="s">
        <v>3876</v>
      </c>
      <c r="B137" s="140" t="s">
        <v>2595</v>
      </c>
      <c r="C137" s="140" t="s">
        <v>3877</v>
      </c>
      <c r="D137" s="187" t="s">
        <v>242</v>
      </c>
      <c r="E137" s="161"/>
      <c r="F137" s="147" t="s">
        <v>3768</v>
      </c>
      <c r="G137" s="142" t="s">
        <v>2598</v>
      </c>
      <c r="H137" s="142" t="s">
        <v>204</v>
      </c>
      <c r="I137" s="142" t="s">
        <v>3878</v>
      </c>
      <c r="J137" s="142"/>
      <c r="K137" s="140" t="s">
        <v>191</v>
      </c>
      <c r="L137" s="143">
        <v>4</v>
      </c>
      <c r="M137" s="368">
        <v>5</v>
      </c>
      <c r="N137" s="148" t="s">
        <v>199</v>
      </c>
      <c r="P137" s="84"/>
    </row>
    <row r="138" spans="1:16" ht="45">
      <c r="A138" s="140" t="s">
        <v>3879</v>
      </c>
      <c r="B138" s="140" t="s">
        <v>3880</v>
      </c>
      <c r="C138" s="140" t="s">
        <v>3881</v>
      </c>
      <c r="D138" s="187" t="s">
        <v>242</v>
      </c>
      <c r="E138" s="161"/>
      <c r="F138" s="147" t="s">
        <v>3768</v>
      </c>
      <c r="G138" s="142" t="s">
        <v>3882</v>
      </c>
      <c r="H138" s="142" t="s">
        <v>198</v>
      </c>
      <c r="I138" s="142" t="s">
        <v>3883</v>
      </c>
      <c r="J138" s="142"/>
      <c r="K138" s="140" t="s">
        <v>191</v>
      </c>
      <c r="L138" s="143">
        <v>4</v>
      </c>
      <c r="M138" s="368">
        <v>5</v>
      </c>
      <c r="N138" s="148" t="s">
        <v>199</v>
      </c>
      <c r="P138" s="84"/>
    </row>
    <row r="139" spans="1:16" ht="45">
      <c r="A139" s="140" t="s">
        <v>3884</v>
      </c>
      <c r="B139" s="140" t="s">
        <v>3885</v>
      </c>
      <c r="C139" s="140" t="s">
        <v>3886</v>
      </c>
      <c r="D139" s="187" t="s">
        <v>242</v>
      </c>
      <c r="E139" s="161"/>
      <c r="F139" s="147" t="s">
        <v>3768</v>
      </c>
      <c r="G139" s="142" t="s">
        <v>3887</v>
      </c>
      <c r="H139" s="142" t="s">
        <v>198</v>
      </c>
      <c r="I139" s="142" t="s">
        <v>3883</v>
      </c>
      <c r="J139" s="142"/>
      <c r="K139" s="140" t="s">
        <v>191</v>
      </c>
      <c r="L139" s="143">
        <v>4</v>
      </c>
      <c r="M139" s="368">
        <v>5</v>
      </c>
      <c r="N139" s="148" t="s">
        <v>199</v>
      </c>
      <c r="P139" s="84"/>
    </row>
    <row r="140" spans="1:16" ht="45">
      <c r="A140" s="140" t="s">
        <v>3888</v>
      </c>
      <c r="B140" s="140" t="s">
        <v>2610</v>
      </c>
      <c r="C140" s="140" t="s">
        <v>3889</v>
      </c>
      <c r="D140" s="187" t="s">
        <v>242</v>
      </c>
      <c r="E140" s="161"/>
      <c r="F140" s="147" t="s">
        <v>3768</v>
      </c>
      <c r="G140" s="142" t="s">
        <v>3890</v>
      </c>
      <c r="H140" s="142" t="s">
        <v>198</v>
      </c>
      <c r="I140" s="142" t="s">
        <v>3891</v>
      </c>
      <c r="J140" s="142"/>
      <c r="K140" s="140" t="s">
        <v>191</v>
      </c>
      <c r="L140" s="143">
        <v>4</v>
      </c>
      <c r="M140" s="368">
        <v>5</v>
      </c>
      <c r="N140" s="148" t="s">
        <v>199</v>
      </c>
      <c r="P140" s="84"/>
    </row>
    <row r="141" spans="1:16" ht="22.5">
      <c r="A141" s="140" t="s">
        <v>3892</v>
      </c>
      <c r="B141" s="140" t="s">
        <v>2615</v>
      </c>
      <c r="C141" s="140" t="s">
        <v>3893</v>
      </c>
      <c r="D141" s="187" t="s">
        <v>242</v>
      </c>
      <c r="E141" s="161"/>
      <c r="F141" s="147" t="s">
        <v>3773</v>
      </c>
      <c r="G141" s="142" t="s">
        <v>2617</v>
      </c>
      <c r="H141" s="142" t="s">
        <v>198</v>
      </c>
      <c r="I141" s="142" t="s">
        <v>3894</v>
      </c>
      <c r="J141" s="142"/>
      <c r="K141" s="140" t="s">
        <v>191</v>
      </c>
      <c r="L141" s="143">
        <v>4</v>
      </c>
      <c r="M141" s="368">
        <v>5</v>
      </c>
      <c r="N141" s="148" t="s">
        <v>199</v>
      </c>
      <c r="P141" s="84"/>
    </row>
    <row r="142" spans="1:16" ht="315" customHeight="1">
      <c r="A142" s="140" t="s">
        <v>3895</v>
      </c>
      <c r="B142" s="140" t="s">
        <v>2619</v>
      </c>
      <c r="C142" s="140" t="s">
        <v>3896</v>
      </c>
      <c r="D142" s="187" t="s">
        <v>242</v>
      </c>
      <c r="E142" s="161"/>
      <c r="F142" s="147" t="s">
        <v>3552</v>
      </c>
      <c r="G142" s="142" t="s">
        <v>2583</v>
      </c>
      <c r="H142" s="142" t="s">
        <v>204</v>
      </c>
      <c r="I142" s="142" t="s">
        <v>3897</v>
      </c>
      <c r="J142" s="142"/>
      <c r="K142" s="140" t="s">
        <v>191</v>
      </c>
      <c r="L142" s="143">
        <v>4</v>
      </c>
      <c r="M142" s="368">
        <v>5</v>
      </c>
      <c r="N142" s="148" t="s">
        <v>199</v>
      </c>
      <c r="P142" s="84"/>
    </row>
    <row r="143" spans="1:16" ht="225" customHeight="1">
      <c r="A143" s="140" t="s">
        <v>3898</v>
      </c>
      <c r="B143" s="140" t="s">
        <v>2622</v>
      </c>
      <c r="C143" s="140" t="s">
        <v>3899</v>
      </c>
      <c r="D143" s="187" t="s">
        <v>242</v>
      </c>
      <c r="E143" s="161"/>
      <c r="F143" s="147" t="s">
        <v>1532</v>
      </c>
      <c r="G143" s="142" t="s">
        <v>2624</v>
      </c>
      <c r="H143" s="142" t="s">
        <v>204</v>
      </c>
      <c r="I143" s="142" t="s">
        <v>3900</v>
      </c>
      <c r="J143" s="142"/>
      <c r="K143" s="140" t="s">
        <v>191</v>
      </c>
      <c r="L143" s="143">
        <v>4</v>
      </c>
      <c r="M143" s="368">
        <v>5</v>
      </c>
      <c r="N143" s="148" t="s">
        <v>199</v>
      </c>
      <c r="P143" s="84"/>
    </row>
    <row r="144" spans="1:16" ht="281.25" customHeight="1">
      <c r="A144" s="140" t="s">
        <v>3901</v>
      </c>
      <c r="B144" s="140" t="s">
        <v>2627</v>
      </c>
      <c r="C144" s="140" t="s">
        <v>3902</v>
      </c>
      <c r="D144" s="187" t="s">
        <v>242</v>
      </c>
      <c r="E144" s="161"/>
      <c r="F144" s="147" t="s">
        <v>3768</v>
      </c>
      <c r="G144" s="142" t="s">
        <v>2629</v>
      </c>
      <c r="H144" s="142" t="s">
        <v>204</v>
      </c>
      <c r="I144" s="142" t="s">
        <v>3903</v>
      </c>
      <c r="J144" s="142"/>
      <c r="K144" s="140" t="s">
        <v>191</v>
      </c>
      <c r="L144" s="143">
        <v>4</v>
      </c>
      <c r="M144" s="368">
        <v>5</v>
      </c>
      <c r="N144" s="148" t="s">
        <v>199</v>
      </c>
      <c r="P144" s="84"/>
    </row>
    <row r="145" spans="1:16" ht="45">
      <c r="A145" s="140" t="s">
        <v>3904</v>
      </c>
      <c r="B145" s="140" t="s">
        <v>2632</v>
      </c>
      <c r="C145" s="140" t="s">
        <v>3905</v>
      </c>
      <c r="D145" s="187" t="s">
        <v>242</v>
      </c>
      <c r="E145" s="161"/>
      <c r="F145" s="147" t="s">
        <v>3773</v>
      </c>
      <c r="G145" s="142" t="s">
        <v>2634</v>
      </c>
      <c r="H145" s="142" t="s">
        <v>204</v>
      </c>
      <c r="I145" s="142" t="s">
        <v>3906</v>
      </c>
      <c r="J145" s="142"/>
      <c r="K145" s="140" t="s">
        <v>191</v>
      </c>
      <c r="L145" s="143">
        <v>4</v>
      </c>
      <c r="M145" s="368">
        <v>5</v>
      </c>
      <c r="N145" s="148" t="s">
        <v>199</v>
      </c>
      <c r="P145" s="84"/>
    </row>
    <row r="146" spans="1:16" ht="11.25">
      <c r="A146" s="140" t="s">
        <v>3907</v>
      </c>
      <c r="B146" s="140" t="s">
        <v>1713</v>
      </c>
      <c r="C146" s="140" t="s">
        <v>3908</v>
      </c>
      <c r="D146" s="187" t="s">
        <v>242</v>
      </c>
      <c r="E146" s="161"/>
      <c r="F146" s="147" t="s">
        <v>3645</v>
      </c>
      <c r="G146" s="142" t="s">
        <v>2638</v>
      </c>
      <c r="H146" s="142" t="s">
        <v>204</v>
      </c>
      <c r="I146" s="140" t="s">
        <v>2517</v>
      </c>
      <c r="J146" s="140"/>
      <c r="K146" s="140" t="s">
        <v>191</v>
      </c>
      <c r="L146" s="143">
        <v>4</v>
      </c>
      <c r="M146" s="368">
        <v>5</v>
      </c>
      <c r="N146" s="148" t="s">
        <v>199</v>
      </c>
      <c r="P146" s="84"/>
    </row>
    <row r="147" spans="1:16" ht="11.25">
      <c r="A147" s="140" t="s">
        <v>3909</v>
      </c>
      <c r="B147" s="140" t="s">
        <v>2641</v>
      </c>
      <c r="C147" s="140" t="s">
        <v>3910</v>
      </c>
      <c r="D147" s="187" t="s">
        <v>242</v>
      </c>
      <c r="E147" s="161"/>
      <c r="F147" s="147" t="s">
        <v>3645</v>
      </c>
      <c r="G147" s="142" t="s">
        <v>2644</v>
      </c>
      <c r="H147" s="142" t="s">
        <v>204</v>
      </c>
      <c r="I147" s="140"/>
      <c r="J147" s="140"/>
      <c r="K147" s="140" t="s">
        <v>191</v>
      </c>
      <c r="L147" s="143">
        <v>4</v>
      </c>
      <c r="M147" s="368">
        <v>5</v>
      </c>
      <c r="N147" s="148" t="s">
        <v>199</v>
      </c>
      <c r="P147" s="84"/>
    </row>
    <row r="148" spans="1:16" ht="22.5">
      <c r="A148" s="140" t="s">
        <v>3911</v>
      </c>
      <c r="B148" s="140" t="s">
        <v>2766</v>
      </c>
      <c r="C148" s="140" t="s">
        <v>3912</v>
      </c>
      <c r="D148" s="187" t="s">
        <v>242</v>
      </c>
      <c r="E148" s="161"/>
      <c r="F148" s="153" t="s">
        <v>3913</v>
      </c>
      <c r="G148" s="142" t="s">
        <v>3914</v>
      </c>
      <c r="H148" s="142" t="s">
        <v>188</v>
      </c>
      <c r="I148" s="145" t="s">
        <v>1453</v>
      </c>
      <c r="J148" s="145"/>
      <c r="K148" s="140" t="s">
        <v>191</v>
      </c>
      <c r="L148" s="143">
        <v>4</v>
      </c>
      <c r="M148" s="368">
        <v>5</v>
      </c>
      <c r="N148" s="148" t="s">
        <v>199</v>
      </c>
      <c r="P148" s="84"/>
    </row>
    <row r="149" spans="1:16" ht="22.5">
      <c r="A149" s="140" t="s">
        <v>3915</v>
      </c>
      <c r="B149" s="140" t="s">
        <v>1741</v>
      </c>
      <c r="C149" s="140" t="s">
        <v>3916</v>
      </c>
      <c r="D149" s="187" t="s">
        <v>242</v>
      </c>
      <c r="E149" s="161"/>
      <c r="F149" s="153" t="s">
        <v>3563</v>
      </c>
      <c r="G149" s="142" t="s">
        <v>3917</v>
      </c>
      <c r="H149" s="142" t="s">
        <v>188</v>
      </c>
      <c r="I149" s="145" t="s">
        <v>1453</v>
      </c>
      <c r="J149" s="145"/>
      <c r="K149" s="140" t="s">
        <v>191</v>
      </c>
      <c r="L149" s="143">
        <v>4</v>
      </c>
      <c r="M149" s="368">
        <v>5</v>
      </c>
      <c r="N149" s="148" t="s">
        <v>199</v>
      </c>
      <c r="P149" s="84"/>
    </row>
    <row r="150" spans="1:16" ht="22.5">
      <c r="A150" s="140" t="s">
        <v>3918</v>
      </c>
      <c r="B150" s="140" t="s">
        <v>1745</v>
      </c>
      <c r="C150" s="140" t="s">
        <v>3919</v>
      </c>
      <c r="D150" s="187" t="s">
        <v>242</v>
      </c>
      <c r="E150" s="161"/>
      <c r="F150" s="153" t="s">
        <v>3717</v>
      </c>
      <c r="G150" s="142" t="s">
        <v>3920</v>
      </c>
      <c r="H150" s="142" t="s">
        <v>188</v>
      </c>
      <c r="I150" s="145" t="s">
        <v>1453</v>
      </c>
      <c r="J150" s="145"/>
      <c r="K150" s="140" t="s">
        <v>191</v>
      </c>
      <c r="L150" s="143">
        <v>4</v>
      </c>
      <c r="M150" s="368">
        <v>5</v>
      </c>
      <c r="N150" s="148" t="s">
        <v>199</v>
      </c>
      <c r="P150" s="84"/>
    </row>
    <row r="151" spans="1:16" ht="22.5">
      <c r="A151" s="140" t="s">
        <v>3921</v>
      </c>
      <c r="B151" s="140" t="s">
        <v>2777</v>
      </c>
      <c r="C151" s="140" t="s">
        <v>3922</v>
      </c>
      <c r="D151" s="187" t="s">
        <v>242</v>
      </c>
      <c r="E151" s="161"/>
      <c r="F151" s="153" t="s">
        <v>3717</v>
      </c>
      <c r="G151" s="142" t="s">
        <v>3923</v>
      </c>
      <c r="H151" s="142" t="s">
        <v>188</v>
      </c>
      <c r="I151" s="145" t="s">
        <v>1453</v>
      </c>
      <c r="J151" s="145"/>
      <c r="K151" s="140" t="s">
        <v>191</v>
      </c>
      <c r="L151" s="143">
        <v>4</v>
      </c>
      <c r="M151" s="368">
        <v>5</v>
      </c>
      <c r="N151" s="148" t="s">
        <v>199</v>
      </c>
      <c r="P151" s="84"/>
    </row>
    <row r="152" spans="1:16" ht="22.5">
      <c r="A152" s="140" t="s">
        <v>3924</v>
      </c>
      <c r="B152" s="140" t="s">
        <v>2782</v>
      </c>
      <c r="C152" s="140" t="s">
        <v>3925</v>
      </c>
      <c r="D152" s="187" t="s">
        <v>242</v>
      </c>
      <c r="E152" s="161"/>
      <c r="F152" s="153" t="s">
        <v>3926</v>
      </c>
      <c r="G152" s="142" t="s">
        <v>3927</v>
      </c>
      <c r="H152" s="142" t="s">
        <v>188</v>
      </c>
      <c r="I152" s="145" t="s">
        <v>1453</v>
      </c>
      <c r="J152" s="145"/>
      <c r="K152" s="140" t="s">
        <v>191</v>
      </c>
      <c r="L152" s="143">
        <v>4</v>
      </c>
      <c r="M152" s="368">
        <v>5</v>
      </c>
      <c r="N152" s="148" t="s">
        <v>199</v>
      </c>
      <c r="P152" s="84"/>
    </row>
    <row r="153" spans="1:16" ht="22.5">
      <c r="A153" s="140" t="s">
        <v>3928</v>
      </c>
      <c r="B153" s="140" t="s">
        <v>2797</v>
      </c>
      <c r="C153" s="140" t="s">
        <v>3929</v>
      </c>
      <c r="D153" s="187" t="s">
        <v>242</v>
      </c>
      <c r="E153" s="161"/>
      <c r="F153" s="147" t="s">
        <v>3727</v>
      </c>
      <c r="G153" s="142" t="s">
        <v>3930</v>
      </c>
      <c r="H153" s="142" t="s">
        <v>188</v>
      </c>
      <c r="I153" s="145" t="s">
        <v>1453</v>
      </c>
      <c r="J153" s="145"/>
      <c r="K153" s="140" t="s">
        <v>191</v>
      </c>
      <c r="L153" s="143">
        <v>4</v>
      </c>
      <c r="M153" s="368">
        <v>5</v>
      </c>
      <c r="N153" s="148" t="s">
        <v>199</v>
      </c>
      <c r="P153" s="84"/>
    </row>
    <row r="154" spans="1:16" ht="22.5">
      <c r="A154" s="140" t="s">
        <v>3931</v>
      </c>
      <c r="B154" s="140" t="s">
        <v>1761</v>
      </c>
      <c r="C154" s="140" t="s">
        <v>3932</v>
      </c>
      <c r="D154" s="187" t="s">
        <v>242</v>
      </c>
      <c r="E154" s="161"/>
      <c r="F154" s="147" t="s">
        <v>3727</v>
      </c>
      <c r="G154" s="142" t="s">
        <v>3933</v>
      </c>
      <c r="H154" s="142" t="s">
        <v>188</v>
      </c>
      <c r="I154" s="145" t="s">
        <v>1453</v>
      </c>
      <c r="J154" s="145"/>
      <c r="K154" s="140" t="s">
        <v>191</v>
      </c>
      <c r="L154" s="143">
        <v>4</v>
      </c>
      <c r="M154" s="368">
        <v>5</v>
      </c>
      <c r="N154" s="148" t="s">
        <v>199</v>
      </c>
      <c r="P154" s="84"/>
    </row>
    <row r="155" spans="1:16" ht="22.5">
      <c r="A155" s="140" t="s">
        <v>3934</v>
      </c>
      <c r="B155" s="140" t="s">
        <v>1765</v>
      </c>
      <c r="C155" s="140" t="s">
        <v>3935</v>
      </c>
      <c r="D155" s="187" t="s">
        <v>242</v>
      </c>
      <c r="E155" s="161"/>
      <c r="F155" s="147" t="s">
        <v>3727</v>
      </c>
      <c r="G155" s="142" t="s">
        <v>3936</v>
      </c>
      <c r="H155" s="142" t="s">
        <v>188</v>
      </c>
      <c r="I155" s="145" t="s">
        <v>1453</v>
      </c>
      <c r="J155" s="145"/>
      <c r="K155" s="140" t="s">
        <v>191</v>
      </c>
      <c r="L155" s="143">
        <v>4</v>
      </c>
      <c r="M155" s="368">
        <v>5</v>
      </c>
      <c r="N155" s="148" t="s">
        <v>199</v>
      </c>
      <c r="P155" s="84"/>
    </row>
    <row r="156" spans="1:16" ht="22.5">
      <c r="A156" s="140" t="s">
        <v>3937</v>
      </c>
      <c r="B156" s="140" t="s">
        <v>2830</v>
      </c>
      <c r="C156" s="140" t="s">
        <v>758</v>
      </c>
      <c r="D156" s="187" t="s">
        <v>242</v>
      </c>
      <c r="E156" s="161"/>
      <c r="F156" s="147" t="s">
        <v>3733</v>
      </c>
      <c r="G156" s="167" t="s">
        <v>3938</v>
      </c>
      <c r="H156" s="142" t="s">
        <v>188</v>
      </c>
      <c r="I156" s="145" t="s">
        <v>1453</v>
      </c>
      <c r="J156" s="145"/>
      <c r="K156" s="140" t="s">
        <v>191</v>
      </c>
      <c r="L156" s="143">
        <v>4</v>
      </c>
      <c r="M156" s="368">
        <v>5</v>
      </c>
      <c r="N156" s="148" t="s">
        <v>199</v>
      </c>
      <c r="P156" s="84"/>
    </row>
    <row r="157" spans="1:16" ht="22.5">
      <c r="A157" s="140" t="s">
        <v>3939</v>
      </c>
      <c r="B157" s="140" t="s">
        <v>2833</v>
      </c>
      <c r="C157" s="140" t="s">
        <v>3940</v>
      </c>
      <c r="D157" s="187" t="s">
        <v>242</v>
      </c>
      <c r="E157" s="161"/>
      <c r="F157" s="153" t="s">
        <v>3941</v>
      </c>
      <c r="G157" s="142" t="s">
        <v>3942</v>
      </c>
      <c r="H157" s="142" t="s">
        <v>188</v>
      </c>
      <c r="I157" s="145" t="s">
        <v>1453</v>
      </c>
      <c r="J157" s="145"/>
      <c r="K157" s="140" t="s">
        <v>191</v>
      </c>
      <c r="L157" s="143">
        <v>4</v>
      </c>
      <c r="M157" s="368">
        <v>5</v>
      </c>
      <c r="N157" s="148" t="s">
        <v>199</v>
      </c>
      <c r="P157" s="84"/>
    </row>
    <row r="158" spans="1:16" ht="22.5">
      <c r="A158" s="140" t="s">
        <v>3943</v>
      </c>
      <c r="B158" s="140" t="s">
        <v>2838</v>
      </c>
      <c r="C158" s="140" t="s">
        <v>3944</v>
      </c>
      <c r="D158" s="187" t="s">
        <v>242</v>
      </c>
      <c r="E158" s="161"/>
      <c r="F158" s="153" t="s">
        <v>2106</v>
      </c>
      <c r="G158" s="142" t="s">
        <v>3945</v>
      </c>
      <c r="H158" s="142" t="s">
        <v>188</v>
      </c>
      <c r="I158" s="145" t="s">
        <v>1453</v>
      </c>
      <c r="J158" s="145"/>
      <c r="K158" s="140" t="s">
        <v>191</v>
      </c>
      <c r="L158" s="143">
        <v>4</v>
      </c>
      <c r="M158" s="368">
        <v>5</v>
      </c>
      <c r="N158" s="148" t="s">
        <v>199</v>
      </c>
      <c r="P158" s="84"/>
    </row>
    <row r="159" spans="1:16" ht="22.5">
      <c r="A159" s="140" t="s">
        <v>3946</v>
      </c>
      <c r="B159" s="140" t="s">
        <v>2852</v>
      </c>
      <c r="C159" s="140" t="s">
        <v>3947</v>
      </c>
      <c r="D159" s="187" t="s">
        <v>242</v>
      </c>
      <c r="E159" s="161"/>
      <c r="F159" s="147" t="s">
        <v>3948</v>
      </c>
      <c r="G159" s="142" t="s">
        <v>3949</v>
      </c>
      <c r="H159" s="142" t="s">
        <v>188</v>
      </c>
      <c r="I159" s="145" t="s">
        <v>1453</v>
      </c>
      <c r="J159" s="145"/>
      <c r="K159" s="140" t="s">
        <v>191</v>
      </c>
      <c r="L159" s="143">
        <v>4</v>
      </c>
      <c r="M159" s="368">
        <v>5</v>
      </c>
      <c r="N159" s="148" t="s">
        <v>199</v>
      </c>
      <c r="P159" s="84"/>
    </row>
    <row r="160" spans="1:16" ht="22.5">
      <c r="A160" s="140" t="s">
        <v>3950</v>
      </c>
      <c r="B160" s="140" t="s">
        <v>1793</v>
      </c>
      <c r="C160" s="140" t="s">
        <v>3951</v>
      </c>
      <c r="D160" s="187" t="s">
        <v>242</v>
      </c>
      <c r="E160" s="161"/>
      <c r="F160" s="147" t="s">
        <v>3948</v>
      </c>
      <c r="G160" s="142" t="s">
        <v>3952</v>
      </c>
      <c r="H160" s="142" t="s">
        <v>188</v>
      </c>
      <c r="I160" s="145" t="s">
        <v>1453</v>
      </c>
      <c r="J160" s="145"/>
      <c r="K160" s="140" t="s">
        <v>191</v>
      </c>
      <c r="L160" s="143">
        <v>4</v>
      </c>
      <c r="M160" s="368">
        <v>5</v>
      </c>
      <c r="N160" s="148" t="s">
        <v>199</v>
      </c>
      <c r="P160" s="84"/>
    </row>
    <row r="161" spans="1:16" ht="22.5">
      <c r="A161" s="140" t="s">
        <v>3953</v>
      </c>
      <c r="B161" s="140" t="s">
        <v>1797</v>
      </c>
      <c r="C161" s="140" t="s">
        <v>3954</v>
      </c>
      <c r="D161" s="187" t="s">
        <v>242</v>
      </c>
      <c r="E161" s="161"/>
      <c r="F161" s="147" t="s">
        <v>3955</v>
      </c>
      <c r="G161" s="142" t="s">
        <v>3956</v>
      </c>
      <c r="H161" s="142" t="s">
        <v>188</v>
      </c>
      <c r="I161" s="145" t="s">
        <v>1453</v>
      </c>
      <c r="J161" s="145"/>
      <c r="K161" s="140" t="s">
        <v>191</v>
      </c>
      <c r="L161" s="143">
        <v>4</v>
      </c>
      <c r="M161" s="368">
        <v>5</v>
      </c>
      <c r="N161" s="148" t="s">
        <v>199</v>
      </c>
      <c r="P161" s="84"/>
    </row>
    <row r="162" spans="1:16" ht="22.5">
      <c r="A162" s="140" t="s">
        <v>3937</v>
      </c>
      <c r="B162" s="140" t="s">
        <v>2868</v>
      </c>
      <c r="C162" s="140" t="s">
        <v>758</v>
      </c>
      <c r="D162" s="187" t="s">
        <v>242</v>
      </c>
      <c r="E162" s="161"/>
      <c r="F162" s="147" t="s">
        <v>3733</v>
      </c>
      <c r="G162" s="167" t="s">
        <v>3957</v>
      </c>
      <c r="H162" s="142" t="s">
        <v>188</v>
      </c>
      <c r="I162" s="145" t="s">
        <v>1453</v>
      </c>
      <c r="J162" s="145"/>
      <c r="K162" s="140" t="s">
        <v>191</v>
      </c>
      <c r="L162" s="143">
        <v>4</v>
      </c>
      <c r="M162" s="368">
        <v>5</v>
      </c>
      <c r="N162" s="148" t="s">
        <v>199</v>
      </c>
      <c r="P162" s="84"/>
    </row>
    <row r="163" spans="1:16" ht="22.5">
      <c r="A163" s="140" t="s">
        <v>3958</v>
      </c>
      <c r="B163" s="140" t="s">
        <v>2878</v>
      </c>
      <c r="C163" s="140" t="s">
        <v>3959</v>
      </c>
      <c r="D163" s="187" t="s">
        <v>242</v>
      </c>
      <c r="E163" s="161"/>
      <c r="F163" s="153" t="s">
        <v>3941</v>
      </c>
      <c r="G163" s="142" t="s">
        <v>3960</v>
      </c>
      <c r="H163" s="142" t="s">
        <v>188</v>
      </c>
      <c r="I163" s="145" t="s">
        <v>1453</v>
      </c>
      <c r="J163" s="145"/>
      <c r="K163" s="140" t="s">
        <v>191</v>
      </c>
      <c r="L163" s="143">
        <v>4</v>
      </c>
      <c r="M163" s="368">
        <v>5</v>
      </c>
      <c r="N163" s="148" t="s">
        <v>199</v>
      </c>
      <c r="P163" s="84"/>
    </row>
    <row r="164" spans="1:16" ht="22.5">
      <c r="A164" s="140" t="s">
        <v>3961</v>
      </c>
      <c r="B164" s="140" t="s">
        <v>2882</v>
      </c>
      <c r="C164" s="140" t="s">
        <v>3962</v>
      </c>
      <c r="D164" s="187" t="s">
        <v>242</v>
      </c>
      <c r="E164" s="161"/>
      <c r="F164" s="153" t="s">
        <v>2106</v>
      </c>
      <c r="G164" s="142" t="s">
        <v>3963</v>
      </c>
      <c r="H164" s="142" t="s">
        <v>188</v>
      </c>
      <c r="I164" s="145" t="s">
        <v>1453</v>
      </c>
      <c r="J164" s="145"/>
      <c r="K164" s="140" t="s">
        <v>191</v>
      </c>
      <c r="L164" s="143">
        <v>4</v>
      </c>
      <c r="M164" s="368">
        <v>5</v>
      </c>
      <c r="N164" s="148" t="s">
        <v>199</v>
      </c>
      <c r="P164" s="84"/>
    </row>
    <row r="165" spans="1:16" ht="22.5">
      <c r="A165" s="140" t="s">
        <v>3964</v>
      </c>
      <c r="B165" s="140" t="s">
        <v>3965</v>
      </c>
      <c r="C165" s="140" t="s">
        <v>758</v>
      </c>
      <c r="D165" s="187" t="s">
        <v>242</v>
      </c>
      <c r="E165" s="161"/>
      <c r="F165" s="153" t="s">
        <v>3733</v>
      </c>
      <c r="G165" s="142" t="s">
        <v>3966</v>
      </c>
      <c r="H165" s="142" t="s">
        <v>188</v>
      </c>
      <c r="I165" s="145" t="s">
        <v>1453</v>
      </c>
      <c r="J165" s="145"/>
      <c r="K165" s="140" t="s">
        <v>191</v>
      </c>
      <c r="L165" s="143">
        <v>4</v>
      </c>
      <c r="M165" s="368">
        <v>5</v>
      </c>
      <c r="N165" s="148" t="s">
        <v>199</v>
      </c>
      <c r="P165" s="84"/>
    </row>
    <row r="166" spans="1:16" ht="22.5">
      <c r="A166" s="140" t="s">
        <v>3967</v>
      </c>
      <c r="B166" s="140" t="s">
        <v>3968</v>
      </c>
      <c r="C166" s="140" t="s">
        <v>758</v>
      </c>
      <c r="D166" s="187" t="s">
        <v>242</v>
      </c>
      <c r="E166" s="161"/>
      <c r="F166" s="153" t="s">
        <v>3733</v>
      </c>
      <c r="G166" s="142" t="s">
        <v>3969</v>
      </c>
      <c r="H166" s="142" t="s">
        <v>188</v>
      </c>
      <c r="I166" s="145" t="s">
        <v>1453</v>
      </c>
      <c r="J166" s="145"/>
      <c r="K166" s="140" t="s">
        <v>191</v>
      </c>
      <c r="L166" s="143">
        <v>4</v>
      </c>
      <c r="M166" s="368">
        <v>5</v>
      </c>
      <c r="N166" s="148" t="s">
        <v>199</v>
      </c>
      <c r="P166" s="84"/>
    </row>
    <row r="167" spans="1:16" ht="22.5">
      <c r="A167" s="140" t="s">
        <v>3970</v>
      </c>
      <c r="B167" s="140" t="s">
        <v>3971</v>
      </c>
      <c r="C167" s="140" t="s">
        <v>758</v>
      </c>
      <c r="D167" s="187" t="s">
        <v>242</v>
      </c>
      <c r="E167" s="161"/>
      <c r="F167" s="153" t="s">
        <v>3733</v>
      </c>
      <c r="G167" s="142" t="s">
        <v>3972</v>
      </c>
      <c r="H167" s="142" t="s">
        <v>188</v>
      </c>
      <c r="I167" s="145" t="s">
        <v>1453</v>
      </c>
      <c r="J167" s="145"/>
      <c r="K167" s="140" t="s">
        <v>191</v>
      </c>
      <c r="L167" s="143">
        <v>4</v>
      </c>
      <c r="M167" s="368">
        <v>5</v>
      </c>
      <c r="N167" s="148" t="s">
        <v>199</v>
      </c>
      <c r="P167" s="84"/>
    </row>
    <row r="168" spans="1:16" ht="22.5">
      <c r="A168" s="140" t="s">
        <v>3973</v>
      </c>
      <c r="B168" s="140" t="s">
        <v>2961</v>
      </c>
      <c r="C168" s="140" t="s">
        <v>3974</v>
      </c>
      <c r="D168" s="187" t="s">
        <v>242</v>
      </c>
      <c r="E168" s="161"/>
      <c r="F168" s="153" t="s">
        <v>3563</v>
      </c>
      <c r="G168" s="142" t="s">
        <v>2963</v>
      </c>
      <c r="H168" s="142" t="s">
        <v>188</v>
      </c>
      <c r="I168" s="145" t="s">
        <v>1453</v>
      </c>
      <c r="J168" s="145"/>
      <c r="K168" s="140" t="s">
        <v>191</v>
      </c>
      <c r="L168" s="143">
        <v>4</v>
      </c>
      <c r="M168" s="368">
        <v>5</v>
      </c>
      <c r="N168" s="148" t="s">
        <v>199</v>
      </c>
      <c r="P168" s="84"/>
    </row>
    <row r="169" spans="1:16" ht="22.5">
      <c r="A169" s="140" t="s">
        <v>3975</v>
      </c>
      <c r="B169" s="140" t="s">
        <v>2971</v>
      </c>
      <c r="C169" s="140" t="s">
        <v>3976</v>
      </c>
      <c r="D169" s="187" t="s">
        <v>242</v>
      </c>
      <c r="E169" s="161"/>
      <c r="F169" s="153" t="s">
        <v>3563</v>
      </c>
      <c r="G169" s="142" t="s">
        <v>2973</v>
      </c>
      <c r="H169" s="142" t="s">
        <v>188</v>
      </c>
      <c r="I169" s="145" t="s">
        <v>1453</v>
      </c>
      <c r="J169" s="145"/>
      <c r="K169" s="140" t="s">
        <v>191</v>
      </c>
      <c r="L169" s="143">
        <v>4</v>
      </c>
      <c r="M169" s="368">
        <v>5</v>
      </c>
      <c r="N169" s="148" t="s">
        <v>199</v>
      </c>
      <c r="P169" s="84"/>
    </row>
    <row r="170" spans="1:16" ht="22.5">
      <c r="A170" s="140" t="s">
        <v>3977</v>
      </c>
      <c r="B170" s="140" t="s">
        <v>2990</v>
      </c>
      <c r="C170" s="140" t="s">
        <v>3978</v>
      </c>
      <c r="D170" s="187" t="s">
        <v>242</v>
      </c>
      <c r="E170" s="161"/>
      <c r="F170" s="153" t="s">
        <v>3563</v>
      </c>
      <c r="G170" s="142" t="s">
        <v>2993</v>
      </c>
      <c r="H170" s="142" t="s">
        <v>188</v>
      </c>
      <c r="I170" s="145" t="s">
        <v>1453</v>
      </c>
      <c r="J170" s="145"/>
      <c r="K170" s="140" t="s">
        <v>191</v>
      </c>
      <c r="L170" s="143">
        <v>4</v>
      </c>
      <c r="M170" s="368">
        <v>5</v>
      </c>
      <c r="N170" s="148" t="s">
        <v>199</v>
      </c>
      <c r="P170" s="84"/>
    </row>
    <row r="171" spans="1:16" ht="11.25">
      <c r="A171" s="140" t="s">
        <v>3979</v>
      </c>
      <c r="B171" s="140" t="s">
        <v>2995</v>
      </c>
      <c r="C171" s="140" t="s">
        <v>3980</v>
      </c>
      <c r="D171" s="187" t="s">
        <v>242</v>
      </c>
      <c r="E171" s="161"/>
      <c r="F171" s="147" t="s">
        <v>3981</v>
      </c>
      <c r="G171" s="142" t="s">
        <v>3982</v>
      </c>
      <c r="H171" s="142" t="s">
        <v>198</v>
      </c>
      <c r="I171" s="140" t="s">
        <v>3983</v>
      </c>
      <c r="J171" s="140"/>
      <c r="K171" s="140" t="s">
        <v>191</v>
      </c>
      <c r="L171" s="143">
        <v>4</v>
      </c>
      <c r="M171" s="368">
        <v>5</v>
      </c>
      <c r="N171" s="148" t="s">
        <v>199</v>
      </c>
      <c r="P171" s="84"/>
    </row>
    <row r="172" spans="1:16" ht="22.5">
      <c r="A172" s="140" t="s">
        <v>3984</v>
      </c>
      <c r="B172" s="140" t="s">
        <v>3000</v>
      </c>
      <c r="C172" s="140" t="s">
        <v>3985</v>
      </c>
      <c r="D172" s="187" t="s">
        <v>242</v>
      </c>
      <c r="E172" s="161"/>
      <c r="F172" s="147" t="s">
        <v>3981</v>
      </c>
      <c r="G172" s="142" t="s">
        <v>3002</v>
      </c>
      <c r="H172" s="142" t="s">
        <v>198</v>
      </c>
      <c r="I172" s="145" t="s">
        <v>3986</v>
      </c>
      <c r="J172" s="145"/>
      <c r="K172" s="140" t="s">
        <v>191</v>
      </c>
      <c r="L172" s="143">
        <v>4</v>
      </c>
      <c r="M172" s="368">
        <v>5</v>
      </c>
      <c r="N172" s="148" t="s">
        <v>199</v>
      </c>
      <c r="P172" s="84"/>
    </row>
    <row r="173" spans="1:16" ht="22.5">
      <c r="A173" s="140" t="s">
        <v>3987</v>
      </c>
      <c r="B173" s="140" t="s">
        <v>3005</v>
      </c>
      <c r="C173" s="140" t="s">
        <v>3988</v>
      </c>
      <c r="D173" s="187" t="s">
        <v>242</v>
      </c>
      <c r="E173" s="161"/>
      <c r="F173" s="147" t="s">
        <v>3981</v>
      </c>
      <c r="G173" s="142" t="s">
        <v>3007</v>
      </c>
      <c r="H173" s="142" t="s">
        <v>198</v>
      </c>
      <c r="I173" s="145" t="s">
        <v>3986</v>
      </c>
      <c r="J173" s="145"/>
      <c r="K173" s="140" t="s">
        <v>191</v>
      </c>
      <c r="L173" s="143">
        <v>4</v>
      </c>
      <c r="M173" s="368">
        <v>5</v>
      </c>
      <c r="N173" s="148" t="s">
        <v>199</v>
      </c>
      <c r="P173" s="84"/>
    </row>
    <row r="174" spans="1:16" ht="225" customHeight="1">
      <c r="A174" s="140" t="s">
        <v>3989</v>
      </c>
      <c r="B174" s="140" t="s">
        <v>3012</v>
      </c>
      <c r="C174" s="140" t="s">
        <v>3990</v>
      </c>
      <c r="D174" s="187" t="s">
        <v>242</v>
      </c>
      <c r="E174" s="161"/>
      <c r="F174" s="147" t="s">
        <v>2120</v>
      </c>
      <c r="G174" s="142" t="s">
        <v>3991</v>
      </c>
      <c r="H174" s="142" t="s">
        <v>204</v>
      </c>
      <c r="I174" s="142" t="s">
        <v>3992</v>
      </c>
      <c r="J174" s="142"/>
      <c r="K174" s="140" t="s">
        <v>191</v>
      </c>
      <c r="L174" s="143">
        <v>4</v>
      </c>
      <c r="M174" s="368">
        <v>5</v>
      </c>
      <c r="N174" s="148" t="s">
        <v>199</v>
      </c>
      <c r="P174" s="84"/>
    </row>
    <row r="175" spans="1:16" ht="303.75">
      <c r="A175" s="140" t="s">
        <v>3993</v>
      </c>
      <c r="B175" s="140" t="s">
        <v>3017</v>
      </c>
      <c r="C175" s="140" t="s">
        <v>3994</v>
      </c>
      <c r="D175" s="187" t="s">
        <v>242</v>
      </c>
      <c r="E175" s="161"/>
      <c r="F175" s="147" t="s">
        <v>2120</v>
      </c>
      <c r="G175" s="142" t="s">
        <v>3995</v>
      </c>
      <c r="H175" s="142" t="s">
        <v>204</v>
      </c>
      <c r="I175" s="142" t="s">
        <v>3996</v>
      </c>
      <c r="J175" s="142"/>
      <c r="K175" s="140" t="s">
        <v>191</v>
      </c>
      <c r="L175" s="143">
        <v>4</v>
      </c>
      <c r="M175" s="368">
        <v>5</v>
      </c>
      <c r="N175" s="148" t="s">
        <v>199</v>
      </c>
      <c r="P175" s="84"/>
    </row>
    <row r="176" spans="1:16" ht="22.5">
      <c r="A176" s="140" t="s">
        <v>3997</v>
      </c>
      <c r="B176" s="140" t="s">
        <v>3022</v>
      </c>
      <c r="C176" s="140" t="s">
        <v>3998</v>
      </c>
      <c r="D176" s="187" t="s">
        <v>242</v>
      </c>
      <c r="E176" s="161"/>
      <c r="F176" s="147" t="s">
        <v>2120</v>
      </c>
      <c r="G176" s="142" t="s">
        <v>3999</v>
      </c>
      <c r="H176" s="142" t="s">
        <v>198</v>
      </c>
      <c r="I176" s="140"/>
      <c r="J176" s="140"/>
      <c r="K176" s="140" t="s">
        <v>191</v>
      </c>
      <c r="L176" s="143">
        <v>4</v>
      </c>
      <c r="M176" s="368">
        <v>5</v>
      </c>
      <c r="N176" s="148" t="s">
        <v>199</v>
      </c>
      <c r="P176" s="84"/>
    </row>
    <row r="177" spans="1:16" ht="33.75">
      <c r="A177" s="140" t="s">
        <v>4000</v>
      </c>
      <c r="B177" s="140" t="s">
        <v>3028</v>
      </c>
      <c r="C177" s="140" t="s">
        <v>4001</v>
      </c>
      <c r="D177" s="187" t="s">
        <v>242</v>
      </c>
      <c r="E177" s="161"/>
      <c r="F177" s="147" t="s">
        <v>2120</v>
      </c>
      <c r="G177" s="142" t="s">
        <v>4002</v>
      </c>
      <c r="H177" s="142" t="s">
        <v>198</v>
      </c>
      <c r="I177" s="140"/>
      <c r="J177" s="140"/>
      <c r="K177" s="140" t="s">
        <v>191</v>
      </c>
      <c r="L177" s="143">
        <v>4</v>
      </c>
      <c r="M177" s="368">
        <v>5</v>
      </c>
      <c r="N177" s="148" t="s">
        <v>199</v>
      </c>
      <c r="P177" s="84"/>
    </row>
    <row r="178" spans="1:16" ht="11.25">
      <c r="A178" s="142" t="s">
        <v>4003</v>
      </c>
      <c r="B178" s="142" t="s">
        <v>3050</v>
      </c>
      <c r="C178" s="140" t="s">
        <v>758</v>
      </c>
      <c r="D178" s="187" t="s">
        <v>242</v>
      </c>
      <c r="E178" s="161"/>
      <c r="F178" s="147" t="s">
        <v>3733</v>
      </c>
      <c r="G178" s="142" t="s">
        <v>4004</v>
      </c>
      <c r="H178" s="142" t="s">
        <v>198</v>
      </c>
      <c r="I178" s="140"/>
      <c r="J178" s="140"/>
      <c r="K178" s="140" t="s">
        <v>191</v>
      </c>
      <c r="L178" s="143">
        <v>4</v>
      </c>
      <c r="M178" s="368">
        <v>5</v>
      </c>
      <c r="N178" s="148" t="s">
        <v>199</v>
      </c>
      <c r="P178" s="84"/>
    </row>
    <row r="179" spans="1:16" ht="11.25">
      <c r="A179" s="142" t="s">
        <v>4005</v>
      </c>
      <c r="B179" s="142" t="s">
        <v>4006</v>
      </c>
      <c r="C179" s="140" t="s">
        <v>758</v>
      </c>
      <c r="D179" s="187" t="s">
        <v>242</v>
      </c>
      <c r="E179" s="161"/>
      <c r="F179" s="147" t="s">
        <v>3733</v>
      </c>
      <c r="G179" s="142" t="s">
        <v>4007</v>
      </c>
      <c r="H179" s="142" t="s">
        <v>198</v>
      </c>
      <c r="I179" s="140"/>
      <c r="J179" s="140"/>
      <c r="K179" s="140" t="s">
        <v>191</v>
      </c>
      <c r="L179" s="143">
        <v>4</v>
      </c>
      <c r="M179" s="368">
        <v>5</v>
      </c>
      <c r="N179" s="148" t="s">
        <v>199</v>
      </c>
      <c r="P179" s="84"/>
    </row>
    <row r="180" spans="1:16" ht="11.25">
      <c r="A180" s="142" t="s">
        <v>4008</v>
      </c>
      <c r="B180" s="142" t="s">
        <v>3058</v>
      </c>
      <c r="C180" s="140" t="s">
        <v>758</v>
      </c>
      <c r="D180" s="187" t="s">
        <v>242</v>
      </c>
      <c r="E180" s="161"/>
      <c r="F180" s="147" t="s">
        <v>3733</v>
      </c>
      <c r="G180" s="142" t="s">
        <v>4009</v>
      </c>
      <c r="H180" s="142" t="s">
        <v>198</v>
      </c>
      <c r="I180" s="140"/>
      <c r="J180" s="140"/>
      <c r="K180" s="140" t="s">
        <v>191</v>
      </c>
      <c r="L180" s="143">
        <v>4</v>
      </c>
      <c r="M180" s="368">
        <v>5</v>
      </c>
      <c r="N180" s="148" t="s">
        <v>199</v>
      </c>
      <c r="P180" s="84"/>
    </row>
    <row r="181" spans="1:16" ht="11.25">
      <c r="A181" s="142" t="s">
        <v>4010</v>
      </c>
      <c r="B181" s="142" t="s">
        <v>4011</v>
      </c>
      <c r="C181" s="140" t="s">
        <v>758</v>
      </c>
      <c r="D181" s="187" t="s">
        <v>242</v>
      </c>
      <c r="E181" s="161"/>
      <c r="F181" s="147" t="s">
        <v>3733</v>
      </c>
      <c r="G181" s="142" t="s">
        <v>4012</v>
      </c>
      <c r="H181" s="142" t="s">
        <v>198</v>
      </c>
      <c r="I181" s="140"/>
      <c r="J181" s="140"/>
      <c r="K181" s="140" t="s">
        <v>191</v>
      </c>
      <c r="L181" s="143">
        <v>4</v>
      </c>
      <c r="M181" s="368">
        <v>5</v>
      </c>
      <c r="N181" s="148" t="s">
        <v>199</v>
      </c>
      <c r="P181" s="84"/>
    </row>
    <row r="182" spans="1:16" ht="22.5">
      <c r="A182" s="142" t="s">
        <v>4013</v>
      </c>
      <c r="B182" s="142" t="s">
        <v>4014</v>
      </c>
      <c r="C182" s="140" t="s">
        <v>758</v>
      </c>
      <c r="D182" s="187" t="s">
        <v>242</v>
      </c>
      <c r="E182" s="161"/>
      <c r="F182" s="147" t="s">
        <v>3733</v>
      </c>
      <c r="G182" s="142" t="s">
        <v>4015</v>
      </c>
      <c r="H182" s="142" t="s">
        <v>198</v>
      </c>
      <c r="I182" s="140"/>
      <c r="J182" s="140"/>
      <c r="K182" s="140" t="s">
        <v>191</v>
      </c>
      <c r="L182" s="143">
        <v>4</v>
      </c>
      <c r="M182" s="368">
        <v>5</v>
      </c>
      <c r="N182" s="148" t="s">
        <v>199</v>
      </c>
      <c r="P182" s="84"/>
    </row>
    <row r="183" spans="1:16" ht="22.5">
      <c r="A183" s="142" t="s">
        <v>4016</v>
      </c>
      <c r="B183" s="142" t="s">
        <v>4017</v>
      </c>
      <c r="C183" s="140" t="s">
        <v>758</v>
      </c>
      <c r="D183" s="187" t="s">
        <v>242</v>
      </c>
      <c r="E183" s="161"/>
      <c r="F183" s="147" t="s">
        <v>3733</v>
      </c>
      <c r="G183" s="142" t="s">
        <v>4018</v>
      </c>
      <c r="H183" s="142" t="s">
        <v>198</v>
      </c>
      <c r="I183" s="140"/>
      <c r="J183" s="140"/>
      <c r="K183" s="140" t="s">
        <v>191</v>
      </c>
      <c r="L183" s="143">
        <v>4</v>
      </c>
      <c r="M183" s="368">
        <v>5</v>
      </c>
      <c r="N183" s="148" t="s">
        <v>199</v>
      </c>
      <c r="P183" s="84"/>
    </row>
    <row r="184" spans="1:16" ht="22.5">
      <c r="A184" s="142" t="s">
        <v>4019</v>
      </c>
      <c r="B184" s="142" t="s">
        <v>4020</v>
      </c>
      <c r="C184" s="140" t="s">
        <v>758</v>
      </c>
      <c r="D184" s="187" t="s">
        <v>242</v>
      </c>
      <c r="E184" s="161"/>
      <c r="F184" s="147" t="s">
        <v>3733</v>
      </c>
      <c r="G184" s="142" t="s">
        <v>4021</v>
      </c>
      <c r="H184" s="142" t="s">
        <v>198</v>
      </c>
      <c r="I184" s="140"/>
      <c r="J184" s="140"/>
      <c r="K184" s="140" t="s">
        <v>191</v>
      </c>
      <c r="L184" s="143">
        <v>4</v>
      </c>
      <c r="M184" s="368">
        <v>5</v>
      </c>
      <c r="N184" s="148" t="s">
        <v>199</v>
      </c>
      <c r="P184" s="84"/>
    </row>
    <row r="185" spans="1:16" ht="22.5">
      <c r="A185" s="142" t="s">
        <v>4022</v>
      </c>
      <c r="B185" s="142" t="s">
        <v>4023</v>
      </c>
      <c r="C185" s="140" t="s">
        <v>758</v>
      </c>
      <c r="D185" s="187" t="s">
        <v>242</v>
      </c>
      <c r="E185" s="161"/>
      <c r="F185" s="147" t="s">
        <v>3733</v>
      </c>
      <c r="G185" s="142" t="s">
        <v>4024</v>
      </c>
      <c r="H185" s="142" t="s">
        <v>198</v>
      </c>
      <c r="I185" s="140"/>
      <c r="J185" s="140"/>
      <c r="K185" s="140" t="s">
        <v>191</v>
      </c>
      <c r="L185" s="143">
        <v>4</v>
      </c>
      <c r="M185" s="368">
        <v>5</v>
      </c>
      <c r="N185" s="148" t="s">
        <v>199</v>
      </c>
      <c r="P185" s="84"/>
    </row>
    <row r="186" spans="1:16" ht="11.25">
      <c r="A186" s="142" t="s">
        <v>4025</v>
      </c>
      <c r="B186" s="142" t="s">
        <v>3075</v>
      </c>
      <c r="C186" s="140" t="s">
        <v>758</v>
      </c>
      <c r="D186" s="187" t="s">
        <v>242</v>
      </c>
      <c r="E186" s="161"/>
      <c r="F186" s="147" t="s">
        <v>3733</v>
      </c>
      <c r="G186" s="168" t="s">
        <v>3051</v>
      </c>
      <c r="H186" s="142" t="s">
        <v>198</v>
      </c>
      <c r="I186" s="140"/>
      <c r="J186" s="140"/>
      <c r="K186" s="140" t="s">
        <v>191</v>
      </c>
      <c r="L186" s="143">
        <v>4</v>
      </c>
      <c r="M186" s="368">
        <v>5</v>
      </c>
      <c r="N186" s="148" t="s">
        <v>199</v>
      </c>
      <c r="P186" s="84"/>
    </row>
    <row r="187" spans="1:16" ht="11.25">
      <c r="A187" s="142" t="s">
        <v>4026</v>
      </c>
      <c r="B187" s="142" t="s">
        <v>4027</v>
      </c>
      <c r="C187" s="140" t="s">
        <v>758</v>
      </c>
      <c r="D187" s="187" t="s">
        <v>242</v>
      </c>
      <c r="E187" s="161"/>
      <c r="F187" s="147" t="s">
        <v>3733</v>
      </c>
      <c r="G187" s="142" t="s">
        <v>4028</v>
      </c>
      <c r="H187" s="142" t="s">
        <v>198</v>
      </c>
      <c r="I187" s="140"/>
      <c r="J187" s="140"/>
      <c r="K187" s="140" t="s">
        <v>191</v>
      </c>
      <c r="L187" s="143">
        <v>4</v>
      </c>
      <c r="M187" s="368">
        <v>5</v>
      </c>
      <c r="N187" s="148" t="s">
        <v>199</v>
      </c>
      <c r="P187" s="84"/>
    </row>
    <row r="188" spans="1:16" ht="11.25">
      <c r="A188" s="142" t="s">
        <v>4029</v>
      </c>
      <c r="B188" s="142" t="s">
        <v>3078</v>
      </c>
      <c r="C188" s="140" t="s">
        <v>758</v>
      </c>
      <c r="D188" s="187" t="s">
        <v>242</v>
      </c>
      <c r="E188" s="161"/>
      <c r="F188" s="147" t="s">
        <v>3733</v>
      </c>
      <c r="G188" s="168" t="s">
        <v>4030</v>
      </c>
      <c r="H188" s="142" t="s">
        <v>198</v>
      </c>
      <c r="I188" s="140"/>
      <c r="J188" s="140"/>
      <c r="K188" s="140" t="s">
        <v>191</v>
      </c>
      <c r="L188" s="143">
        <v>4</v>
      </c>
      <c r="M188" s="368">
        <v>5</v>
      </c>
      <c r="N188" s="148" t="s">
        <v>199</v>
      </c>
      <c r="P188" s="84"/>
    </row>
    <row r="189" spans="1:16" ht="11.25">
      <c r="A189" s="142" t="s">
        <v>4031</v>
      </c>
      <c r="B189" s="142" t="s">
        <v>4032</v>
      </c>
      <c r="C189" s="140" t="s">
        <v>758</v>
      </c>
      <c r="D189" s="187" t="s">
        <v>242</v>
      </c>
      <c r="E189" s="161"/>
      <c r="F189" s="147" t="s">
        <v>3733</v>
      </c>
      <c r="G189" s="142" t="s">
        <v>4033</v>
      </c>
      <c r="H189" s="142" t="s">
        <v>198</v>
      </c>
      <c r="I189" s="140"/>
      <c r="J189" s="140"/>
      <c r="K189" s="140" t="s">
        <v>191</v>
      </c>
      <c r="L189" s="143">
        <v>4</v>
      </c>
      <c r="M189" s="368">
        <v>5</v>
      </c>
      <c r="N189" s="148" t="s">
        <v>199</v>
      </c>
      <c r="P189" s="84"/>
    </row>
    <row r="190" spans="1:16" ht="11.25">
      <c r="A190" s="142" t="s">
        <v>4034</v>
      </c>
      <c r="B190" s="142" t="s">
        <v>4035</v>
      </c>
      <c r="C190" s="140" t="s">
        <v>758</v>
      </c>
      <c r="D190" s="187" t="s">
        <v>242</v>
      </c>
      <c r="E190" s="161"/>
      <c r="F190" s="147" t="s">
        <v>3733</v>
      </c>
      <c r="G190" s="168" t="s">
        <v>4036</v>
      </c>
      <c r="H190" s="142" t="s">
        <v>198</v>
      </c>
      <c r="I190" s="140"/>
      <c r="J190" s="140"/>
      <c r="K190" s="140" t="s">
        <v>191</v>
      </c>
      <c r="L190" s="143">
        <v>4</v>
      </c>
      <c r="M190" s="368">
        <v>5</v>
      </c>
      <c r="N190" s="148" t="s">
        <v>199</v>
      </c>
      <c r="P190" s="84"/>
    </row>
    <row r="191" spans="1:16" ht="11.25">
      <c r="A191" s="142" t="s">
        <v>4037</v>
      </c>
      <c r="B191" s="142" t="s">
        <v>4038</v>
      </c>
      <c r="C191" s="140" t="s">
        <v>758</v>
      </c>
      <c r="D191" s="187" t="s">
        <v>242</v>
      </c>
      <c r="E191" s="161"/>
      <c r="F191" s="147" t="s">
        <v>3733</v>
      </c>
      <c r="G191" s="142" t="s">
        <v>4039</v>
      </c>
      <c r="H191" s="142" t="s">
        <v>198</v>
      </c>
      <c r="I191" s="140"/>
      <c r="J191" s="140"/>
      <c r="K191" s="140" t="s">
        <v>191</v>
      </c>
      <c r="L191" s="143">
        <v>4</v>
      </c>
      <c r="M191" s="368">
        <v>5</v>
      </c>
      <c r="N191" s="148" t="s">
        <v>199</v>
      </c>
      <c r="P191" s="84"/>
    </row>
    <row r="192" spans="1:16" ht="22.5">
      <c r="A192" s="142" t="s">
        <v>4040</v>
      </c>
      <c r="B192" s="142" t="s">
        <v>4041</v>
      </c>
      <c r="C192" s="140" t="s">
        <v>758</v>
      </c>
      <c r="D192" s="187" t="s">
        <v>242</v>
      </c>
      <c r="E192" s="161"/>
      <c r="F192" s="147" t="s">
        <v>3733</v>
      </c>
      <c r="G192" s="142" t="s">
        <v>4042</v>
      </c>
      <c r="H192" s="142" t="s">
        <v>198</v>
      </c>
      <c r="I192" s="140"/>
      <c r="J192" s="140"/>
      <c r="K192" s="140" t="s">
        <v>191</v>
      </c>
      <c r="L192" s="143">
        <v>4</v>
      </c>
      <c r="M192" s="368">
        <v>5</v>
      </c>
      <c r="N192" s="148" t="s">
        <v>199</v>
      </c>
      <c r="P192" s="84"/>
    </row>
    <row r="193" spans="1:16" ht="22.5">
      <c r="A193" s="142" t="s">
        <v>4043</v>
      </c>
      <c r="B193" s="142" t="s">
        <v>4044</v>
      </c>
      <c r="C193" s="140" t="s">
        <v>758</v>
      </c>
      <c r="D193" s="187" t="s">
        <v>242</v>
      </c>
      <c r="E193" s="161"/>
      <c r="F193" s="147" t="s">
        <v>3733</v>
      </c>
      <c r="G193" s="142" t="s">
        <v>4045</v>
      </c>
      <c r="H193" s="142" t="s">
        <v>198</v>
      </c>
      <c r="I193" s="140"/>
      <c r="J193" s="140"/>
      <c r="K193" s="140" t="s">
        <v>191</v>
      </c>
      <c r="L193" s="143">
        <v>4</v>
      </c>
      <c r="M193" s="368">
        <v>5</v>
      </c>
      <c r="N193" s="148" t="s">
        <v>199</v>
      </c>
      <c r="P193" s="84"/>
    </row>
    <row r="194" spans="1:16" ht="22.5">
      <c r="A194" s="142" t="s">
        <v>4046</v>
      </c>
      <c r="B194" s="142" t="s">
        <v>4047</v>
      </c>
      <c r="C194" s="140" t="s">
        <v>758</v>
      </c>
      <c r="D194" s="187" t="s">
        <v>242</v>
      </c>
      <c r="E194" s="161"/>
      <c r="F194" s="147" t="s">
        <v>3733</v>
      </c>
      <c r="G194" s="142" t="s">
        <v>4048</v>
      </c>
      <c r="H194" s="142" t="s">
        <v>198</v>
      </c>
      <c r="I194" s="140"/>
      <c r="J194" s="140"/>
      <c r="K194" s="140" t="s">
        <v>191</v>
      </c>
      <c r="L194" s="143">
        <v>4</v>
      </c>
      <c r="M194" s="368">
        <v>5</v>
      </c>
      <c r="N194" s="148" t="s">
        <v>199</v>
      </c>
      <c r="P194" s="84"/>
    </row>
    <row r="195" spans="1:16" ht="22.5">
      <c r="A195" s="142" t="s">
        <v>4049</v>
      </c>
      <c r="B195" s="142" t="s">
        <v>4050</v>
      </c>
      <c r="C195" s="140" t="s">
        <v>758</v>
      </c>
      <c r="D195" s="187" t="s">
        <v>242</v>
      </c>
      <c r="E195" s="161"/>
      <c r="F195" s="147" t="s">
        <v>3733</v>
      </c>
      <c r="G195" s="142" t="s">
        <v>4051</v>
      </c>
      <c r="H195" s="142" t="s">
        <v>204</v>
      </c>
      <c r="I195" s="140"/>
      <c r="J195" s="140"/>
      <c r="K195" s="140" t="s">
        <v>191</v>
      </c>
      <c r="L195" s="143">
        <v>4</v>
      </c>
      <c r="M195" s="368">
        <v>5</v>
      </c>
      <c r="N195" s="148" t="s">
        <v>199</v>
      </c>
      <c r="P195" s="84"/>
    </row>
    <row r="196" spans="1:16" ht="22.5">
      <c r="A196" s="142" t="s">
        <v>4052</v>
      </c>
      <c r="B196" s="142" t="s">
        <v>4053</v>
      </c>
      <c r="C196" s="140" t="s">
        <v>758</v>
      </c>
      <c r="D196" s="187" t="s">
        <v>242</v>
      </c>
      <c r="E196" s="161"/>
      <c r="F196" s="147" t="s">
        <v>3733</v>
      </c>
      <c r="G196" s="142" t="s">
        <v>4054</v>
      </c>
      <c r="H196" s="142" t="s">
        <v>204</v>
      </c>
      <c r="I196" s="140"/>
      <c r="J196" s="140"/>
      <c r="K196" s="140" t="s">
        <v>191</v>
      </c>
      <c r="L196" s="143">
        <v>4</v>
      </c>
      <c r="M196" s="368">
        <v>5</v>
      </c>
      <c r="N196" s="148" t="s">
        <v>199</v>
      </c>
      <c r="P196" s="84"/>
    </row>
    <row r="197" spans="1:16" ht="22.5">
      <c r="A197" s="142" t="s">
        <v>4055</v>
      </c>
      <c r="B197" s="142" t="s">
        <v>4056</v>
      </c>
      <c r="C197" s="140" t="s">
        <v>758</v>
      </c>
      <c r="D197" s="187" t="s">
        <v>242</v>
      </c>
      <c r="E197" s="161"/>
      <c r="F197" s="147" t="s">
        <v>3733</v>
      </c>
      <c r="G197" s="142" t="s">
        <v>4057</v>
      </c>
      <c r="H197" s="142" t="s">
        <v>204</v>
      </c>
      <c r="I197" s="140"/>
      <c r="J197" s="140"/>
      <c r="K197" s="140" t="s">
        <v>191</v>
      </c>
      <c r="L197" s="143">
        <v>4</v>
      </c>
      <c r="M197" s="368">
        <v>5</v>
      </c>
      <c r="N197" s="148" t="s">
        <v>199</v>
      </c>
      <c r="P197" s="84"/>
    </row>
    <row r="198" spans="1:16" ht="22.5">
      <c r="A198" s="140" t="s">
        <v>4058</v>
      </c>
      <c r="B198" s="142" t="s">
        <v>3133</v>
      </c>
      <c r="C198" s="140" t="s">
        <v>4059</v>
      </c>
      <c r="D198" s="187" t="s">
        <v>242</v>
      </c>
      <c r="E198" s="161"/>
      <c r="F198" s="153" t="s">
        <v>3563</v>
      </c>
      <c r="G198" s="142" t="s">
        <v>4060</v>
      </c>
      <c r="H198" s="142" t="s">
        <v>188</v>
      </c>
      <c r="I198" s="145" t="s">
        <v>1453</v>
      </c>
      <c r="J198" s="145"/>
      <c r="K198" s="140" t="s">
        <v>191</v>
      </c>
      <c r="L198" s="143">
        <v>4</v>
      </c>
      <c r="M198" s="368">
        <v>5</v>
      </c>
      <c r="N198" s="148" t="s">
        <v>199</v>
      </c>
      <c r="P198" s="84"/>
    </row>
    <row r="199" spans="1:16" ht="33.75">
      <c r="A199" s="140" t="s">
        <v>4061</v>
      </c>
      <c r="B199" s="140" t="s">
        <v>3137</v>
      </c>
      <c r="C199" s="140" t="s">
        <v>4062</v>
      </c>
      <c r="D199" s="187" t="s">
        <v>242</v>
      </c>
      <c r="E199" s="161"/>
      <c r="F199" s="147" t="s">
        <v>4063</v>
      </c>
      <c r="G199" s="142" t="s">
        <v>4064</v>
      </c>
      <c r="H199" s="142" t="s">
        <v>198</v>
      </c>
      <c r="I199" s="140"/>
      <c r="J199" s="140"/>
      <c r="K199" s="140" t="s">
        <v>191</v>
      </c>
      <c r="L199" s="143">
        <v>4</v>
      </c>
      <c r="M199" s="368">
        <v>5</v>
      </c>
      <c r="N199" s="148" t="s">
        <v>199</v>
      </c>
      <c r="P199" s="84"/>
    </row>
    <row r="200" spans="1:16" ht="33.75">
      <c r="A200" s="140" t="s">
        <v>4065</v>
      </c>
      <c r="B200" s="140" t="s">
        <v>3143</v>
      </c>
      <c r="C200" s="140" t="s">
        <v>4066</v>
      </c>
      <c r="D200" s="187" t="s">
        <v>242</v>
      </c>
      <c r="E200" s="161"/>
      <c r="F200" s="147" t="s">
        <v>4063</v>
      </c>
      <c r="G200" s="142" t="s">
        <v>4067</v>
      </c>
      <c r="H200" s="142" t="s">
        <v>198</v>
      </c>
      <c r="I200" s="140"/>
      <c r="J200" s="140"/>
      <c r="K200" s="140" t="s">
        <v>191</v>
      </c>
      <c r="L200" s="143">
        <v>4</v>
      </c>
      <c r="M200" s="368">
        <v>5</v>
      </c>
      <c r="N200" s="148" t="s">
        <v>199</v>
      </c>
      <c r="P200" s="84"/>
    </row>
    <row r="201" spans="1:16" ht="22.5">
      <c r="A201" s="140" t="s">
        <v>4068</v>
      </c>
      <c r="B201" s="140" t="s">
        <v>4069</v>
      </c>
      <c r="C201" s="140" t="s">
        <v>4070</v>
      </c>
      <c r="D201" s="187" t="s">
        <v>242</v>
      </c>
      <c r="E201" s="161"/>
      <c r="F201" s="147" t="s">
        <v>4063</v>
      </c>
      <c r="G201" s="142" t="s">
        <v>4071</v>
      </c>
      <c r="H201" s="142" t="s">
        <v>198</v>
      </c>
      <c r="I201" s="140"/>
      <c r="J201" s="140"/>
      <c r="K201" s="140" t="s">
        <v>191</v>
      </c>
      <c r="L201" s="143">
        <v>4</v>
      </c>
      <c r="M201" s="368">
        <v>5</v>
      </c>
      <c r="N201" s="148" t="s">
        <v>199</v>
      </c>
      <c r="P201" s="84"/>
    </row>
    <row r="202" spans="1:16" ht="22.5">
      <c r="A202" s="140" t="s">
        <v>4072</v>
      </c>
      <c r="B202" s="140" t="s">
        <v>3165</v>
      </c>
      <c r="C202" s="140" t="s">
        <v>4073</v>
      </c>
      <c r="D202" s="187" t="s">
        <v>242</v>
      </c>
      <c r="E202" s="161"/>
      <c r="F202" s="147" t="s">
        <v>4063</v>
      </c>
      <c r="G202" s="142" t="s">
        <v>4074</v>
      </c>
      <c r="H202" s="142" t="s">
        <v>198</v>
      </c>
      <c r="I202" s="140"/>
      <c r="J202" s="140"/>
      <c r="K202" s="140" t="s">
        <v>191</v>
      </c>
      <c r="L202" s="143">
        <v>4</v>
      </c>
      <c r="M202" s="368">
        <v>5</v>
      </c>
      <c r="N202" s="148" t="s">
        <v>199</v>
      </c>
      <c r="P202" s="84"/>
    </row>
    <row r="203" spans="1:16" ht="22.5">
      <c r="A203" s="140" t="s">
        <v>4075</v>
      </c>
      <c r="B203" s="140" t="s">
        <v>4076</v>
      </c>
      <c r="C203" s="140" t="s">
        <v>4077</v>
      </c>
      <c r="D203" s="187" t="s">
        <v>242</v>
      </c>
      <c r="E203" s="161"/>
      <c r="F203" s="147" t="s">
        <v>4063</v>
      </c>
      <c r="G203" s="142" t="s">
        <v>4078</v>
      </c>
      <c r="H203" s="142" t="s">
        <v>198</v>
      </c>
      <c r="I203" s="140"/>
      <c r="J203" s="140"/>
      <c r="K203" s="140" t="s">
        <v>191</v>
      </c>
      <c r="L203" s="143">
        <v>4</v>
      </c>
      <c r="M203" s="368">
        <v>5</v>
      </c>
      <c r="N203" s="148" t="s">
        <v>199</v>
      </c>
      <c r="P203" s="84"/>
    </row>
    <row r="204" spans="1:16" ht="11.25">
      <c r="A204" s="140" t="s">
        <v>4079</v>
      </c>
      <c r="B204" s="140" t="s">
        <v>4080</v>
      </c>
      <c r="C204" s="140" t="s">
        <v>758</v>
      </c>
      <c r="D204" s="187" t="s">
        <v>242</v>
      </c>
      <c r="E204" s="161"/>
      <c r="F204" s="147" t="s">
        <v>3733</v>
      </c>
      <c r="G204" s="167" t="s">
        <v>4081</v>
      </c>
      <c r="H204" s="225" t="s">
        <v>198</v>
      </c>
      <c r="I204" s="140"/>
      <c r="J204" s="140"/>
      <c r="K204" s="140" t="s">
        <v>191</v>
      </c>
      <c r="L204" s="143">
        <v>4</v>
      </c>
      <c r="M204" s="368">
        <v>5</v>
      </c>
      <c r="N204" s="148" t="s">
        <v>199</v>
      </c>
      <c r="P204" s="84"/>
    </row>
    <row r="205" spans="1:16" ht="22.5">
      <c r="A205" s="140" t="s">
        <v>4082</v>
      </c>
      <c r="B205" s="140" t="s">
        <v>3199</v>
      </c>
      <c r="C205" s="140" t="s">
        <v>4083</v>
      </c>
      <c r="D205" s="187" t="s">
        <v>242</v>
      </c>
      <c r="E205" s="161"/>
      <c r="F205" s="147" t="s">
        <v>4063</v>
      </c>
      <c r="G205" s="142" t="s">
        <v>4084</v>
      </c>
      <c r="H205" s="142" t="s">
        <v>198</v>
      </c>
      <c r="I205" s="140"/>
      <c r="J205" s="140"/>
      <c r="K205" s="140" t="s">
        <v>191</v>
      </c>
      <c r="L205" s="143">
        <v>4</v>
      </c>
      <c r="M205" s="368">
        <v>5</v>
      </c>
      <c r="N205" s="148" t="s">
        <v>199</v>
      </c>
      <c r="P205" s="84"/>
    </row>
    <row r="206" spans="1:16" ht="33.75">
      <c r="A206" s="140" t="s">
        <v>4085</v>
      </c>
      <c r="B206" s="140" t="s">
        <v>3203</v>
      </c>
      <c r="C206" s="140" t="s">
        <v>4086</v>
      </c>
      <c r="D206" s="187" t="s">
        <v>242</v>
      </c>
      <c r="E206" s="161"/>
      <c r="F206" s="147" t="s">
        <v>4063</v>
      </c>
      <c r="G206" s="142" t="s">
        <v>4087</v>
      </c>
      <c r="H206" s="142" t="s">
        <v>198</v>
      </c>
      <c r="I206" s="140"/>
      <c r="J206" s="140"/>
      <c r="K206" s="140" t="s">
        <v>191</v>
      </c>
      <c r="L206" s="143">
        <v>4</v>
      </c>
      <c r="M206" s="368">
        <v>5</v>
      </c>
      <c r="N206" s="148" t="s">
        <v>199</v>
      </c>
      <c r="P206" s="84"/>
    </row>
    <row r="207" spans="1:16" ht="11.25">
      <c r="A207" s="140" t="s">
        <v>4088</v>
      </c>
      <c r="B207" s="140" t="s">
        <v>4089</v>
      </c>
      <c r="C207" s="140" t="s">
        <v>758</v>
      </c>
      <c r="D207" s="187" t="s">
        <v>242</v>
      </c>
      <c r="E207" s="161"/>
      <c r="F207" s="147" t="s">
        <v>3733</v>
      </c>
      <c r="G207" s="142" t="s">
        <v>4090</v>
      </c>
      <c r="H207" s="142" t="s">
        <v>198</v>
      </c>
      <c r="I207" s="140"/>
      <c r="J207" s="140"/>
      <c r="K207" s="140" t="s">
        <v>191</v>
      </c>
      <c r="L207" s="143">
        <v>4</v>
      </c>
      <c r="M207" s="368">
        <v>5</v>
      </c>
      <c r="N207" s="148" t="s">
        <v>199</v>
      </c>
      <c r="P207" s="84"/>
    </row>
    <row r="208" spans="1:16" ht="11.25">
      <c r="A208" s="140" t="s">
        <v>4091</v>
      </c>
      <c r="B208" s="140" t="s">
        <v>4092</v>
      </c>
      <c r="C208" s="140" t="s">
        <v>758</v>
      </c>
      <c r="D208" s="187" t="s">
        <v>242</v>
      </c>
      <c r="E208" s="161"/>
      <c r="F208" s="147" t="s">
        <v>3733</v>
      </c>
      <c r="G208" s="142" t="s">
        <v>4093</v>
      </c>
      <c r="H208" s="142" t="s">
        <v>198</v>
      </c>
      <c r="I208" s="140"/>
      <c r="J208" s="140"/>
      <c r="K208" s="140" t="s">
        <v>191</v>
      </c>
      <c r="L208" s="143">
        <v>4</v>
      </c>
      <c r="M208" s="368">
        <v>5</v>
      </c>
      <c r="N208" s="148" t="s">
        <v>199</v>
      </c>
      <c r="P208" s="84"/>
    </row>
    <row r="209" spans="1:16" ht="11.25">
      <c r="A209" s="140" t="s">
        <v>4094</v>
      </c>
      <c r="B209" s="140" t="s">
        <v>3304</v>
      </c>
      <c r="C209" s="140" t="s">
        <v>4095</v>
      </c>
      <c r="D209" s="187" t="s">
        <v>242</v>
      </c>
      <c r="E209" s="161"/>
      <c r="F209" s="153" t="s">
        <v>3563</v>
      </c>
      <c r="G209" s="142" t="s">
        <v>4096</v>
      </c>
      <c r="H209" s="142" t="s">
        <v>198</v>
      </c>
      <c r="I209" s="140"/>
      <c r="J209" s="140"/>
      <c r="K209" s="140" t="s">
        <v>191</v>
      </c>
      <c r="L209" s="143">
        <v>4</v>
      </c>
      <c r="M209" s="368">
        <v>5</v>
      </c>
      <c r="N209" s="148" t="s">
        <v>199</v>
      </c>
      <c r="P209" s="84"/>
    </row>
    <row r="210" spans="1:16" ht="11.25">
      <c r="A210" s="140" t="s">
        <v>4097</v>
      </c>
      <c r="B210" s="140" t="s">
        <v>3308</v>
      </c>
      <c r="C210" s="140" t="s">
        <v>4098</v>
      </c>
      <c r="D210" s="187" t="s">
        <v>242</v>
      </c>
      <c r="E210" s="161"/>
      <c r="F210" s="153" t="s">
        <v>3563</v>
      </c>
      <c r="G210" s="142" t="s">
        <v>4099</v>
      </c>
      <c r="H210" s="142" t="s">
        <v>198</v>
      </c>
      <c r="I210" s="140"/>
      <c r="J210" s="140"/>
      <c r="K210" s="140" t="s">
        <v>191</v>
      </c>
      <c r="L210" s="143">
        <v>4</v>
      </c>
      <c r="M210" s="368">
        <v>5</v>
      </c>
      <c r="N210" s="148" t="s">
        <v>199</v>
      </c>
      <c r="P210" s="84"/>
    </row>
    <row r="211" spans="1:16" ht="11.25">
      <c r="A211" s="140" t="s">
        <v>4100</v>
      </c>
      <c r="B211" s="140" t="s">
        <v>3320</v>
      </c>
      <c r="C211" s="140" t="s">
        <v>4101</v>
      </c>
      <c r="D211" s="187" t="s">
        <v>242</v>
      </c>
      <c r="E211" s="161"/>
      <c r="F211" s="153" t="s">
        <v>3563</v>
      </c>
      <c r="G211" s="142" t="s">
        <v>4102</v>
      </c>
      <c r="H211" s="142" t="s">
        <v>198</v>
      </c>
      <c r="I211" s="140"/>
      <c r="J211" s="140"/>
      <c r="K211" s="140" t="s">
        <v>191</v>
      </c>
      <c r="L211" s="143">
        <v>4</v>
      </c>
      <c r="M211" s="368">
        <v>5</v>
      </c>
      <c r="N211" s="148" t="s">
        <v>199</v>
      </c>
      <c r="P211" s="84"/>
    </row>
    <row r="212" spans="1:16" ht="22.5">
      <c r="A212" s="140" t="s">
        <v>3680</v>
      </c>
      <c r="B212" s="140" t="s">
        <v>1467</v>
      </c>
      <c r="C212" s="140" t="s">
        <v>4103</v>
      </c>
      <c r="D212" s="187" t="s">
        <v>242</v>
      </c>
      <c r="E212" s="161"/>
      <c r="F212" s="153" t="s">
        <v>2106</v>
      </c>
      <c r="G212" s="142" t="s">
        <v>4104</v>
      </c>
      <c r="H212" s="142" t="s">
        <v>188</v>
      </c>
      <c r="I212" s="142" t="s">
        <v>1453</v>
      </c>
      <c r="J212" s="142"/>
      <c r="K212" s="140" t="s">
        <v>191</v>
      </c>
      <c r="L212" s="143">
        <v>4</v>
      </c>
      <c r="M212" s="368">
        <v>5</v>
      </c>
      <c r="N212" s="148" t="s">
        <v>199</v>
      </c>
      <c r="P212" s="84"/>
    </row>
    <row r="213" spans="1:16" ht="22.5">
      <c r="A213" s="140" t="s">
        <v>3682</v>
      </c>
      <c r="B213" s="140" t="s">
        <v>1471</v>
      </c>
      <c r="C213" s="140" t="s">
        <v>4105</v>
      </c>
      <c r="D213" s="187" t="s">
        <v>242</v>
      </c>
      <c r="E213" s="161"/>
      <c r="F213" s="153" t="s">
        <v>2106</v>
      </c>
      <c r="G213" s="142" t="s">
        <v>4106</v>
      </c>
      <c r="H213" s="142" t="s">
        <v>188</v>
      </c>
      <c r="I213" s="142" t="s">
        <v>1453</v>
      </c>
      <c r="J213" s="142"/>
      <c r="K213" s="140" t="s">
        <v>191</v>
      </c>
      <c r="L213" s="143">
        <v>4</v>
      </c>
      <c r="M213" s="368">
        <v>5</v>
      </c>
      <c r="N213" s="148" t="s">
        <v>199</v>
      </c>
      <c r="P213" s="84"/>
    </row>
    <row r="214" spans="1:16" ht="33.75">
      <c r="A214" s="178" t="s">
        <v>3670</v>
      </c>
      <c r="B214" s="178" t="s">
        <v>1330</v>
      </c>
      <c r="C214" s="178" t="s">
        <v>3671</v>
      </c>
      <c r="D214" s="178" t="s">
        <v>493</v>
      </c>
      <c r="E214" s="178"/>
      <c r="F214" s="192" t="s">
        <v>4107</v>
      </c>
      <c r="G214" s="180" t="s">
        <v>1332</v>
      </c>
      <c r="H214" s="180" t="s">
        <v>204</v>
      </c>
      <c r="I214" s="180" t="s">
        <v>3388</v>
      </c>
      <c r="J214" s="180"/>
      <c r="K214" s="140" t="s">
        <v>191</v>
      </c>
      <c r="L214" s="182">
        <v>4</v>
      </c>
      <c r="M214" s="368">
        <v>5</v>
      </c>
      <c r="N214" s="148" t="s">
        <v>199</v>
      </c>
      <c r="P214" s="84"/>
    </row>
    <row r="215" spans="1:16" ht="11.25">
      <c r="A215" s="170"/>
      <c r="B215" s="170"/>
      <c r="C215" s="170"/>
      <c r="D215" s="170"/>
      <c r="E215" s="170"/>
      <c r="F215" s="193"/>
      <c r="G215" s="173"/>
      <c r="H215" s="173"/>
      <c r="I215" s="173"/>
      <c r="J215" s="173"/>
      <c r="K215" s="173"/>
      <c r="L215" s="184"/>
      <c r="M215" s="185"/>
      <c r="N215" s="205"/>
      <c r="P215" s="84"/>
    </row>
    <row r="216" spans="1:16">
      <c r="A216" s="183" t="s">
        <v>4108</v>
      </c>
      <c r="B216" s="170"/>
      <c r="C216" s="170"/>
      <c r="D216" s="170"/>
      <c r="E216" s="170"/>
      <c r="F216" s="183"/>
      <c r="G216" s="173"/>
      <c r="H216" s="173"/>
      <c r="I216" s="173"/>
      <c r="J216" s="173"/>
      <c r="K216" s="173"/>
      <c r="L216" s="163"/>
      <c r="M216" s="185"/>
      <c r="N216" s="205"/>
      <c r="P216" s="84"/>
    </row>
    <row r="217" spans="1:16" ht="11.25">
      <c r="A217" s="187" t="s">
        <v>3639</v>
      </c>
      <c r="B217" s="187" t="s">
        <v>770</v>
      </c>
      <c r="C217" s="187" t="s">
        <v>3640</v>
      </c>
      <c r="D217" s="187" t="s">
        <v>493</v>
      </c>
      <c r="E217" s="187"/>
      <c r="F217" s="188"/>
      <c r="G217" s="189" t="s">
        <v>503</v>
      </c>
      <c r="H217" s="189" t="s">
        <v>198</v>
      </c>
      <c r="I217" s="194"/>
      <c r="J217" s="194"/>
      <c r="K217" s="140" t="s">
        <v>191</v>
      </c>
      <c r="L217" s="190">
        <v>4</v>
      </c>
      <c r="M217" s="368">
        <v>5</v>
      </c>
      <c r="N217" s="148" t="s">
        <v>199</v>
      </c>
      <c r="P217" s="84"/>
    </row>
    <row r="218" spans="1:16" ht="11.25">
      <c r="A218" s="140" t="s">
        <v>4109</v>
      </c>
      <c r="B218" s="140" t="s">
        <v>491</v>
      </c>
      <c r="C218" s="140" t="s">
        <v>3642</v>
      </c>
      <c r="D218" s="187" t="s">
        <v>493</v>
      </c>
      <c r="E218" s="161"/>
      <c r="F218" s="147"/>
      <c r="G218" s="140" t="s">
        <v>494</v>
      </c>
      <c r="H218" s="140" t="s">
        <v>466</v>
      </c>
      <c r="I218" s="152"/>
      <c r="J218" s="152"/>
      <c r="K218" s="140" t="s">
        <v>191</v>
      </c>
      <c r="L218" s="143">
        <v>4</v>
      </c>
      <c r="M218" s="368">
        <v>3</v>
      </c>
      <c r="N218" s="148" t="s">
        <v>199</v>
      </c>
      <c r="P218" s="84"/>
    </row>
    <row r="219" spans="1:16" ht="45">
      <c r="A219" s="187" t="s">
        <v>3577</v>
      </c>
      <c r="B219" s="187" t="s">
        <v>764</v>
      </c>
      <c r="C219" s="187" t="s">
        <v>3578</v>
      </c>
      <c r="D219" s="187" t="s">
        <v>185</v>
      </c>
      <c r="E219" s="187"/>
      <c r="F219" s="188"/>
      <c r="G219" s="189" t="s">
        <v>456</v>
      </c>
      <c r="H219" s="189" t="s">
        <v>204</v>
      </c>
      <c r="I219" s="194"/>
      <c r="J219" s="194"/>
      <c r="K219" s="140" t="s">
        <v>191</v>
      </c>
      <c r="L219" s="190">
        <v>4</v>
      </c>
      <c r="M219" s="368">
        <v>4</v>
      </c>
      <c r="N219" s="148" t="s">
        <v>199</v>
      </c>
      <c r="P219" s="84"/>
    </row>
    <row r="220" spans="1:16" ht="11.25">
      <c r="A220" s="140" t="s">
        <v>4110</v>
      </c>
      <c r="B220" s="140" t="s">
        <v>3409</v>
      </c>
      <c r="C220" s="140" t="s">
        <v>4111</v>
      </c>
      <c r="D220" s="140" t="s">
        <v>185</v>
      </c>
      <c r="E220" s="140"/>
      <c r="F220" s="147" t="s">
        <v>3563</v>
      </c>
      <c r="G220" s="142" t="s">
        <v>3411</v>
      </c>
      <c r="H220" s="142" t="s">
        <v>198</v>
      </c>
      <c r="I220" s="152"/>
      <c r="J220" s="152"/>
      <c r="K220" s="140" t="s">
        <v>191</v>
      </c>
      <c r="L220" s="143">
        <v>4</v>
      </c>
      <c r="M220" s="368">
        <v>5</v>
      </c>
      <c r="N220" s="148" t="s">
        <v>199</v>
      </c>
      <c r="P220" s="84"/>
    </row>
    <row r="221" spans="1:16" ht="11.25">
      <c r="A221" s="140" t="s">
        <v>4112</v>
      </c>
      <c r="B221" s="140" t="s">
        <v>3392</v>
      </c>
      <c r="C221" s="140" t="s">
        <v>4113</v>
      </c>
      <c r="D221" s="140" t="s">
        <v>242</v>
      </c>
      <c r="E221" s="140"/>
      <c r="F221" s="147" t="s">
        <v>3563</v>
      </c>
      <c r="G221" s="142" t="s">
        <v>3395</v>
      </c>
      <c r="H221" s="142" t="s">
        <v>204</v>
      </c>
      <c r="I221" s="152">
        <v>500</v>
      </c>
      <c r="J221" s="152"/>
      <c r="K221" s="140" t="s">
        <v>191</v>
      </c>
      <c r="L221" s="143">
        <v>4</v>
      </c>
      <c r="M221" s="368">
        <v>5</v>
      </c>
      <c r="N221" s="148" t="s">
        <v>199</v>
      </c>
      <c r="P221" s="84"/>
    </row>
    <row r="222" spans="1:16" ht="11.25">
      <c r="A222" s="140" t="s">
        <v>4114</v>
      </c>
      <c r="B222" s="140" t="s">
        <v>3398</v>
      </c>
      <c r="C222" s="140" t="s">
        <v>758</v>
      </c>
      <c r="D222" s="140" t="s">
        <v>242</v>
      </c>
      <c r="E222" s="140"/>
      <c r="F222" s="147" t="s">
        <v>3733</v>
      </c>
      <c r="G222" s="168" t="s">
        <v>3399</v>
      </c>
      <c r="H222" s="173" t="s">
        <v>466</v>
      </c>
      <c r="I222" s="152"/>
      <c r="J222" s="152"/>
      <c r="K222" s="140" t="s">
        <v>191</v>
      </c>
      <c r="L222" s="143">
        <v>4</v>
      </c>
      <c r="M222" s="368">
        <v>5</v>
      </c>
      <c r="N222" s="148" t="s">
        <v>199</v>
      </c>
      <c r="P222" s="84"/>
    </row>
    <row r="223" spans="1:16" ht="33.75">
      <c r="A223" s="140" t="s">
        <v>4115</v>
      </c>
      <c r="B223" s="140" t="s">
        <v>3401</v>
      </c>
      <c r="C223" s="140" t="s">
        <v>4116</v>
      </c>
      <c r="D223" s="140" t="s">
        <v>242</v>
      </c>
      <c r="E223" s="140"/>
      <c r="F223" s="147" t="s">
        <v>3563</v>
      </c>
      <c r="G223" s="142" t="s">
        <v>3403</v>
      </c>
      <c r="H223" s="142" t="s">
        <v>204</v>
      </c>
      <c r="I223" s="195" t="s">
        <v>4117</v>
      </c>
      <c r="J223" s="195"/>
      <c r="K223" s="140" t="s">
        <v>191</v>
      </c>
      <c r="L223" s="143">
        <v>4</v>
      </c>
      <c r="M223" s="368">
        <v>5</v>
      </c>
      <c r="N223" s="148" t="s">
        <v>199</v>
      </c>
      <c r="P223" s="84"/>
    </row>
    <row r="224" spans="1:16" ht="11.25">
      <c r="A224" s="140" t="s">
        <v>4118</v>
      </c>
      <c r="B224" s="140" t="s">
        <v>3416</v>
      </c>
      <c r="C224" s="140" t="s">
        <v>4119</v>
      </c>
      <c r="D224" s="140" t="s">
        <v>242</v>
      </c>
      <c r="E224" s="140"/>
      <c r="F224" s="147" t="s">
        <v>3563</v>
      </c>
      <c r="G224" s="142" t="s">
        <v>4120</v>
      </c>
      <c r="H224" s="225" t="s">
        <v>204</v>
      </c>
      <c r="I224" s="152"/>
      <c r="J224" s="152"/>
      <c r="K224" s="140" t="s">
        <v>191</v>
      </c>
      <c r="L224" s="143">
        <v>4</v>
      </c>
      <c r="M224" s="368">
        <v>5</v>
      </c>
      <c r="N224" s="148" t="s">
        <v>199</v>
      </c>
      <c r="P224" s="84"/>
    </row>
    <row r="225" spans="1:16" ht="22.5">
      <c r="A225" s="140" t="s">
        <v>4121</v>
      </c>
      <c r="B225" s="140" t="s">
        <v>3421</v>
      </c>
      <c r="C225" s="140" t="s">
        <v>4122</v>
      </c>
      <c r="D225" s="140" t="s">
        <v>242</v>
      </c>
      <c r="E225" s="140"/>
      <c r="F225" s="147" t="s">
        <v>3563</v>
      </c>
      <c r="G225" s="142" t="s">
        <v>3423</v>
      </c>
      <c r="H225" s="142" t="s">
        <v>188</v>
      </c>
      <c r="I225" s="145" t="s">
        <v>1479</v>
      </c>
      <c r="J225" s="145"/>
      <c r="K225" s="140" t="s">
        <v>191</v>
      </c>
      <c r="L225" s="143">
        <v>4</v>
      </c>
      <c r="M225" s="368">
        <v>5</v>
      </c>
      <c r="N225" s="148" t="s">
        <v>199</v>
      </c>
      <c r="P225" s="84"/>
    </row>
    <row r="226" spans="1:16" ht="22.5">
      <c r="A226" s="140" t="s">
        <v>4123</v>
      </c>
      <c r="B226" s="140" t="s">
        <v>3425</v>
      </c>
      <c r="C226" s="140" t="s">
        <v>4124</v>
      </c>
      <c r="D226" s="140" t="s">
        <v>242</v>
      </c>
      <c r="E226" s="140"/>
      <c r="F226" s="147" t="s">
        <v>3563</v>
      </c>
      <c r="G226" s="142" t="s">
        <v>3428</v>
      </c>
      <c r="H226" s="142" t="s">
        <v>188</v>
      </c>
      <c r="I226" s="145" t="s">
        <v>1479</v>
      </c>
      <c r="J226" s="145"/>
      <c r="K226" s="140" t="s">
        <v>191</v>
      </c>
      <c r="L226" s="143">
        <v>4</v>
      </c>
      <c r="M226" s="368">
        <v>5</v>
      </c>
      <c r="N226" s="148" t="s">
        <v>199</v>
      </c>
      <c r="P226" s="84"/>
    </row>
    <row r="227" spans="1:16" ht="78.75">
      <c r="A227" s="140" t="s">
        <v>4125</v>
      </c>
      <c r="B227" s="140" t="s">
        <v>3435</v>
      </c>
      <c r="C227" s="140" t="s">
        <v>4126</v>
      </c>
      <c r="D227" s="140" t="s">
        <v>242</v>
      </c>
      <c r="E227" s="140"/>
      <c r="F227" s="147" t="s">
        <v>3563</v>
      </c>
      <c r="G227" s="142" t="s">
        <v>3437</v>
      </c>
      <c r="H227" s="142" t="s">
        <v>204</v>
      </c>
      <c r="I227" s="145" t="s">
        <v>4127</v>
      </c>
      <c r="J227" s="145"/>
      <c r="K227" s="140" t="s">
        <v>191</v>
      </c>
      <c r="L227" s="143">
        <v>4</v>
      </c>
      <c r="M227" s="368">
        <v>5</v>
      </c>
      <c r="N227" s="148" t="s">
        <v>199</v>
      </c>
      <c r="P227" s="84"/>
    </row>
    <row r="228" spans="1:16" ht="33.75">
      <c r="A228" s="140" t="s">
        <v>4128</v>
      </c>
      <c r="B228" s="140" t="s">
        <v>3440</v>
      </c>
      <c r="C228" s="140" t="s">
        <v>4129</v>
      </c>
      <c r="D228" s="140" t="s">
        <v>242</v>
      </c>
      <c r="E228" s="140"/>
      <c r="F228" s="147" t="s">
        <v>3563</v>
      </c>
      <c r="G228" s="142" t="s">
        <v>3441</v>
      </c>
      <c r="H228" s="142" t="s">
        <v>198</v>
      </c>
      <c r="I228" s="145" t="s">
        <v>4130</v>
      </c>
      <c r="J228" s="145"/>
      <c r="K228" s="140" t="s">
        <v>191</v>
      </c>
      <c r="L228" s="143">
        <v>4</v>
      </c>
      <c r="M228" s="368">
        <v>5</v>
      </c>
      <c r="N228" s="148" t="s">
        <v>199</v>
      </c>
      <c r="P228" s="84"/>
    </row>
    <row r="229" spans="1:16" ht="33.75">
      <c r="A229" s="140" t="s">
        <v>4131</v>
      </c>
      <c r="B229" s="140" t="s">
        <v>3444</v>
      </c>
      <c r="C229" s="140" t="s">
        <v>4132</v>
      </c>
      <c r="D229" s="140" t="s">
        <v>242</v>
      </c>
      <c r="E229" s="140"/>
      <c r="F229" s="147" t="s">
        <v>3563</v>
      </c>
      <c r="G229" s="142" t="s">
        <v>3446</v>
      </c>
      <c r="H229" s="142" t="s">
        <v>198</v>
      </c>
      <c r="I229" s="145" t="s">
        <v>4133</v>
      </c>
      <c r="J229" s="145"/>
      <c r="K229" s="140" t="s">
        <v>191</v>
      </c>
      <c r="L229" s="143">
        <v>4</v>
      </c>
      <c r="M229" s="368">
        <v>5</v>
      </c>
      <c r="N229" s="148" t="s">
        <v>199</v>
      </c>
      <c r="P229" s="84"/>
    </row>
    <row r="230" spans="1:16" ht="33.75">
      <c r="A230" s="140" t="s">
        <v>4134</v>
      </c>
      <c r="B230" s="140" t="s">
        <v>3449</v>
      </c>
      <c r="C230" s="140" t="s">
        <v>4135</v>
      </c>
      <c r="D230" s="140" t="s">
        <v>242</v>
      </c>
      <c r="E230" s="140"/>
      <c r="F230" s="147" t="s">
        <v>3563</v>
      </c>
      <c r="G230" s="142" t="s">
        <v>3451</v>
      </c>
      <c r="H230" s="142" t="s">
        <v>198</v>
      </c>
      <c r="I230" s="145" t="s">
        <v>4136</v>
      </c>
      <c r="J230" s="145"/>
      <c r="K230" s="140" t="s">
        <v>191</v>
      </c>
      <c r="L230" s="143">
        <v>4</v>
      </c>
      <c r="M230" s="368">
        <v>5</v>
      </c>
      <c r="N230" s="148" t="s">
        <v>199</v>
      </c>
      <c r="P230" s="84"/>
    </row>
    <row r="231" spans="1:16" ht="33.75">
      <c r="A231" s="140" t="s">
        <v>4137</v>
      </c>
      <c r="B231" s="140" t="s">
        <v>3453</v>
      </c>
      <c r="C231" s="140" t="s">
        <v>4138</v>
      </c>
      <c r="D231" s="140" t="s">
        <v>242</v>
      </c>
      <c r="E231" s="140"/>
      <c r="F231" s="147" t="s">
        <v>3563</v>
      </c>
      <c r="G231" s="142" t="s">
        <v>3455</v>
      </c>
      <c r="H231" s="142" t="s">
        <v>198</v>
      </c>
      <c r="I231" s="145" t="s">
        <v>4136</v>
      </c>
      <c r="J231" s="145"/>
      <c r="K231" s="140" t="s">
        <v>191</v>
      </c>
      <c r="L231" s="143">
        <v>4</v>
      </c>
      <c r="M231" s="368">
        <v>5</v>
      </c>
      <c r="N231" s="148" t="s">
        <v>199</v>
      </c>
      <c r="P231" s="84"/>
    </row>
    <row r="232" spans="1:16" ht="33.75">
      <c r="A232" s="140" t="s">
        <v>4139</v>
      </c>
      <c r="B232" s="140" t="s">
        <v>3457</v>
      </c>
      <c r="C232" s="140" t="s">
        <v>4140</v>
      </c>
      <c r="D232" s="140" t="s">
        <v>242</v>
      </c>
      <c r="E232" s="140"/>
      <c r="F232" s="147" t="s">
        <v>3563</v>
      </c>
      <c r="G232" s="142" t="s">
        <v>3459</v>
      </c>
      <c r="H232" s="142" t="s">
        <v>198</v>
      </c>
      <c r="I232" s="145" t="s">
        <v>3447</v>
      </c>
      <c r="J232" s="145"/>
      <c r="K232" s="140" t="s">
        <v>191</v>
      </c>
      <c r="L232" s="143">
        <v>4</v>
      </c>
      <c r="M232" s="368">
        <v>5</v>
      </c>
      <c r="N232" s="148" t="s">
        <v>199</v>
      </c>
      <c r="P232" s="84"/>
    </row>
    <row r="233" spans="1:16" ht="33.75">
      <c r="A233" s="140" t="s">
        <v>4141</v>
      </c>
      <c r="B233" s="140" t="s">
        <v>3461</v>
      </c>
      <c r="C233" s="140" t="s">
        <v>4142</v>
      </c>
      <c r="D233" s="140" t="s">
        <v>242</v>
      </c>
      <c r="E233" s="140"/>
      <c r="F233" s="147" t="s">
        <v>3563</v>
      </c>
      <c r="G233" s="142" t="s">
        <v>3463</v>
      </c>
      <c r="H233" s="142" t="s">
        <v>198</v>
      </c>
      <c r="I233" s="145" t="s">
        <v>3447</v>
      </c>
      <c r="J233" s="145"/>
      <c r="K233" s="140" t="s">
        <v>191</v>
      </c>
      <c r="L233" s="143">
        <v>4</v>
      </c>
      <c r="M233" s="368">
        <v>5</v>
      </c>
      <c r="N233" s="148" t="s">
        <v>199</v>
      </c>
      <c r="P233" s="84"/>
    </row>
    <row r="234" spans="1:16" ht="33.75">
      <c r="A234" s="140" t="s">
        <v>4143</v>
      </c>
      <c r="B234" s="140" t="s">
        <v>3465</v>
      </c>
      <c r="C234" s="140" t="s">
        <v>4144</v>
      </c>
      <c r="D234" s="140" t="s">
        <v>242</v>
      </c>
      <c r="E234" s="140"/>
      <c r="F234" s="147" t="s">
        <v>3563</v>
      </c>
      <c r="G234" s="142" t="s">
        <v>3467</v>
      </c>
      <c r="H234" s="142" t="s">
        <v>198</v>
      </c>
      <c r="I234" s="145" t="s">
        <v>4145</v>
      </c>
      <c r="J234" s="145"/>
      <c r="K234" s="140" t="s">
        <v>191</v>
      </c>
      <c r="L234" s="143">
        <v>4</v>
      </c>
      <c r="M234" s="368">
        <v>5</v>
      </c>
      <c r="N234" s="148" t="s">
        <v>199</v>
      </c>
      <c r="P234" s="84"/>
    </row>
    <row r="235" spans="1:16" ht="78.75">
      <c r="A235" s="140" t="s">
        <v>4146</v>
      </c>
      <c r="B235" s="140" t="s">
        <v>3473</v>
      </c>
      <c r="C235" s="140" t="s">
        <v>4147</v>
      </c>
      <c r="D235" s="140" t="s">
        <v>242</v>
      </c>
      <c r="E235" s="140"/>
      <c r="F235" s="147" t="s">
        <v>3563</v>
      </c>
      <c r="G235" s="142" t="s">
        <v>3475</v>
      </c>
      <c r="H235" s="142" t="s">
        <v>204</v>
      </c>
      <c r="I235" s="142" t="s">
        <v>4148</v>
      </c>
      <c r="J235" s="142"/>
      <c r="K235" s="140" t="s">
        <v>191</v>
      </c>
      <c r="L235" s="143">
        <v>4</v>
      </c>
      <c r="M235" s="368">
        <v>5</v>
      </c>
      <c r="N235" s="148" t="s">
        <v>199</v>
      </c>
      <c r="P235" s="84"/>
    </row>
    <row r="236" spans="1:16" ht="22.5">
      <c r="A236" s="140" t="s">
        <v>3815</v>
      </c>
      <c r="B236" s="140" t="s">
        <v>2481</v>
      </c>
      <c r="C236" s="140" t="s">
        <v>4149</v>
      </c>
      <c r="D236" s="140" t="s">
        <v>242</v>
      </c>
      <c r="E236" s="140"/>
      <c r="F236" s="147" t="s">
        <v>3563</v>
      </c>
      <c r="G236" s="142" t="s">
        <v>3486</v>
      </c>
      <c r="H236" s="142" t="s">
        <v>204</v>
      </c>
      <c r="I236" s="145" t="s">
        <v>4150</v>
      </c>
      <c r="J236" s="145"/>
      <c r="K236" s="140" t="s">
        <v>191</v>
      </c>
      <c r="L236" s="143">
        <v>4</v>
      </c>
      <c r="M236" s="368">
        <v>5</v>
      </c>
      <c r="N236" s="148" t="s">
        <v>199</v>
      </c>
      <c r="P236" s="84"/>
    </row>
    <row r="237" spans="1:16" ht="22.5">
      <c r="A237" s="140" t="s">
        <v>3818</v>
      </c>
      <c r="B237" s="140" t="s">
        <v>3489</v>
      </c>
      <c r="C237" s="140" t="s">
        <v>4151</v>
      </c>
      <c r="D237" s="140" t="s">
        <v>242</v>
      </c>
      <c r="E237" s="140"/>
      <c r="F237" s="147" t="s">
        <v>3563</v>
      </c>
      <c r="G237" s="142" t="s">
        <v>3491</v>
      </c>
      <c r="H237" s="142" t="s">
        <v>204</v>
      </c>
      <c r="I237" s="145" t="s">
        <v>4150</v>
      </c>
      <c r="J237" s="145"/>
      <c r="K237" s="140" t="s">
        <v>191</v>
      </c>
      <c r="L237" s="143">
        <v>4</v>
      </c>
      <c r="M237" s="368">
        <v>5</v>
      </c>
      <c r="N237" s="148" t="s">
        <v>199</v>
      </c>
      <c r="P237" s="84"/>
    </row>
    <row r="238" spans="1:16" ht="22.5">
      <c r="A238" s="140" t="s">
        <v>4152</v>
      </c>
      <c r="B238" s="140" t="s">
        <v>3506</v>
      </c>
      <c r="C238" s="140" t="s">
        <v>4153</v>
      </c>
      <c r="D238" s="140" t="s">
        <v>242</v>
      </c>
      <c r="E238" s="140"/>
      <c r="F238" s="147" t="s">
        <v>3563</v>
      </c>
      <c r="G238" s="142" t="s">
        <v>3508</v>
      </c>
      <c r="H238" s="142" t="s">
        <v>204</v>
      </c>
      <c r="I238" s="145" t="s">
        <v>4154</v>
      </c>
      <c r="J238" s="145"/>
      <c r="K238" s="140" t="s">
        <v>191</v>
      </c>
      <c r="L238" s="143">
        <v>4</v>
      </c>
      <c r="M238" s="368">
        <v>5</v>
      </c>
      <c r="N238" s="148" t="s">
        <v>199</v>
      </c>
      <c r="P238" s="84"/>
    </row>
    <row r="239" spans="1:16" ht="11.25">
      <c r="A239" s="140" t="s">
        <v>4155</v>
      </c>
      <c r="B239" s="140" t="s">
        <v>3511</v>
      </c>
      <c r="C239" s="140" t="s">
        <v>4156</v>
      </c>
      <c r="D239" s="140" t="s">
        <v>242</v>
      </c>
      <c r="E239" s="140"/>
      <c r="F239" s="147" t="s">
        <v>3563</v>
      </c>
      <c r="G239" s="142" t="s">
        <v>3513</v>
      </c>
      <c r="H239" s="142" t="s">
        <v>198</v>
      </c>
      <c r="I239" s="145"/>
      <c r="J239" s="145"/>
      <c r="K239" s="140" t="s">
        <v>191</v>
      </c>
      <c r="L239" s="143">
        <v>4</v>
      </c>
      <c r="M239" s="368">
        <v>5</v>
      </c>
      <c r="N239" s="148" t="s">
        <v>199</v>
      </c>
      <c r="P239" s="84"/>
    </row>
    <row r="240" spans="1:16" ht="11.25">
      <c r="A240" s="140" t="s">
        <v>4157</v>
      </c>
      <c r="B240" s="140" t="s">
        <v>3528</v>
      </c>
      <c r="C240" s="140" t="s">
        <v>4158</v>
      </c>
      <c r="D240" s="140" t="s">
        <v>242</v>
      </c>
      <c r="E240" s="140"/>
      <c r="F240" s="147" t="s">
        <v>3563</v>
      </c>
      <c r="G240" s="142" t="s">
        <v>3530</v>
      </c>
      <c r="H240" s="142" t="s">
        <v>204</v>
      </c>
      <c r="I240" s="145" t="s">
        <v>4159</v>
      </c>
      <c r="J240" s="145"/>
      <c r="K240" s="140" t="s">
        <v>191</v>
      </c>
      <c r="L240" s="143">
        <v>4</v>
      </c>
      <c r="M240" s="368">
        <v>5</v>
      </c>
      <c r="N240" s="148" t="s">
        <v>199</v>
      </c>
      <c r="P240" s="84"/>
    </row>
    <row r="241" spans="1:16" ht="11.25">
      <c r="A241" s="140" t="s">
        <v>4160</v>
      </c>
      <c r="B241" s="140" t="s">
        <v>3541</v>
      </c>
      <c r="C241" s="140" t="s">
        <v>758</v>
      </c>
      <c r="D241" s="140" t="s">
        <v>242</v>
      </c>
      <c r="E241" s="140"/>
      <c r="F241" s="147" t="s">
        <v>3733</v>
      </c>
      <c r="G241" s="142" t="s">
        <v>3543</v>
      </c>
      <c r="H241" s="142" t="s">
        <v>204</v>
      </c>
      <c r="I241" s="145"/>
      <c r="J241" s="145"/>
      <c r="K241" s="140" t="s">
        <v>191</v>
      </c>
      <c r="L241" s="143">
        <v>4</v>
      </c>
      <c r="M241" s="368">
        <v>5</v>
      </c>
      <c r="N241" s="148" t="s">
        <v>199</v>
      </c>
      <c r="P241" s="84"/>
    </row>
    <row r="242" spans="1:16" ht="22.5">
      <c r="A242" s="140" t="s">
        <v>4161</v>
      </c>
      <c r="B242" s="140" t="s">
        <v>3430</v>
      </c>
      <c r="C242" s="140" t="s">
        <v>4162</v>
      </c>
      <c r="D242" s="140" t="s">
        <v>242</v>
      </c>
      <c r="E242" s="140"/>
      <c r="F242" s="147" t="s">
        <v>3563</v>
      </c>
      <c r="G242" s="142" t="s">
        <v>3432</v>
      </c>
      <c r="H242" s="142" t="s">
        <v>204</v>
      </c>
      <c r="I242" s="145" t="s">
        <v>3667</v>
      </c>
      <c r="J242" s="145"/>
      <c r="K242" s="140" t="s">
        <v>191</v>
      </c>
      <c r="L242" s="143">
        <v>4</v>
      </c>
      <c r="M242" s="368">
        <v>5</v>
      </c>
      <c r="N242" s="148" t="s">
        <v>199</v>
      </c>
      <c r="P242" s="84"/>
    </row>
    <row r="243" spans="1:16" ht="22.5">
      <c r="A243" s="140" t="s">
        <v>4163</v>
      </c>
      <c r="B243" s="140" t="s">
        <v>1660</v>
      </c>
      <c r="C243" s="140"/>
      <c r="D243" s="140" t="s">
        <v>242</v>
      </c>
      <c r="E243" s="140"/>
      <c r="F243" s="147" t="s">
        <v>4164</v>
      </c>
      <c r="G243" s="142" t="s">
        <v>3324</v>
      </c>
      <c r="H243" s="142" t="s">
        <v>204</v>
      </c>
      <c r="I243" s="145" t="s">
        <v>4165</v>
      </c>
      <c r="J243" s="145"/>
      <c r="K243" s="140" t="s">
        <v>191</v>
      </c>
      <c r="L243" s="143">
        <v>4</v>
      </c>
      <c r="M243" s="368">
        <v>5</v>
      </c>
      <c r="N243" s="148" t="s">
        <v>199</v>
      </c>
      <c r="P243" s="84"/>
    </row>
    <row r="244" spans="1:16" ht="22.5">
      <c r="A244" s="140" t="s">
        <v>4166</v>
      </c>
      <c r="B244" s="140" t="s">
        <v>1664</v>
      </c>
      <c r="C244" s="140"/>
      <c r="D244" s="140" t="s">
        <v>242</v>
      </c>
      <c r="E244" s="140"/>
      <c r="F244" s="147" t="s">
        <v>4164</v>
      </c>
      <c r="G244" s="142" t="s">
        <v>3327</v>
      </c>
      <c r="H244" s="142" t="s">
        <v>204</v>
      </c>
      <c r="I244" s="145" t="s">
        <v>4167</v>
      </c>
      <c r="J244" s="145"/>
      <c r="K244" s="140" t="s">
        <v>191</v>
      </c>
      <c r="L244" s="143">
        <v>4</v>
      </c>
      <c r="M244" s="368">
        <v>5</v>
      </c>
      <c r="N244" s="148" t="s">
        <v>199</v>
      </c>
      <c r="P244" s="84"/>
    </row>
    <row r="245" spans="1:16" ht="22.5">
      <c r="A245" s="140" t="s">
        <v>4168</v>
      </c>
      <c r="B245" s="140" t="s">
        <v>1668</v>
      </c>
      <c r="C245" s="140"/>
      <c r="D245" s="140" t="s">
        <v>242</v>
      </c>
      <c r="E245" s="140"/>
      <c r="F245" s="147" t="s">
        <v>4164</v>
      </c>
      <c r="G245" s="142" t="s">
        <v>3330</v>
      </c>
      <c r="H245" s="142" t="s">
        <v>204</v>
      </c>
      <c r="I245" s="145" t="s">
        <v>4167</v>
      </c>
      <c r="J245" s="145"/>
      <c r="K245" s="140" t="s">
        <v>191</v>
      </c>
      <c r="L245" s="143">
        <v>4</v>
      </c>
      <c r="M245" s="368">
        <v>5</v>
      </c>
      <c r="N245" s="148" t="s">
        <v>199</v>
      </c>
      <c r="P245" s="84"/>
    </row>
    <row r="246" spans="1:16" ht="22.5">
      <c r="A246" s="140" t="s">
        <v>4169</v>
      </c>
      <c r="B246" s="140" t="s">
        <v>1671</v>
      </c>
      <c r="C246" s="140"/>
      <c r="D246" s="140" t="s">
        <v>242</v>
      </c>
      <c r="E246" s="140"/>
      <c r="F246" s="147" t="s">
        <v>4164</v>
      </c>
      <c r="G246" s="142" t="s">
        <v>3332</v>
      </c>
      <c r="H246" s="142" t="s">
        <v>204</v>
      </c>
      <c r="I246" s="145" t="s">
        <v>4167</v>
      </c>
      <c r="J246" s="145"/>
      <c r="K246" s="140" t="s">
        <v>191</v>
      </c>
      <c r="L246" s="143">
        <v>4</v>
      </c>
      <c r="M246" s="368">
        <v>5</v>
      </c>
      <c r="N246" s="148" t="s">
        <v>199</v>
      </c>
      <c r="P246" s="84"/>
    </row>
    <row r="247" spans="1:16" ht="22.5">
      <c r="A247" s="140" t="s">
        <v>4170</v>
      </c>
      <c r="B247" s="140" t="s">
        <v>1674</v>
      </c>
      <c r="C247" s="140"/>
      <c r="D247" s="140" t="s">
        <v>242</v>
      </c>
      <c r="E247" s="140"/>
      <c r="F247" s="147" t="s">
        <v>4164</v>
      </c>
      <c r="G247" s="142" t="s">
        <v>4171</v>
      </c>
      <c r="H247" s="142" t="s">
        <v>204</v>
      </c>
      <c r="I247" s="145" t="s">
        <v>4167</v>
      </c>
      <c r="J247" s="145"/>
      <c r="K247" s="140" t="s">
        <v>191</v>
      </c>
      <c r="L247" s="143">
        <v>4</v>
      </c>
      <c r="M247" s="368">
        <v>5</v>
      </c>
      <c r="N247" s="148" t="s">
        <v>199</v>
      </c>
      <c r="P247" s="84"/>
    </row>
    <row r="248" spans="1:16" ht="22.5">
      <c r="A248" s="140" t="s">
        <v>4172</v>
      </c>
      <c r="B248" s="140" t="s">
        <v>1677</v>
      </c>
      <c r="C248" s="140"/>
      <c r="D248" s="140" t="s">
        <v>242</v>
      </c>
      <c r="E248" s="140"/>
      <c r="F248" s="147" t="s">
        <v>4164</v>
      </c>
      <c r="G248" s="142" t="s">
        <v>3336</v>
      </c>
      <c r="H248" s="142" t="s">
        <v>204</v>
      </c>
      <c r="I248" s="145" t="s">
        <v>4165</v>
      </c>
      <c r="J248" s="145"/>
      <c r="K248" s="140" t="s">
        <v>191</v>
      </c>
      <c r="L248" s="143">
        <v>4</v>
      </c>
      <c r="M248" s="368">
        <v>5</v>
      </c>
      <c r="N248" s="148" t="s">
        <v>199</v>
      </c>
      <c r="P248" s="84"/>
    </row>
    <row r="249" spans="1:16" ht="22.5">
      <c r="A249" s="140" t="s">
        <v>4173</v>
      </c>
      <c r="B249" s="140" t="s">
        <v>1680</v>
      </c>
      <c r="C249" s="140"/>
      <c r="D249" s="140" t="s">
        <v>242</v>
      </c>
      <c r="E249" s="140"/>
      <c r="F249" s="147" t="s">
        <v>4164</v>
      </c>
      <c r="G249" s="142" t="s">
        <v>3338</v>
      </c>
      <c r="H249" s="142" t="s">
        <v>204</v>
      </c>
      <c r="I249" s="145" t="s">
        <v>4167</v>
      </c>
      <c r="J249" s="145"/>
      <c r="K249" s="140" t="s">
        <v>191</v>
      </c>
      <c r="L249" s="143">
        <v>4</v>
      </c>
      <c r="M249" s="368">
        <v>5</v>
      </c>
      <c r="N249" s="148" t="s">
        <v>199</v>
      </c>
      <c r="P249" s="84"/>
    </row>
    <row r="250" spans="1:16" ht="22.5">
      <c r="A250" s="140" t="s">
        <v>4174</v>
      </c>
      <c r="B250" s="140" t="s">
        <v>1683</v>
      </c>
      <c r="C250" s="140"/>
      <c r="D250" s="140" t="s">
        <v>242</v>
      </c>
      <c r="E250" s="140"/>
      <c r="F250" s="147" t="s">
        <v>4164</v>
      </c>
      <c r="G250" s="142" t="s">
        <v>3340</v>
      </c>
      <c r="H250" s="142" t="s">
        <v>204</v>
      </c>
      <c r="I250" s="145" t="s">
        <v>4167</v>
      </c>
      <c r="J250" s="145"/>
      <c r="K250" s="140" t="s">
        <v>191</v>
      </c>
      <c r="L250" s="143">
        <v>4</v>
      </c>
      <c r="M250" s="368">
        <v>5</v>
      </c>
      <c r="N250" s="148" t="s">
        <v>199</v>
      </c>
      <c r="P250" s="84"/>
    </row>
    <row r="251" spans="1:16" ht="22.5">
      <c r="A251" s="140" t="s">
        <v>4175</v>
      </c>
      <c r="B251" s="140" t="s">
        <v>1686</v>
      </c>
      <c r="C251" s="140"/>
      <c r="D251" s="140" t="s">
        <v>242</v>
      </c>
      <c r="E251" s="140"/>
      <c r="F251" s="147" t="s">
        <v>4164</v>
      </c>
      <c r="G251" s="142" t="s">
        <v>4176</v>
      </c>
      <c r="H251" s="142" t="s">
        <v>204</v>
      </c>
      <c r="I251" s="145" t="s">
        <v>4167</v>
      </c>
      <c r="J251" s="145"/>
      <c r="K251" s="140" t="s">
        <v>191</v>
      </c>
      <c r="L251" s="143">
        <v>4</v>
      </c>
      <c r="M251" s="368">
        <v>5</v>
      </c>
      <c r="N251" s="148" t="s">
        <v>199</v>
      </c>
      <c r="P251" s="84"/>
    </row>
    <row r="252" spans="1:16" ht="33.75">
      <c r="A252" s="140" t="s">
        <v>4177</v>
      </c>
      <c r="B252" s="140" t="s">
        <v>1689</v>
      </c>
      <c r="C252" s="140"/>
      <c r="D252" s="140" t="s">
        <v>242</v>
      </c>
      <c r="E252" s="140"/>
      <c r="F252" s="147" t="s">
        <v>4164</v>
      </c>
      <c r="G252" s="142" t="s">
        <v>3344</v>
      </c>
      <c r="H252" s="142" t="s">
        <v>204</v>
      </c>
      <c r="I252" s="145" t="s">
        <v>4178</v>
      </c>
      <c r="J252" s="145"/>
      <c r="K252" s="140" t="s">
        <v>191</v>
      </c>
      <c r="L252" s="143">
        <v>4</v>
      </c>
      <c r="M252" s="368">
        <v>5</v>
      </c>
      <c r="N252" s="148" t="s">
        <v>199</v>
      </c>
      <c r="P252" s="84"/>
    </row>
    <row r="253" spans="1:16" ht="22.5">
      <c r="A253" s="140" t="s">
        <v>4179</v>
      </c>
      <c r="B253" s="140" t="s">
        <v>4180</v>
      </c>
      <c r="C253" s="140"/>
      <c r="D253" s="140" t="s">
        <v>242</v>
      </c>
      <c r="E253" s="140"/>
      <c r="F253" s="147" t="s">
        <v>4164</v>
      </c>
      <c r="G253" s="142" t="s">
        <v>1495</v>
      </c>
      <c r="H253" s="142" t="s">
        <v>188</v>
      </c>
      <c r="I253" s="145" t="s">
        <v>1479</v>
      </c>
      <c r="J253" s="145"/>
      <c r="K253" s="140" t="s">
        <v>191</v>
      </c>
      <c r="L253" s="143">
        <v>4</v>
      </c>
      <c r="M253" s="368">
        <v>5</v>
      </c>
      <c r="N253" s="148" t="s">
        <v>199</v>
      </c>
      <c r="P253" s="84"/>
    </row>
    <row r="254" spans="1:16" ht="22.5">
      <c r="A254" s="140" t="s">
        <v>4181</v>
      </c>
      <c r="B254" s="140" t="s">
        <v>4182</v>
      </c>
      <c r="C254" s="140"/>
      <c r="D254" s="140" t="s">
        <v>242</v>
      </c>
      <c r="E254" s="140"/>
      <c r="F254" s="147" t="s">
        <v>4164</v>
      </c>
      <c r="G254" s="142" t="s">
        <v>1498</v>
      </c>
      <c r="H254" s="142" t="s">
        <v>188</v>
      </c>
      <c r="I254" s="145" t="s">
        <v>1479</v>
      </c>
      <c r="J254" s="145"/>
      <c r="K254" s="140" t="s">
        <v>191</v>
      </c>
      <c r="L254" s="143">
        <v>4</v>
      </c>
      <c r="M254" s="368">
        <v>5</v>
      </c>
      <c r="N254" s="148" t="s">
        <v>199</v>
      </c>
      <c r="P254" s="84"/>
    </row>
    <row r="255" spans="1:16" ht="22.5">
      <c r="A255" s="140" t="s">
        <v>4183</v>
      </c>
      <c r="B255" s="140" t="s">
        <v>4184</v>
      </c>
      <c r="C255" s="140"/>
      <c r="D255" s="140" t="s">
        <v>242</v>
      </c>
      <c r="E255" s="140"/>
      <c r="F255" s="147" t="s">
        <v>4164</v>
      </c>
      <c r="G255" s="142" t="s">
        <v>1501</v>
      </c>
      <c r="H255" s="142" t="s">
        <v>188</v>
      </c>
      <c r="I255" s="145" t="s">
        <v>1479</v>
      </c>
      <c r="J255" s="145"/>
      <c r="K255" s="140" t="s">
        <v>191</v>
      </c>
      <c r="L255" s="143">
        <v>4</v>
      </c>
      <c r="M255" s="368">
        <v>5</v>
      </c>
      <c r="N255" s="148" t="s">
        <v>199</v>
      </c>
      <c r="P255" s="84"/>
    </row>
    <row r="256" spans="1:16" ht="22.5">
      <c r="A256" s="140" t="s">
        <v>4185</v>
      </c>
      <c r="B256" s="140" t="s">
        <v>4186</v>
      </c>
      <c r="C256" s="140"/>
      <c r="D256" s="140" t="s">
        <v>242</v>
      </c>
      <c r="E256" s="140"/>
      <c r="F256" s="147" t="s">
        <v>4164</v>
      </c>
      <c r="G256" s="142" t="s">
        <v>1504</v>
      </c>
      <c r="H256" s="142" t="s">
        <v>188</v>
      </c>
      <c r="I256" s="145" t="s">
        <v>1479</v>
      </c>
      <c r="J256" s="145"/>
      <c r="K256" s="140" t="s">
        <v>191</v>
      </c>
      <c r="L256" s="143">
        <v>4</v>
      </c>
      <c r="M256" s="368">
        <v>5</v>
      </c>
      <c r="N256" s="148" t="s">
        <v>199</v>
      </c>
      <c r="P256" s="84"/>
    </row>
    <row r="257" spans="1:16" ht="22.5">
      <c r="A257" s="140" t="s">
        <v>4187</v>
      </c>
      <c r="B257" s="140" t="s">
        <v>4188</v>
      </c>
      <c r="C257" s="140"/>
      <c r="D257" s="140" t="s">
        <v>242</v>
      </c>
      <c r="E257" s="140"/>
      <c r="F257" s="147" t="s">
        <v>4164</v>
      </c>
      <c r="G257" s="142" t="s">
        <v>1507</v>
      </c>
      <c r="H257" s="142" t="s">
        <v>188</v>
      </c>
      <c r="I257" s="145" t="s">
        <v>1479</v>
      </c>
      <c r="J257" s="145"/>
      <c r="K257" s="140" t="s">
        <v>191</v>
      </c>
      <c r="L257" s="143">
        <v>4</v>
      </c>
      <c r="M257" s="368">
        <v>5</v>
      </c>
      <c r="N257" s="148" t="s">
        <v>199</v>
      </c>
      <c r="P257" s="84"/>
    </row>
    <row r="258" spans="1:16" ht="22.5">
      <c r="A258" s="140" t="s">
        <v>4189</v>
      </c>
      <c r="B258" s="140" t="s">
        <v>4190</v>
      </c>
      <c r="C258" s="140"/>
      <c r="D258" s="140" t="s">
        <v>242</v>
      </c>
      <c r="E258" s="140"/>
      <c r="F258" s="147" t="s">
        <v>4164</v>
      </c>
      <c r="G258" s="142" t="s">
        <v>1510</v>
      </c>
      <c r="H258" s="142" t="s">
        <v>188</v>
      </c>
      <c r="I258" s="145" t="s">
        <v>1479</v>
      </c>
      <c r="J258" s="145"/>
      <c r="K258" s="140" t="s">
        <v>191</v>
      </c>
      <c r="L258" s="143">
        <v>4</v>
      </c>
      <c r="M258" s="368">
        <v>5</v>
      </c>
      <c r="N258" s="148" t="s">
        <v>199</v>
      </c>
      <c r="P258" s="84"/>
    </row>
    <row r="259" spans="1:16" ht="22.5">
      <c r="A259" s="140" t="s">
        <v>4191</v>
      </c>
      <c r="B259" s="140" t="s">
        <v>4192</v>
      </c>
      <c r="C259" s="140"/>
      <c r="D259" s="140" t="s">
        <v>242</v>
      </c>
      <c r="E259" s="140"/>
      <c r="F259" s="147" t="s">
        <v>4164</v>
      </c>
      <c r="G259" s="142" t="s">
        <v>1513</v>
      </c>
      <c r="H259" s="142" t="s">
        <v>188</v>
      </c>
      <c r="I259" s="145" t="s">
        <v>1479</v>
      </c>
      <c r="J259" s="145"/>
      <c r="K259" s="140" t="s">
        <v>191</v>
      </c>
      <c r="L259" s="143">
        <v>4</v>
      </c>
      <c r="M259" s="368">
        <v>5</v>
      </c>
      <c r="N259" s="148" t="s">
        <v>199</v>
      </c>
      <c r="P259" s="84"/>
    </row>
    <row r="260" spans="1:16" ht="22.5">
      <c r="A260" s="140" t="s">
        <v>4193</v>
      </c>
      <c r="B260" s="140" t="s">
        <v>4194</v>
      </c>
      <c r="C260" s="140"/>
      <c r="D260" s="140" t="s">
        <v>242</v>
      </c>
      <c r="E260" s="140"/>
      <c r="F260" s="147" t="s">
        <v>4164</v>
      </c>
      <c r="G260" s="142" t="s">
        <v>1516</v>
      </c>
      <c r="H260" s="142" t="s">
        <v>188</v>
      </c>
      <c r="I260" s="145" t="s">
        <v>1479</v>
      </c>
      <c r="J260" s="145"/>
      <c r="K260" s="140" t="s">
        <v>191</v>
      </c>
      <c r="L260" s="143">
        <v>4</v>
      </c>
      <c r="M260" s="368">
        <v>5</v>
      </c>
      <c r="N260" s="148" t="s">
        <v>199</v>
      </c>
      <c r="P260" s="84"/>
    </row>
    <row r="261" spans="1:16" ht="22.5">
      <c r="A261" s="140" t="s">
        <v>4195</v>
      </c>
      <c r="B261" s="140" t="s">
        <v>4196</v>
      </c>
      <c r="C261" s="140"/>
      <c r="D261" s="140" t="s">
        <v>242</v>
      </c>
      <c r="E261" s="140"/>
      <c r="F261" s="147" t="s">
        <v>4164</v>
      </c>
      <c r="G261" s="142" t="s">
        <v>1519</v>
      </c>
      <c r="H261" s="142" t="s">
        <v>188</v>
      </c>
      <c r="I261" s="145" t="s">
        <v>1479</v>
      </c>
      <c r="J261" s="145"/>
      <c r="K261" s="140" t="s">
        <v>191</v>
      </c>
      <c r="L261" s="143">
        <v>4</v>
      </c>
      <c r="M261" s="368">
        <v>5</v>
      </c>
      <c r="N261" s="148" t="s">
        <v>199</v>
      </c>
      <c r="P261" s="84"/>
    </row>
    <row r="262" spans="1:16" ht="22.5">
      <c r="A262" s="140" t="s">
        <v>4197</v>
      </c>
      <c r="B262" s="140" t="s">
        <v>4198</v>
      </c>
      <c r="C262" s="140"/>
      <c r="D262" s="140" t="s">
        <v>242</v>
      </c>
      <c r="E262" s="140"/>
      <c r="F262" s="147" t="s">
        <v>4164</v>
      </c>
      <c r="G262" s="142" t="s">
        <v>1522</v>
      </c>
      <c r="H262" s="142" t="s">
        <v>188</v>
      </c>
      <c r="I262" s="145" t="s">
        <v>1479</v>
      </c>
      <c r="J262" s="145"/>
      <c r="K262" s="140" t="s">
        <v>191</v>
      </c>
      <c r="L262" s="143">
        <v>4</v>
      </c>
      <c r="M262" s="368">
        <v>5</v>
      </c>
      <c r="N262" s="148" t="s">
        <v>199</v>
      </c>
      <c r="P262" s="84"/>
    </row>
    <row r="263" spans="1:16" ht="33.75">
      <c r="A263" s="140" t="s">
        <v>3670</v>
      </c>
      <c r="B263" s="140" t="s">
        <v>1330</v>
      </c>
      <c r="C263" s="140" t="s">
        <v>4199</v>
      </c>
      <c r="D263" s="140" t="s">
        <v>493</v>
      </c>
      <c r="E263" s="140"/>
      <c r="F263" s="147" t="s">
        <v>4200</v>
      </c>
      <c r="G263" s="142" t="s">
        <v>1332</v>
      </c>
      <c r="H263" s="142" t="s">
        <v>204</v>
      </c>
      <c r="I263" s="145" t="s">
        <v>3388</v>
      </c>
      <c r="J263" s="145"/>
      <c r="K263" s="140" t="s">
        <v>191</v>
      </c>
      <c r="L263" s="143">
        <v>4</v>
      </c>
      <c r="M263" s="368">
        <v>5</v>
      </c>
      <c r="N263" s="148" t="s">
        <v>199</v>
      </c>
      <c r="P263" s="84"/>
    </row>
    <row r="264" spans="1:16">
      <c r="P264" s="84"/>
    </row>
  </sheetData>
  <autoFilter ref="A5:P18" xr:uid="{00000000-0009-0000-0000-00000B000000}"/>
  <phoneticPr fontId="39" type="noConversion"/>
  <conditionalFormatting sqref="O7:O46">
    <cfRule type="containsText" dxfId="66" priority="4" operator="containsText" text="Yes">
      <formula>NOT(ISERROR(SEARCH("Yes",O7)))</formula>
    </cfRule>
  </conditionalFormatting>
  <dataValidations count="2">
    <dataValidation type="list" allowBlank="1" showInputMessage="1" showErrorMessage="1" sqref="P6 F6" xr:uid="{00000000-0002-0000-0B00-000000000000}">
      <formula1>"All available, Specific years,Not applicable"</formula1>
    </dataValidation>
    <dataValidation type="list" allowBlank="1" showInputMessage="1" showErrorMessage="1" sqref="O6:O46" xr:uid="{00000000-0002-0000-0B00-000001000000}">
      <formula1>"No,Yes"</formula1>
    </dataValidation>
  </dataValidations>
  <pageMargins left="0.15748031496063003" right="0.15748031496063003" top="0.47244094488189015" bottom="0.47244094488189015" header="0.15748031496063003" footer="0.15748031496063003"/>
  <pageSetup paperSize="9" scale="65" fitToWidth="0" fitToHeight="0" orientation="landscape" r:id="rId1"/>
  <headerFooter alignWithMargins="0">
    <oddHeader>&amp;C&amp;F</oddHeader>
    <oddFooter>&amp;L&amp;A&amp;CPage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9" tint="0.39997558519241921"/>
  </sheetPr>
  <dimension ref="A1:R1367"/>
  <sheetViews>
    <sheetView topLeftCell="A61" zoomScale="75" zoomScaleNormal="75" workbookViewId="0">
      <pane xSplit="7" topLeftCell="N1" activePane="topRight" state="frozen"/>
      <selection pane="topRight" activeCell="R65" sqref="R65"/>
      <selection activeCell="A5" sqref="A5"/>
    </sheetView>
  </sheetViews>
  <sheetFormatPr defaultColWidth="9" defaultRowHeight="12.75"/>
  <cols>
    <col min="1" max="1" width="20.5703125" style="42" customWidth="1"/>
    <col min="2" max="2" width="14" style="42" customWidth="1"/>
    <col min="3" max="3" width="11.5703125" style="42" customWidth="1"/>
    <col min="4" max="4" width="6" style="42" customWidth="1"/>
    <col min="5" max="5" width="11" style="42" hidden="1" customWidth="1"/>
    <col min="6" max="6" width="12" style="42" hidden="1" customWidth="1"/>
    <col min="7" max="7" width="28.28515625" style="42" bestFit="1" customWidth="1"/>
    <col min="8" max="8" width="50.5703125" style="42" customWidth="1"/>
    <col min="9" max="9" width="10.85546875" style="42" bestFit="1" customWidth="1"/>
    <col min="10" max="10" width="50.5703125" style="42" customWidth="1"/>
    <col min="11" max="11" width="13.5703125" style="42" bestFit="1" customWidth="1"/>
    <col min="12" max="12" width="15.28515625" style="42" bestFit="1" customWidth="1"/>
    <col min="13" max="13" width="18.28515625" style="42" bestFit="1" customWidth="1"/>
    <col min="14" max="14" width="22.5703125" style="42" bestFit="1" customWidth="1"/>
    <col min="15" max="15" width="16.7109375" style="56" bestFit="1" customWidth="1"/>
    <col min="16" max="16" width="17.28515625" style="56" customWidth="1"/>
    <col min="17" max="17" width="19.140625" style="285" bestFit="1" customWidth="1"/>
    <col min="18" max="18" width="18" style="285" customWidth="1"/>
    <col min="19" max="19" width="9" style="285"/>
    <col min="20" max="20" width="39" style="285" bestFit="1" customWidth="1"/>
    <col min="21" max="24" width="9" style="285"/>
    <col min="25" max="25" width="17.85546875" style="285" customWidth="1"/>
    <col min="26" max="28" width="9" style="285"/>
    <col min="29" max="29" width="19.5703125" style="285" customWidth="1"/>
    <col min="30" max="16384" width="9" style="285"/>
  </cols>
  <sheetData>
    <row r="1" spans="1:18">
      <c r="A1" s="281" t="s">
        <v>131</v>
      </c>
      <c r="B1" s="282"/>
      <c r="C1" s="282"/>
      <c r="D1" s="282"/>
      <c r="E1" s="282"/>
      <c r="F1" s="283"/>
      <c r="G1" s="282"/>
      <c r="H1" s="282"/>
      <c r="I1" s="284"/>
      <c r="J1" s="284"/>
      <c r="K1" s="285"/>
      <c r="L1" s="285"/>
      <c r="N1" s="56"/>
      <c r="P1" s="285"/>
    </row>
    <row r="2" spans="1:18">
      <c r="A2" s="281"/>
      <c r="B2" s="282"/>
      <c r="C2" s="282"/>
      <c r="D2" s="282"/>
      <c r="E2" s="282"/>
      <c r="F2" s="283"/>
      <c r="G2" s="282"/>
      <c r="H2" s="282"/>
      <c r="I2" s="284"/>
      <c r="J2" s="284"/>
      <c r="K2" s="286"/>
      <c r="L2" s="286"/>
      <c r="N2" s="56"/>
      <c r="P2" s="285"/>
    </row>
    <row r="3" spans="1:18" ht="25.5">
      <c r="A3" s="287" t="s">
        <v>159</v>
      </c>
      <c r="B3" s="282"/>
      <c r="C3" s="282"/>
      <c r="D3" s="282"/>
      <c r="E3" s="282"/>
      <c r="F3" s="283"/>
      <c r="G3" s="282"/>
      <c r="H3" s="282"/>
      <c r="I3" s="284"/>
      <c r="J3" s="284"/>
      <c r="K3" s="286"/>
      <c r="L3" s="286"/>
      <c r="N3" s="56"/>
      <c r="P3" s="285"/>
    </row>
    <row r="4" spans="1:18">
      <c r="A4" s="282"/>
      <c r="B4" s="282"/>
      <c r="C4" s="282"/>
      <c r="D4" s="282"/>
      <c r="E4" s="282"/>
      <c r="F4" s="283"/>
      <c r="G4" s="282"/>
      <c r="H4" s="282"/>
      <c r="I4" s="284"/>
      <c r="J4" s="284"/>
      <c r="K4" s="286"/>
      <c r="L4" s="286"/>
      <c r="N4" s="56"/>
      <c r="P4" s="285"/>
    </row>
    <row r="5" spans="1:18" ht="33.75">
      <c r="A5" s="288" t="s">
        <v>165</v>
      </c>
      <c r="B5" s="288" t="s">
        <v>166</v>
      </c>
      <c r="C5" s="288" t="s">
        <v>167</v>
      </c>
      <c r="D5" s="288" t="s">
        <v>4201</v>
      </c>
      <c r="E5" s="58" t="s">
        <v>168</v>
      </c>
      <c r="F5" s="58" t="s">
        <v>169</v>
      </c>
      <c r="G5" s="288" t="s">
        <v>170</v>
      </c>
      <c r="H5" s="288" t="s">
        <v>20</v>
      </c>
      <c r="I5" s="58" t="s">
        <v>171</v>
      </c>
      <c r="J5" s="288" t="s">
        <v>172</v>
      </c>
      <c r="K5" s="58" t="s">
        <v>175</v>
      </c>
      <c r="L5" s="59" t="s">
        <v>4202</v>
      </c>
      <c r="M5" s="289" t="s">
        <v>176</v>
      </c>
      <c r="N5" s="290" t="s">
        <v>177</v>
      </c>
      <c r="O5" s="60" t="s">
        <v>655</v>
      </c>
      <c r="P5" s="60" t="s">
        <v>179</v>
      </c>
      <c r="Q5" s="291" t="s">
        <v>180</v>
      </c>
      <c r="R5" s="379" t="s">
        <v>181</v>
      </c>
    </row>
    <row r="6" spans="1:18">
      <c r="A6" s="292" t="s">
        <v>4203</v>
      </c>
      <c r="B6" s="292"/>
      <c r="C6" s="68"/>
      <c r="D6" s="292"/>
      <c r="E6" s="292"/>
      <c r="F6" s="292"/>
      <c r="G6" s="293"/>
      <c r="H6" s="292"/>
      <c r="I6" s="292"/>
      <c r="J6" s="294"/>
      <c r="K6" s="294"/>
      <c r="L6" s="295"/>
      <c r="M6" s="295"/>
      <c r="N6" s="296"/>
      <c r="O6" s="78"/>
      <c r="P6" s="297"/>
      <c r="Q6" s="298"/>
      <c r="R6" s="257"/>
    </row>
    <row r="7" spans="1:18" ht="90">
      <c r="A7" s="68" t="s">
        <v>4204</v>
      </c>
      <c r="B7" s="68" t="s">
        <v>731</v>
      </c>
      <c r="C7" s="68" t="s">
        <v>4205</v>
      </c>
      <c r="D7" s="68"/>
      <c r="E7" s="68" t="s">
        <v>185</v>
      </c>
      <c r="F7" s="68"/>
      <c r="G7" s="292" t="s">
        <v>4206</v>
      </c>
      <c r="H7" s="63" t="s">
        <v>187</v>
      </c>
      <c r="I7" s="68" t="s">
        <v>188</v>
      </c>
      <c r="J7" s="68" t="s">
        <v>189</v>
      </c>
      <c r="K7" s="68" t="s">
        <v>191</v>
      </c>
      <c r="L7" s="294">
        <v>4</v>
      </c>
      <c r="M7" s="294">
        <v>4</v>
      </c>
      <c r="N7" s="296" t="s">
        <v>12</v>
      </c>
      <c r="O7" s="78">
        <v>5</v>
      </c>
      <c r="P7" s="78" t="s">
        <v>192</v>
      </c>
      <c r="Q7" s="279" t="s">
        <v>14</v>
      </c>
      <c r="R7" s="754"/>
    </row>
    <row r="8" spans="1:18">
      <c r="A8" s="68" t="s">
        <v>4207</v>
      </c>
      <c r="B8" s="68" t="s">
        <v>735</v>
      </c>
      <c r="C8" s="68" t="s">
        <v>4208</v>
      </c>
      <c r="D8" s="68"/>
      <c r="E8" s="68" t="s">
        <v>185</v>
      </c>
      <c r="F8" s="68"/>
      <c r="G8" s="292" t="s">
        <v>4206</v>
      </c>
      <c r="H8" s="68" t="s">
        <v>197</v>
      </c>
      <c r="I8" s="68" t="s">
        <v>198</v>
      </c>
      <c r="J8" s="68"/>
      <c r="K8" s="68" t="s">
        <v>191</v>
      </c>
      <c r="L8" s="294">
        <v>2</v>
      </c>
      <c r="M8" s="294">
        <v>2</v>
      </c>
      <c r="N8" s="296" t="s">
        <v>12</v>
      </c>
      <c r="O8" s="78">
        <v>5</v>
      </c>
      <c r="P8" s="97" t="s">
        <v>199</v>
      </c>
      <c r="Q8" s="279" t="s">
        <v>14</v>
      </c>
      <c r="R8" s="754"/>
    </row>
    <row r="9" spans="1:18">
      <c r="A9" s="68" t="s">
        <v>4209</v>
      </c>
      <c r="B9" s="68" t="s">
        <v>738</v>
      </c>
      <c r="C9" s="68" t="s">
        <v>4210</v>
      </c>
      <c r="D9" s="68"/>
      <c r="E9" s="68" t="s">
        <v>185</v>
      </c>
      <c r="F9" s="68"/>
      <c r="G9" s="292" t="s">
        <v>4206</v>
      </c>
      <c r="H9" s="68" t="s">
        <v>203</v>
      </c>
      <c r="I9" s="68" t="s">
        <v>204</v>
      </c>
      <c r="J9" s="68"/>
      <c r="K9" s="68" t="s">
        <v>191</v>
      </c>
      <c r="L9" s="294">
        <v>2</v>
      </c>
      <c r="M9" s="294">
        <v>2</v>
      </c>
      <c r="N9" s="296" t="s">
        <v>12</v>
      </c>
      <c r="O9" s="78">
        <v>5</v>
      </c>
      <c r="P9" s="97" t="s">
        <v>199</v>
      </c>
      <c r="Q9" s="279" t="s">
        <v>14</v>
      </c>
      <c r="R9" s="754"/>
    </row>
    <row r="10" spans="1:18">
      <c r="A10" s="68" t="s">
        <v>4211</v>
      </c>
      <c r="B10" s="68" t="s">
        <v>742</v>
      </c>
      <c r="C10" s="68" t="s">
        <v>4212</v>
      </c>
      <c r="D10" s="68"/>
      <c r="E10" s="68" t="s">
        <v>185</v>
      </c>
      <c r="F10" s="68"/>
      <c r="G10" s="292" t="s">
        <v>4206</v>
      </c>
      <c r="H10" s="68" t="s">
        <v>209</v>
      </c>
      <c r="I10" s="68" t="s">
        <v>198</v>
      </c>
      <c r="J10" s="68"/>
      <c r="K10" s="68" t="s">
        <v>191</v>
      </c>
      <c r="L10" s="294">
        <v>2</v>
      </c>
      <c r="M10" s="294">
        <v>2</v>
      </c>
      <c r="N10" s="296" t="s">
        <v>12</v>
      </c>
      <c r="O10" s="78">
        <v>5</v>
      </c>
      <c r="P10" s="97" t="s">
        <v>199</v>
      </c>
      <c r="Q10" s="279" t="s">
        <v>14</v>
      </c>
      <c r="R10" s="754"/>
    </row>
    <row r="11" spans="1:18">
      <c r="A11" s="68" t="s">
        <v>4213</v>
      </c>
      <c r="B11" s="68" t="s">
        <v>745</v>
      </c>
      <c r="C11" s="68" t="s">
        <v>4214</v>
      </c>
      <c r="D11" s="68"/>
      <c r="E11" s="68" t="s">
        <v>185</v>
      </c>
      <c r="F11" s="68"/>
      <c r="G11" s="292" t="s">
        <v>4206</v>
      </c>
      <c r="H11" s="68" t="s">
        <v>213</v>
      </c>
      <c r="I11" s="68" t="s">
        <v>198</v>
      </c>
      <c r="J11" s="68"/>
      <c r="K11" s="68" t="s">
        <v>191</v>
      </c>
      <c r="L11" s="294">
        <v>2</v>
      </c>
      <c r="M11" s="294">
        <v>2</v>
      </c>
      <c r="N11" s="296" t="s">
        <v>12</v>
      </c>
      <c r="O11" s="78">
        <v>5</v>
      </c>
      <c r="P11" s="97" t="s">
        <v>199</v>
      </c>
      <c r="Q11" s="279" t="s">
        <v>14</v>
      </c>
      <c r="R11" s="754"/>
    </row>
    <row r="12" spans="1:18" ht="22.5">
      <c r="A12" s="68" t="s">
        <v>4215</v>
      </c>
      <c r="B12" s="68" t="s">
        <v>1877</v>
      </c>
      <c r="C12" s="68" t="s">
        <v>4216</v>
      </c>
      <c r="D12" s="68"/>
      <c r="E12" s="68" t="s">
        <v>185</v>
      </c>
      <c r="F12" s="68"/>
      <c r="G12" s="292" t="s">
        <v>2092</v>
      </c>
      <c r="H12" s="103" t="s">
        <v>4217</v>
      </c>
      <c r="I12" s="103" t="s">
        <v>198</v>
      </c>
      <c r="J12" s="68"/>
      <c r="K12" s="68" t="s">
        <v>191</v>
      </c>
      <c r="L12" s="294">
        <v>2</v>
      </c>
      <c r="M12" s="294">
        <v>2</v>
      </c>
      <c r="N12" s="296" t="s">
        <v>14</v>
      </c>
      <c r="O12" s="78">
        <v>4</v>
      </c>
      <c r="P12" s="97" t="s">
        <v>199</v>
      </c>
      <c r="Q12" s="279" t="s">
        <v>14</v>
      </c>
      <c r="R12" s="754"/>
    </row>
    <row r="13" spans="1:18">
      <c r="A13" s="68" t="s">
        <v>4218</v>
      </c>
      <c r="B13" s="68" t="s">
        <v>1884</v>
      </c>
      <c r="C13" s="68" t="s">
        <v>4219</v>
      </c>
      <c r="D13" s="68"/>
      <c r="E13" s="68" t="s">
        <v>301</v>
      </c>
      <c r="F13" s="68"/>
      <c r="G13" s="292" t="s">
        <v>4220</v>
      </c>
      <c r="H13" s="68" t="s">
        <v>3571</v>
      </c>
      <c r="I13" s="68" t="s">
        <v>204</v>
      </c>
      <c r="J13" s="68"/>
      <c r="K13" s="68" t="s">
        <v>191</v>
      </c>
      <c r="L13" s="294">
        <v>1</v>
      </c>
      <c r="M13" s="294">
        <v>1</v>
      </c>
      <c r="N13" s="296" t="s">
        <v>14</v>
      </c>
      <c r="O13" s="78">
        <v>4</v>
      </c>
      <c r="P13" s="97" t="s">
        <v>192</v>
      </c>
      <c r="Q13" s="279" t="s">
        <v>14</v>
      </c>
      <c r="R13" s="754"/>
    </row>
    <row r="14" spans="1:18">
      <c r="A14" s="68" t="s">
        <v>4221</v>
      </c>
      <c r="B14" s="68" t="s">
        <v>4222</v>
      </c>
      <c r="C14" s="68"/>
      <c r="D14" s="68"/>
      <c r="E14" s="68" t="s">
        <v>185</v>
      </c>
      <c r="F14" s="68"/>
      <c r="G14" s="292" t="s">
        <v>1890</v>
      </c>
      <c r="H14" s="68" t="s">
        <v>4223</v>
      </c>
      <c r="I14" s="68" t="s">
        <v>204</v>
      </c>
      <c r="J14" s="68"/>
      <c r="K14" s="68" t="s">
        <v>191</v>
      </c>
      <c r="L14" s="294">
        <v>1</v>
      </c>
      <c r="M14" s="294">
        <v>1</v>
      </c>
      <c r="N14" s="296" t="s">
        <v>14</v>
      </c>
      <c r="O14" s="78">
        <v>4</v>
      </c>
      <c r="P14" s="97" t="s">
        <v>222</v>
      </c>
      <c r="Q14" s="279" t="s">
        <v>14</v>
      </c>
      <c r="R14" s="754"/>
    </row>
    <row r="15" spans="1:18">
      <c r="A15" s="68" t="s">
        <v>4224</v>
      </c>
      <c r="B15" s="68" t="s">
        <v>1889</v>
      </c>
      <c r="C15" s="68"/>
      <c r="D15" s="68"/>
      <c r="E15" s="68" t="s">
        <v>185</v>
      </c>
      <c r="F15" s="68"/>
      <c r="G15" s="292" t="s">
        <v>1890</v>
      </c>
      <c r="H15" s="103" t="s">
        <v>1891</v>
      </c>
      <c r="I15" s="103" t="s">
        <v>198</v>
      </c>
      <c r="J15" s="68"/>
      <c r="K15" s="68" t="s">
        <v>191</v>
      </c>
      <c r="L15" s="294">
        <v>2</v>
      </c>
      <c r="M15" s="294">
        <v>2</v>
      </c>
      <c r="N15" s="296" t="s">
        <v>14</v>
      </c>
      <c r="O15" s="78">
        <v>5</v>
      </c>
      <c r="P15" s="97" t="s">
        <v>199</v>
      </c>
      <c r="Q15" s="279" t="s">
        <v>14</v>
      </c>
      <c r="R15" s="754"/>
    </row>
    <row r="16" spans="1:18">
      <c r="A16" s="68" t="s">
        <v>4225</v>
      </c>
      <c r="B16" s="68" t="s">
        <v>757</v>
      </c>
      <c r="C16" s="68" t="s">
        <v>4226</v>
      </c>
      <c r="D16" s="68"/>
      <c r="E16" s="68" t="s">
        <v>185</v>
      </c>
      <c r="F16" s="68"/>
      <c r="G16" s="292" t="s">
        <v>4227</v>
      </c>
      <c r="H16" s="68" t="s">
        <v>4228</v>
      </c>
      <c r="I16" s="68" t="s">
        <v>198</v>
      </c>
      <c r="J16" s="68"/>
      <c r="K16" s="68" t="s">
        <v>191</v>
      </c>
      <c r="L16" s="294">
        <v>1</v>
      </c>
      <c r="M16" s="294">
        <v>1</v>
      </c>
      <c r="N16" s="296" t="s">
        <v>14</v>
      </c>
      <c r="O16" s="78">
        <v>5</v>
      </c>
      <c r="P16" s="97" t="s">
        <v>199</v>
      </c>
      <c r="Q16" s="279" t="s">
        <v>14</v>
      </c>
      <c r="R16" s="754"/>
    </row>
    <row r="17" spans="1:18" ht="22.5">
      <c r="A17" s="68" t="s">
        <v>4229</v>
      </c>
      <c r="B17" s="68" t="s">
        <v>4230</v>
      </c>
      <c r="C17" s="68" t="s">
        <v>4229</v>
      </c>
      <c r="D17" s="68"/>
      <c r="E17" s="68" t="s">
        <v>185</v>
      </c>
      <c r="F17" s="68"/>
      <c r="G17" s="292" t="s">
        <v>4231</v>
      </c>
      <c r="H17" s="68" t="s">
        <v>4232</v>
      </c>
      <c r="I17" s="68" t="s">
        <v>188</v>
      </c>
      <c r="J17" s="68" t="s">
        <v>1453</v>
      </c>
      <c r="K17" s="68" t="s">
        <v>191</v>
      </c>
      <c r="L17" s="294">
        <v>2</v>
      </c>
      <c r="M17" s="294">
        <v>2</v>
      </c>
      <c r="N17" s="296" t="s">
        <v>12</v>
      </c>
      <c r="O17" s="78">
        <v>5</v>
      </c>
      <c r="P17" s="97" t="s">
        <v>199</v>
      </c>
      <c r="Q17" s="279" t="s">
        <v>14</v>
      </c>
      <c r="R17" s="754"/>
    </row>
    <row r="18" spans="1:18" ht="33.75">
      <c r="A18" s="68" t="s">
        <v>4233</v>
      </c>
      <c r="B18" s="68" t="s">
        <v>1893</v>
      </c>
      <c r="C18" s="68"/>
      <c r="D18" s="68"/>
      <c r="E18" s="68" t="s">
        <v>1894</v>
      </c>
      <c r="F18" s="68"/>
      <c r="G18" s="292" t="s">
        <v>4234</v>
      </c>
      <c r="H18" s="68" t="s">
        <v>1896</v>
      </c>
      <c r="I18" s="68" t="s">
        <v>204</v>
      </c>
      <c r="J18" s="103" t="s">
        <v>1897</v>
      </c>
      <c r="K18" s="103" t="s">
        <v>1898</v>
      </c>
      <c r="L18" s="294">
        <v>1</v>
      </c>
      <c r="M18" s="294">
        <v>1</v>
      </c>
      <c r="N18" s="296" t="s">
        <v>14</v>
      </c>
      <c r="O18" s="78">
        <v>5</v>
      </c>
      <c r="P18" s="97" t="s">
        <v>1899</v>
      </c>
      <c r="Q18" s="279" t="s">
        <v>14</v>
      </c>
      <c r="R18" s="754"/>
    </row>
    <row r="19" spans="1:18" ht="33.75">
      <c r="A19" s="68" t="s">
        <v>4235</v>
      </c>
      <c r="B19" s="68" t="s">
        <v>1901</v>
      </c>
      <c r="C19" s="68"/>
      <c r="D19" s="68"/>
      <c r="E19" s="68" t="s">
        <v>1894</v>
      </c>
      <c r="F19" s="68"/>
      <c r="G19" s="292" t="s">
        <v>4234</v>
      </c>
      <c r="H19" s="68" t="s">
        <v>1902</v>
      </c>
      <c r="I19" s="68" t="s">
        <v>204</v>
      </c>
      <c r="J19" s="103" t="s">
        <v>1897</v>
      </c>
      <c r="K19" s="103" t="s">
        <v>1898</v>
      </c>
      <c r="L19" s="294">
        <v>1</v>
      </c>
      <c r="M19" s="294">
        <v>1</v>
      </c>
      <c r="N19" s="296" t="s">
        <v>14</v>
      </c>
      <c r="O19" s="78">
        <v>5</v>
      </c>
      <c r="P19" s="97" t="s">
        <v>1899</v>
      </c>
      <c r="Q19" s="279" t="s">
        <v>14</v>
      </c>
      <c r="R19" s="754"/>
    </row>
    <row r="20" spans="1:18" ht="22.5">
      <c r="A20" s="68" t="s">
        <v>4236</v>
      </c>
      <c r="B20" s="68" t="s">
        <v>1911</v>
      </c>
      <c r="C20" s="68"/>
      <c r="D20" s="68"/>
      <c r="E20" s="68" t="s">
        <v>1894</v>
      </c>
      <c r="F20" s="68"/>
      <c r="G20" s="292" t="s">
        <v>1890</v>
      </c>
      <c r="H20" s="68" t="s">
        <v>1912</v>
      </c>
      <c r="I20" s="68" t="s">
        <v>188</v>
      </c>
      <c r="J20" s="103" t="s">
        <v>250</v>
      </c>
      <c r="K20" s="103" t="s">
        <v>1898</v>
      </c>
      <c r="L20" s="294">
        <v>1</v>
      </c>
      <c r="M20" s="294">
        <v>1</v>
      </c>
      <c r="N20" s="296" t="s">
        <v>14</v>
      </c>
      <c r="O20" s="78">
        <v>5</v>
      </c>
      <c r="P20" s="97" t="s">
        <v>1899</v>
      </c>
      <c r="Q20" s="279" t="s">
        <v>14</v>
      </c>
      <c r="R20" s="754"/>
    </row>
    <row r="21" spans="1:18" ht="22.5">
      <c r="A21" s="68" t="s">
        <v>4237</v>
      </c>
      <c r="B21" s="68" t="s">
        <v>1903</v>
      </c>
      <c r="C21" s="68" t="s">
        <v>1904</v>
      </c>
      <c r="D21" s="68"/>
      <c r="E21" s="68" t="s">
        <v>1894</v>
      </c>
      <c r="F21" s="68"/>
      <c r="G21" s="292" t="s">
        <v>4234</v>
      </c>
      <c r="H21" s="68" t="s">
        <v>4238</v>
      </c>
      <c r="I21" s="68" t="s">
        <v>188</v>
      </c>
      <c r="J21" s="103" t="s">
        <v>250</v>
      </c>
      <c r="K21" s="103" t="s">
        <v>1898</v>
      </c>
      <c r="L21" s="294">
        <v>1</v>
      </c>
      <c r="M21" s="294">
        <v>1</v>
      </c>
      <c r="N21" s="296" t="s">
        <v>14</v>
      </c>
      <c r="O21" s="78">
        <v>5</v>
      </c>
      <c r="P21" s="97" t="s">
        <v>1899</v>
      </c>
      <c r="Q21" s="279" t="s">
        <v>14</v>
      </c>
      <c r="R21" s="754"/>
    </row>
    <row r="22" spans="1:18" ht="22.5">
      <c r="A22" s="69" t="s">
        <v>4239</v>
      </c>
      <c r="B22" s="68" t="s">
        <v>1925</v>
      </c>
      <c r="C22" s="68"/>
      <c r="D22" s="68"/>
      <c r="E22" s="68" t="s">
        <v>1894</v>
      </c>
      <c r="F22" s="68"/>
      <c r="G22" s="292" t="s">
        <v>1890</v>
      </c>
      <c r="H22" s="68" t="s">
        <v>1926</v>
      </c>
      <c r="I22" s="68" t="s">
        <v>188</v>
      </c>
      <c r="J22" s="103" t="s">
        <v>250</v>
      </c>
      <c r="K22" s="103" t="s">
        <v>1898</v>
      </c>
      <c r="L22" s="294">
        <v>1</v>
      </c>
      <c r="M22" s="294">
        <v>1</v>
      </c>
      <c r="N22" s="296" t="s">
        <v>14</v>
      </c>
      <c r="O22" s="78">
        <v>5</v>
      </c>
      <c r="P22" s="97" t="s">
        <v>1899</v>
      </c>
      <c r="Q22" s="279" t="s">
        <v>14</v>
      </c>
      <c r="R22" s="754"/>
    </row>
    <row r="23" spans="1:18" ht="22.5">
      <c r="A23" s="68" t="s">
        <v>4240</v>
      </c>
      <c r="B23" s="68" t="s">
        <v>1914</v>
      </c>
      <c r="C23" s="68"/>
      <c r="D23" s="68"/>
      <c r="E23" s="68" t="s">
        <v>1894</v>
      </c>
      <c r="F23" s="68"/>
      <c r="G23" s="292" t="s">
        <v>1905</v>
      </c>
      <c r="H23" s="68" t="s">
        <v>4241</v>
      </c>
      <c r="I23" s="68" t="s">
        <v>188</v>
      </c>
      <c r="J23" s="103" t="s">
        <v>250</v>
      </c>
      <c r="K23" s="103" t="s">
        <v>1898</v>
      </c>
      <c r="L23" s="294">
        <v>1</v>
      </c>
      <c r="M23" s="294">
        <v>1</v>
      </c>
      <c r="N23" s="296" t="s">
        <v>14</v>
      </c>
      <c r="O23" s="78">
        <v>5</v>
      </c>
      <c r="P23" s="97" t="s">
        <v>1899</v>
      </c>
      <c r="Q23" s="279" t="s">
        <v>14</v>
      </c>
      <c r="R23" s="754"/>
    </row>
    <row r="24" spans="1:18" ht="33.75">
      <c r="A24" s="68" t="s">
        <v>4242</v>
      </c>
      <c r="B24" s="68" t="s">
        <v>1913</v>
      </c>
      <c r="C24" s="68"/>
      <c r="D24" s="68"/>
      <c r="E24" s="68" t="s">
        <v>1894</v>
      </c>
      <c r="F24" s="68"/>
      <c r="G24" s="292" t="s">
        <v>4243</v>
      </c>
      <c r="H24" s="68" t="s">
        <v>4244</v>
      </c>
      <c r="I24" s="68" t="s">
        <v>188</v>
      </c>
      <c r="J24" s="103" t="s">
        <v>250</v>
      </c>
      <c r="K24" s="103" t="s">
        <v>1898</v>
      </c>
      <c r="L24" s="294">
        <v>1</v>
      </c>
      <c r="M24" s="294">
        <v>1</v>
      </c>
      <c r="N24" s="296" t="s">
        <v>14</v>
      </c>
      <c r="O24" s="78">
        <v>5</v>
      </c>
      <c r="P24" s="97" t="s">
        <v>1899</v>
      </c>
      <c r="Q24" s="279" t="s">
        <v>14</v>
      </c>
      <c r="R24" s="754"/>
    </row>
    <row r="25" spans="1:18" ht="22.5">
      <c r="A25" s="68" t="s">
        <v>4245</v>
      </c>
      <c r="B25" s="68" t="s">
        <v>1937</v>
      </c>
      <c r="C25" s="68" t="s">
        <v>4246</v>
      </c>
      <c r="D25" s="68"/>
      <c r="E25" s="68" t="s">
        <v>185</v>
      </c>
      <c r="F25" s="68"/>
      <c r="G25" s="292" t="s">
        <v>4227</v>
      </c>
      <c r="H25" s="68" t="s">
        <v>1939</v>
      </c>
      <c r="I25" s="68" t="s">
        <v>188</v>
      </c>
      <c r="J25" s="68" t="s">
        <v>1453</v>
      </c>
      <c r="K25" s="68" t="s">
        <v>191</v>
      </c>
      <c r="L25" s="294">
        <v>2</v>
      </c>
      <c r="M25" s="294">
        <v>2</v>
      </c>
      <c r="N25" s="296" t="s">
        <v>12</v>
      </c>
      <c r="O25" s="78">
        <v>5</v>
      </c>
      <c r="P25" s="97" t="s">
        <v>192</v>
      </c>
      <c r="Q25" s="298" t="s">
        <v>12</v>
      </c>
      <c r="R25" s="754" t="s">
        <v>4247</v>
      </c>
    </row>
    <row r="26" spans="1:18" ht="22.5">
      <c r="A26" s="68" t="s">
        <v>4248</v>
      </c>
      <c r="B26" s="68" t="s">
        <v>1941</v>
      </c>
      <c r="C26" s="68"/>
      <c r="D26" s="68"/>
      <c r="E26" s="68" t="s">
        <v>185</v>
      </c>
      <c r="F26" s="68"/>
      <c r="G26" s="292" t="s">
        <v>2254</v>
      </c>
      <c r="H26" s="68" t="s">
        <v>4249</v>
      </c>
      <c r="I26" s="68" t="s">
        <v>188</v>
      </c>
      <c r="J26" s="68" t="s">
        <v>1453</v>
      </c>
      <c r="K26" s="68" t="s">
        <v>191</v>
      </c>
      <c r="L26" s="294">
        <v>2</v>
      </c>
      <c r="M26" s="294">
        <v>2</v>
      </c>
      <c r="N26" s="296" t="s">
        <v>12</v>
      </c>
      <c r="O26" s="78">
        <v>5</v>
      </c>
      <c r="P26" s="97" t="s">
        <v>192</v>
      </c>
      <c r="Q26" s="298" t="s">
        <v>12</v>
      </c>
      <c r="R26" s="754" t="s">
        <v>4247</v>
      </c>
    </row>
    <row r="27" spans="1:18" ht="22.5">
      <c r="A27" s="68" t="s">
        <v>4250</v>
      </c>
      <c r="B27" s="68" t="s">
        <v>1945</v>
      </c>
      <c r="C27" s="68"/>
      <c r="D27" s="68"/>
      <c r="E27" s="68" t="s">
        <v>185</v>
      </c>
      <c r="F27" s="68"/>
      <c r="G27" s="292" t="s">
        <v>1946</v>
      </c>
      <c r="H27" s="68" t="s">
        <v>1947</v>
      </c>
      <c r="I27" s="68" t="s">
        <v>188</v>
      </c>
      <c r="J27" s="68" t="s">
        <v>1453</v>
      </c>
      <c r="K27" s="68" t="s">
        <v>191</v>
      </c>
      <c r="L27" s="294">
        <v>2</v>
      </c>
      <c r="M27" s="294">
        <v>2</v>
      </c>
      <c r="N27" s="296" t="s">
        <v>14</v>
      </c>
      <c r="O27" s="78">
        <v>5</v>
      </c>
      <c r="P27" s="97" t="s">
        <v>192</v>
      </c>
      <c r="Q27" s="298" t="s">
        <v>12</v>
      </c>
      <c r="R27" s="754" t="s">
        <v>4251</v>
      </c>
    </row>
    <row r="28" spans="1:18" ht="22.5">
      <c r="A28" s="68" t="s">
        <v>4252</v>
      </c>
      <c r="B28" s="68" t="s">
        <v>1920</v>
      </c>
      <c r="C28" s="68"/>
      <c r="D28" s="68"/>
      <c r="E28" s="68" t="s">
        <v>1894</v>
      </c>
      <c r="F28" s="68"/>
      <c r="G28" s="292" t="s">
        <v>1890</v>
      </c>
      <c r="H28" s="68" t="s">
        <v>1922</v>
      </c>
      <c r="I28" s="68" t="s">
        <v>188</v>
      </c>
      <c r="J28" s="68" t="s">
        <v>1453</v>
      </c>
      <c r="K28" s="68" t="s">
        <v>1898</v>
      </c>
      <c r="L28" s="294">
        <v>1</v>
      </c>
      <c r="M28" s="294">
        <v>1</v>
      </c>
      <c r="N28" s="296" t="s">
        <v>14</v>
      </c>
      <c r="O28" s="78">
        <v>5</v>
      </c>
      <c r="P28" s="97" t="s">
        <v>192</v>
      </c>
      <c r="Q28" s="279" t="s">
        <v>14</v>
      </c>
      <c r="R28" s="754"/>
    </row>
    <row r="29" spans="1:18" ht="67.5">
      <c r="A29" s="68" t="s">
        <v>4253</v>
      </c>
      <c r="B29" s="68" t="s">
        <v>1957</v>
      </c>
      <c r="C29" s="68"/>
      <c r="D29" s="68"/>
      <c r="E29" s="68" t="s">
        <v>185</v>
      </c>
      <c r="F29" s="68"/>
      <c r="G29" s="292" t="s">
        <v>1890</v>
      </c>
      <c r="H29" s="68" t="s">
        <v>4254</v>
      </c>
      <c r="I29" s="68" t="s">
        <v>204</v>
      </c>
      <c r="J29" s="68" t="s">
        <v>4255</v>
      </c>
      <c r="K29" s="68" t="s">
        <v>191</v>
      </c>
      <c r="L29" s="294">
        <v>2</v>
      </c>
      <c r="M29" s="294">
        <v>2</v>
      </c>
      <c r="N29" s="296" t="s">
        <v>12</v>
      </c>
      <c r="O29" s="78">
        <v>5</v>
      </c>
      <c r="P29" s="97" t="s">
        <v>222</v>
      </c>
      <c r="Q29" s="279" t="s">
        <v>14</v>
      </c>
      <c r="R29" s="754"/>
    </row>
    <row r="30" spans="1:18" ht="22.5">
      <c r="A30" s="68" t="s">
        <v>4256</v>
      </c>
      <c r="B30" s="68" t="s">
        <v>4257</v>
      </c>
      <c r="C30" s="68"/>
      <c r="D30" s="68"/>
      <c r="E30" s="68" t="s">
        <v>185</v>
      </c>
      <c r="F30" s="68"/>
      <c r="G30" s="292" t="s">
        <v>1890</v>
      </c>
      <c r="H30" s="68" t="s">
        <v>1963</v>
      </c>
      <c r="I30" s="68" t="s">
        <v>188</v>
      </c>
      <c r="J30" s="68" t="s">
        <v>1453</v>
      </c>
      <c r="K30" s="68" t="s">
        <v>191</v>
      </c>
      <c r="L30" s="294">
        <v>2</v>
      </c>
      <c r="M30" s="294">
        <v>2</v>
      </c>
      <c r="N30" s="296" t="s">
        <v>12</v>
      </c>
      <c r="O30" s="78">
        <v>5</v>
      </c>
      <c r="P30" s="97" t="s">
        <v>222</v>
      </c>
      <c r="Q30" s="279" t="s">
        <v>14</v>
      </c>
      <c r="R30" s="754"/>
    </row>
    <row r="31" spans="1:18" ht="22.5">
      <c r="A31" s="68" t="s">
        <v>4258</v>
      </c>
      <c r="B31" s="68" t="s">
        <v>4259</v>
      </c>
      <c r="C31" s="68"/>
      <c r="D31" s="68"/>
      <c r="E31" s="68" t="s">
        <v>185</v>
      </c>
      <c r="F31" s="68"/>
      <c r="G31" s="292" t="s">
        <v>1890</v>
      </c>
      <c r="H31" s="68" t="s">
        <v>1967</v>
      </c>
      <c r="I31" s="68" t="s">
        <v>188</v>
      </c>
      <c r="J31" s="68" t="s">
        <v>1453</v>
      </c>
      <c r="K31" s="68" t="s">
        <v>191</v>
      </c>
      <c r="L31" s="294">
        <v>2</v>
      </c>
      <c r="M31" s="294">
        <v>2</v>
      </c>
      <c r="N31" s="296" t="s">
        <v>12</v>
      </c>
      <c r="O31" s="78">
        <v>5</v>
      </c>
      <c r="P31" s="97" t="s">
        <v>222</v>
      </c>
      <c r="Q31" s="279" t="s">
        <v>14</v>
      </c>
      <c r="R31" s="754"/>
    </row>
    <row r="32" spans="1:18" ht="22.5">
      <c r="A32" s="68" t="s">
        <v>4260</v>
      </c>
      <c r="B32" s="68" t="s">
        <v>4261</v>
      </c>
      <c r="C32" s="68"/>
      <c r="D32" s="68"/>
      <c r="E32" s="68" t="s">
        <v>185</v>
      </c>
      <c r="F32" s="68"/>
      <c r="G32" s="292" t="s">
        <v>1890</v>
      </c>
      <c r="H32" s="68" t="s">
        <v>1970</v>
      </c>
      <c r="I32" s="68" t="s">
        <v>188</v>
      </c>
      <c r="J32" s="68" t="s">
        <v>1453</v>
      </c>
      <c r="K32" s="68" t="s">
        <v>191</v>
      </c>
      <c r="L32" s="294">
        <v>2</v>
      </c>
      <c r="M32" s="294">
        <v>2</v>
      </c>
      <c r="N32" s="296" t="s">
        <v>12</v>
      </c>
      <c r="O32" s="78">
        <v>5</v>
      </c>
      <c r="P32" s="97" t="s">
        <v>222</v>
      </c>
      <c r="Q32" s="279" t="s">
        <v>14</v>
      </c>
      <c r="R32" s="754"/>
    </row>
    <row r="33" spans="1:18" ht="22.5">
      <c r="A33" s="68" t="s">
        <v>4262</v>
      </c>
      <c r="B33" s="68" t="s">
        <v>4263</v>
      </c>
      <c r="C33" s="68"/>
      <c r="D33" s="68"/>
      <c r="E33" s="68" t="s">
        <v>185</v>
      </c>
      <c r="F33" s="68"/>
      <c r="G33" s="292" t="s">
        <v>1890</v>
      </c>
      <c r="H33" s="68" t="s">
        <v>1973</v>
      </c>
      <c r="I33" s="68" t="s">
        <v>188</v>
      </c>
      <c r="J33" s="68" t="s">
        <v>1453</v>
      </c>
      <c r="K33" s="68" t="s">
        <v>191</v>
      </c>
      <c r="L33" s="294">
        <v>2</v>
      </c>
      <c r="M33" s="294">
        <v>2</v>
      </c>
      <c r="N33" s="296" t="s">
        <v>12</v>
      </c>
      <c r="O33" s="78">
        <v>5</v>
      </c>
      <c r="P33" s="97" t="s">
        <v>222</v>
      </c>
      <c r="Q33" s="279" t="s">
        <v>14</v>
      </c>
      <c r="R33" s="754"/>
    </row>
    <row r="34" spans="1:18" ht="22.5">
      <c r="A34" s="68" t="s">
        <v>4264</v>
      </c>
      <c r="B34" s="68" t="s">
        <v>1949</v>
      </c>
      <c r="C34" s="68" t="s">
        <v>4265</v>
      </c>
      <c r="D34" s="68"/>
      <c r="E34" s="68" t="s">
        <v>185</v>
      </c>
      <c r="F34" s="68"/>
      <c r="G34" s="292" t="s">
        <v>4227</v>
      </c>
      <c r="H34" s="68" t="s">
        <v>1951</v>
      </c>
      <c r="I34" s="68" t="s">
        <v>188</v>
      </c>
      <c r="J34" s="68" t="s">
        <v>1453</v>
      </c>
      <c r="K34" s="68" t="s">
        <v>191</v>
      </c>
      <c r="L34" s="294">
        <v>2</v>
      </c>
      <c r="M34" s="294">
        <v>2</v>
      </c>
      <c r="N34" s="296" t="s">
        <v>12</v>
      </c>
      <c r="O34" s="78">
        <v>5</v>
      </c>
      <c r="P34" s="97" t="s">
        <v>222</v>
      </c>
      <c r="Q34" s="279" t="s">
        <v>14</v>
      </c>
      <c r="R34" s="754"/>
    </row>
    <row r="35" spans="1:18" ht="22.5">
      <c r="A35" s="68" t="s">
        <v>4266</v>
      </c>
      <c r="B35" s="68" t="s">
        <v>1953</v>
      </c>
      <c r="C35" s="68" t="s">
        <v>4267</v>
      </c>
      <c r="D35" s="68"/>
      <c r="E35" s="68" t="s">
        <v>185</v>
      </c>
      <c r="F35" s="68"/>
      <c r="G35" s="292" t="s">
        <v>4227</v>
      </c>
      <c r="H35" s="68" t="s">
        <v>1955</v>
      </c>
      <c r="I35" s="68" t="s">
        <v>188</v>
      </c>
      <c r="J35" s="68" t="s">
        <v>1453</v>
      </c>
      <c r="K35" s="68" t="s">
        <v>191</v>
      </c>
      <c r="L35" s="294">
        <v>2</v>
      </c>
      <c r="M35" s="294">
        <v>2</v>
      </c>
      <c r="N35" s="296" t="s">
        <v>12</v>
      </c>
      <c r="O35" s="78">
        <v>5</v>
      </c>
      <c r="P35" s="97" t="s">
        <v>222</v>
      </c>
      <c r="Q35" s="279" t="s">
        <v>14</v>
      </c>
      <c r="R35" s="754"/>
    </row>
    <row r="36" spans="1:18" ht="22.5">
      <c r="A36" s="68" t="s">
        <v>4268</v>
      </c>
      <c r="B36" s="68" t="s">
        <v>1975</v>
      </c>
      <c r="C36" s="68"/>
      <c r="D36" s="68"/>
      <c r="E36" s="68" t="s">
        <v>185</v>
      </c>
      <c r="F36" s="68"/>
      <c r="G36" s="292" t="s">
        <v>2164</v>
      </c>
      <c r="H36" s="68" t="s">
        <v>4269</v>
      </c>
      <c r="I36" s="68" t="s">
        <v>204</v>
      </c>
      <c r="J36" s="68" t="s">
        <v>4270</v>
      </c>
      <c r="K36" s="68" t="s">
        <v>191</v>
      </c>
      <c r="L36" s="294">
        <v>1</v>
      </c>
      <c r="M36" s="294">
        <v>1</v>
      </c>
      <c r="N36" s="296" t="s">
        <v>14</v>
      </c>
      <c r="O36" s="78">
        <v>5</v>
      </c>
      <c r="P36" s="97" t="s">
        <v>222</v>
      </c>
      <c r="Q36" s="279" t="s">
        <v>14</v>
      </c>
      <c r="R36" s="754"/>
    </row>
    <row r="37" spans="1:18" s="667" customFormat="1" ht="23.25" customHeight="1">
      <c r="A37" s="559" t="str">
        <f>CONCATENATE("KS4_",B37)</f>
        <v>KS4_SEN_ALL</v>
      </c>
      <c r="B37" s="560" t="s">
        <v>4271</v>
      </c>
      <c r="C37" s="559"/>
      <c r="D37" s="560"/>
      <c r="E37" s="559" t="s">
        <v>185</v>
      </c>
      <c r="F37" s="560"/>
      <c r="G37" s="561" t="s">
        <v>597</v>
      </c>
      <c r="H37" s="665" t="s">
        <v>4272</v>
      </c>
      <c r="I37" s="560" t="s">
        <v>188</v>
      </c>
      <c r="J37" s="560" t="s">
        <v>1453</v>
      </c>
      <c r="K37" s="560" t="s">
        <v>191</v>
      </c>
      <c r="L37" s="562">
        <v>2</v>
      </c>
      <c r="M37" s="562">
        <v>2</v>
      </c>
      <c r="N37" s="618" t="s">
        <v>14</v>
      </c>
      <c r="O37" s="666">
        <v>5</v>
      </c>
      <c r="P37" s="666" t="s">
        <v>222</v>
      </c>
      <c r="Q37" s="279" t="s">
        <v>14</v>
      </c>
      <c r="R37" s="620"/>
    </row>
    <row r="38" spans="1:18" s="667" customFormat="1" ht="23.25" customHeight="1">
      <c r="A38" s="559" t="str">
        <f>CONCATENATE("KS4_",B38)</f>
        <v>KS4_SERVICECHILD</v>
      </c>
      <c r="B38" s="560" t="s">
        <v>4273</v>
      </c>
      <c r="C38" s="559"/>
      <c r="D38" s="560"/>
      <c r="E38" s="559" t="s">
        <v>185</v>
      </c>
      <c r="F38" s="560"/>
      <c r="G38" s="561" t="s">
        <v>597</v>
      </c>
      <c r="H38" s="665" t="s">
        <v>4274</v>
      </c>
      <c r="I38" s="560" t="s">
        <v>188</v>
      </c>
      <c r="J38" s="560" t="s">
        <v>1453</v>
      </c>
      <c r="K38" s="560" t="s">
        <v>191</v>
      </c>
      <c r="L38" s="562">
        <v>1</v>
      </c>
      <c r="M38" s="562">
        <v>1</v>
      </c>
      <c r="N38" s="618" t="s">
        <v>14</v>
      </c>
      <c r="O38" s="666">
        <v>5</v>
      </c>
      <c r="P38" s="666" t="s">
        <v>192</v>
      </c>
      <c r="Q38" s="279" t="s">
        <v>14</v>
      </c>
      <c r="R38" s="620"/>
    </row>
    <row r="39" spans="1:18" ht="22.5">
      <c r="A39" s="68" t="s">
        <v>4275</v>
      </c>
      <c r="B39" s="68" t="s">
        <v>1933</v>
      </c>
      <c r="C39" s="68" t="s">
        <v>4276</v>
      </c>
      <c r="D39" s="68"/>
      <c r="E39" s="68" t="s">
        <v>185</v>
      </c>
      <c r="F39" s="68"/>
      <c r="G39" s="292" t="s">
        <v>4227</v>
      </c>
      <c r="H39" s="68" t="s">
        <v>1935</v>
      </c>
      <c r="I39" s="68" t="s">
        <v>188</v>
      </c>
      <c r="J39" s="68" t="s">
        <v>1453</v>
      </c>
      <c r="K39" s="68" t="s">
        <v>191</v>
      </c>
      <c r="L39" s="294">
        <v>2</v>
      </c>
      <c r="M39" s="294">
        <v>2</v>
      </c>
      <c r="N39" s="296" t="s">
        <v>12</v>
      </c>
      <c r="O39" s="78">
        <v>5</v>
      </c>
      <c r="P39" s="97" t="s">
        <v>222</v>
      </c>
      <c r="Q39" s="279" t="s">
        <v>14</v>
      </c>
      <c r="R39" s="754"/>
    </row>
    <row r="40" spans="1:18" ht="22.5">
      <c r="A40" s="68" t="s">
        <v>4277</v>
      </c>
      <c r="B40" s="68" t="s">
        <v>4278</v>
      </c>
      <c r="C40" s="68" t="s">
        <v>4279</v>
      </c>
      <c r="D40" s="68"/>
      <c r="E40" s="68" t="s">
        <v>185</v>
      </c>
      <c r="F40" s="68"/>
      <c r="G40" s="292" t="s">
        <v>4227</v>
      </c>
      <c r="H40" s="68" t="s">
        <v>1931</v>
      </c>
      <c r="I40" s="68" t="s">
        <v>188</v>
      </c>
      <c r="J40" s="68" t="s">
        <v>1453</v>
      </c>
      <c r="K40" s="68" t="s">
        <v>191</v>
      </c>
      <c r="L40" s="294">
        <v>1</v>
      </c>
      <c r="M40" s="294">
        <v>1</v>
      </c>
      <c r="N40" s="296" t="s">
        <v>12</v>
      </c>
      <c r="O40" s="78">
        <v>5</v>
      </c>
      <c r="P40" s="97" t="s">
        <v>199</v>
      </c>
      <c r="Q40" s="279" t="s">
        <v>14</v>
      </c>
      <c r="R40" s="754"/>
    </row>
    <row r="41" spans="1:18" ht="112.5">
      <c r="A41" s="68" t="s">
        <v>4280</v>
      </c>
      <c r="B41" s="68" t="s">
        <v>4281</v>
      </c>
      <c r="C41" s="68"/>
      <c r="D41" s="68"/>
      <c r="E41" s="68" t="s">
        <v>185</v>
      </c>
      <c r="F41" s="68"/>
      <c r="G41" s="292" t="s">
        <v>1890</v>
      </c>
      <c r="H41" s="68" t="s">
        <v>4282</v>
      </c>
      <c r="I41" s="68" t="s">
        <v>204</v>
      </c>
      <c r="J41" s="68" t="s">
        <v>287</v>
      </c>
      <c r="K41" s="68" t="s">
        <v>191</v>
      </c>
      <c r="L41" s="294">
        <v>2</v>
      </c>
      <c r="M41" s="294">
        <v>2</v>
      </c>
      <c r="N41" s="296" t="s">
        <v>12</v>
      </c>
      <c r="O41" s="78">
        <v>5</v>
      </c>
      <c r="P41" s="97" t="s">
        <v>222</v>
      </c>
      <c r="Q41" s="279" t="s">
        <v>14</v>
      </c>
      <c r="R41" s="754"/>
    </row>
    <row r="42" spans="1:18">
      <c r="A42" s="68" t="s">
        <v>4283</v>
      </c>
      <c r="B42" s="68" t="s">
        <v>4284</v>
      </c>
      <c r="C42" s="68"/>
      <c r="D42" s="68"/>
      <c r="E42" s="68" t="s">
        <v>185</v>
      </c>
      <c r="F42" s="68"/>
      <c r="G42" s="292" t="s">
        <v>1890</v>
      </c>
      <c r="H42" s="68" t="s">
        <v>4285</v>
      </c>
      <c r="I42" s="68" t="s">
        <v>204</v>
      </c>
      <c r="J42" s="68" t="s">
        <v>4286</v>
      </c>
      <c r="K42" s="68" t="s">
        <v>191</v>
      </c>
      <c r="L42" s="294">
        <v>1</v>
      </c>
      <c r="M42" s="294">
        <v>1</v>
      </c>
      <c r="N42" s="296" t="s">
        <v>14</v>
      </c>
      <c r="O42" s="78">
        <v>4</v>
      </c>
      <c r="P42" s="97" t="s">
        <v>222</v>
      </c>
      <c r="Q42" s="279" t="s">
        <v>14</v>
      </c>
      <c r="R42" s="754"/>
    </row>
    <row r="43" spans="1:18" ht="22.5">
      <c r="A43" s="68" t="s">
        <v>4287</v>
      </c>
      <c r="B43" s="68" t="s">
        <v>1980</v>
      </c>
      <c r="C43" s="68" t="s">
        <v>4288</v>
      </c>
      <c r="D43" s="68"/>
      <c r="E43" s="68" t="s">
        <v>185</v>
      </c>
      <c r="F43" s="68"/>
      <c r="G43" s="292" t="s">
        <v>4227</v>
      </c>
      <c r="H43" s="68" t="s">
        <v>1982</v>
      </c>
      <c r="I43" s="68" t="s">
        <v>188</v>
      </c>
      <c r="J43" s="68" t="s">
        <v>1453</v>
      </c>
      <c r="K43" s="68" t="s">
        <v>191</v>
      </c>
      <c r="L43" s="294">
        <v>2</v>
      </c>
      <c r="M43" s="294">
        <v>2</v>
      </c>
      <c r="N43" s="296" t="s">
        <v>12</v>
      </c>
      <c r="O43" s="78">
        <v>5</v>
      </c>
      <c r="P43" s="97" t="s">
        <v>222</v>
      </c>
      <c r="Q43" s="279" t="s">
        <v>14</v>
      </c>
      <c r="R43" s="754"/>
    </row>
    <row r="44" spans="1:18" ht="22.5">
      <c r="A44" s="68" t="s">
        <v>4289</v>
      </c>
      <c r="B44" s="68" t="s">
        <v>1985</v>
      </c>
      <c r="C44" s="68" t="s">
        <v>4290</v>
      </c>
      <c r="D44" s="68"/>
      <c r="E44" s="68" t="s">
        <v>185</v>
      </c>
      <c r="F44" s="68"/>
      <c r="G44" s="292" t="s">
        <v>4291</v>
      </c>
      <c r="H44" s="68" t="s">
        <v>1988</v>
      </c>
      <c r="I44" s="68" t="s">
        <v>188</v>
      </c>
      <c r="J44" s="68" t="s">
        <v>1453</v>
      </c>
      <c r="K44" s="68" t="s">
        <v>191</v>
      </c>
      <c r="L44" s="294">
        <v>2</v>
      </c>
      <c r="M44" s="294">
        <v>2</v>
      </c>
      <c r="N44" s="296" t="s">
        <v>12</v>
      </c>
      <c r="O44" s="78">
        <v>4</v>
      </c>
      <c r="P44" s="97" t="s">
        <v>222</v>
      </c>
      <c r="Q44" s="279" t="s">
        <v>14</v>
      </c>
      <c r="R44" s="754"/>
    </row>
    <row r="45" spans="1:18" ht="22.5">
      <c r="A45" s="68" t="s">
        <v>4292</v>
      </c>
      <c r="B45" s="68" t="s">
        <v>1990</v>
      </c>
      <c r="C45" s="68" t="s">
        <v>4293</v>
      </c>
      <c r="D45" s="68"/>
      <c r="E45" s="68" t="s">
        <v>185</v>
      </c>
      <c r="F45" s="68"/>
      <c r="G45" s="292" t="s">
        <v>4291</v>
      </c>
      <c r="H45" s="68" t="s">
        <v>1992</v>
      </c>
      <c r="I45" s="68" t="s">
        <v>188</v>
      </c>
      <c r="J45" s="68" t="s">
        <v>1453</v>
      </c>
      <c r="K45" s="68" t="s">
        <v>191</v>
      </c>
      <c r="L45" s="294">
        <v>2</v>
      </c>
      <c r="M45" s="294">
        <v>2</v>
      </c>
      <c r="N45" s="296" t="s">
        <v>12</v>
      </c>
      <c r="O45" s="78">
        <v>4</v>
      </c>
      <c r="P45" s="97" t="s">
        <v>222</v>
      </c>
      <c r="Q45" s="279" t="s">
        <v>14</v>
      </c>
      <c r="R45" s="754"/>
    </row>
    <row r="46" spans="1:18" ht="22.5">
      <c r="A46" s="68" t="s">
        <v>4294</v>
      </c>
      <c r="B46" s="68" t="s">
        <v>1994</v>
      </c>
      <c r="C46" s="68" t="s">
        <v>4295</v>
      </c>
      <c r="D46" s="68"/>
      <c r="E46" s="68" t="s">
        <v>185</v>
      </c>
      <c r="F46" s="68"/>
      <c r="G46" s="292" t="s">
        <v>4291</v>
      </c>
      <c r="H46" s="68" t="s">
        <v>1996</v>
      </c>
      <c r="I46" s="68" t="s">
        <v>188</v>
      </c>
      <c r="J46" s="68" t="s">
        <v>1453</v>
      </c>
      <c r="K46" s="68" t="s">
        <v>191</v>
      </c>
      <c r="L46" s="294">
        <v>2</v>
      </c>
      <c r="M46" s="294">
        <v>2</v>
      </c>
      <c r="N46" s="296" t="s">
        <v>12</v>
      </c>
      <c r="O46" s="78">
        <v>4</v>
      </c>
      <c r="P46" s="97" t="s">
        <v>222</v>
      </c>
      <c r="Q46" s="279" t="s">
        <v>14</v>
      </c>
      <c r="R46" s="754"/>
    </row>
    <row r="47" spans="1:18" ht="22.5">
      <c r="A47" s="68" t="s">
        <v>4296</v>
      </c>
      <c r="B47" s="68" t="s">
        <v>1998</v>
      </c>
      <c r="C47" s="68" t="s">
        <v>4297</v>
      </c>
      <c r="D47" s="68"/>
      <c r="E47" s="68" t="s">
        <v>185</v>
      </c>
      <c r="F47" s="68"/>
      <c r="G47" s="292" t="s">
        <v>4291</v>
      </c>
      <c r="H47" s="68" t="s">
        <v>2000</v>
      </c>
      <c r="I47" s="68" t="s">
        <v>188</v>
      </c>
      <c r="J47" s="68" t="s">
        <v>1453</v>
      </c>
      <c r="K47" s="68" t="s">
        <v>191</v>
      </c>
      <c r="L47" s="294">
        <v>2</v>
      </c>
      <c r="M47" s="294">
        <v>2</v>
      </c>
      <c r="N47" s="296" t="s">
        <v>12</v>
      </c>
      <c r="O47" s="78">
        <v>4</v>
      </c>
      <c r="P47" s="97" t="s">
        <v>222</v>
      </c>
      <c r="Q47" s="279" t="s">
        <v>14</v>
      </c>
      <c r="R47" s="754"/>
    </row>
    <row r="48" spans="1:18" ht="22.5">
      <c r="A48" s="68" t="s">
        <v>4298</v>
      </c>
      <c r="B48" s="68" t="s">
        <v>2002</v>
      </c>
      <c r="C48" s="68" t="s">
        <v>4299</v>
      </c>
      <c r="D48" s="68"/>
      <c r="E48" s="68" t="s">
        <v>185</v>
      </c>
      <c r="F48" s="68"/>
      <c r="G48" s="292" t="s">
        <v>4291</v>
      </c>
      <c r="H48" s="68" t="s">
        <v>2004</v>
      </c>
      <c r="I48" s="68" t="s">
        <v>188</v>
      </c>
      <c r="J48" s="68" t="s">
        <v>1453</v>
      </c>
      <c r="K48" s="68" t="s">
        <v>191</v>
      </c>
      <c r="L48" s="294">
        <v>2</v>
      </c>
      <c r="M48" s="294">
        <v>2</v>
      </c>
      <c r="N48" s="296" t="s">
        <v>12</v>
      </c>
      <c r="O48" s="78">
        <v>4</v>
      </c>
      <c r="P48" s="97" t="s">
        <v>222</v>
      </c>
      <c r="Q48" s="279" t="s">
        <v>14</v>
      </c>
      <c r="R48" s="754"/>
    </row>
    <row r="49" spans="1:18" ht="22.5">
      <c r="A49" s="68" t="s">
        <v>4300</v>
      </c>
      <c r="B49" s="68" t="s">
        <v>2006</v>
      </c>
      <c r="C49" s="68" t="s">
        <v>4301</v>
      </c>
      <c r="D49" s="68"/>
      <c r="E49" s="68" t="s">
        <v>185</v>
      </c>
      <c r="F49" s="68"/>
      <c r="G49" s="292" t="s">
        <v>4291</v>
      </c>
      <c r="H49" s="68" t="s">
        <v>2008</v>
      </c>
      <c r="I49" s="68" t="s">
        <v>188</v>
      </c>
      <c r="J49" s="68" t="s">
        <v>1453</v>
      </c>
      <c r="K49" s="68" t="s">
        <v>191</v>
      </c>
      <c r="L49" s="294">
        <v>2</v>
      </c>
      <c r="M49" s="294">
        <v>2</v>
      </c>
      <c r="N49" s="296" t="s">
        <v>12</v>
      </c>
      <c r="O49" s="78">
        <v>4</v>
      </c>
      <c r="P49" s="97" t="s">
        <v>222</v>
      </c>
      <c r="Q49" s="279" t="s">
        <v>14</v>
      </c>
      <c r="R49" s="754"/>
    </row>
    <row r="50" spans="1:18" ht="22.5">
      <c r="A50" s="68" t="s">
        <v>4302</v>
      </c>
      <c r="B50" s="68" t="s">
        <v>2010</v>
      </c>
      <c r="C50" s="68" t="s">
        <v>4303</v>
      </c>
      <c r="D50" s="68"/>
      <c r="E50" s="68" t="s">
        <v>185</v>
      </c>
      <c r="F50" s="68"/>
      <c r="G50" s="292" t="s">
        <v>4291</v>
      </c>
      <c r="H50" s="68" t="s">
        <v>2012</v>
      </c>
      <c r="I50" s="68" t="s">
        <v>188</v>
      </c>
      <c r="J50" s="68" t="s">
        <v>1453</v>
      </c>
      <c r="K50" s="68" t="s">
        <v>191</v>
      </c>
      <c r="L50" s="294">
        <v>2</v>
      </c>
      <c r="M50" s="294">
        <v>2</v>
      </c>
      <c r="N50" s="296" t="s">
        <v>12</v>
      </c>
      <c r="O50" s="78">
        <v>4</v>
      </c>
      <c r="P50" s="97" t="s">
        <v>222</v>
      </c>
      <c r="Q50" s="279" t="s">
        <v>14</v>
      </c>
      <c r="R50" s="754"/>
    </row>
    <row r="51" spans="1:18" ht="22.5">
      <c r="A51" s="68" t="s">
        <v>4304</v>
      </c>
      <c r="B51" s="68" t="s">
        <v>2014</v>
      </c>
      <c r="C51" s="68" t="s">
        <v>4305</v>
      </c>
      <c r="D51" s="68"/>
      <c r="E51" s="68" t="s">
        <v>185</v>
      </c>
      <c r="F51" s="68"/>
      <c r="G51" s="292" t="s">
        <v>4291</v>
      </c>
      <c r="H51" s="68" t="s">
        <v>2016</v>
      </c>
      <c r="I51" s="68" t="s">
        <v>188</v>
      </c>
      <c r="J51" s="68" t="s">
        <v>1453</v>
      </c>
      <c r="K51" s="68" t="s">
        <v>191</v>
      </c>
      <c r="L51" s="294">
        <v>2</v>
      </c>
      <c r="M51" s="294">
        <v>2</v>
      </c>
      <c r="N51" s="296" t="s">
        <v>12</v>
      </c>
      <c r="O51" s="78">
        <v>4</v>
      </c>
      <c r="P51" s="97" t="s">
        <v>222</v>
      </c>
      <c r="Q51" s="279" t="s">
        <v>14</v>
      </c>
      <c r="R51" s="754"/>
    </row>
    <row r="52" spans="1:18" ht="22.5">
      <c r="A52" s="68" t="s">
        <v>4306</v>
      </c>
      <c r="B52" s="68" t="s">
        <v>2018</v>
      </c>
      <c r="C52" s="68" t="s">
        <v>4307</v>
      </c>
      <c r="D52" s="68"/>
      <c r="E52" s="68" t="s">
        <v>185</v>
      </c>
      <c r="F52" s="68"/>
      <c r="G52" s="292" t="s">
        <v>4291</v>
      </c>
      <c r="H52" s="68" t="s">
        <v>2020</v>
      </c>
      <c r="I52" s="68" t="s">
        <v>188</v>
      </c>
      <c r="J52" s="68" t="s">
        <v>1453</v>
      </c>
      <c r="K52" s="68" t="s">
        <v>191</v>
      </c>
      <c r="L52" s="294">
        <v>2</v>
      </c>
      <c r="M52" s="294">
        <v>2</v>
      </c>
      <c r="N52" s="296" t="s">
        <v>12</v>
      </c>
      <c r="O52" s="78">
        <v>4</v>
      </c>
      <c r="P52" s="97" t="s">
        <v>222</v>
      </c>
      <c r="Q52" s="279" t="s">
        <v>14</v>
      </c>
      <c r="R52" s="754"/>
    </row>
    <row r="53" spans="1:18" ht="22.5">
      <c r="A53" s="68" t="s">
        <v>4308</v>
      </c>
      <c r="B53" s="68" t="s">
        <v>2022</v>
      </c>
      <c r="C53" s="68" t="s">
        <v>4309</v>
      </c>
      <c r="D53" s="68"/>
      <c r="E53" s="68" t="s">
        <v>185</v>
      </c>
      <c r="F53" s="68"/>
      <c r="G53" s="292" t="s">
        <v>4291</v>
      </c>
      <c r="H53" s="68" t="s">
        <v>2024</v>
      </c>
      <c r="I53" s="68" t="s">
        <v>188</v>
      </c>
      <c r="J53" s="68" t="s">
        <v>1453</v>
      </c>
      <c r="K53" s="68" t="s">
        <v>191</v>
      </c>
      <c r="L53" s="294">
        <v>2</v>
      </c>
      <c r="M53" s="294">
        <v>2</v>
      </c>
      <c r="N53" s="296" t="s">
        <v>12</v>
      </c>
      <c r="O53" s="78">
        <v>4</v>
      </c>
      <c r="P53" s="97" t="s">
        <v>222</v>
      </c>
      <c r="Q53" s="279" t="s">
        <v>14</v>
      </c>
      <c r="R53" s="754"/>
    </row>
    <row r="54" spans="1:18" ht="22.5">
      <c r="A54" s="68" t="s">
        <v>4310</v>
      </c>
      <c r="B54" s="68" t="s">
        <v>2026</v>
      </c>
      <c r="C54" s="68" t="s">
        <v>4311</v>
      </c>
      <c r="D54" s="68"/>
      <c r="E54" s="68" t="s">
        <v>185</v>
      </c>
      <c r="F54" s="68"/>
      <c r="G54" s="292" t="s">
        <v>4291</v>
      </c>
      <c r="H54" s="68" t="s">
        <v>2028</v>
      </c>
      <c r="I54" s="68" t="s">
        <v>188</v>
      </c>
      <c r="J54" s="68" t="s">
        <v>1453</v>
      </c>
      <c r="K54" s="68" t="s">
        <v>191</v>
      </c>
      <c r="L54" s="294">
        <v>2</v>
      </c>
      <c r="M54" s="294">
        <v>2</v>
      </c>
      <c r="N54" s="296" t="s">
        <v>12</v>
      </c>
      <c r="O54" s="78">
        <v>4</v>
      </c>
      <c r="P54" s="97" t="s">
        <v>222</v>
      </c>
      <c r="Q54" s="279" t="s">
        <v>14</v>
      </c>
      <c r="R54" s="754"/>
    </row>
    <row r="55" spans="1:18" ht="22.5">
      <c r="A55" s="68" t="s">
        <v>4312</v>
      </c>
      <c r="B55" s="68" t="s">
        <v>2030</v>
      </c>
      <c r="C55" s="68" t="s">
        <v>4313</v>
      </c>
      <c r="D55" s="68"/>
      <c r="E55" s="68" t="s">
        <v>185</v>
      </c>
      <c r="F55" s="68"/>
      <c r="G55" s="292" t="s">
        <v>4291</v>
      </c>
      <c r="H55" s="68" t="s">
        <v>2032</v>
      </c>
      <c r="I55" s="68" t="s">
        <v>188</v>
      </c>
      <c r="J55" s="68" t="s">
        <v>1453</v>
      </c>
      <c r="K55" s="68" t="s">
        <v>191</v>
      </c>
      <c r="L55" s="294">
        <v>2</v>
      </c>
      <c r="M55" s="294">
        <v>2</v>
      </c>
      <c r="N55" s="296" t="s">
        <v>12</v>
      </c>
      <c r="O55" s="78">
        <v>4</v>
      </c>
      <c r="P55" s="97" t="s">
        <v>222</v>
      </c>
      <c r="Q55" s="279" t="s">
        <v>14</v>
      </c>
      <c r="R55" s="754"/>
    </row>
    <row r="56" spans="1:18" ht="22.5">
      <c r="A56" s="68" t="s">
        <v>4314</v>
      </c>
      <c r="B56" s="68" t="s">
        <v>2034</v>
      </c>
      <c r="C56" s="68" t="s">
        <v>4315</v>
      </c>
      <c r="D56" s="68"/>
      <c r="E56" s="68" t="s">
        <v>185</v>
      </c>
      <c r="F56" s="68"/>
      <c r="G56" s="292" t="s">
        <v>4291</v>
      </c>
      <c r="H56" s="68" t="s">
        <v>2036</v>
      </c>
      <c r="I56" s="68" t="s">
        <v>188</v>
      </c>
      <c r="J56" s="68" t="s">
        <v>1453</v>
      </c>
      <c r="K56" s="68" t="s">
        <v>191</v>
      </c>
      <c r="L56" s="294">
        <v>2</v>
      </c>
      <c r="M56" s="294">
        <v>2</v>
      </c>
      <c r="N56" s="296" t="s">
        <v>12</v>
      </c>
      <c r="O56" s="78">
        <v>4</v>
      </c>
      <c r="P56" s="97" t="s">
        <v>222</v>
      </c>
      <c r="Q56" s="279" t="s">
        <v>14</v>
      </c>
      <c r="R56" s="754"/>
    </row>
    <row r="57" spans="1:18" ht="22.5">
      <c r="A57" s="68" t="s">
        <v>4316</v>
      </c>
      <c r="B57" s="68" t="s">
        <v>2038</v>
      </c>
      <c r="C57" s="68" t="s">
        <v>4317</v>
      </c>
      <c r="D57" s="68"/>
      <c r="E57" s="68" t="s">
        <v>185</v>
      </c>
      <c r="F57" s="68"/>
      <c r="G57" s="292" t="s">
        <v>4291</v>
      </c>
      <c r="H57" s="68" t="s">
        <v>2040</v>
      </c>
      <c r="I57" s="68" t="s">
        <v>188</v>
      </c>
      <c r="J57" s="68" t="s">
        <v>1453</v>
      </c>
      <c r="K57" s="68" t="s">
        <v>191</v>
      </c>
      <c r="L57" s="294">
        <v>2</v>
      </c>
      <c r="M57" s="294">
        <v>2</v>
      </c>
      <c r="N57" s="296" t="s">
        <v>12</v>
      </c>
      <c r="O57" s="78">
        <v>4</v>
      </c>
      <c r="P57" s="97" t="s">
        <v>222</v>
      </c>
      <c r="Q57" s="279" t="s">
        <v>14</v>
      </c>
      <c r="R57" s="754"/>
    </row>
    <row r="58" spans="1:18" ht="22.5">
      <c r="A58" s="68" t="s">
        <v>4318</v>
      </c>
      <c r="B58" s="68" t="s">
        <v>2042</v>
      </c>
      <c r="C58" s="68" t="s">
        <v>4319</v>
      </c>
      <c r="D58" s="68"/>
      <c r="E58" s="68" t="s">
        <v>185</v>
      </c>
      <c r="F58" s="68"/>
      <c r="G58" s="292" t="s">
        <v>4291</v>
      </c>
      <c r="H58" s="68" t="s">
        <v>2044</v>
      </c>
      <c r="I58" s="68" t="s">
        <v>188</v>
      </c>
      <c r="J58" s="68" t="s">
        <v>1453</v>
      </c>
      <c r="K58" s="68" t="s">
        <v>191</v>
      </c>
      <c r="L58" s="294">
        <v>2</v>
      </c>
      <c r="M58" s="294">
        <v>2</v>
      </c>
      <c r="N58" s="296" t="s">
        <v>12</v>
      </c>
      <c r="O58" s="78">
        <v>4</v>
      </c>
      <c r="P58" s="97" t="s">
        <v>222</v>
      </c>
      <c r="Q58" s="279" t="s">
        <v>14</v>
      </c>
      <c r="R58" s="754"/>
    </row>
    <row r="59" spans="1:18" ht="22.5">
      <c r="A59" s="68" t="s">
        <v>4320</v>
      </c>
      <c r="B59" s="68" t="s">
        <v>2046</v>
      </c>
      <c r="C59" s="68" t="s">
        <v>4321</v>
      </c>
      <c r="D59" s="68"/>
      <c r="E59" s="68" t="s">
        <v>185</v>
      </c>
      <c r="F59" s="68"/>
      <c r="G59" s="292" t="s">
        <v>4291</v>
      </c>
      <c r="H59" s="68" t="s">
        <v>2048</v>
      </c>
      <c r="I59" s="68" t="s">
        <v>188</v>
      </c>
      <c r="J59" s="68" t="s">
        <v>1453</v>
      </c>
      <c r="K59" s="68" t="s">
        <v>191</v>
      </c>
      <c r="L59" s="294">
        <v>2</v>
      </c>
      <c r="M59" s="294">
        <v>2</v>
      </c>
      <c r="N59" s="296" t="s">
        <v>12</v>
      </c>
      <c r="O59" s="78">
        <v>4</v>
      </c>
      <c r="P59" s="97" t="s">
        <v>222</v>
      </c>
      <c r="Q59" s="279" t="s">
        <v>14</v>
      </c>
      <c r="R59" s="754"/>
    </row>
    <row r="60" spans="1:18" ht="22.5">
      <c r="A60" s="68" t="s">
        <v>4322</v>
      </c>
      <c r="B60" s="68" t="s">
        <v>2050</v>
      </c>
      <c r="C60" s="68" t="s">
        <v>4323</v>
      </c>
      <c r="D60" s="68"/>
      <c r="E60" s="68" t="s">
        <v>185</v>
      </c>
      <c r="F60" s="68"/>
      <c r="G60" s="292" t="s">
        <v>4291</v>
      </c>
      <c r="H60" s="68" t="s">
        <v>2052</v>
      </c>
      <c r="I60" s="68" t="s">
        <v>188</v>
      </c>
      <c r="J60" s="68" t="s">
        <v>1453</v>
      </c>
      <c r="K60" s="68" t="s">
        <v>191</v>
      </c>
      <c r="L60" s="294">
        <v>2</v>
      </c>
      <c r="M60" s="294">
        <v>2</v>
      </c>
      <c r="N60" s="296" t="s">
        <v>12</v>
      </c>
      <c r="O60" s="78">
        <v>4</v>
      </c>
      <c r="P60" s="97" t="s">
        <v>222</v>
      </c>
      <c r="Q60" s="279" t="s">
        <v>14</v>
      </c>
      <c r="R60" s="754"/>
    </row>
    <row r="61" spans="1:18" ht="22.5">
      <c r="A61" s="68" t="s">
        <v>4324</v>
      </c>
      <c r="B61" s="68" t="s">
        <v>2054</v>
      </c>
      <c r="C61" s="68" t="s">
        <v>4325</v>
      </c>
      <c r="D61" s="68"/>
      <c r="E61" s="68" t="s">
        <v>185</v>
      </c>
      <c r="F61" s="68"/>
      <c r="G61" s="292" t="s">
        <v>4291</v>
      </c>
      <c r="H61" s="68" t="s">
        <v>2056</v>
      </c>
      <c r="I61" s="68" t="s">
        <v>188</v>
      </c>
      <c r="J61" s="68" t="s">
        <v>1453</v>
      </c>
      <c r="K61" s="68" t="s">
        <v>191</v>
      </c>
      <c r="L61" s="294">
        <v>2</v>
      </c>
      <c r="M61" s="294">
        <v>2</v>
      </c>
      <c r="N61" s="296" t="s">
        <v>12</v>
      </c>
      <c r="O61" s="78">
        <v>4</v>
      </c>
      <c r="P61" s="97" t="s">
        <v>222</v>
      </c>
      <c r="Q61" s="279" t="s">
        <v>14</v>
      </c>
      <c r="R61" s="754"/>
    </row>
    <row r="62" spans="1:18" ht="45">
      <c r="A62" s="68" t="s">
        <v>4326</v>
      </c>
      <c r="B62" s="68" t="s">
        <v>2058</v>
      </c>
      <c r="C62" s="299"/>
      <c r="D62" s="300"/>
      <c r="E62" s="301" t="s">
        <v>185</v>
      </c>
      <c r="F62" s="68"/>
      <c r="G62" s="292" t="s">
        <v>4327</v>
      </c>
      <c r="H62" s="68" t="s">
        <v>4328</v>
      </c>
      <c r="I62" s="68" t="s">
        <v>204</v>
      </c>
      <c r="J62" s="103" t="s">
        <v>4329</v>
      </c>
      <c r="K62" s="68" t="s">
        <v>191</v>
      </c>
      <c r="L62" s="294">
        <v>4</v>
      </c>
      <c r="M62" s="294">
        <v>4</v>
      </c>
      <c r="N62" s="296" t="s">
        <v>12</v>
      </c>
      <c r="O62" s="78">
        <v>5</v>
      </c>
      <c r="P62" s="78" t="s">
        <v>222</v>
      </c>
      <c r="Q62" s="279" t="s">
        <v>14</v>
      </c>
      <c r="R62" s="754"/>
    </row>
    <row r="63" spans="1:18" ht="45">
      <c r="A63" s="63" t="s">
        <v>4330</v>
      </c>
      <c r="B63" s="43" t="s">
        <v>4331</v>
      </c>
      <c r="C63" s="91"/>
      <c r="D63" s="300"/>
      <c r="E63" s="253" t="s">
        <v>185</v>
      </c>
      <c r="F63" s="68"/>
      <c r="G63" s="62" t="s">
        <v>4332</v>
      </c>
      <c r="H63" s="63" t="s">
        <v>4328</v>
      </c>
      <c r="I63" s="63" t="s">
        <v>204</v>
      </c>
      <c r="J63" s="43" t="s">
        <v>4329</v>
      </c>
      <c r="K63" s="68" t="s">
        <v>191</v>
      </c>
      <c r="L63" s="256">
        <v>4</v>
      </c>
      <c r="M63" s="256">
        <v>4</v>
      </c>
      <c r="N63" s="296" t="s">
        <v>14</v>
      </c>
      <c r="O63" s="78">
        <v>5</v>
      </c>
      <c r="P63" s="78" t="s">
        <v>222</v>
      </c>
      <c r="Q63" s="279" t="s">
        <v>14</v>
      </c>
      <c r="R63" s="391"/>
    </row>
    <row r="64" spans="1:18" ht="45">
      <c r="A64" s="68" t="s">
        <v>4333</v>
      </c>
      <c r="B64" s="103" t="s">
        <v>4334</v>
      </c>
      <c r="C64" s="302"/>
      <c r="D64" s="300"/>
      <c r="E64" s="303" t="s">
        <v>185</v>
      </c>
      <c r="F64" s="68"/>
      <c r="G64" s="292" t="s">
        <v>1890</v>
      </c>
      <c r="H64" s="68" t="s">
        <v>4328</v>
      </c>
      <c r="I64" s="68" t="s">
        <v>204</v>
      </c>
      <c r="J64" s="103" t="s">
        <v>4329</v>
      </c>
      <c r="K64" s="68" t="s">
        <v>191</v>
      </c>
      <c r="L64" s="294">
        <v>4</v>
      </c>
      <c r="M64" s="294">
        <v>4</v>
      </c>
      <c r="N64" s="296" t="s">
        <v>12</v>
      </c>
      <c r="O64" s="78">
        <v>5</v>
      </c>
      <c r="P64" s="78" t="s">
        <v>222</v>
      </c>
      <c r="Q64" s="279" t="s">
        <v>14</v>
      </c>
      <c r="R64" s="754"/>
    </row>
    <row r="65" spans="1:18" s="673" customFormat="1" ht="56.25">
      <c r="A65" s="668" t="s">
        <v>4335</v>
      </c>
      <c r="B65" s="668" t="s">
        <v>446</v>
      </c>
      <c r="C65" s="668" t="s">
        <v>4336</v>
      </c>
      <c r="D65" s="669"/>
      <c r="E65" s="668" t="s">
        <v>185</v>
      </c>
      <c r="F65" s="668"/>
      <c r="G65" s="670" t="s">
        <v>4206</v>
      </c>
      <c r="H65" s="668" t="s">
        <v>448</v>
      </c>
      <c r="I65" s="668" t="s">
        <v>204</v>
      </c>
      <c r="J65" s="668"/>
      <c r="K65" s="668" t="s">
        <v>191</v>
      </c>
      <c r="L65" s="671">
        <v>1</v>
      </c>
      <c r="M65" s="671">
        <v>1</v>
      </c>
      <c r="N65" s="672" t="s">
        <v>12</v>
      </c>
      <c r="O65" s="642">
        <v>5</v>
      </c>
      <c r="P65" s="642" t="s">
        <v>199</v>
      </c>
      <c r="Q65" s="613" t="s">
        <v>12</v>
      </c>
      <c r="R65" s="755" t="s">
        <v>4337</v>
      </c>
    </row>
    <row r="66" spans="1:18" s="673" customFormat="1" ht="45">
      <c r="A66" s="668" t="s">
        <v>4338</v>
      </c>
      <c r="B66" s="668" t="s">
        <v>764</v>
      </c>
      <c r="C66" s="668" t="s">
        <v>4339</v>
      </c>
      <c r="D66" s="668"/>
      <c r="E66" s="668" t="s">
        <v>185</v>
      </c>
      <c r="F66" s="668"/>
      <c r="G66" s="670" t="s">
        <v>4206</v>
      </c>
      <c r="H66" s="668" t="s">
        <v>4340</v>
      </c>
      <c r="I66" s="668" t="s">
        <v>204</v>
      </c>
      <c r="J66" s="668"/>
      <c r="K66" s="668" t="s">
        <v>191</v>
      </c>
      <c r="L66" s="671">
        <v>1</v>
      </c>
      <c r="M66" s="671">
        <v>1</v>
      </c>
      <c r="N66" s="672" t="s">
        <v>12</v>
      </c>
      <c r="O66" s="642">
        <v>4</v>
      </c>
      <c r="P66" s="642" t="s">
        <v>199</v>
      </c>
      <c r="Q66" s="613" t="s">
        <v>12</v>
      </c>
      <c r="R66" s="755" t="s">
        <v>4337</v>
      </c>
    </row>
    <row r="67" spans="1:18" s="667" customFormat="1" ht="23.25" customHeight="1">
      <c r="A67" s="559" t="s">
        <v>4341</v>
      </c>
      <c r="B67" s="560" t="s">
        <v>4342</v>
      </c>
      <c r="C67" s="559"/>
      <c r="D67" s="560"/>
      <c r="E67" s="560" t="s">
        <v>185</v>
      </c>
      <c r="F67" s="560"/>
      <c r="G67" s="561" t="s">
        <v>601</v>
      </c>
      <c r="H67" s="665" t="s">
        <v>4343</v>
      </c>
      <c r="I67" s="665"/>
      <c r="J67" s="559"/>
      <c r="K67" s="560" t="s">
        <v>191</v>
      </c>
      <c r="L67" s="562">
        <v>1</v>
      </c>
      <c r="M67" s="562">
        <v>1</v>
      </c>
      <c r="N67" s="618" t="s">
        <v>14</v>
      </c>
      <c r="O67" s="666">
        <v>4</v>
      </c>
      <c r="P67" s="666" t="s">
        <v>199</v>
      </c>
      <c r="Q67" s="279" t="s">
        <v>14</v>
      </c>
      <c r="R67" s="620"/>
    </row>
    <row r="68" spans="1:18" s="673" customFormat="1" ht="45">
      <c r="A68" s="668" t="s">
        <v>4344</v>
      </c>
      <c r="B68" s="668" t="s">
        <v>463</v>
      </c>
      <c r="C68" s="668" t="s">
        <v>4345</v>
      </c>
      <c r="D68" s="668" t="s">
        <v>4346</v>
      </c>
      <c r="E68" s="668" t="s">
        <v>185</v>
      </c>
      <c r="F68" s="668"/>
      <c r="G68" s="670" t="s">
        <v>4206</v>
      </c>
      <c r="H68" s="668" t="s">
        <v>1424</v>
      </c>
      <c r="I68" s="668" t="s">
        <v>466</v>
      </c>
      <c r="J68" s="668"/>
      <c r="K68" s="668" t="s">
        <v>191</v>
      </c>
      <c r="L68" s="671">
        <v>1</v>
      </c>
      <c r="M68" s="671">
        <v>1</v>
      </c>
      <c r="N68" s="672" t="s">
        <v>12</v>
      </c>
      <c r="O68" s="642">
        <v>4</v>
      </c>
      <c r="P68" s="642" t="s">
        <v>199</v>
      </c>
      <c r="Q68" s="613" t="s">
        <v>12</v>
      </c>
      <c r="R68" s="755" t="s">
        <v>4347</v>
      </c>
    </row>
    <row r="69" spans="1:18" ht="31.5" customHeight="1">
      <c r="A69" s="304"/>
      <c r="B69" s="304"/>
      <c r="C69" s="304"/>
      <c r="D69" s="304"/>
      <c r="E69" s="304"/>
      <c r="F69" s="304"/>
      <c r="G69" s="305"/>
      <c r="H69" s="304"/>
      <c r="I69" s="304"/>
      <c r="J69" s="304"/>
      <c r="K69" s="304"/>
      <c r="L69" s="306"/>
      <c r="M69" s="306"/>
      <c r="N69" s="307"/>
      <c r="O69" s="57"/>
      <c r="P69" s="57"/>
      <c r="Q69" s="305"/>
      <c r="R69" s="305"/>
    </row>
    <row r="70" spans="1:18">
      <c r="A70" s="308" t="s">
        <v>4348</v>
      </c>
      <c r="B70" s="282"/>
      <c r="C70" s="308"/>
      <c r="D70" s="308"/>
      <c r="E70" s="308"/>
      <c r="F70" s="308"/>
      <c r="G70" s="305"/>
      <c r="H70" s="304"/>
      <c r="I70" s="304"/>
      <c r="J70" s="304"/>
      <c r="K70" s="304"/>
      <c r="L70" s="282"/>
      <c r="M70" s="282"/>
      <c r="N70" s="309"/>
      <c r="O70" s="57"/>
      <c r="P70" s="57"/>
      <c r="Q70" s="305"/>
      <c r="R70" s="305"/>
    </row>
    <row r="71" spans="1:18" ht="22.5" customHeight="1">
      <c r="A71" s="310" t="s">
        <v>4349</v>
      </c>
      <c r="B71" s="310" t="s">
        <v>2074</v>
      </c>
      <c r="C71" s="310" t="s">
        <v>4350</v>
      </c>
      <c r="D71" s="310"/>
      <c r="E71" s="311" t="s">
        <v>493</v>
      </c>
      <c r="F71" s="311"/>
      <c r="G71" s="312"/>
      <c r="H71" s="310" t="s">
        <v>2076</v>
      </c>
      <c r="I71" s="310" t="s">
        <v>466</v>
      </c>
      <c r="J71" s="310"/>
      <c r="K71" s="68" t="s">
        <v>191</v>
      </c>
      <c r="L71" s="313">
        <v>1</v>
      </c>
      <c r="M71" s="313">
        <v>1</v>
      </c>
      <c r="N71" s="314" t="s">
        <v>14</v>
      </c>
      <c r="O71" s="78">
        <v>3</v>
      </c>
      <c r="P71" s="97" t="s">
        <v>199</v>
      </c>
      <c r="Q71" s="279" t="s">
        <v>14</v>
      </c>
      <c r="R71" s="257"/>
    </row>
    <row r="72" spans="1:18" s="673" customFormat="1" ht="45">
      <c r="A72" s="668" t="s">
        <v>4338</v>
      </c>
      <c r="B72" s="668" t="s">
        <v>764</v>
      </c>
      <c r="C72" s="668" t="s">
        <v>4351</v>
      </c>
      <c r="D72" s="668"/>
      <c r="E72" s="668" t="s">
        <v>185</v>
      </c>
      <c r="F72" s="668"/>
      <c r="G72" s="670" t="s">
        <v>4206</v>
      </c>
      <c r="H72" s="674" t="s">
        <v>4340</v>
      </c>
      <c r="I72" s="674" t="s">
        <v>204</v>
      </c>
      <c r="J72" s="668"/>
      <c r="K72" s="668" t="s">
        <v>191</v>
      </c>
      <c r="L72" s="671">
        <v>1</v>
      </c>
      <c r="M72" s="671">
        <v>1</v>
      </c>
      <c r="N72" s="672" t="s">
        <v>12</v>
      </c>
      <c r="O72" s="642">
        <v>5</v>
      </c>
      <c r="P72" s="642" t="s">
        <v>199</v>
      </c>
      <c r="Q72" s="613" t="s">
        <v>12</v>
      </c>
      <c r="R72" s="755" t="s">
        <v>4347</v>
      </c>
    </row>
    <row r="73" spans="1:18" s="673" customFormat="1">
      <c r="A73" s="668" t="s">
        <v>4344</v>
      </c>
      <c r="B73" s="668" t="s">
        <v>463</v>
      </c>
      <c r="C73" s="668"/>
      <c r="D73" s="668"/>
      <c r="E73" s="668" t="s">
        <v>185</v>
      </c>
      <c r="F73" s="668"/>
      <c r="G73" s="670" t="s">
        <v>4352</v>
      </c>
      <c r="H73" s="668" t="s">
        <v>4353</v>
      </c>
      <c r="I73" s="668" t="s">
        <v>466</v>
      </c>
      <c r="J73" s="668"/>
      <c r="K73" s="668" t="s">
        <v>191</v>
      </c>
      <c r="L73" s="671">
        <v>1</v>
      </c>
      <c r="M73" s="671">
        <v>1</v>
      </c>
      <c r="N73" s="672" t="s">
        <v>12</v>
      </c>
      <c r="O73" s="642">
        <v>4</v>
      </c>
      <c r="P73" s="642" t="s">
        <v>199</v>
      </c>
      <c r="Q73" s="279" t="s">
        <v>14</v>
      </c>
      <c r="R73" s="755"/>
    </row>
    <row r="74" spans="1:18" s="673" customFormat="1" ht="22.5">
      <c r="A74" s="668" t="s">
        <v>4354</v>
      </c>
      <c r="B74" s="668" t="s">
        <v>4355</v>
      </c>
      <c r="C74" s="668" t="s">
        <v>4356</v>
      </c>
      <c r="D74" s="668" t="s">
        <v>4357</v>
      </c>
      <c r="E74" s="668" t="s">
        <v>185</v>
      </c>
      <c r="F74" s="668"/>
      <c r="G74" s="670" t="s">
        <v>4206</v>
      </c>
      <c r="H74" s="674" t="s">
        <v>4358</v>
      </c>
      <c r="I74" s="674" t="s">
        <v>204</v>
      </c>
      <c r="J74" s="668"/>
      <c r="K74" s="668" t="s">
        <v>191</v>
      </c>
      <c r="L74" s="671">
        <v>1</v>
      </c>
      <c r="M74" s="671">
        <v>1</v>
      </c>
      <c r="N74" s="672" t="s">
        <v>12</v>
      </c>
      <c r="O74" s="642">
        <v>4</v>
      </c>
      <c r="P74" s="642" t="s">
        <v>199</v>
      </c>
      <c r="Q74" s="279" t="s">
        <v>14</v>
      </c>
      <c r="R74" s="755"/>
    </row>
    <row r="75" spans="1:18" s="673" customFormat="1" ht="22.5">
      <c r="A75" s="668" t="s">
        <v>4359</v>
      </c>
      <c r="B75" s="668" t="s">
        <v>4360</v>
      </c>
      <c r="C75" s="668" t="s">
        <v>4361</v>
      </c>
      <c r="D75" s="668"/>
      <c r="E75" s="668" t="s">
        <v>185</v>
      </c>
      <c r="F75" s="668"/>
      <c r="G75" s="670" t="s">
        <v>4206</v>
      </c>
      <c r="H75" s="668" t="s">
        <v>4362</v>
      </c>
      <c r="I75" s="668" t="s">
        <v>466</v>
      </c>
      <c r="J75" s="668"/>
      <c r="K75" s="668" t="s">
        <v>191</v>
      </c>
      <c r="L75" s="671">
        <v>1</v>
      </c>
      <c r="M75" s="671">
        <v>1</v>
      </c>
      <c r="N75" s="672" t="s">
        <v>12</v>
      </c>
      <c r="O75" s="642">
        <v>4</v>
      </c>
      <c r="P75" s="642" t="s">
        <v>199</v>
      </c>
      <c r="Q75" s="279" t="s">
        <v>14</v>
      </c>
      <c r="R75" s="755"/>
    </row>
    <row r="76" spans="1:18" s="673" customFormat="1" ht="22.5">
      <c r="A76" s="668" t="s">
        <v>4363</v>
      </c>
      <c r="B76" s="668" t="s">
        <v>4364</v>
      </c>
      <c r="C76" s="668" t="s">
        <v>4365</v>
      </c>
      <c r="D76" s="668"/>
      <c r="E76" s="668" t="s">
        <v>185</v>
      </c>
      <c r="F76" s="668"/>
      <c r="G76" s="670" t="s">
        <v>4366</v>
      </c>
      <c r="H76" s="674" t="s">
        <v>4367</v>
      </c>
      <c r="I76" s="674" t="s">
        <v>466</v>
      </c>
      <c r="J76" s="668"/>
      <c r="K76" s="668" t="s">
        <v>191</v>
      </c>
      <c r="L76" s="671">
        <v>1</v>
      </c>
      <c r="M76" s="671">
        <v>1</v>
      </c>
      <c r="N76" s="672" t="s">
        <v>12</v>
      </c>
      <c r="O76" s="642">
        <v>4</v>
      </c>
      <c r="P76" s="642" t="s">
        <v>199</v>
      </c>
      <c r="Q76" s="279" t="s">
        <v>14</v>
      </c>
      <c r="R76" s="755"/>
    </row>
    <row r="77" spans="1:18">
      <c r="A77" s="304"/>
      <c r="B77" s="304"/>
      <c r="C77" s="304"/>
      <c r="D77" s="304"/>
      <c r="E77" s="304"/>
      <c r="F77" s="304"/>
      <c r="G77" s="308"/>
      <c r="H77" s="304"/>
      <c r="I77" s="304"/>
      <c r="J77" s="304"/>
      <c r="K77" s="304"/>
      <c r="L77" s="306"/>
      <c r="M77" s="306"/>
      <c r="N77" s="307"/>
      <c r="O77" s="57"/>
      <c r="P77" s="57"/>
      <c r="Q77" s="315"/>
      <c r="R77" s="305"/>
    </row>
    <row r="78" spans="1:18">
      <c r="A78" s="281" t="s">
        <v>131</v>
      </c>
      <c r="B78" s="281"/>
      <c r="C78" s="282"/>
      <c r="D78" s="282"/>
      <c r="E78" s="282"/>
      <c r="F78" s="282"/>
      <c r="G78" s="283"/>
      <c r="H78" s="282"/>
      <c r="I78" s="282"/>
      <c r="J78" s="284"/>
      <c r="K78" s="284"/>
      <c r="L78" s="285"/>
      <c r="M78" s="285"/>
    </row>
    <row r="79" spans="1:18">
      <c r="A79" s="281"/>
      <c r="B79" s="281"/>
      <c r="C79" s="282"/>
      <c r="D79" s="282"/>
      <c r="E79" s="282"/>
      <c r="F79" s="282"/>
      <c r="G79" s="283"/>
      <c r="H79" s="282"/>
      <c r="I79" s="282"/>
      <c r="J79" s="284"/>
      <c r="K79" s="284"/>
      <c r="L79" s="286"/>
      <c r="M79" s="286"/>
    </row>
    <row r="80" spans="1:18" ht="76.5">
      <c r="A80" s="316" t="s">
        <v>488</v>
      </c>
      <c r="B80" s="281"/>
      <c r="C80" s="282"/>
      <c r="D80" s="282"/>
      <c r="E80" s="282"/>
      <c r="F80" s="282"/>
      <c r="G80" s="283"/>
      <c r="H80" s="282"/>
      <c r="I80" s="282"/>
      <c r="J80" s="284"/>
      <c r="K80" s="284"/>
      <c r="L80" s="285"/>
      <c r="M80" s="285"/>
    </row>
    <row r="81" spans="1:16" ht="76.5">
      <c r="A81" s="317" t="s">
        <v>489</v>
      </c>
      <c r="B81" s="281"/>
      <c r="C81" s="282"/>
      <c r="D81" s="282"/>
      <c r="E81" s="282"/>
      <c r="F81" s="282"/>
      <c r="G81" s="283"/>
      <c r="H81" s="282"/>
      <c r="I81" s="282"/>
      <c r="J81" s="284"/>
      <c r="K81" s="284"/>
      <c r="L81" s="286"/>
      <c r="M81" s="286"/>
    </row>
    <row r="82" spans="1:16">
      <c r="A82" s="317"/>
      <c r="B82" s="282"/>
      <c r="C82" s="282"/>
      <c r="D82" s="282"/>
      <c r="E82" s="282"/>
      <c r="F82" s="282"/>
      <c r="G82" s="283"/>
      <c r="H82" s="282"/>
      <c r="I82" s="282"/>
      <c r="J82" s="284"/>
      <c r="K82" s="284"/>
      <c r="L82" s="285"/>
      <c r="M82" s="285"/>
    </row>
    <row r="83" spans="1:16" ht="33.75">
      <c r="A83" s="288" t="s">
        <v>165</v>
      </c>
      <c r="B83" s="288" t="s">
        <v>166</v>
      </c>
      <c r="C83" s="288" t="s">
        <v>167</v>
      </c>
      <c r="D83" s="288" t="s">
        <v>4368</v>
      </c>
      <c r="E83" s="58" t="s">
        <v>168</v>
      </c>
      <c r="F83" s="58" t="s">
        <v>169</v>
      </c>
      <c r="G83" s="288" t="s">
        <v>170</v>
      </c>
      <c r="H83" s="288" t="s">
        <v>20</v>
      </c>
      <c r="I83" s="58" t="s">
        <v>171</v>
      </c>
      <c r="J83" s="288" t="s">
        <v>172</v>
      </c>
      <c r="K83" s="58" t="s">
        <v>175</v>
      </c>
      <c r="L83" s="59" t="s">
        <v>4202</v>
      </c>
      <c r="M83" s="289" t="s">
        <v>176</v>
      </c>
      <c r="N83" s="290" t="s">
        <v>177</v>
      </c>
      <c r="O83" s="60" t="s">
        <v>655</v>
      </c>
      <c r="P83" s="60" t="s">
        <v>179</v>
      </c>
    </row>
    <row r="84" spans="1:16">
      <c r="A84" s="318" t="s">
        <v>4203</v>
      </c>
      <c r="B84" s="318"/>
      <c r="C84" s="319"/>
      <c r="D84" s="318"/>
      <c r="E84" s="318"/>
      <c r="F84" s="318"/>
      <c r="G84" s="320"/>
      <c r="H84" s="318"/>
      <c r="I84" s="318"/>
      <c r="J84" s="320"/>
      <c r="K84" s="320"/>
      <c r="L84" s="321"/>
      <c r="M84" s="321"/>
      <c r="N84" s="322"/>
      <c r="O84" s="151"/>
      <c r="P84" s="323"/>
    </row>
    <row r="85" spans="1:16">
      <c r="A85" s="319" t="s">
        <v>4369</v>
      </c>
      <c r="B85" s="319" t="s">
        <v>770</v>
      </c>
      <c r="C85" s="319" t="s">
        <v>4370</v>
      </c>
      <c r="D85" s="319"/>
      <c r="E85" s="319" t="s">
        <v>493</v>
      </c>
      <c r="F85" s="319"/>
      <c r="G85" s="318" t="s">
        <v>4206</v>
      </c>
      <c r="H85" s="319" t="s">
        <v>503</v>
      </c>
      <c r="I85" s="319" t="s">
        <v>198</v>
      </c>
      <c r="J85" s="319"/>
      <c r="K85" s="319" t="s">
        <v>191</v>
      </c>
      <c r="L85" s="320">
        <v>4</v>
      </c>
      <c r="M85" s="320">
        <v>4</v>
      </c>
      <c r="N85" s="322" t="s">
        <v>12</v>
      </c>
      <c r="O85" s="151">
        <v>5</v>
      </c>
      <c r="P85" s="151" t="s">
        <v>199</v>
      </c>
    </row>
    <row r="86" spans="1:16" ht="22.5">
      <c r="A86" s="319" t="s">
        <v>4371</v>
      </c>
      <c r="B86" s="319" t="s">
        <v>491</v>
      </c>
      <c r="C86" s="319" t="s">
        <v>4372</v>
      </c>
      <c r="D86" s="319"/>
      <c r="E86" s="319" t="s">
        <v>493</v>
      </c>
      <c r="F86" s="319"/>
      <c r="G86" s="318" t="s">
        <v>4206</v>
      </c>
      <c r="H86" s="319" t="s">
        <v>494</v>
      </c>
      <c r="I86" s="319" t="s">
        <v>466</v>
      </c>
      <c r="J86" s="319"/>
      <c r="K86" s="319" t="s">
        <v>191</v>
      </c>
      <c r="L86" s="320">
        <v>4</v>
      </c>
      <c r="M86" s="320">
        <v>4</v>
      </c>
      <c r="N86" s="322" t="s">
        <v>14</v>
      </c>
      <c r="O86" s="151">
        <v>3</v>
      </c>
      <c r="P86" s="151" t="s">
        <v>199</v>
      </c>
    </row>
    <row r="87" spans="1:16">
      <c r="A87" s="319" t="s">
        <v>4373</v>
      </c>
      <c r="B87" s="319" t="s">
        <v>2090</v>
      </c>
      <c r="C87" s="319" t="s">
        <v>4374</v>
      </c>
      <c r="D87" s="319"/>
      <c r="E87" s="319" t="s">
        <v>242</v>
      </c>
      <c r="F87" s="319"/>
      <c r="G87" s="318" t="s">
        <v>4206</v>
      </c>
      <c r="H87" s="324" t="s">
        <v>4375</v>
      </c>
      <c r="I87" s="324" t="s">
        <v>198</v>
      </c>
      <c r="J87" s="325" t="s">
        <v>4376</v>
      </c>
      <c r="K87" s="319" t="s">
        <v>191</v>
      </c>
      <c r="L87" s="320">
        <v>4</v>
      </c>
      <c r="M87" s="320">
        <v>4</v>
      </c>
      <c r="N87" s="322" t="s">
        <v>12</v>
      </c>
      <c r="O87" s="151">
        <v>5</v>
      </c>
      <c r="P87" s="151" t="s">
        <v>199</v>
      </c>
    </row>
    <row r="88" spans="1:16" ht="22.5">
      <c r="A88" s="319" t="s">
        <v>4377</v>
      </c>
      <c r="B88" s="319" t="s">
        <v>2096</v>
      </c>
      <c r="C88" s="319" t="s">
        <v>4378</v>
      </c>
      <c r="D88" s="319" t="s">
        <v>4379</v>
      </c>
      <c r="E88" s="319" t="s">
        <v>242</v>
      </c>
      <c r="F88" s="319"/>
      <c r="G88" s="318" t="s">
        <v>2181</v>
      </c>
      <c r="H88" s="324" t="s">
        <v>4380</v>
      </c>
      <c r="I88" s="324" t="s">
        <v>198</v>
      </c>
      <c r="J88" s="325" t="s">
        <v>4381</v>
      </c>
      <c r="K88" s="319" t="s">
        <v>191</v>
      </c>
      <c r="L88" s="320">
        <v>4</v>
      </c>
      <c r="M88" s="320">
        <v>4</v>
      </c>
      <c r="N88" s="322" t="s">
        <v>12</v>
      </c>
      <c r="O88" s="151">
        <v>5</v>
      </c>
      <c r="P88" s="151" t="s">
        <v>199</v>
      </c>
    </row>
    <row r="89" spans="1:16">
      <c r="A89" s="319" t="s">
        <v>4382</v>
      </c>
      <c r="B89" s="319" t="s">
        <v>2152</v>
      </c>
      <c r="C89" s="319"/>
      <c r="D89" s="319"/>
      <c r="E89" s="319" t="s">
        <v>185</v>
      </c>
      <c r="F89" s="319"/>
      <c r="G89" s="318" t="s">
        <v>1890</v>
      </c>
      <c r="H89" s="324" t="s">
        <v>2153</v>
      </c>
      <c r="I89" s="324" t="s">
        <v>204</v>
      </c>
      <c r="J89" s="319"/>
      <c r="K89" s="319" t="s">
        <v>191</v>
      </c>
      <c r="L89" s="320">
        <v>4</v>
      </c>
      <c r="M89" s="320">
        <v>4</v>
      </c>
      <c r="N89" s="322" t="s">
        <v>12</v>
      </c>
      <c r="O89" s="151">
        <v>5</v>
      </c>
      <c r="P89" s="151" t="s">
        <v>199</v>
      </c>
    </row>
    <row r="90" spans="1:16">
      <c r="A90" s="319" t="s">
        <v>4383</v>
      </c>
      <c r="B90" s="319" t="s">
        <v>1436</v>
      </c>
      <c r="C90" s="319" t="s">
        <v>4384</v>
      </c>
      <c r="D90" s="319"/>
      <c r="E90" s="319" t="s">
        <v>185</v>
      </c>
      <c r="F90" s="319"/>
      <c r="G90" s="318" t="s">
        <v>4206</v>
      </c>
      <c r="H90" s="319" t="s">
        <v>1438</v>
      </c>
      <c r="I90" s="319" t="s">
        <v>204</v>
      </c>
      <c r="J90" s="324" t="s">
        <v>4385</v>
      </c>
      <c r="K90" s="319" t="s">
        <v>191</v>
      </c>
      <c r="L90" s="320">
        <v>4</v>
      </c>
      <c r="M90" s="320">
        <v>4</v>
      </c>
      <c r="N90" s="322" t="s">
        <v>12</v>
      </c>
      <c r="O90" s="151">
        <v>5</v>
      </c>
      <c r="P90" s="151" t="s">
        <v>199</v>
      </c>
    </row>
    <row r="91" spans="1:16">
      <c r="A91" s="319" t="s">
        <v>4386</v>
      </c>
      <c r="B91" s="319" t="s">
        <v>780</v>
      </c>
      <c r="C91" s="319" t="s">
        <v>4387</v>
      </c>
      <c r="D91" s="319"/>
      <c r="E91" s="319" t="s">
        <v>185</v>
      </c>
      <c r="F91" s="319"/>
      <c r="G91" s="318" t="s">
        <v>2103</v>
      </c>
      <c r="H91" s="319" t="s">
        <v>1447</v>
      </c>
      <c r="I91" s="319" t="s">
        <v>204</v>
      </c>
      <c r="J91" s="324" t="s">
        <v>4385</v>
      </c>
      <c r="K91" s="319" t="s">
        <v>191</v>
      </c>
      <c r="L91" s="320">
        <v>4</v>
      </c>
      <c r="M91" s="320">
        <v>4</v>
      </c>
      <c r="N91" s="322" t="s">
        <v>12</v>
      </c>
      <c r="O91" s="151">
        <v>5</v>
      </c>
      <c r="P91" s="151" t="s">
        <v>199</v>
      </c>
    </row>
    <row r="92" spans="1:16">
      <c r="A92" s="319" t="s">
        <v>4388</v>
      </c>
      <c r="B92" s="319" t="s">
        <v>4389</v>
      </c>
      <c r="C92" s="319"/>
      <c r="D92" s="319"/>
      <c r="E92" s="319" t="s">
        <v>185</v>
      </c>
      <c r="F92" s="319"/>
      <c r="G92" s="318" t="s">
        <v>1890</v>
      </c>
      <c r="H92" s="319" t="s">
        <v>4390</v>
      </c>
      <c r="I92" s="319" t="s">
        <v>204</v>
      </c>
      <c r="J92" s="324" t="s">
        <v>4391</v>
      </c>
      <c r="K92" s="319" t="s">
        <v>191</v>
      </c>
      <c r="L92" s="320">
        <v>4</v>
      </c>
      <c r="M92" s="320">
        <v>4</v>
      </c>
      <c r="N92" s="322" t="s">
        <v>12</v>
      </c>
      <c r="O92" s="151">
        <v>5</v>
      </c>
      <c r="P92" s="151" t="s">
        <v>199</v>
      </c>
    </row>
    <row r="93" spans="1:16" ht="90">
      <c r="A93" s="319" t="s">
        <v>4392</v>
      </c>
      <c r="B93" s="319" t="s">
        <v>4393</v>
      </c>
      <c r="C93" s="319"/>
      <c r="D93" s="319"/>
      <c r="E93" s="319" t="s">
        <v>185</v>
      </c>
      <c r="F93" s="319"/>
      <c r="G93" s="318" t="s">
        <v>2194</v>
      </c>
      <c r="H93" s="319" t="s">
        <v>4394</v>
      </c>
      <c r="I93" s="319" t="s">
        <v>204</v>
      </c>
      <c r="J93" s="324" t="s">
        <v>4395</v>
      </c>
      <c r="K93" s="319" t="s">
        <v>191</v>
      </c>
      <c r="L93" s="320">
        <v>4</v>
      </c>
      <c r="M93" s="320">
        <v>4</v>
      </c>
      <c r="N93" s="322" t="s">
        <v>12</v>
      </c>
      <c r="O93" s="151">
        <v>4</v>
      </c>
      <c r="P93" s="151" t="s">
        <v>199</v>
      </c>
    </row>
    <row r="94" spans="1:16" ht="90">
      <c r="A94" s="319" t="s">
        <v>4396</v>
      </c>
      <c r="B94" s="319" t="s">
        <v>4397</v>
      </c>
      <c r="C94" s="319"/>
      <c r="D94" s="319"/>
      <c r="E94" s="319" t="s">
        <v>185</v>
      </c>
      <c r="F94" s="319"/>
      <c r="G94" s="318" t="s">
        <v>4234</v>
      </c>
      <c r="H94" s="319" t="s">
        <v>4398</v>
      </c>
      <c r="I94" s="319" t="s">
        <v>204</v>
      </c>
      <c r="J94" s="324" t="s">
        <v>4399</v>
      </c>
      <c r="K94" s="319" t="s">
        <v>191</v>
      </c>
      <c r="L94" s="320">
        <v>4</v>
      </c>
      <c r="M94" s="320">
        <v>4</v>
      </c>
      <c r="N94" s="322" t="s">
        <v>12</v>
      </c>
      <c r="O94" s="151">
        <v>4</v>
      </c>
      <c r="P94" s="151" t="s">
        <v>199</v>
      </c>
    </row>
    <row r="95" spans="1:16">
      <c r="A95" s="319" t="s">
        <v>4400</v>
      </c>
      <c r="B95" s="319" t="s">
        <v>4401</v>
      </c>
      <c r="C95" s="319"/>
      <c r="D95" s="319"/>
      <c r="E95" s="319" t="s">
        <v>185</v>
      </c>
      <c r="F95" s="319"/>
      <c r="G95" s="318" t="s">
        <v>1890</v>
      </c>
      <c r="H95" s="319" t="s">
        <v>4402</v>
      </c>
      <c r="I95" s="319" t="s">
        <v>204</v>
      </c>
      <c r="J95" s="324" t="s">
        <v>4403</v>
      </c>
      <c r="K95" s="319" t="s">
        <v>191</v>
      </c>
      <c r="L95" s="320">
        <v>4</v>
      </c>
      <c r="M95" s="320">
        <v>4</v>
      </c>
      <c r="N95" s="322" t="s">
        <v>12</v>
      </c>
      <c r="O95" s="151">
        <v>5</v>
      </c>
      <c r="P95" s="151" t="s">
        <v>199</v>
      </c>
    </row>
    <row r="96" spans="1:16" ht="22.5">
      <c r="A96" s="319" t="s">
        <v>4404</v>
      </c>
      <c r="B96" s="319" t="s">
        <v>4405</v>
      </c>
      <c r="C96" s="319"/>
      <c r="D96" s="319"/>
      <c r="E96" s="319" t="s">
        <v>185</v>
      </c>
      <c r="F96" s="319"/>
      <c r="G96" s="318" t="s">
        <v>1890</v>
      </c>
      <c r="H96" s="319" t="s">
        <v>4406</v>
      </c>
      <c r="I96" s="319" t="s">
        <v>188</v>
      </c>
      <c r="J96" s="324" t="s">
        <v>1453</v>
      </c>
      <c r="K96" s="319" t="s">
        <v>191</v>
      </c>
      <c r="L96" s="320">
        <v>4</v>
      </c>
      <c r="M96" s="320">
        <v>4</v>
      </c>
      <c r="N96" s="322" t="s">
        <v>12</v>
      </c>
      <c r="O96" s="151">
        <v>5</v>
      </c>
      <c r="P96" s="151" t="s">
        <v>199</v>
      </c>
    </row>
    <row r="97" spans="1:16" ht="45">
      <c r="A97" s="319" t="s">
        <v>4407</v>
      </c>
      <c r="B97" s="319" t="s">
        <v>1449</v>
      </c>
      <c r="C97" s="319" t="s">
        <v>4408</v>
      </c>
      <c r="D97" s="319"/>
      <c r="E97" s="319" t="s">
        <v>185</v>
      </c>
      <c r="F97" s="319"/>
      <c r="G97" s="318" t="s">
        <v>4227</v>
      </c>
      <c r="H97" s="319" t="s">
        <v>4409</v>
      </c>
      <c r="I97" s="319" t="s">
        <v>188</v>
      </c>
      <c r="J97" s="319" t="s">
        <v>1453</v>
      </c>
      <c r="K97" s="319" t="s">
        <v>191</v>
      </c>
      <c r="L97" s="320">
        <v>4</v>
      </c>
      <c r="M97" s="320">
        <v>4</v>
      </c>
      <c r="N97" s="322" t="s">
        <v>12</v>
      </c>
      <c r="O97" s="151">
        <v>5</v>
      </c>
      <c r="P97" s="151" t="s">
        <v>199</v>
      </c>
    </row>
    <row r="98" spans="1:16" ht="33.75">
      <c r="A98" s="319" t="s">
        <v>4410</v>
      </c>
      <c r="B98" s="319" t="s">
        <v>1455</v>
      </c>
      <c r="C98" s="319" t="s">
        <v>4411</v>
      </c>
      <c r="D98" s="319"/>
      <c r="E98" s="319" t="s">
        <v>185</v>
      </c>
      <c r="F98" s="319"/>
      <c r="G98" s="318" t="s">
        <v>4227</v>
      </c>
      <c r="H98" s="319" t="s">
        <v>4412</v>
      </c>
      <c r="I98" s="319" t="s">
        <v>188</v>
      </c>
      <c r="J98" s="319" t="s">
        <v>1453</v>
      </c>
      <c r="K98" s="319" t="s">
        <v>191</v>
      </c>
      <c r="L98" s="320">
        <v>4</v>
      </c>
      <c r="M98" s="320">
        <v>4</v>
      </c>
      <c r="N98" s="322" t="s">
        <v>12</v>
      </c>
      <c r="O98" s="151">
        <v>5</v>
      </c>
      <c r="P98" s="151" t="s">
        <v>199</v>
      </c>
    </row>
    <row r="99" spans="1:16" ht="45">
      <c r="A99" s="319" t="s">
        <v>4413</v>
      </c>
      <c r="B99" s="319" t="s">
        <v>1459</v>
      </c>
      <c r="C99" s="319" t="s">
        <v>4414</v>
      </c>
      <c r="D99" s="319"/>
      <c r="E99" s="319" t="s">
        <v>185</v>
      </c>
      <c r="F99" s="319"/>
      <c r="G99" s="318" t="s">
        <v>4227</v>
      </c>
      <c r="H99" s="319" t="s">
        <v>4415</v>
      </c>
      <c r="I99" s="319" t="s">
        <v>188</v>
      </c>
      <c r="J99" s="319" t="s">
        <v>1453</v>
      </c>
      <c r="K99" s="319" t="s">
        <v>191</v>
      </c>
      <c r="L99" s="320">
        <v>4</v>
      </c>
      <c r="M99" s="320">
        <v>4</v>
      </c>
      <c r="N99" s="322" t="s">
        <v>12</v>
      </c>
      <c r="O99" s="151">
        <v>5</v>
      </c>
      <c r="P99" s="151" t="s">
        <v>199</v>
      </c>
    </row>
    <row r="100" spans="1:16" ht="33.75">
      <c r="A100" s="319" t="s">
        <v>4416</v>
      </c>
      <c r="B100" s="319" t="s">
        <v>1463</v>
      </c>
      <c r="C100" s="319" t="s">
        <v>4417</v>
      </c>
      <c r="D100" s="319"/>
      <c r="E100" s="319" t="s">
        <v>185</v>
      </c>
      <c r="F100" s="319"/>
      <c r="G100" s="318" t="s">
        <v>4227</v>
      </c>
      <c r="H100" s="319" t="s">
        <v>4418</v>
      </c>
      <c r="I100" s="319" t="s">
        <v>188</v>
      </c>
      <c r="J100" s="319" t="s">
        <v>1453</v>
      </c>
      <c r="K100" s="319" t="s">
        <v>191</v>
      </c>
      <c r="L100" s="320">
        <v>4</v>
      </c>
      <c r="M100" s="320">
        <v>4</v>
      </c>
      <c r="N100" s="322" t="s">
        <v>12</v>
      </c>
      <c r="O100" s="151">
        <v>5</v>
      </c>
      <c r="P100" s="151" t="s">
        <v>199</v>
      </c>
    </row>
    <row r="101" spans="1:16">
      <c r="A101" s="319" t="s">
        <v>4419</v>
      </c>
      <c r="B101" s="319" t="s">
        <v>4420</v>
      </c>
      <c r="C101" s="319" t="s">
        <v>4421</v>
      </c>
      <c r="D101" s="319"/>
      <c r="E101" s="319" t="s">
        <v>185</v>
      </c>
      <c r="F101" s="319"/>
      <c r="G101" s="318" t="s">
        <v>4206</v>
      </c>
      <c r="H101" s="324" t="s">
        <v>4422</v>
      </c>
      <c r="I101" s="324" t="s">
        <v>198</v>
      </c>
      <c r="J101" s="319"/>
      <c r="K101" s="319" t="s">
        <v>191</v>
      </c>
      <c r="L101" s="320">
        <v>4</v>
      </c>
      <c r="M101" s="320">
        <v>4</v>
      </c>
      <c r="N101" s="322" t="s">
        <v>12</v>
      </c>
      <c r="O101" s="151">
        <v>5</v>
      </c>
      <c r="P101" s="151" t="s">
        <v>199</v>
      </c>
    </row>
    <row r="102" spans="1:16" ht="45">
      <c r="A102" s="319" t="s">
        <v>4423</v>
      </c>
      <c r="B102" s="319" t="s">
        <v>4424</v>
      </c>
      <c r="C102" s="319" t="s">
        <v>4425</v>
      </c>
      <c r="D102" s="319" t="s">
        <v>2123</v>
      </c>
      <c r="E102" s="319" t="s">
        <v>242</v>
      </c>
      <c r="F102" s="319"/>
      <c r="G102" s="318" t="s">
        <v>4206</v>
      </c>
      <c r="H102" s="324" t="s">
        <v>4426</v>
      </c>
      <c r="I102" s="324" t="s">
        <v>204</v>
      </c>
      <c r="J102" s="319" t="s">
        <v>4427</v>
      </c>
      <c r="K102" s="319" t="s">
        <v>191</v>
      </c>
      <c r="L102" s="320">
        <v>4</v>
      </c>
      <c r="M102" s="320">
        <v>4</v>
      </c>
      <c r="N102" s="322" t="s">
        <v>12</v>
      </c>
      <c r="O102" s="151">
        <v>5</v>
      </c>
      <c r="P102" s="151" t="s">
        <v>199</v>
      </c>
    </row>
    <row r="103" spans="1:16" ht="56.25">
      <c r="A103" s="319" t="s">
        <v>4428</v>
      </c>
      <c r="B103" s="319" t="s">
        <v>4429</v>
      </c>
      <c r="C103" s="319" t="s">
        <v>4430</v>
      </c>
      <c r="D103" s="319"/>
      <c r="E103" s="319" t="s">
        <v>242</v>
      </c>
      <c r="F103" s="319"/>
      <c r="G103" s="318" t="s">
        <v>4431</v>
      </c>
      <c r="H103" s="319" t="s">
        <v>4432</v>
      </c>
      <c r="I103" s="319" t="s">
        <v>204</v>
      </c>
      <c r="J103" s="319" t="s">
        <v>4433</v>
      </c>
      <c r="K103" s="319" t="s">
        <v>191</v>
      </c>
      <c r="L103" s="320">
        <v>4</v>
      </c>
      <c r="M103" s="320">
        <v>4</v>
      </c>
      <c r="N103" s="322" t="s">
        <v>12</v>
      </c>
      <c r="O103" s="151">
        <v>5</v>
      </c>
      <c r="P103" s="151" t="s">
        <v>199</v>
      </c>
    </row>
    <row r="104" spans="1:16" ht="22.5">
      <c r="A104" s="319" t="s">
        <v>4434</v>
      </c>
      <c r="B104" s="319" t="s">
        <v>2148</v>
      </c>
      <c r="C104" s="319" t="s">
        <v>4435</v>
      </c>
      <c r="D104" s="319"/>
      <c r="E104" s="319" t="s">
        <v>242</v>
      </c>
      <c r="F104" s="319"/>
      <c r="G104" s="318" t="s">
        <v>4227</v>
      </c>
      <c r="H104" s="319" t="s">
        <v>4436</v>
      </c>
      <c r="I104" s="319" t="s">
        <v>188</v>
      </c>
      <c r="J104" s="319" t="s">
        <v>1453</v>
      </c>
      <c r="K104" s="319" t="s">
        <v>191</v>
      </c>
      <c r="L104" s="320">
        <v>4</v>
      </c>
      <c r="M104" s="320">
        <v>4</v>
      </c>
      <c r="N104" s="322" t="s">
        <v>14</v>
      </c>
      <c r="O104" s="151">
        <v>5</v>
      </c>
      <c r="P104" s="151" t="s">
        <v>199</v>
      </c>
    </row>
    <row r="105" spans="1:16" ht="22.5">
      <c r="A105" s="319" t="s">
        <v>4437</v>
      </c>
      <c r="B105" s="319" t="s">
        <v>4438</v>
      </c>
      <c r="C105" s="319"/>
      <c r="D105" s="319"/>
      <c r="E105" s="319"/>
      <c r="F105" s="319"/>
      <c r="G105" s="318" t="s">
        <v>4439</v>
      </c>
      <c r="H105" s="319" t="s">
        <v>4440</v>
      </c>
      <c r="I105" s="319"/>
      <c r="J105" s="319" t="s">
        <v>1453</v>
      </c>
      <c r="K105" s="319" t="s">
        <v>191</v>
      </c>
      <c r="L105" s="320">
        <v>4</v>
      </c>
      <c r="M105" s="320">
        <v>4</v>
      </c>
      <c r="N105" s="322" t="s">
        <v>12</v>
      </c>
      <c r="O105" s="151">
        <v>5</v>
      </c>
      <c r="P105" s="151" t="s">
        <v>199</v>
      </c>
    </row>
    <row r="106" spans="1:16" ht="22.5">
      <c r="A106" s="319" t="s">
        <v>4441</v>
      </c>
      <c r="B106" s="319" t="s">
        <v>4442</v>
      </c>
      <c r="C106" s="319"/>
      <c r="D106" s="319"/>
      <c r="E106" s="319"/>
      <c r="F106" s="319"/>
      <c r="G106" s="318" t="s">
        <v>4439</v>
      </c>
      <c r="H106" s="319" t="s">
        <v>4443</v>
      </c>
      <c r="I106" s="319"/>
      <c r="J106" s="319" t="s">
        <v>1453</v>
      </c>
      <c r="K106" s="319" t="s">
        <v>191</v>
      </c>
      <c r="L106" s="320">
        <v>4</v>
      </c>
      <c r="M106" s="320">
        <v>4</v>
      </c>
      <c r="N106" s="322" t="s">
        <v>14</v>
      </c>
      <c r="O106" s="151">
        <v>5</v>
      </c>
      <c r="P106" s="151" t="s">
        <v>199</v>
      </c>
    </row>
    <row r="107" spans="1:16" ht="22.5">
      <c r="A107" s="319" t="s">
        <v>4444</v>
      </c>
      <c r="B107" s="319" t="s">
        <v>4445</v>
      </c>
      <c r="C107" s="319"/>
      <c r="D107" s="319"/>
      <c r="E107" s="319"/>
      <c r="F107" s="319"/>
      <c r="G107" s="318" t="s">
        <v>4439</v>
      </c>
      <c r="H107" s="319" t="s">
        <v>4446</v>
      </c>
      <c r="I107" s="319"/>
      <c r="J107" s="319" t="s">
        <v>1453</v>
      </c>
      <c r="K107" s="319" t="s">
        <v>191</v>
      </c>
      <c r="L107" s="320">
        <v>4</v>
      </c>
      <c r="M107" s="320">
        <v>4</v>
      </c>
      <c r="N107" s="322" t="s">
        <v>12</v>
      </c>
      <c r="O107" s="151">
        <v>5</v>
      </c>
      <c r="P107" s="151" t="s">
        <v>199</v>
      </c>
    </row>
    <row r="108" spans="1:16">
      <c r="A108" s="319" t="s">
        <v>4447</v>
      </c>
      <c r="B108" s="319" t="s">
        <v>4448</v>
      </c>
      <c r="C108" s="319"/>
      <c r="D108" s="319"/>
      <c r="E108" s="319" t="s">
        <v>242</v>
      </c>
      <c r="F108" s="319"/>
      <c r="G108" s="318" t="s">
        <v>4449</v>
      </c>
      <c r="H108" s="319" t="s">
        <v>4450</v>
      </c>
      <c r="I108" s="319" t="s">
        <v>198</v>
      </c>
      <c r="J108" s="319"/>
      <c r="K108" s="319" t="s">
        <v>191</v>
      </c>
      <c r="L108" s="320">
        <v>4</v>
      </c>
      <c r="M108" s="320">
        <v>4</v>
      </c>
      <c r="N108" s="322" t="s">
        <v>12</v>
      </c>
      <c r="O108" s="151">
        <v>5</v>
      </c>
      <c r="P108" s="151" t="s">
        <v>199</v>
      </c>
    </row>
    <row r="109" spans="1:16" ht="33.75">
      <c r="A109" s="319" t="s">
        <v>4451</v>
      </c>
      <c r="B109" s="319" t="s">
        <v>4452</v>
      </c>
      <c r="C109" s="319" t="s">
        <v>4453</v>
      </c>
      <c r="D109" s="319"/>
      <c r="E109" s="319" t="s">
        <v>242</v>
      </c>
      <c r="F109" s="319"/>
      <c r="G109" s="318" t="s">
        <v>4454</v>
      </c>
      <c r="H109" s="319" t="s">
        <v>4455</v>
      </c>
      <c r="I109" s="319" t="s">
        <v>204</v>
      </c>
      <c r="J109" s="319" t="s">
        <v>2134</v>
      </c>
      <c r="K109" s="319" t="s">
        <v>191</v>
      </c>
      <c r="L109" s="320">
        <v>4</v>
      </c>
      <c r="M109" s="320">
        <v>4</v>
      </c>
      <c r="N109" s="322" t="s">
        <v>12</v>
      </c>
      <c r="O109" s="151">
        <v>5</v>
      </c>
      <c r="P109" s="151" t="s">
        <v>199</v>
      </c>
    </row>
    <row r="110" spans="1:16">
      <c r="A110" s="319" t="s">
        <v>4456</v>
      </c>
      <c r="B110" s="319" t="s">
        <v>1524</v>
      </c>
      <c r="C110" s="319" t="s">
        <v>4457</v>
      </c>
      <c r="D110" s="319"/>
      <c r="E110" s="319" t="s">
        <v>242</v>
      </c>
      <c r="F110" s="319"/>
      <c r="G110" s="318" t="s">
        <v>4220</v>
      </c>
      <c r="H110" s="319" t="s">
        <v>2133</v>
      </c>
      <c r="I110" s="319" t="s">
        <v>204</v>
      </c>
      <c r="J110" s="319"/>
      <c r="K110" s="319" t="s">
        <v>191</v>
      </c>
      <c r="L110" s="320">
        <v>4</v>
      </c>
      <c r="M110" s="320">
        <v>4</v>
      </c>
      <c r="N110" s="322" t="s">
        <v>12</v>
      </c>
      <c r="O110" s="151">
        <v>5</v>
      </c>
      <c r="P110" s="151" t="s">
        <v>199</v>
      </c>
    </row>
    <row r="111" spans="1:16" ht="22.5">
      <c r="A111" s="319" t="s">
        <v>4458</v>
      </c>
      <c r="B111" s="319" t="s">
        <v>4459</v>
      </c>
      <c r="C111" s="319" t="s">
        <v>4460</v>
      </c>
      <c r="D111" s="319"/>
      <c r="E111" s="319" t="s">
        <v>242</v>
      </c>
      <c r="F111" s="319"/>
      <c r="G111" s="318" t="s">
        <v>4220</v>
      </c>
      <c r="H111" s="319" t="s">
        <v>4461</v>
      </c>
      <c r="I111" s="319" t="s">
        <v>204</v>
      </c>
      <c r="J111" s="319"/>
      <c r="K111" s="319" t="s">
        <v>191</v>
      </c>
      <c r="L111" s="320">
        <v>4</v>
      </c>
      <c r="M111" s="320">
        <v>4</v>
      </c>
      <c r="N111" s="322" t="s">
        <v>12</v>
      </c>
      <c r="O111" s="151">
        <v>5</v>
      </c>
      <c r="P111" s="151" t="s">
        <v>199</v>
      </c>
    </row>
    <row r="112" spans="1:16" ht="45">
      <c r="A112" s="319" t="s">
        <v>4462</v>
      </c>
      <c r="B112" s="319" t="s">
        <v>4463</v>
      </c>
      <c r="C112" s="319" t="s">
        <v>4464</v>
      </c>
      <c r="D112" s="319"/>
      <c r="E112" s="319" t="s">
        <v>242</v>
      </c>
      <c r="F112" s="319"/>
      <c r="G112" s="318" t="s">
        <v>1442</v>
      </c>
      <c r="H112" s="319" t="s">
        <v>4465</v>
      </c>
      <c r="I112" s="319" t="s">
        <v>204</v>
      </c>
      <c r="J112" s="319" t="s">
        <v>4466</v>
      </c>
      <c r="K112" s="319" t="s">
        <v>191</v>
      </c>
      <c r="L112" s="320">
        <v>4</v>
      </c>
      <c r="M112" s="320">
        <v>4</v>
      </c>
      <c r="N112" s="322" t="s">
        <v>12</v>
      </c>
      <c r="O112" s="151">
        <v>5</v>
      </c>
      <c r="P112" s="151" t="s">
        <v>199</v>
      </c>
    </row>
    <row r="113" spans="1:16" ht="45">
      <c r="A113" s="319" t="s">
        <v>4467</v>
      </c>
      <c r="B113" s="319" t="s">
        <v>4468</v>
      </c>
      <c r="C113" s="319" t="s">
        <v>4469</v>
      </c>
      <c r="D113" s="319"/>
      <c r="E113" s="319" t="s">
        <v>242</v>
      </c>
      <c r="F113" s="319"/>
      <c r="G113" s="318" t="s">
        <v>2181</v>
      </c>
      <c r="H113" s="324" t="s">
        <v>4470</v>
      </c>
      <c r="I113" s="319" t="s">
        <v>204</v>
      </c>
      <c r="J113" s="319" t="s">
        <v>4466</v>
      </c>
      <c r="K113" s="319" t="s">
        <v>191</v>
      </c>
      <c r="L113" s="320">
        <v>4</v>
      </c>
      <c r="M113" s="320">
        <v>4</v>
      </c>
      <c r="N113" s="322" t="s">
        <v>12</v>
      </c>
      <c r="O113" s="151">
        <v>5</v>
      </c>
      <c r="P113" s="151" t="s">
        <v>199</v>
      </c>
    </row>
    <row r="114" spans="1:16" ht="101.25">
      <c r="A114" s="319" t="s">
        <v>4471</v>
      </c>
      <c r="B114" s="319" t="s">
        <v>4472</v>
      </c>
      <c r="C114" s="319" t="s">
        <v>4473</v>
      </c>
      <c r="D114" s="319"/>
      <c r="E114" s="319" t="s">
        <v>242</v>
      </c>
      <c r="F114" s="319"/>
      <c r="G114" s="318" t="s">
        <v>1442</v>
      </c>
      <c r="H114" s="319" t="s">
        <v>4474</v>
      </c>
      <c r="I114" s="319" t="s">
        <v>204</v>
      </c>
      <c r="J114" s="319" t="s">
        <v>4475</v>
      </c>
      <c r="K114" s="319" t="s">
        <v>191</v>
      </c>
      <c r="L114" s="320">
        <v>4</v>
      </c>
      <c r="M114" s="320">
        <v>4</v>
      </c>
      <c r="N114" s="322" t="s">
        <v>12</v>
      </c>
      <c r="O114" s="151">
        <v>5</v>
      </c>
      <c r="P114" s="151" t="s">
        <v>199</v>
      </c>
    </row>
    <row r="115" spans="1:16" ht="146.25">
      <c r="A115" s="319" t="s">
        <v>4476</v>
      </c>
      <c r="B115" s="319" t="s">
        <v>4477</v>
      </c>
      <c r="C115" s="319" t="s">
        <v>4478</v>
      </c>
      <c r="D115" s="319"/>
      <c r="E115" s="319" t="s">
        <v>242</v>
      </c>
      <c r="F115" s="319"/>
      <c r="G115" s="318" t="s">
        <v>2181</v>
      </c>
      <c r="H115" s="324" t="s">
        <v>4479</v>
      </c>
      <c r="I115" s="319" t="s">
        <v>204</v>
      </c>
      <c r="J115" s="319" t="s">
        <v>4480</v>
      </c>
      <c r="K115" s="319" t="s">
        <v>191</v>
      </c>
      <c r="L115" s="320">
        <v>4</v>
      </c>
      <c r="M115" s="320">
        <v>4</v>
      </c>
      <c r="N115" s="322" t="s">
        <v>12</v>
      </c>
      <c r="O115" s="151">
        <v>5</v>
      </c>
      <c r="P115" s="151" t="s">
        <v>199</v>
      </c>
    </row>
    <row r="116" spans="1:16" ht="45">
      <c r="A116" s="319" t="s">
        <v>4481</v>
      </c>
      <c r="B116" s="319" t="s">
        <v>2179</v>
      </c>
      <c r="C116" s="319" t="s">
        <v>4482</v>
      </c>
      <c r="D116" s="319"/>
      <c r="E116" s="319" t="s">
        <v>242</v>
      </c>
      <c r="F116" s="319"/>
      <c r="G116" s="318" t="s">
        <v>2181</v>
      </c>
      <c r="H116" s="324" t="s">
        <v>4483</v>
      </c>
      <c r="I116" s="324" t="s">
        <v>188</v>
      </c>
      <c r="J116" s="319" t="s">
        <v>1453</v>
      </c>
      <c r="K116" s="319" t="s">
        <v>191</v>
      </c>
      <c r="L116" s="320">
        <v>4</v>
      </c>
      <c r="M116" s="320">
        <v>4</v>
      </c>
      <c r="N116" s="322" t="s">
        <v>12</v>
      </c>
      <c r="O116" s="151">
        <v>5</v>
      </c>
      <c r="P116" s="151" t="s">
        <v>199</v>
      </c>
    </row>
    <row r="117" spans="1:16" ht="56.25">
      <c r="A117" s="319" t="s">
        <v>4484</v>
      </c>
      <c r="B117" s="319" t="s">
        <v>2184</v>
      </c>
      <c r="C117" s="319" t="s">
        <v>4485</v>
      </c>
      <c r="D117" s="319"/>
      <c r="E117" s="319" t="s">
        <v>242</v>
      </c>
      <c r="F117" s="319"/>
      <c r="G117" s="318" t="s">
        <v>2181</v>
      </c>
      <c r="H117" s="324" t="s">
        <v>4486</v>
      </c>
      <c r="I117" s="324" t="s">
        <v>188</v>
      </c>
      <c r="J117" s="319" t="s">
        <v>1453</v>
      </c>
      <c r="K117" s="319" t="s">
        <v>191</v>
      </c>
      <c r="L117" s="320">
        <v>4</v>
      </c>
      <c r="M117" s="320">
        <v>4</v>
      </c>
      <c r="N117" s="322" t="s">
        <v>12</v>
      </c>
      <c r="O117" s="151">
        <v>5</v>
      </c>
      <c r="P117" s="151" t="s">
        <v>199</v>
      </c>
    </row>
    <row r="118" spans="1:16" ht="45">
      <c r="A118" s="319" t="s">
        <v>4487</v>
      </c>
      <c r="B118" s="319" t="s">
        <v>2188</v>
      </c>
      <c r="C118" s="319" t="s">
        <v>4488</v>
      </c>
      <c r="D118" s="319"/>
      <c r="E118" s="319" t="s">
        <v>242</v>
      </c>
      <c r="F118" s="319"/>
      <c r="G118" s="318" t="s">
        <v>2181</v>
      </c>
      <c r="H118" s="324" t="s">
        <v>4489</v>
      </c>
      <c r="I118" s="324" t="s">
        <v>188</v>
      </c>
      <c r="J118" s="319" t="s">
        <v>1453</v>
      </c>
      <c r="K118" s="319" t="s">
        <v>191</v>
      </c>
      <c r="L118" s="320">
        <v>4</v>
      </c>
      <c r="M118" s="320">
        <v>4</v>
      </c>
      <c r="N118" s="322" t="s">
        <v>12</v>
      </c>
      <c r="O118" s="151">
        <v>5</v>
      </c>
      <c r="P118" s="151" t="s">
        <v>199</v>
      </c>
    </row>
    <row r="119" spans="1:16" ht="33.75">
      <c r="A119" s="319" t="s">
        <v>4490</v>
      </c>
      <c r="B119" s="319" t="s">
        <v>2192</v>
      </c>
      <c r="C119" s="319"/>
      <c r="D119" s="319"/>
      <c r="E119" s="319" t="s">
        <v>242</v>
      </c>
      <c r="F119" s="319"/>
      <c r="G119" s="318" t="s">
        <v>2254</v>
      </c>
      <c r="H119" s="324" t="s">
        <v>4491</v>
      </c>
      <c r="I119" s="324" t="s">
        <v>188</v>
      </c>
      <c r="J119" s="319" t="s">
        <v>1453</v>
      </c>
      <c r="K119" s="319" t="s">
        <v>191</v>
      </c>
      <c r="L119" s="320">
        <v>4</v>
      </c>
      <c r="M119" s="320">
        <v>4</v>
      </c>
      <c r="N119" s="322" t="s">
        <v>12</v>
      </c>
      <c r="O119" s="151">
        <v>5</v>
      </c>
      <c r="P119" s="151" t="s">
        <v>199</v>
      </c>
    </row>
    <row r="120" spans="1:16" ht="45">
      <c r="A120" s="319" t="s">
        <v>4492</v>
      </c>
      <c r="B120" s="319" t="s">
        <v>4493</v>
      </c>
      <c r="C120" s="319" t="s">
        <v>4494</v>
      </c>
      <c r="D120" s="319"/>
      <c r="E120" s="319" t="s">
        <v>242</v>
      </c>
      <c r="F120" s="319"/>
      <c r="G120" s="318" t="s">
        <v>2181</v>
      </c>
      <c r="H120" s="319" t="s">
        <v>4495</v>
      </c>
      <c r="I120" s="324" t="s">
        <v>188</v>
      </c>
      <c r="J120" s="319" t="s">
        <v>1453</v>
      </c>
      <c r="K120" s="319" t="s">
        <v>191</v>
      </c>
      <c r="L120" s="320">
        <v>4</v>
      </c>
      <c r="M120" s="320">
        <v>4</v>
      </c>
      <c r="N120" s="322" t="s">
        <v>12</v>
      </c>
      <c r="O120" s="151">
        <v>5</v>
      </c>
      <c r="P120" s="151" t="s">
        <v>199</v>
      </c>
    </row>
    <row r="121" spans="1:16" ht="45">
      <c r="A121" s="319" t="s">
        <v>4496</v>
      </c>
      <c r="B121" s="319" t="s">
        <v>4497</v>
      </c>
      <c r="C121" s="319" t="s">
        <v>4498</v>
      </c>
      <c r="D121" s="319"/>
      <c r="E121" s="319" t="s">
        <v>242</v>
      </c>
      <c r="F121" s="319"/>
      <c r="G121" s="318" t="s">
        <v>2181</v>
      </c>
      <c r="H121" s="324" t="s">
        <v>4499</v>
      </c>
      <c r="I121" s="324" t="s">
        <v>188</v>
      </c>
      <c r="J121" s="319" t="s">
        <v>1453</v>
      </c>
      <c r="K121" s="319" t="s">
        <v>191</v>
      </c>
      <c r="L121" s="320">
        <v>4</v>
      </c>
      <c r="M121" s="320">
        <v>4</v>
      </c>
      <c r="N121" s="322" t="s">
        <v>12</v>
      </c>
      <c r="O121" s="151">
        <v>5</v>
      </c>
      <c r="P121" s="151" t="s">
        <v>199</v>
      </c>
    </row>
    <row r="122" spans="1:16" ht="45">
      <c r="A122" s="319" t="s">
        <v>4500</v>
      </c>
      <c r="B122" s="319" t="s">
        <v>4501</v>
      </c>
      <c r="C122" s="319" t="s">
        <v>4502</v>
      </c>
      <c r="D122" s="319"/>
      <c r="E122" s="319" t="s">
        <v>242</v>
      </c>
      <c r="F122" s="319"/>
      <c r="G122" s="318" t="s">
        <v>2181</v>
      </c>
      <c r="H122" s="324" t="s">
        <v>4503</v>
      </c>
      <c r="I122" s="324" t="s">
        <v>188</v>
      </c>
      <c r="J122" s="319" t="s">
        <v>1453</v>
      </c>
      <c r="K122" s="319" t="s">
        <v>191</v>
      </c>
      <c r="L122" s="320">
        <v>4</v>
      </c>
      <c r="M122" s="320">
        <v>4</v>
      </c>
      <c r="N122" s="322" t="s">
        <v>12</v>
      </c>
      <c r="O122" s="151">
        <v>5</v>
      </c>
      <c r="P122" s="151" t="s">
        <v>199</v>
      </c>
    </row>
    <row r="123" spans="1:16" ht="33.75">
      <c r="A123" s="319" t="s">
        <v>4504</v>
      </c>
      <c r="B123" s="324" t="s">
        <v>2200</v>
      </c>
      <c r="C123" s="319"/>
      <c r="D123" s="319"/>
      <c r="E123" s="319" t="s">
        <v>242</v>
      </c>
      <c r="F123" s="319"/>
      <c r="G123" s="318" t="s">
        <v>4505</v>
      </c>
      <c r="H123" s="324" t="s">
        <v>2201</v>
      </c>
      <c r="I123" s="324" t="s">
        <v>188</v>
      </c>
      <c r="J123" s="319" t="s">
        <v>1453</v>
      </c>
      <c r="K123" s="319" t="s">
        <v>191</v>
      </c>
      <c r="L123" s="320">
        <v>4</v>
      </c>
      <c r="M123" s="320">
        <v>4</v>
      </c>
      <c r="N123" s="322" t="s">
        <v>12</v>
      </c>
      <c r="O123" s="151">
        <v>5</v>
      </c>
      <c r="P123" s="151" t="s">
        <v>199</v>
      </c>
    </row>
    <row r="124" spans="1:16" ht="33.75">
      <c r="A124" s="319" t="s">
        <v>4506</v>
      </c>
      <c r="B124" s="324" t="s">
        <v>4507</v>
      </c>
      <c r="C124" s="319"/>
      <c r="D124" s="319"/>
      <c r="E124" s="319" t="s">
        <v>242</v>
      </c>
      <c r="F124" s="319"/>
      <c r="G124" s="318" t="s">
        <v>4505</v>
      </c>
      <c r="H124" s="324" t="s">
        <v>4508</v>
      </c>
      <c r="I124" s="324" t="s">
        <v>188</v>
      </c>
      <c r="J124" s="319" t="s">
        <v>1453</v>
      </c>
      <c r="K124" s="319" t="s">
        <v>191</v>
      </c>
      <c r="L124" s="320">
        <v>4</v>
      </c>
      <c r="M124" s="320">
        <v>4</v>
      </c>
      <c r="N124" s="322" t="s">
        <v>12</v>
      </c>
      <c r="O124" s="151">
        <v>5</v>
      </c>
      <c r="P124" s="151" t="s">
        <v>199</v>
      </c>
    </row>
    <row r="125" spans="1:16" ht="22.5">
      <c r="A125" s="319" t="s">
        <v>4509</v>
      </c>
      <c r="B125" s="324" t="s">
        <v>2197</v>
      </c>
      <c r="C125" s="319"/>
      <c r="D125" s="319"/>
      <c r="E125" s="319" t="s">
        <v>242</v>
      </c>
      <c r="F125" s="319"/>
      <c r="G125" s="318" t="s">
        <v>4505</v>
      </c>
      <c r="H125" s="324" t="s">
        <v>2198</v>
      </c>
      <c r="I125" s="324" t="s">
        <v>188</v>
      </c>
      <c r="J125" s="319" t="s">
        <v>1453</v>
      </c>
      <c r="K125" s="319" t="s">
        <v>191</v>
      </c>
      <c r="L125" s="320">
        <v>4</v>
      </c>
      <c r="M125" s="320">
        <v>4</v>
      </c>
      <c r="N125" s="322" t="s">
        <v>12</v>
      </c>
      <c r="O125" s="151">
        <v>5</v>
      </c>
      <c r="P125" s="151" t="s">
        <v>199</v>
      </c>
    </row>
    <row r="126" spans="1:16" ht="22.5">
      <c r="A126" s="319" t="s">
        <v>4510</v>
      </c>
      <c r="B126" s="324" t="s">
        <v>4511</v>
      </c>
      <c r="C126" s="319"/>
      <c r="D126" s="319"/>
      <c r="E126" s="319" t="s">
        <v>242</v>
      </c>
      <c r="F126" s="319"/>
      <c r="G126" s="318" t="s">
        <v>4505</v>
      </c>
      <c r="H126" s="324" t="s">
        <v>4512</v>
      </c>
      <c r="I126" s="324" t="s">
        <v>188</v>
      </c>
      <c r="J126" s="319" t="s">
        <v>1453</v>
      </c>
      <c r="K126" s="319" t="s">
        <v>191</v>
      </c>
      <c r="L126" s="320">
        <v>4</v>
      </c>
      <c r="M126" s="320">
        <v>4</v>
      </c>
      <c r="N126" s="322" t="s">
        <v>12</v>
      </c>
      <c r="O126" s="151">
        <v>5</v>
      </c>
      <c r="P126" s="151" t="s">
        <v>199</v>
      </c>
    </row>
    <row r="127" spans="1:16" ht="22.5">
      <c r="A127" s="319" t="s">
        <v>4513</v>
      </c>
      <c r="B127" s="319" t="s">
        <v>4514</v>
      </c>
      <c r="C127" s="319"/>
      <c r="D127" s="319"/>
      <c r="E127" s="319" t="s">
        <v>242</v>
      </c>
      <c r="F127" s="319"/>
      <c r="G127" s="318" t="s">
        <v>4439</v>
      </c>
      <c r="H127" s="319" t="s">
        <v>4515</v>
      </c>
      <c r="I127" s="319" t="s">
        <v>188</v>
      </c>
      <c r="J127" s="319" t="s">
        <v>1453</v>
      </c>
      <c r="K127" s="319" t="s">
        <v>191</v>
      </c>
      <c r="L127" s="320">
        <v>4</v>
      </c>
      <c r="M127" s="320">
        <v>4</v>
      </c>
      <c r="N127" s="322" t="s">
        <v>12</v>
      </c>
      <c r="O127" s="151">
        <v>5</v>
      </c>
      <c r="P127" s="151" t="s">
        <v>199</v>
      </c>
    </row>
    <row r="128" spans="1:16" ht="22.5">
      <c r="A128" s="319" t="s">
        <v>4516</v>
      </c>
      <c r="B128" s="319" t="s">
        <v>4517</v>
      </c>
      <c r="C128" s="319"/>
      <c r="D128" s="319"/>
      <c r="E128" s="319" t="s">
        <v>242</v>
      </c>
      <c r="F128" s="319"/>
      <c r="G128" s="318" t="s">
        <v>4439</v>
      </c>
      <c r="H128" s="319" t="s">
        <v>4518</v>
      </c>
      <c r="I128" s="319" t="s">
        <v>188</v>
      </c>
      <c r="J128" s="319" t="s">
        <v>1453</v>
      </c>
      <c r="K128" s="319" t="s">
        <v>191</v>
      </c>
      <c r="L128" s="320">
        <v>4</v>
      </c>
      <c r="M128" s="320">
        <v>4</v>
      </c>
      <c r="N128" s="322" t="s">
        <v>12</v>
      </c>
      <c r="O128" s="151">
        <v>5</v>
      </c>
      <c r="P128" s="151" t="s">
        <v>199</v>
      </c>
    </row>
    <row r="129" spans="1:16" ht="22.5">
      <c r="A129" s="319" t="s">
        <v>4519</v>
      </c>
      <c r="B129" s="319" t="s">
        <v>4520</v>
      </c>
      <c r="C129" s="319"/>
      <c r="D129" s="319"/>
      <c r="E129" s="319" t="s">
        <v>242</v>
      </c>
      <c r="F129" s="319"/>
      <c r="G129" s="318" t="s">
        <v>4439</v>
      </c>
      <c r="H129" s="319" t="s">
        <v>4521</v>
      </c>
      <c r="I129" s="319" t="s">
        <v>188</v>
      </c>
      <c r="J129" s="319" t="s">
        <v>1453</v>
      </c>
      <c r="K129" s="319" t="s">
        <v>191</v>
      </c>
      <c r="L129" s="320">
        <v>4</v>
      </c>
      <c r="M129" s="320">
        <v>4</v>
      </c>
      <c r="N129" s="322" t="s">
        <v>12</v>
      </c>
      <c r="O129" s="151">
        <v>5</v>
      </c>
      <c r="P129" s="151" t="s">
        <v>199</v>
      </c>
    </row>
    <row r="130" spans="1:16" ht="22.5">
      <c r="A130" s="319" t="s">
        <v>4522</v>
      </c>
      <c r="B130" s="319" t="s">
        <v>4523</v>
      </c>
      <c r="C130" s="319" t="s">
        <v>4522</v>
      </c>
      <c r="D130" s="319"/>
      <c r="E130" s="319" t="s">
        <v>242</v>
      </c>
      <c r="F130" s="319"/>
      <c r="G130" s="318" t="s">
        <v>4524</v>
      </c>
      <c r="H130" s="319" t="s">
        <v>4525</v>
      </c>
      <c r="I130" s="319" t="s">
        <v>198</v>
      </c>
      <c r="J130" s="319"/>
      <c r="K130" s="319" t="s">
        <v>191</v>
      </c>
      <c r="L130" s="320">
        <v>4</v>
      </c>
      <c r="M130" s="320">
        <v>4</v>
      </c>
      <c r="N130" s="322" t="s">
        <v>12</v>
      </c>
      <c r="O130" s="151">
        <v>5</v>
      </c>
      <c r="P130" s="151" t="s">
        <v>199</v>
      </c>
    </row>
    <row r="131" spans="1:16" ht="22.5">
      <c r="A131" s="319" t="s">
        <v>4526</v>
      </c>
      <c r="B131" s="319" t="s">
        <v>4527</v>
      </c>
      <c r="C131" s="319" t="s">
        <v>4526</v>
      </c>
      <c r="D131" s="319"/>
      <c r="E131" s="319" t="s">
        <v>242</v>
      </c>
      <c r="F131" s="319"/>
      <c r="G131" s="318" t="s">
        <v>4524</v>
      </c>
      <c r="H131" s="319" t="s">
        <v>4528</v>
      </c>
      <c r="I131" s="319" t="s">
        <v>198</v>
      </c>
      <c r="J131" s="319"/>
      <c r="K131" s="319" t="s">
        <v>191</v>
      </c>
      <c r="L131" s="320">
        <v>4</v>
      </c>
      <c r="M131" s="320">
        <v>4</v>
      </c>
      <c r="N131" s="322" t="s">
        <v>12</v>
      </c>
      <c r="O131" s="151">
        <v>5</v>
      </c>
      <c r="P131" s="151" t="s">
        <v>199</v>
      </c>
    </row>
    <row r="132" spans="1:16" ht="22.5">
      <c r="A132" s="319" t="s">
        <v>4529</v>
      </c>
      <c r="B132" s="319" t="s">
        <v>4530</v>
      </c>
      <c r="C132" s="319" t="s">
        <v>4529</v>
      </c>
      <c r="D132" s="319"/>
      <c r="E132" s="319" t="s">
        <v>242</v>
      </c>
      <c r="F132" s="319"/>
      <c r="G132" s="318" t="s">
        <v>4531</v>
      </c>
      <c r="H132" s="319" t="s">
        <v>4532</v>
      </c>
      <c r="I132" s="319" t="s">
        <v>198</v>
      </c>
      <c r="J132" s="319"/>
      <c r="K132" s="319" t="s">
        <v>191</v>
      </c>
      <c r="L132" s="320">
        <v>4</v>
      </c>
      <c r="M132" s="320">
        <v>4</v>
      </c>
      <c r="N132" s="322" t="s">
        <v>12</v>
      </c>
      <c r="O132" s="151">
        <v>5</v>
      </c>
      <c r="P132" s="151" t="s">
        <v>199</v>
      </c>
    </row>
    <row r="133" spans="1:16">
      <c r="A133" s="319" t="s">
        <v>4533</v>
      </c>
      <c r="B133" s="319" t="s">
        <v>4534</v>
      </c>
      <c r="C133" s="319" t="s">
        <v>4535</v>
      </c>
      <c r="D133" s="319"/>
      <c r="E133" s="319" t="s">
        <v>242</v>
      </c>
      <c r="F133" s="319"/>
      <c r="G133" s="318" t="s">
        <v>4524</v>
      </c>
      <c r="H133" s="319" t="s">
        <v>4536</v>
      </c>
      <c r="I133" s="319" t="s">
        <v>198</v>
      </c>
      <c r="J133" s="319"/>
      <c r="K133" s="319" t="s">
        <v>191</v>
      </c>
      <c r="L133" s="320">
        <v>4</v>
      </c>
      <c r="M133" s="320">
        <v>4</v>
      </c>
      <c r="N133" s="322" t="s">
        <v>12</v>
      </c>
      <c r="O133" s="151">
        <v>5</v>
      </c>
      <c r="P133" s="151" t="s">
        <v>199</v>
      </c>
    </row>
    <row r="134" spans="1:16">
      <c r="A134" s="319" t="s">
        <v>4537</v>
      </c>
      <c r="B134" s="319" t="s">
        <v>4538</v>
      </c>
      <c r="C134" s="319" t="s">
        <v>4539</v>
      </c>
      <c r="D134" s="319"/>
      <c r="E134" s="319" t="s">
        <v>242</v>
      </c>
      <c r="F134" s="319"/>
      <c r="G134" s="318" t="s">
        <v>4524</v>
      </c>
      <c r="H134" s="319" t="s">
        <v>4540</v>
      </c>
      <c r="I134" s="319" t="s">
        <v>198</v>
      </c>
      <c r="J134" s="319"/>
      <c r="K134" s="319" t="s">
        <v>191</v>
      </c>
      <c r="L134" s="320">
        <v>4</v>
      </c>
      <c r="M134" s="320">
        <v>4</v>
      </c>
      <c r="N134" s="322" t="s">
        <v>12</v>
      </c>
      <c r="O134" s="151">
        <v>5</v>
      </c>
      <c r="P134" s="151" t="s">
        <v>199</v>
      </c>
    </row>
    <row r="135" spans="1:16">
      <c r="A135" s="319" t="s">
        <v>4541</v>
      </c>
      <c r="B135" s="319" t="s">
        <v>4542</v>
      </c>
      <c r="C135" s="319" t="s">
        <v>4543</v>
      </c>
      <c r="D135" s="319"/>
      <c r="E135" s="319" t="s">
        <v>242</v>
      </c>
      <c r="F135" s="319"/>
      <c r="G135" s="318" t="s">
        <v>4544</v>
      </c>
      <c r="H135" s="319" t="s">
        <v>4545</v>
      </c>
      <c r="I135" s="319" t="s">
        <v>198</v>
      </c>
      <c r="J135" s="319"/>
      <c r="K135" s="319" t="s">
        <v>191</v>
      </c>
      <c r="L135" s="320">
        <v>4</v>
      </c>
      <c r="M135" s="320">
        <v>4</v>
      </c>
      <c r="N135" s="322" t="s">
        <v>12</v>
      </c>
      <c r="O135" s="151">
        <v>5</v>
      </c>
      <c r="P135" s="151" t="s">
        <v>199</v>
      </c>
    </row>
    <row r="136" spans="1:16">
      <c r="A136" s="319" t="s">
        <v>4546</v>
      </c>
      <c r="B136" s="319" t="s">
        <v>4547</v>
      </c>
      <c r="C136" s="319" t="s">
        <v>4548</v>
      </c>
      <c r="D136" s="319"/>
      <c r="E136" s="319" t="s">
        <v>242</v>
      </c>
      <c r="F136" s="319"/>
      <c r="G136" s="318" t="s">
        <v>4524</v>
      </c>
      <c r="H136" s="319" t="s">
        <v>4549</v>
      </c>
      <c r="I136" s="319" t="s">
        <v>198</v>
      </c>
      <c r="J136" s="319"/>
      <c r="K136" s="319" t="s">
        <v>191</v>
      </c>
      <c r="L136" s="320">
        <v>4</v>
      </c>
      <c r="M136" s="320">
        <v>4</v>
      </c>
      <c r="N136" s="322" t="s">
        <v>12</v>
      </c>
      <c r="O136" s="151">
        <v>5</v>
      </c>
      <c r="P136" s="151" t="s">
        <v>199</v>
      </c>
    </row>
    <row r="137" spans="1:16">
      <c r="A137" s="319" t="s">
        <v>4550</v>
      </c>
      <c r="B137" s="319" t="s">
        <v>4551</v>
      </c>
      <c r="C137" s="319" t="s">
        <v>4552</v>
      </c>
      <c r="D137" s="319"/>
      <c r="E137" s="319" t="s">
        <v>242</v>
      </c>
      <c r="F137" s="319"/>
      <c r="G137" s="318" t="s">
        <v>4524</v>
      </c>
      <c r="H137" s="319" t="s">
        <v>4553</v>
      </c>
      <c r="I137" s="319" t="s">
        <v>198</v>
      </c>
      <c r="J137" s="319"/>
      <c r="K137" s="319" t="s">
        <v>191</v>
      </c>
      <c r="L137" s="320">
        <v>4</v>
      </c>
      <c r="M137" s="320">
        <v>4</v>
      </c>
      <c r="N137" s="322" t="s">
        <v>12</v>
      </c>
      <c r="O137" s="151">
        <v>5</v>
      </c>
      <c r="P137" s="151" t="s">
        <v>199</v>
      </c>
    </row>
    <row r="138" spans="1:16">
      <c r="A138" s="319" t="s">
        <v>4554</v>
      </c>
      <c r="B138" s="319" t="s">
        <v>4555</v>
      </c>
      <c r="C138" s="319" t="s">
        <v>4556</v>
      </c>
      <c r="D138" s="319"/>
      <c r="E138" s="319" t="s">
        <v>242</v>
      </c>
      <c r="F138" s="319"/>
      <c r="G138" s="318" t="s">
        <v>4524</v>
      </c>
      <c r="H138" s="319" t="s">
        <v>4557</v>
      </c>
      <c r="I138" s="319" t="s">
        <v>198</v>
      </c>
      <c r="J138" s="319"/>
      <c r="K138" s="319" t="s">
        <v>191</v>
      </c>
      <c r="L138" s="320">
        <v>4</v>
      </c>
      <c r="M138" s="320">
        <v>4</v>
      </c>
      <c r="N138" s="322" t="s">
        <v>12</v>
      </c>
      <c r="O138" s="151">
        <v>5</v>
      </c>
      <c r="P138" s="151" t="s">
        <v>199</v>
      </c>
    </row>
    <row r="139" spans="1:16">
      <c r="A139" s="319" t="s">
        <v>4558</v>
      </c>
      <c r="B139" s="319" t="s">
        <v>4559</v>
      </c>
      <c r="C139" s="319" t="s">
        <v>4558</v>
      </c>
      <c r="D139" s="319"/>
      <c r="E139" s="319" t="s">
        <v>242</v>
      </c>
      <c r="F139" s="319"/>
      <c r="G139" s="318" t="s">
        <v>4544</v>
      </c>
      <c r="H139" s="319" t="s">
        <v>4560</v>
      </c>
      <c r="I139" s="319" t="s">
        <v>198</v>
      </c>
      <c r="J139" s="319"/>
      <c r="K139" s="319" t="s">
        <v>191</v>
      </c>
      <c r="L139" s="320">
        <v>4</v>
      </c>
      <c r="M139" s="320">
        <v>4</v>
      </c>
      <c r="N139" s="322" t="s">
        <v>12</v>
      </c>
      <c r="O139" s="151">
        <v>5</v>
      </c>
      <c r="P139" s="151" t="s">
        <v>199</v>
      </c>
    </row>
    <row r="140" spans="1:16" ht="22.5">
      <c r="A140" s="319" t="s">
        <v>4561</v>
      </c>
      <c r="B140" s="319" t="s">
        <v>4562</v>
      </c>
      <c r="C140" s="319" t="s">
        <v>4561</v>
      </c>
      <c r="D140" s="319"/>
      <c r="E140" s="319" t="s">
        <v>242</v>
      </c>
      <c r="F140" s="319"/>
      <c r="G140" s="318" t="s">
        <v>4531</v>
      </c>
      <c r="H140" s="319" t="s">
        <v>4563</v>
      </c>
      <c r="I140" s="319" t="s">
        <v>198</v>
      </c>
      <c r="J140" s="319"/>
      <c r="K140" s="319" t="s">
        <v>191</v>
      </c>
      <c r="L140" s="320">
        <v>4</v>
      </c>
      <c r="M140" s="320">
        <v>4</v>
      </c>
      <c r="N140" s="322" t="s">
        <v>12</v>
      </c>
      <c r="O140" s="151">
        <v>5</v>
      </c>
      <c r="P140" s="151" t="s">
        <v>199</v>
      </c>
    </row>
    <row r="141" spans="1:16" ht="22.5">
      <c r="A141" s="319" t="s">
        <v>4564</v>
      </c>
      <c r="B141" s="319" t="s">
        <v>4565</v>
      </c>
      <c r="C141" s="319" t="s">
        <v>4564</v>
      </c>
      <c r="D141" s="319"/>
      <c r="E141" s="319" t="s">
        <v>242</v>
      </c>
      <c r="F141" s="319"/>
      <c r="G141" s="318" t="s">
        <v>4531</v>
      </c>
      <c r="H141" s="319" t="s">
        <v>4566</v>
      </c>
      <c r="I141" s="319" t="s">
        <v>198</v>
      </c>
      <c r="J141" s="319"/>
      <c r="K141" s="319" t="s">
        <v>191</v>
      </c>
      <c r="L141" s="320">
        <v>4</v>
      </c>
      <c r="M141" s="320">
        <v>4</v>
      </c>
      <c r="N141" s="322" t="s">
        <v>12</v>
      </c>
      <c r="O141" s="151">
        <v>5</v>
      </c>
      <c r="P141" s="151" t="s">
        <v>199</v>
      </c>
    </row>
    <row r="142" spans="1:16" ht="22.5">
      <c r="A142" s="319" t="s">
        <v>4567</v>
      </c>
      <c r="B142" s="319" t="s">
        <v>4568</v>
      </c>
      <c r="C142" s="319" t="s">
        <v>4567</v>
      </c>
      <c r="D142" s="319"/>
      <c r="E142" s="319" t="s">
        <v>242</v>
      </c>
      <c r="F142" s="319"/>
      <c r="G142" s="318" t="s">
        <v>4291</v>
      </c>
      <c r="H142" s="319" t="s">
        <v>4569</v>
      </c>
      <c r="I142" s="319" t="s">
        <v>188</v>
      </c>
      <c r="J142" s="319" t="s">
        <v>1453</v>
      </c>
      <c r="K142" s="319" t="s">
        <v>191</v>
      </c>
      <c r="L142" s="320">
        <v>4</v>
      </c>
      <c r="M142" s="320">
        <v>4</v>
      </c>
      <c r="N142" s="322" t="s">
        <v>12</v>
      </c>
      <c r="O142" s="151">
        <v>5</v>
      </c>
      <c r="P142" s="151" t="s">
        <v>199</v>
      </c>
    </row>
    <row r="143" spans="1:16" ht="22.5">
      <c r="A143" s="319" t="s">
        <v>4570</v>
      </c>
      <c r="B143" s="319" t="s">
        <v>4571</v>
      </c>
      <c r="C143" s="319" t="s">
        <v>4570</v>
      </c>
      <c r="D143" s="319"/>
      <c r="E143" s="319" t="s">
        <v>242</v>
      </c>
      <c r="F143" s="319"/>
      <c r="G143" s="318" t="s">
        <v>4291</v>
      </c>
      <c r="H143" s="319" t="s">
        <v>4572</v>
      </c>
      <c r="I143" s="319" t="s">
        <v>188</v>
      </c>
      <c r="J143" s="319" t="s">
        <v>1453</v>
      </c>
      <c r="K143" s="319" t="s">
        <v>191</v>
      </c>
      <c r="L143" s="320">
        <v>4</v>
      </c>
      <c r="M143" s="320">
        <v>4</v>
      </c>
      <c r="N143" s="322" t="s">
        <v>12</v>
      </c>
      <c r="O143" s="151">
        <v>5</v>
      </c>
      <c r="P143" s="151" t="s">
        <v>199</v>
      </c>
    </row>
    <row r="144" spans="1:16" ht="22.5">
      <c r="A144" s="319" t="s">
        <v>4573</v>
      </c>
      <c r="B144" s="319" t="s">
        <v>4574</v>
      </c>
      <c r="C144" s="319" t="s">
        <v>4573</v>
      </c>
      <c r="D144" s="319"/>
      <c r="E144" s="319" t="s">
        <v>242</v>
      </c>
      <c r="F144" s="319"/>
      <c r="G144" s="318" t="s">
        <v>4291</v>
      </c>
      <c r="H144" s="319" t="s">
        <v>4575</v>
      </c>
      <c r="I144" s="319" t="s">
        <v>188</v>
      </c>
      <c r="J144" s="319" t="s">
        <v>1453</v>
      </c>
      <c r="K144" s="319" t="s">
        <v>191</v>
      </c>
      <c r="L144" s="320">
        <v>4</v>
      </c>
      <c r="M144" s="320">
        <v>4</v>
      </c>
      <c r="N144" s="322" t="s">
        <v>12</v>
      </c>
      <c r="O144" s="151">
        <v>5</v>
      </c>
      <c r="P144" s="151" t="s">
        <v>199</v>
      </c>
    </row>
    <row r="145" spans="1:16" ht="45">
      <c r="A145" s="319" t="s">
        <v>4576</v>
      </c>
      <c r="B145" s="319" t="s">
        <v>4577</v>
      </c>
      <c r="C145" s="319" t="s">
        <v>4576</v>
      </c>
      <c r="D145" s="319"/>
      <c r="E145" s="319" t="s">
        <v>242</v>
      </c>
      <c r="F145" s="319"/>
      <c r="G145" s="318" t="s">
        <v>4524</v>
      </c>
      <c r="H145" s="319" t="s">
        <v>4578</v>
      </c>
      <c r="I145" s="319" t="s">
        <v>198</v>
      </c>
      <c r="J145" s="319"/>
      <c r="K145" s="319" t="s">
        <v>191</v>
      </c>
      <c r="L145" s="320">
        <v>4</v>
      </c>
      <c r="M145" s="320">
        <v>4</v>
      </c>
      <c r="N145" s="322" t="s">
        <v>12</v>
      </c>
      <c r="O145" s="151">
        <v>5</v>
      </c>
      <c r="P145" s="151" t="s">
        <v>199</v>
      </c>
    </row>
    <row r="146" spans="1:16" ht="22.5">
      <c r="A146" s="319" t="s">
        <v>4579</v>
      </c>
      <c r="B146" s="319" t="s">
        <v>4580</v>
      </c>
      <c r="C146" s="319" t="s">
        <v>4579</v>
      </c>
      <c r="D146" s="319" t="s">
        <v>4581</v>
      </c>
      <c r="E146" s="319" t="s">
        <v>242</v>
      </c>
      <c r="F146" s="319"/>
      <c r="G146" s="318" t="s">
        <v>4531</v>
      </c>
      <c r="H146" s="319" t="s">
        <v>4582</v>
      </c>
      <c r="I146" s="319" t="s">
        <v>198</v>
      </c>
      <c r="J146" s="319"/>
      <c r="K146" s="319" t="s">
        <v>191</v>
      </c>
      <c r="L146" s="320">
        <v>4</v>
      </c>
      <c r="M146" s="320">
        <v>4</v>
      </c>
      <c r="N146" s="322" t="s">
        <v>12</v>
      </c>
      <c r="O146" s="151">
        <v>5</v>
      </c>
      <c r="P146" s="151" t="s">
        <v>199</v>
      </c>
    </row>
    <row r="147" spans="1:16">
      <c r="A147" s="319" t="s">
        <v>4583</v>
      </c>
      <c r="B147" s="319" t="s">
        <v>4584</v>
      </c>
      <c r="C147" s="319" t="s">
        <v>4583</v>
      </c>
      <c r="D147" s="319"/>
      <c r="E147" s="319" t="s">
        <v>242</v>
      </c>
      <c r="F147" s="319"/>
      <c r="G147" s="318" t="s">
        <v>4585</v>
      </c>
      <c r="H147" s="319" t="s">
        <v>4586</v>
      </c>
      <c r="I147" s="319" t="s">
        <v>198</v>
      </c>
      <c r="J147" s="319"/>
      <c r="K147" s="319" t="s">
        <v>191</v>
      </c>
      <c r="L147" s="320">
        <v>4</v>
      </c>
      <c r="M147" s="320">
        <v>4</v>
      </c>
      <c r="N147" s="322" t="s">
        <v>12</v>
      </c>
      <c r="O147" s="151">
        <v>5</v>
      </c>
      <c r="P147" s="151" t="s">
        <v>199</v>
      </c>
    </row>
    <row r="148" spans="1:16">
      <c r="A148" s="319" t="s">
        <v>4587</v>
      </c>
      <c r="B148" s="319" t="s">
        <v>4588</v>
      </c>
      <c r="C148" s="319" t="s">
        <v>4587</v>
      </c>
      <c r="D148" s="319"/>
      <c r="E148" s="319" t="s">
        <v>242</v>
      </c>
      <c r="F148" s="319"/>
      <c r="G148" s="318" t="s">
        <v>4585</v>
      </c>
      <c r="H148" s="319" t="s">
        <v>4589</v>
      </c>
      <c r="I148" s="319" t="s">
        <v>198</v>
      </c>
      <c r="J148" s="319"/>
      <c r="K148" s="319" t="s">
        <v>191</v>
      </c>
      <c r="L148" s="320">
        <v>4</v>
      </c>
      <c r="M148" s="320">
        <v>4</v>
      </c>
      <c r="N148" s="322" t="s">
        <v>12</v>
      </c>
      <c r="O148" s="151">
        <v>5</v>
      </c>
      <c r="P148" s="151" t="s">
        <v>199</v>
      </c>
    </row>
    <row r="149" spans="1:16" ht="22.5">
      <c r="A149" s="319" t="s">
        <v>4590</v>
      </c>
      <c r="B149" s="319" t="s">
        <v>4591</v>
      </c>
      <c r="C149" s="319" t="s">
        <v>4590</v>
      </c>
      <c r="D149" s="319"/>
      <c r="E149" s="319" t="s">
        <v>242</v>
      </c>
      <c r="F149" s="319"/>
      <c r="G149" s="318" t="s">
        <v>4592</v>
      </c>
      <c r="H149" s="319" t="s">
        <v>4593</v>
      </c>
      <c r="I149" s="319" t="s">
        <v>188</v>
      </c>
      <c r="J149" s="319" t="s">
        <v>1453</v>
      </c>
      <c r="K149" s="319" t="s">
        <v>191</v>
      </c>
      <c r="L149" s="320">
        <v>4</v>
      </c>
      <c r="M149" s="320">
        <v>4</v>
      </c>
      <c r="N149" s="322" t="s">
        <v>12</v>
      </c>
      <c r="O149" s="151">
        <v>5</v>
      </c>
      <c r="P149" s="151" t="s">
        <v>199</v>
      </c>
    </row>
    <row r="150" spans="1:16" ht="22.5">
      <c r="A150" s="319" t="s">
        <v>4594</v>
      </c>
      <c r="B150" s="319" t="s">
        <v>4595</v>
      </c>
      <c r="C150" s="319" t="s">
        <v>4594</v>
      </c>
      <c r="D150" s="319"/>
      <c r="E150" s="319" t="s">
        <v>242</v>
      </c>
      <c r="F150" s="319"/>
      <c r="G150" s="318" t="s">
        <v>4592</v>
      </c>
      <c r="H150" s="319" t="s">
        <v>4596</v>
      </c>
      <c r="I150" s="319" t="s">
        <v>188</v>
      </c>
      <c r="J150" s="319" t="s">
        <v>1453</v>
      </c>
      <c r="K150" s="319" t="s">
        <v>191</v>
      </c>
      <c r="L150" s="320">
        <v>4</v>
      </c>
      <c r="M150" s="320">
        <v>4</v>
      </c>
      <c r="N150" s="322" t="s">
        <v>12</v>
      </c>
      <c r="O150" s="151">
        <v>5</v>
      </c>
      <c r="P150" s="151" t="s">
        <v>199</v>
      </c>
    </row>
    <row r="151" spans="1:16" ht="78.75">
      <c r="A151" s="319" t="s">
        <v>4597</v>
      </c>
      <c r="B151" s="319" t="s">
        <v>4598</v>
      </c>
      <c r="C151" s="319" t="s">
        <v>4597</v>
      </c>
      <c r="D151" s="319"/>
      <c r="E151" s="319" t="s">
        <v>242</v>
      </c>
      <c r="F151" s="319"/>
      <c r="G151" s="318" t="s">
        <v>4599</v>
      </c>
      <c r="H151" s="319" t="s">
        <v>4600</v>
      </c>
      <c r="I151" s="319" t="s">
        <v>204</v>
      </c>
      <c r="J151" s="319" t="s">
        <v>4601</v>
      </c>
      <c r="K151" s="319" t="s">
        <v>191</v>
      </c>
      <c r="L151" s="320">
        <v>4</v>
      </c>
      <c r="M151" s="320">
        <v>4</v>
      </c>
      <c r="N151" s="322" t="s">
        <v>12</v>
      </c>
      <c r="O151" s="151">
        <v>5</v>
      </c>
      <c r="P151" s="151" t="s">
        <v>199</v>
      </c>
    </row>
    <row r="152" spans="1:16" ht="22.5">
      <c r="A152" s="319" t="s">
        <v>4602</v>
      </c>
      <c r="B152" s="319" t="s">
        <v>4603</v>
      </c>
      <c r="C152" s="319" t="s">
        <v>4602</v>
      </c>
      <c r="D152" s="319"/>
      <c r="E152" s="319" t="s">
        <v>242</v>
      </c>
      <c r="F152" s="319"/>
      <c r="G152" s="318" t="s">
        <v>4524</v>
      </c>
      <c r="H152" s="324" t="s">
        <v>4604</v>
      </c>
      <c r="I152" s="324" t="s">
        <v>198</v>
      </c>
      <c r="J152" s="319"/>
      <c r="K152" s="319" t="s">
        <v>191</v>
      </c>
      <c r="L152" s="320">
        <v>4</v>
      </c>
      <c r="M152" s="320">
        <v>4</v>
      </c>
      <c r="N152" s="322" t="s">
        <v>12</v>
      </c>
      <c r="O152" s="151">
        <v>5</v>
      </c>
      <c r="P152" s="151" t="s">
        <v>199</v>
      </c>
    </row>
    <row r="153" spans="1:16">
      <c r="A153" s="319" t="s">
        <v>4605</v>
      </c>
      <c r="B153" s="319" t="s">
        <v>4606</v>
      </c>
      <c r="C153" s="319" t="s">
        <v>4605</v>
      </c>
      <c r="D153" s="319"/>
      <c r="E153" s="319" t="s">
        <v>242</v>
      </c>
      <c r="F153" s="319"/>
      <c r="G153" s="318" t="s">
        <v>4524</v>
      </c>
      <c r="H153" s="324" t="s">
        <v>4607</v>
      </c>
      <c r="I153" s="324" t="s">
        <v>198</v>
      </c>
      <c r="J153" s="319"/>
      <c r="K153" s="319" t="s">
        <v>191</v>
      </c>
      <c r="L153" s="320">
        <v>4</v>
      </c>
      <c r="M153" s="320">
        <v>4</v>
      </c>
      <c r="N153" s="322" t="s">
        <v>12</v>
      </c>
      <c r="O153" s="151">
        <v>5</v>
      </c>
      <c r="P153" s="151" t="s">
        <v>199</v>
      </c>
    </row>
    <row r="154" spans="1:16">
      <c r="A154" s="319" t="s">
        <v>4608</v>
      </c>
      <c r="B154" s="319" t="s">
        <v>4609</v>
      </c>
      <c r="C154" s="319" t="s">
        <v>4608</v>
      </c>
      <c r="D154" s="319"/>
      <c r="E154" s="319" t="s">
        <v>242</v>
      </c>
      <c r="F154" s="319"/>
      <c r="G154" s="318" t="s">
        <v>4524</v>
      </c>
      <c r="H154" s="324" t="s">
        <v>4610</v>
      </c>
      <c r="I154" s="324" t="s">
        <v>198</v>
      </c>
      <c r="J154" s="319"/>
      <c r="K154" s="319" t="s">
        <v>191</v>
      </c>
      <c r="L154" s="320">
        <v>4</v>
      </c>
      <c r="M154" s="320">
        <v>4</v>
      </c>
      <c r="N154" s="322" t="s">
        <v>12</v>
      </c>
      <c r="O154" s="151">
        <v>5</v>
      </c>
      <c r="P154" s="151" t="s">
        <v>199</v>
      </c>
    </row>
    <row r="155" spans="1:16">
      <c r="A155" s="319" t="s">
        <v>4611</v>
      </c>
      <c r="B155" s="319" t="s">
        <v>4612</v>
      </c>
      <c r="C155" s="319" t="s">
        <v>4611</v>
      </c>
      <c r="D155" s="319"/>
      <c r="E155" s="319" t="s">
        <v>242</v>
      </c>
      <c r="F155" s="319"/>
      <c r="G155" s="318" t="s">
        <v>4524</v>
      </c>
      <c r="H155" s="324" t="s">
        <v>4613</v>
      </c>
      <c r="I155" s="324" t="s">
        <v>198</v>
      </c>
      <c r="J155" s="319"/>
      <c r="K155" s="319" t="s">
        <v>191</v>
      </c>
      <c r="L155" s="320">
        <v>4</v>
      </c>
      <c r="M155" s="320">
        <v>4</v>
      </c>
      <c r="N155" s="322" t="s">
        <v>12</v>
      </c>
      <c r="O155" s="151">
        <v>5</v>
      </c>
      <c r="P155" s="151" t="s">
        <v>199</v>
      </c>
    </row>
    <row r="156" spans="1:16">
      <c r="A156" s="319" t="s">
        <v>4614</v>
      </c>
      <c r="B156" s="319" t="s">
        <v>4615</v>
      </c>
      <c r="C156" s="319" t="s">
        <v>4614</v>
      </c>
      <c r="D156" s="319"/>
      <c r="E156" s="319" t="s">
        <v>242</v>
      </c>
      <c r="F156" s="319"/>
      <c r="G156" s="318" t="s">
        <v>4524</v>
      </c>
      <c r="H156" s="324" t="s">
        <v>4616</v>
      </c>
      <c r="I156" s="324" t="s">
        <v>198</v>
      </c>
      <c r="J156" s="319"/>
      <c r="K156" s="319" t="s">
        <v>191</v>
      </c>
      <c r="L156" s="320">
        <v>4</v>
      </c>
      <c r="M156" s="320">
        <v>4</v>
      </c>
      <c r="N156" s="322" t="s">
        <v>12</v>
      </c>
      <c r="O156" s="151">
        <v>5</v>
      </c>
      <c r="P156" s="151" t="s">
        <v>199</v>
      </c>
    </row>
    <row r="157" spans="1:16">
      <c r="A157" s="319" t="s">
        <v>4617</v>
      </c>
      <c r="B157" s="319" t="s">
        <v>4618</v>
      </c>
      <c r="C157" s="319" t="s">
        <v>4617</v>
      </c>
      <c r="D157" s="319"/>
      <c r="E157" s="319" t="s">
        <v>242</v>
      </c>
      <c r="F157" s="319"/>
      <c r="G157" s="318" t="s">
        <v>4524</v>
      </c>
      <c r="H157" s="324" t="s">
        <v>4619</v>
      </c>
      <c r="I157" s="324" t="s">
        <v>198</v>
      </c>
      <c r="J157" s="319"/>
      <c r="K157" s="319" t="s">
        <v>191</v>
      </c>
      <c r="L157" s="320">
        <v>4</v>
      </c>
      <c r="M157" s="320">
        <v>4</v>
      </c>
      <c r="N157" s="322" t="s">
        <v>12</v>
      </c>
      <c r="O157" s="151">
        <v>5</v>
      </c>
      <c r="P157" s="151" t="s">
        <v>199</v>
      </c>
    </row>
    <row r="158" spans="1:16">
      <c r="A158" s="319" t="s">
        <v>4620</v>
      </c>
      <c r="B158" s="319" t="s">
        <v>4621</v>
      </c>
      <c r="C158" s="319" t="s">
        <v>4620</v>
      </c>
      <c r="D158" s="319"/>
      <c r="E158" s="319" t="s">
        <v>242</v>
      </c>
      <c r="F158" s="319"/>
      <c r="G158" s="318" t="s">
        <v>4524</v>
      </c>
      <c r="H158" s="324" t="s">
        <v>4622</v>
      </c>
      <c r="I158" s="324" t="s">
        <v>198</v>
      </c>
      <c r="J158" s="319"/>
      <c r="K158" s="319" t="s">
        <v>191</v>
      </c>
      <c r="L158" s="320">
        <v>4</v>
      </c>
      <c r="M158" s="320">
        <v>4</v>
      </c>
      <c r="N158" s="322" t="s">
        <v>12</v>
      </c>
      <c r="O158" s="151">
        <v>5</v>
      </c>
      <c r="P158" s="151" t="s">
        <v>199</v>
      </c>
    </row>
    <row r="159" spans="1:16">
      <c r="A159" s="319" t="s">
        <v>4623</v>
      </c>
      <c r="B159" s="319" t="s">
        <v>4624</v>
      </c>
      <c r="C159" s="319" t="s">
        <v>4623</v>
      </c>
      <c r="D159" s="319"/>
      <c r="E159" s="319" t="s">
        <v>242</v>
      </c>
      <c r="F159" s="319"/>
      <c r="G159" s="318" t="s">
        <v>4524</v>
      </c>
      <c r="H159" s="324" t="s">
        <v>4625</v>
      </c>
      <c r="I159" s="324" t="s">
        <v>198</v>
      </c>
      <c r="J159" s="319"/>
      <c r="K159" s="319" t="s">
        <v>191</v>
      </c>
      <c r="L159" s="320">
        <v>4</v>
      </c>
      <c r="M159" s="320">
        <v>4</v>
      </c>
      <c r="N159" s="322" t="s">
        <v>12</v>
      </c>
      <c r="O159" s="151">
        <v>5</v>
      </c>
      <c r="P159" s="151" t="s">
        <v>199</v>
      </c>
    </row>
    <row r="160" spans="1:16">
      <c r="A160" s="319" t="s">
        <v>4626</v>
      </c>
      <c r="B160" s="319" t="s">
        <v>4627</v>
      </c>
      <c r="C160" s="319" t="s">
        <v>4626</v>
      </c>
      <c r="D160" s="319"/>
      <c r="E160" s="319" t="s">
        <v>242</v>
      </c>
      <c r="F160" s="319"/>
      <c r="G160" s="318" t="s">
        <v>3381</v>
      </c>
      <c r="H160" s="324" t="s">
        <v>4628</v>
      </c>
      <c r="I160" s="324" t="s">
        <v>198</v>
      </c>
      <c r="J160" s="319"/>
      <c r="K160" s="319" t="s">
        <v>191</v>
      </c>
      <c r="L160" s="320">
        <v>4</v>
      </c>
      <c r="M160" s="320">
        <v>4</v>
      </c>
      <c r="N160" s="322" t="s">
        <v>12</v>
      </c>
      <c r="O160" s="151">
        <v>5</v>
      </c>
      <c r="P160" s="151" t="s">
        <v>199</v>
      </c>
    </row>
    <row r="161" spans="1:16" ht="22.5">
      <c r="A161" s="319" t="s">
        <v>4629</v>
      </c>
      <c r="B161" s="319" t="s">
        <v>4630</v>
      </c>
      <c r="C161" s="319" t="s">
        <v>4629</v>
      </c>
      <c r="D161" s="319"/>
      <c r="E161" s="319" t="s">
        <v>242</v>
      </c>
      <c r="F161" s="319"/>
      <c r="G161" s="318" t="s">
        <v>4531</v>
      </c>
      <c r="H161" s="324" t="s">
        <v>4631</v>
      </c>
      <c r="I161" s="324" t="s">
        <v>198</v>
      </c>
      <c r="J161" s="319"/>
      <c r="K161" s="319" t="s">
        <v>191</v>
      </c>
      <c r="L161" s="320">
        <v>4</v>
      </c>
      <c r="M161" s="320">
        <v>4</v>
      </c>
      <c r="N161" s="322" t="s">
        <v>12</v>
      </c>
      <c r="O161" s="151">
        <v>5</v>
      </c>
      <c r="P161" s="151" t="s">
        <v>199</v>
      </c>
    </row>
    <row r="162" spans="1:16" ht="22.5">
      <c r="A162" s="319" t="s">
        <v>4632</v>
      </c>
      <c r="B162" s="319" t="s">
        <v>4633</v>
      </c>
      <c r="C162" s="319" t="s">
        <v>4632</v>
      </c>
      <c r="D162" s="319"/>
      <c r="E162" s="319" t="s">
        <v>242</v>
      </c>
      <c r="F162" s="319"/>
      <c r="G162" s="318" t="s">
        <v>4531</v>
      </c>
      <c r="H162" s="324" t="s">
        <v>4634</v>
      </c>
      <c r="I162" s="324" t="s">
        <v>198</v>
      </c>
      <c r="J162" s="319"/>
      <c r="K162" s="319" t="s">
        <v>191</v>
      </c>
      <c r="L162" s="320">
        <v>4</v>
      </c>
      <c r="M162" s="320">
        <v>4</v>
      </c>
      <c r="N162" s="322" t="s">
        <v>12</v>
      </c>
      <c r="O162" s="151">
        <v>5</v>
      </c>
      <c r="P162" s="151" t="s">
        <v>199</v>
      </c>
    </row>
    <row r="163" spans="1:16" ht="22.5">
      <c r="A163" s="319" t="s">
        <v>4635</v>
      </c>
      <c r="B163" s="319" t="s">
        <v>4636</v>
      </c>
      <c r="C163" s="319" t="s">
        <v>4635</v>
      </c>
      <c r="D163" s="319"/>
      <c r="E163" s="319" t="s">
        <v>242</v>
      </c>
      <c r="F163" s="319"/>
      <c r="G163" s="318" t="s">
        <v>4531</v>
      </c>
      <c r="H163" s="324" t="s">
        <v>4637</v>
      </c>
      <c r="I163" s="324" t="s">
        <v>198</v>
      </c>
      <c r="J163" s="319"/>
      <c r="K163" s="319" t="s">
        <v>191</v>
      </c>
      <c r="L163" s="320">
        <v>4</v>
      </c>
      <c r="M163" s="320">
        <v>4</v>
      </c>
      <c r="N163" s="322" t="s">
        <v>12</v>
      </c>
      <c r="O163" s="151">
        <v>5</v>
      </c>
      <c r="P163" s="151" t="s">
        <v>199</v>
      </c>
    </row>
    <row r="164" spans="1:16" ht="22.5">
      <c r="A164" s="319" t="s">
        <v>4638</v>
      </c>
      <c r="B164" s="319" t="s">
        <v>4639</v>
      </c>
      <c r="C164" s="319" t="s">
        <v>4638</v>
      </c>
      <c r="D164" s="319"/>
      <c r="E164" s="319" t="s">
        <v>242</v>
      </c>
      <c r="F164" s="319"/>
      <c r="G164" s="318" t="s">
        <v>4531</v>
      </c>
      <c r="H164" s="324" t="s">
        <v>4640</v>
      </c>
      <c r="I164" s="324" t="s">
        <v>198</v>
      </c>
      <c r="J164" s="319"/>
      <c r="K164" s="319" t="s">
        <v>191</v>
      </c>
      <c r="L164" s="320">
        <v>4</v>
      </c>
      <c r="M164" s="320">
        <v>4</v>
      </c>
      <c r="N164" s="322" t="s">
        <v>12</v>
      </c>
      <c r="O164" s="151">
        <v>5</v>
      </c>
      <c r="P164" s="151" t="s">
        <v>199</v>
      </c>
    </row>
    <row r="165" spans="1:16" ht="22.5">
      <c r="A165" s="319" t="s">
        <v>4641</v>
      </c>
      <c r="B165" s="319" t="s">
        <v>4642</v>
      </c>
      <c r="C165" s="319" t="s">
        <v>4641</v>
      </c>
      <c r="D165" s="319"/>
      <c r="E165" s="319" t="s">
        <v>242</v>
      </c>
      <c r="F165" s="319"/>
      <c r="G165" s="318" t="s">
        <v>4531</v>
      </c>
      <c r="H165" s="319" t="s">
        <v>4643</v>
      </c>
      <c r="I165" s="324" t="s">
        <v>198</v>
      </c>
      <c r="J165" s="319"/>
      <c r="K165" s="319" t="s">
        <v>191</v>
      </c>
      <c r="L165" s="320">
        <v>4</v>
      </c>
      <c r="M165" s="320">
        <v>4</v>
      </c>
      <c r="N165" s="322" t="s">
        <v>12</v>
      </c>
      <c r="O165" s="151">
        <v>5</v>
      </c>
      <c r="P165" s="151" t="s">
        <v>199</v>
      </c>
    </row>
    <row r="166" spans="1:16" ht="22.5">
      <c r="A166" s="319" t="s">
        <v>4644</v>
      </c>
      <c r="B166" s="319" t="s">
        <v>4645</v>
      </c>
      <c r="C166" s="319" t="s">
        <v>4644</v>
      </c>
      <c r="D166" s="319"/>
      <c r="E166" s="319" t="s">
        <v>242</v>
      </c>
      <c r="F166" s="319"/>
      <c r="G166" s="318" t="s">
        <v>4531</v>
      </c>
      <c r="H166" s="319" t="s">
        <v>4646</v>
      </c>
      <c r="I166" s="324" t="s">
        <v>198</v>
      </c>
      <c r="J166" s="319"/>
      <c r="K166" s="319" t="s">
        <v>191</v>
      </c>
      <c r="L166" s="320">
        <v>4</v>
      </c>
      <c r="M166" s="320">
        <v>4</v>
      </c>
      <c r="N166" s="322" t="s">
        <v>12</v>
      </c>
      <c r="O166" s="151">
        <v>5</v>
      </c>
      <c r="P166" s="151" t="s">
        <v>199</v>
      </c>
    </row>
    <row r="167" spans="1:16" ht="22.5">
      <c r="A167" s="319" t="s">
        <v>4647</v>
      </c>
      <c r="B167" s="319" t="s">
        <v>4648</v>
      </c>
      <c r="C167" s="319" t="s">
        <v>4647</v>
      </c>
      <c r="D167" s="319"/>
      <c r="E167" s="319" t="s">
        <v>242</v>
      </c>
      <c r="F167" s="319"/>
      <c r="G167" s="318" t="s">
        <v>4531</v>
      </c>
      <c r="H167" s="319" t="s">
        <v>4649</v>
      </c>
      <c r="I167" s="324" t="s">
        <v>198</v>
      </c>
      <c r="J167" s="319"/>
      <c r="K167" s="319" t="s">
        <v>191</v>
      </c>
      <c r="L167" s="320">
        <v>4</v>
      </c>
      <c r="M167" s="320">
        <v>4</v>
      </c>
      <c r="N167" s="322" t="s">
        <v>12</v>
      </c>
      <c r="O167" s="151">
        <v>5</v>
      </c>
      <c r="P167" s="151" t="s">
        <v>199</v>
      </c>
    </row>
    <row r="168" spans="1:16" ht="22.5">
      <c r="A168" s="319" t="s">
        <v>4650</v>
      </c>
      <c r="B168" s="319" t="s">
        <v>4651</v>
      </c>
      <c r="C168" s="319" t="s">
        <v>4650</v>
      </c>
      <c r="D168" s="319"/>
      <c r="E168" s="319" t="s">
        <v>242</v>
      </c>
      <c r="F168" s="319"/>
      <c r="G168" s="318" t="s">
        <v>4531</v>
      </c>
      <c r="H168" s="319" t="s">
        <v>4652</v>
      </c>
      <c r="I168" s="324" t="s">
        <v>198</v>
      </c>
      <c r="J168" s="319"/>
      <c r="K168" s="319" t="s">
        <v>191</v>
      </c>
      <c r="L168" s="320">
        <v>4</v>
      </c>
      <c r="M168" s="320">
        <v>4</v>
      </c>
      <c r="N168" s="322" t="s">
        <v>12</v>
      </c>
      <c r="O168" s="151">
        <v>5</v>
      </c>
      <c r="P168" s="151" t="s">
        <v>199</v>
      </c>
    </row>
    <row r="169" spans="1:16" ht="22.5">
      <c r="A169" s="319" t="s">
        <v>4653</v>
      </c>
      <c r="B169" s="319" t="s">
        <v>4654</v>
      </c>
      <c r="C169" s="319" t="s">
        <v>4653</v>
      </c>
      <c r="D169" s="319"/>
      <c r="E169" s="319" t="s">
        <v>242</v>
      </c>
      <c r="F169" s="319"/>
      <c r="G169" s="318" t="s">
        <v>4531</v>
      </c>
      <c r="H169" s="319" t="s">
        <v>4655</v>
      </c>
      <c r="I169" s="324" t="s">
        <v>198</v>
      </c>
      <c r="J169" s="319"/>
      <c r="K169" s="319" t="s">
        <v>191</v>
      </c>
      <c r="L169" s="320">
        <v>4</v>
      </c>
      <c r="M169" s="320">
        <v>4</v>
      </c>
      <c r="N169" s="322" t="s">
        <v>12</v>
      </c>
      <c r="O169" s="151">
        <v>5</v>
      </c>
      <c r="P169" s="151" t="s">
        <v>199</v>
      </c>
    </row>
    <row r="170" spans="1:16" ht="22.5">
      <c r="A170" s="319" t="s">
        <v>4656</v>
      </c>
      <c r="B170" s="319" t="s">
        <v>4657</v>
      </c>
      <c r="C170" s="319" t="s">
        <v>4656</v>
      </c>
      <c r="D170" s="319"/>
      <c r="E170" s="319" t="s">
        <v>242</v>
      </c>
      <c r="F170" s="319"/>
      <c r="G170" s="318" t="s">
        <v>4531</v>
      </c>
      <c r="H170" s="319" t="s">
        <v>4658</v>
      </c>
      <c r="I170" s="324" t="s">
        <v>198</v>
      </c>
      <c r="J170" s="319"/>
      <c r="K170" s="319" t="s">
        <v>191</v>
      </c>
      <c r="L170" s="320">
        <v>4</v>
      </c>
      <c r="M170" s="320">
        <v>4</v>
      </c>
      <c r="N170" s="322" t="s">
        <v>12</v>
      </c>
      <c r="O170" s="151">
        <v>5</v>
      </c>
      <c r="P170" s="151" t="s">
        <v>199</v>
      </c>
    </row>
    <row r="171" spans="1:16" ht="22.5">
      <c r="A171" s="319" t="s">
        <v>4659</v>
      </c>
      <c r="B171" s="319" t="s">
        <v>4660</v>
      </c>
      <c r="C171" s="319" t="s">
        <v>4659</v>
      </c>
      <c r="D171" s="319"/>
      <c r="E171" s="319" t="s">
        <v>242</v>
      </c>
      <c r="F171" s="319"/>
      <c r="G171" s="318" t="s">
        <v>4531</v>
      </c>
      <c r="H171" s="319" t="s">
        <v>4661</v>
      </c>
      <c r="I171" s="324" t="s">
        <v>198</v>
      </c>
      <c r="J171" s="319"/>
      <c r="K171" s="319" t="s">
        <v>191</v>
      </c>
      <c r="L171" s="320">
        <v>4</v>
      </c>
      <c r="M171" s="320">
        <v>4</v>
      </c>
      <c r="N171" s="322" t="s">
        <v>12</v>
      </c>
      <c r="O171" s="151">
        <v>5</v>
      </c>
      <c r="P171" s="151" t="s">
        <v>199</v>
      </c>
    </row>
    <row r="172" spans="1:16" ht="22.5">
      <c r="A172" s="319" t="s">
        <v>4662</v>
      </c>
      <c r="B172" s="319" t="s">
        <v>4663</v>
      </c>
      <c r="C172" s="319" t="s">
        <v>4662</v>
      </c>
      <c r="D172" s="319"/>
      <c r="E172" s="319" t="s">
        <v>242</v>
      </c>
      <c r="F172" s="319"/>
      <c r="G172" s="318" t="s">
        <v>4531</v>
      </c>
      <c r="H172" s="319" t="s">
        <v>4664</v>
      </c>
      <c r="I172" s="324" t="s">
        <v>198</v>
      </c>
      <c r="J172" s="319"/>
      <c r="K172" s="319" t="s">
        <v>191</v>
      </c>
      <c r="L172" s="320">
        <v>4</v>
      </c>
      <c r="M172" s="320">
        <v>4</v>
      </c>
      <c r="N172" s="322" t="s">
        <v>12</v>
      </c>
      <c r="O172" s="151">
        <v>5</v>
      </c>
      <c r="P172" s="151" t="s">
        <v>199</v>
      </c>
    </row>
    <row r="173" spans="1:16" ht="22.5">
      <c r="A173" s="319" t="s">
        <v>4665</v>
      </c>
      <c r="B173" s="319" t="s">
        <v>4666</v>
      </c>
      <c r="C173" s="319" t="s">
        <v>4665</v>
      </c>
      <c r="D173" s="319"/>
      <c r="E173" s="319" t="s">
        <v>242</v>
      </c>
      <c r="F173" s="319"/>
      <c r="G173" s="318" t="s">
        <v>4524</v>
      </c>
      <c r="H173" s="319" t="s">
        <v>4667</v>
      </c>
      <c r="I173" s="324" t="s">
        <v>198</v>
      </c>
      <c r="J173" s="319"/>
      <c r="K173" s="319" t="s">
        <v>191</v>
      </c>
      <c r="L173" s="320">
        <v>4</v>
      </c>
      <c r="M173" s="320">
        <v>4</v>
      </c>
      <c r="N173" s="322" t="s">
        <v>12</v>
      </c>
      <c r="O173" s="151">
        <v>5</v>
      </c>
      <c r="P173" s="151" t="s">
        <v>199</v>
      </c>
    </row>
    <row r="174" spans="1:16" ht="22.5">
      <c r="A174" s="319" t="s">
        <v>4668</v>
      </c>
      <c r="B174" s="319" t="s">
        <v>4669</v>
      </c>
      <c r="C174" s="319" t="s">
        <v>4668</v>
      </c>
      <c r="D174" s="319"/>
      <c r="E174" s="319" t="s">
        <v>242</v>
      </c>
      <c r="F174" s="319"/>
      <c r="G174" s="318" t="s">
        <v>4524</v>
      </c>
      <c r="H174" s="319" t="s">
        <v>4670</v>
      </c>
      <c r="I174" s="324" t="s">
        <v>198</v>
      </c>
      <c r="J174" s="319"/>
      <c r="K174" s="319" t="s">
        <v>191</v>
      </c>
      <c r="L174" s="320">
        <v>4</v>
      </c>
      <c r="M174" s="320">
        <v>4</v>
      </c>
      <c r="N174" s="322" t="s">
        <v>12</v>
      </c>
      <c r="O174" s="151">
        <v>5</v>
      </c>
      <c r="P174" s="151" t="s">
        <v>199</v>
      </c>
    </row>
    <row r="175" spans="1:16" ht="22.5">
      <c r="A175" s="319" t="s">
        <v>4671</v>
      </c>
      <c r="B175" s="319" t="s">
        <v>4672</v>
      </c>
      <c r="C175" s="319" t="s">
        <v>4671</v>
      </c>
      <c r="D175" s="319"/>
      <c r="E175" s="319" t="s">
        <v>242</v>
      </c>
      <c r="F175" s="319"/>
      <c r="G175" s="318" t="s">
        <v>4524</v>
      </c>
      <c r="H175" s="319" t="s">
        <v>4673</v>
      </c>
      <c r="I175" s="324" t="s">
        <v>198</v>
      </c>
      <c r="J175" s="319"/>
      <c r="K175" s="319" t="s">
        <v>191</v>
      </c>
      <c r="L175" s="320">
        <v>4</v>
      </c>
      <c r="M175" s="320">
        <v>4</v>
      </c>
      <c r="N175" s="322" t="s">
        <v>12</v>
      </c>
      <c r="O175" s="151">
        <v>5</v>
      </c>
      <c r="P175" s="151" t="s">
        <v>199</v>
      </c>
    </row>
    <row r="176" spans="1:16" ht="22.5">
      <c r="A176" s="319" t="s">
        <v>4674</v>
      </c>
      <c r="B176" s="319" t="s">
        <v>4675</v>
      </c>
      <c r="C176" s="319" t="s">
        <v>4674</v>
      </c>
      <c r="D176" s="319"/>
      <c r="E176" s="319" t="s">
        <v>242</v>
      </c>
      <c r="F176" s="319"/>
      <c r="G176" s="318" t="s">
        <v>4531</v>
      </c>
      <c r="H176" s="319" t="s">
        <v>4676</v>
      </c>
      <c r="I176" s="324" t="s">
        <v>198</v>
      </c>
      <c r="J176" s="319"/>
      <c r="K176" s="319" t="s">
        <v>191</v>
      </c>
      <c r="L176" s="320">
        <v>4</v>
      </c>
      <c r="M176" s="320">
        <v>4</v>
      </c>
      <c r="N176" s="322" t="s">
        <v>12</v>
      </c>
      <c r="O176" s="151">
        <v>5</v>
      </c>
      <c r="P176" s="151" t="s">
        <v>199</v>
      </c>
    </row>
    <row r="177" spans="1:16" ht="22.5">
      <c r="A177" s="319" t="s">
        <v>4677</v>
      </c>
      <c r="B177" s="319" t="s">
        <v>4678</v>
      </c>
      <c r="C177" s="319" t="s">
        <v>4677</v>
      </c>
      <c r="D177" s="319"/>
      <c r="E177" s="319" t="s">
        <v>242</v>
      </c>
      <c r="F177" s="319"/>
      <c r="G177" s="318" t="s">
        <v>4531</v>
      </c>
      <c r="H177" s="319" t="s">
        <v>4679</v>
      </c>
      <c r="I177" s="324" t="s">
        <v>198</v>
      </c>
      <c r="J177" s="319"/>
      <c r="K177" s="319" t="s">
        <v>191</v>
      </c>
      <c r="L177" s="320">
        <v>4</v>
      </c>
      <c r="M177" s="320">
        <v>4</v>
      </c>
      <c r="N177" s="322" t="s">
        <v>12</v>
      </c>
      <c r="O177" s="151">
        <v>5</v>
      </c>
      <c r="P177" s="151" t="s">
        <v>199</v>
      </c>
    </row>
    <row r="178" spans="1:16" ht="22.5">
      <c r="A178" s="319" t="s">
        <v>4680</v>
      </c>
      <c r="B178" s="319" t="s">
        <v>4681</v>
      </c>
      <c r="C178" s="319" t="s">
        <v>4680</v>
      </c>
      <c r="D178" s="319"/>
      <c r="E178" s="319" t="s">
        <v>242</v>
      </c>
      <c r="F178" s="319"/>
      <c r="G178" s="318" t="s">
        <v>4531</v>
      </c>
      <c r="H178" s="319" t="s">
        <v>4682</v>
      </c>
      <c r="I178" s="324" t="s">
        <v>198</v>
      </c>
      <c r="J178" s="319"/>
      <c r="K178" s="319" t="s">
        <v>191</v>
      </c>
      <c r="L178" s="320">
        <v>4</v>
      </c>
      <c r="M178" s="320">
        <v>4</v>
      </c>
      <c r="N178" s="322" t="s">
        <v>12</v>
      </c>
      <c r="O178" s="151">
        <v>5</v>
      </c>
      <c r="P178" s="151" t="s">
        <v>199</v>
      </c>
    </row>
    <row r="179" spans="1:16" ht="22.5">
      <c r="A179" s="319" t="s">
        <v>4683</v>
      </c>
      <c r="B179" s="319" t="s">
        <v>4684</v>
      </c>
      <c r="C179" s="319" t="s">
        <v>4683</v>
      </c>
      <c r="D179" s="319"/>
      <c r="E179" s="319" t="s">
        <v>242</v>
      </c>
      <c r="F179" s="319"/>
      <c r="G179" s="318" t="s">
        <v>4531</v>
      </c>
      <c r="H179" s="319" t="s">
        <v>4685</v>
      </c>
      <c r="I179" s="324" t="s">
        <v>198</v>
      </c>
      <c r="J179" s="319"/>
      <c r="K179" s="319" t="s">
        <v>191</v>
      </c>
      <c r="L179" s="320">
        <v>4</v>
      </c>
      <c r="M179" s="320">
        <v>4</v>
      </c>
      <c r="N179" s="322" t="s">
        <v>12</v>
      </c>
      <c r="O179" s="151">
        <v>5</v>
      </c>
      <c r="P179" s="151" t="s">
        <v>199</v>
      </c>
    </row>
    <row r="180" spans="1:16" ht="22.5">
      <c r="A180" s="319" t="s">
        <v>4686</v>
      </c>
      <c r="B180" s="319" t="s">
        <v>4687</v>
      </c>
      <c r="C180" s="319" t="s">
        <v>4686</v>
      </c>
      <c r="D180" s="319"/>
      <c r="E180" s="319" t="s">
        <v>242</v>
      </c>
      <c r="F180" s="319"/>
      <c r="G180" s="318" t="s">
        <v>4531</v>
      </c>
      <c r="H180" s="319" t="s">
        <v>4688</v>
      </c>
      <c r="I180" s="324" t="s">
        <v>198</v>
      </c>
      <c r="J180" s="319"/>
      <c r="K180" s="319" t="s">
        <v>191</v>
      </c>
      <c r="L180" s="320">
        <v>4</v>
      </c>
      <c r="M180" s="320">
        <v>4</v>
      </c>
      <c r="N180" s="322" t="s">
        <v>12</v>
      </c>
      <c r="O180" s="151">
        <v>5</v>
      </c>
      <c r="P180" s="151" t="s">
        <v>199</v>
      </c>
    </row>
    <row r="181" spans="1:16" ht="22.5">
      <c r="A181" s="319" t="s">
        <v>4689</v>
      </c>
      <c r="B181" s="319" t="s">
        <v>4690</v>
      </c>
      <c r="C181" s="319" t="s">
        <v>4689</v>
      </c>
      <c r="D181" s="319"/>
      <c r="E181" s="319" t="s">
        <v>242</v>
      </c>
      <c r="F181" s="319"/>
      <c r="G181" s="318" t="s">
        <v>4531</v>
      </c>
      <c r="H181" s="319" t="s">
        <v>4691</v>
      </c>
      <c r="I181" s="324" t="s">
        <v>198</v>
      </c>
      <c r="J181" s="319"/>
      <c r="K181" s="319" t="s">
        <v>191</v>
      </c>
      <c r="L181" s="320">
        <v>4</v>
      </c>
      <c r="M181" s="320">
        <v>4</v>
      </c>
      <c r="N181" s="322" t="s">
        <v>12</v>
      </c>
      <c r="O181" s="151">
        <v>5</v>
      </c>
      <c r="P181" s="151" t="s">
        <v>199</v>
      </c>
    </row>
    <row r="182" spans="1:16" ht="22.5">
      <c r="A182" s="319" t="s">
        <v>4692</v>
      </c>
      <c r="B182" s="319" t="s">
        <v>4693</v>
      </c>
      <c r="C182" s="319" t="s">
        <v>4692</v>
      </c>
      <c r="D182" s="319"/>
      <c r="E182" s="319" t="s">
        <v>242</v>
      </c>
      <c r="F182" s="319"/>
      <c r="G182" s="318" t="s">
        <v>4531</v>
      </c>
      <c r="H182" s="319" t="s">
        <v>4694</v>
      </c>
      <c r="I182" s="324" t="s">
        <v>198</v>
      </c>
      <c r="J182" s="319"/>
      <c r="K182" s="319" t="s">
        <v>191</v>
      </c>
      <c r="L182" s="320">
        <v>4</v>
      </c>
      <c r="M182" s="320">
        <v>4</v>
      </c>
      <c r="N182" s="322" t="s">
        <v>12</v>
      </c>
      <c r="O182" s="151">
        <v>5</v>
      </c>
      <c r="P182" s="151" t="s">
        <v>199</v>
      </c>
    </row>
    <row r="183" spans="1:16" ht="22.5">
      <c r="A183" s="319" t="s">
        <v>4695</v>
      </c>
      <c r="B183" s="319" t="s">
        <v>4696</v>
      </c>
      <c r="C183" s="319" t="s">
        <v>4695</v>
      </c>
      <c r="D183" s="319"/>
      <c r="E183" s="319" t="s">
        <v>242</v>
      </c>
      <c r="F183" s="319"/>
      <c r="G183" s="318" t="s">
        <v>4531</v>
      </c>
      <c r="H183" s="319" t="s">
        <v>4697</v>
      </c>
      <c r="I183" s="324" t="s">
        <v>198</v>
      </c>
      <c r="J183" s="319"/>
      <c r="K183" s="319" t="s">
        <v>191</v>
      </c>
      <c r="L183" s="320">
        <v>4</v>
      </c>
      <c r="M183" s="320">
        <v>4</v>
      </c>
      <c r="N183" s="322" t="s">
        <v>12</v>
      </c>
      <c r="O183" s="151">
        <v>5</v>
      </c>
      <c r="P183" s="151" t="s">
        <v>199</v>
      </c>
    </row>
    <row r="184" spans="1:16" ht="22.5">
      <c r="A184" s="319" t="s">
        <v>4698</v>
      </c>
      <c r="B184" s="319" t="s">
        <v>4699</v>
      </c>
      <c r="C184" s="319" t="s">
        <v>4698</v>
      </c>
      <c r="D184" s="319"/>
      <c r="E184" s="319" t="s">
        <v>242</v>
      </c>
      <c r="F184" s="319"/>
      <c r="G184" s="318" t="s">
        <v>4531</v>
      </c>
      <c r="H184" s="319" t="s">
        <v>4700</v>
      </c>
      <c r="I184" s="324" t="s">
        <v>198</v>
      </c>
      <c r="J184" s="319"/>
      <c r="K184" s="319" t="s">
        <v>191</v>
      </c>
      <c r="L184" s="320">
        <v>4</v>
      </c>
      <c r="M184" s="320">
        <v>4</v>
      </c>
      <c r="N184" s="322" t="s">
        <v>12</v>
      </c>
      <c r="O184" s="151">
        <v>5</v>
      </c>
      <c r="P184" s="151" t="s">
        <v>199</v>
      </c>
    </row>
    <row r="185" spans="1:16" ht="22.5">
      <c r="A185" s="319" t="s">
        <v>4701</v>
      </c>
      <c r="B185" s="319" t="s">
        <v>4702</v>
      </c>
      <c r="C185" s="319" t="s">
        <v>4701</v>
      </c>
      <c r="D185" s="319"/>
      <c r="E185" s="319" t="s">
        <v>242</v>
      </c>
      <c r="F185" s="319"/>
      <c r="G185" s="318" t="s">
        <v>4531</v>
      </c>
      <c r="H185" s="319" t="s">
        <v>4703</v>
      </c>
      <c r="I185" s="324" t="s">
        <v>198</v>
      </c>
      <c r="J185" s="319"/>
      <c r="K185" s="319" t="s">
        <v>191</v>
      </c>
      <c r="L185" s="320">
        <v>4</v>
      </c>
      <c r="M185" s="320">
        <v>4</v>
      </c>
      <c r="N185" s="322" t="s">
        <v>12</v>
      </c>
      <c r="O185" s="151">
        <v>5</v>
      </c>
      <c r="P185" s="151" t="s">
        <v>199</v>
      </c>
    </row>
    <row r="186" spans="1:16" ht="22.5">
      <c r="A186" s="319" t="s">
        <v>4704</v>
      </c>
      <c r="B186" s="319" t="s">
        <v>4705</v>
      </c>
      <c r="C186" s="319" t="s">
        <v>4704</v>
      </c>
      <c r="D186" s="319"/>
      <c r="E186" s="319" t="s">
        <v>242</v>
      </c>
      <c r="F186" s="319"/>
      <c r="G186" s="318" t="s">
        <v>4531</v>
      </c>
      <c r="H186" s="319" t="s">
        <v>4706</v>
      </c>
      <c r="I186" s="324" t="s">
        <v>198</v>
      </c>
      <c r="J186" s="319"/>
      <c r="K186" s="319" t="s">
        <v>191</v>
      </c>
      <c r="L186" s="320">
        <v>4</v>
      </c>
      <c r="M186" s="320">
        <v>4</v>
      </c>
      <c r="N186" s="322" t="s">
        <v>12</v>
      </c>
      <c r="O186" s="151">
        <v>5</v>
      </c>
      <c r="P186" s="151" t="s">
        <v>199</v>
      </c>
    </row>
    <row r="187" spans="1:16" ht="22.5">
      <c r="A187" s="319" t="s">
        <v>4707</v>
      </c>
      <c r="B187" s="319" t="s">
        <v>4708</v>
      </c>
      <c r="C187" s="319" t="s">
        <v>4707</v>
      </c>
      <c r="D187" s="319"/>
      <c r="E187" s="319" t="s">
        <v>242</v>
      </c>
      <c r="F187" s="319"/>
      <c r="G187" s="318" t="s">
        <v>4531</v>
      </c>
      <c r="H187" s="319" t="s">
        <v>4709</v>
      </c>
      <c r="I187" s="324" t="s">
        <v>198</v>
      </c>
      <c r="J187" s="319"/>
      <c r="K187" s="319" t="s">
        <v>191</v>
      </c>
      <c r="L187" s="320">
        <v>4</v>
      </c>
      <c r="M187" s="320">
        <v>4</v>
      </c>
      <c r="N187" s="322" t="s">
        <v>12</v>
      </c>
      <c r="O187" s="151">
        <v>5</v>
      </c>
      <c r="P187" s="151" t="s">
        <v>199</v>
      </c>
    </row>
    <row r="188" spans="1:16" ht="22.5">
      <c r="A188" s="319" t="s">
        <v>4710</v>
      </c>
      <c r="B188" s="319" t="s">
        <v>4711</v>
      </c>
      <c r="C188" s="319" t="s">
        <v>4710</v>
      </c>
      <c r="D188" s="319"/>
      <c r="E188" s="319" t="s">
        <v>242</v>
      </c>
      <c r="F188" s="319"/>
      <c r="G188" s="318" t="s">
        <v>4531</v>
      </c>
      <c r="H188" s="319" t="s">
        <v>4712</v>
      </c>
      <c r="I188" s="324" t="s">
        <v>198</v>
      </c>
      <c r="J188" s="319"/>
      <c r="K188" s="319" t="s">
        <v>191</v>
      </c>
      <c r="L188" s="320">
        <v>4</v>
      </c>
      <c r="M188" s="320">
        <v>4</v>
      </c>
      <c r="N188" s="322" t="s">
        <v>12</v>
      </c>
      <c r="O188" s="151">
        <v>5</v>
      </c>
      <c r="P188" s="151" t="s">
        <v>199</v>
      </c>
    </row>
    <row r="189" spans="1:16">
      <c r="A189" s="319" t="s">
        <v>4713</v>
      </c>
      <c r="B189" s="319" t="s">
        <v>4714</v>
      </c>
      <c r="C189" s="319" t="s">
        <v>4715</v>
      </c>
      <c r="D189" s="319"/>
      <c r="E189" s="319" t="s">
        <v>242</v>
      </c>
      <c r="F189" s="319"/>
      <c r="G189" s="318" t="s">
        <v>4524</v>
      </c>
      <c r="H189" s="319" t="s">
        <v>4716</v>
      </c>
      <c r="I189" s="324" t="s">
        <v>198</v>
      </c>
      <c r="J189" s="319" t="s">
        <v>3076</v>
      </c>
      <c r="K189" s="319" t="s">
        <v>191</v>
      </c>
      <c r="L189" s="320">
        <v>4</v>
      </c>
      <c r="M189" s="320">
        <v>4</v>
      </c>
      <c r="N189" s="322" t="s">
        <v>12</v>
      </c>
      <c r="O189" s="151">
        <v>5</v>
      </c>
      <c r="P189" s="151" t="s">
        <v>199</v>
      </c>
    </row>
    <row r="190" spans="1:16">
      <c r="A190" s="319" t="s">
        <v>4717</v>
      </c>
      <c r="B190" s="319" t="s">
        <v>4718</v>
      </c>
      <c r="C190" s="319" t="s">
        <v>4719</v>
      </c>
      <c r="D190" s="319"/>
      <c r="E190" s="319" t="s">
        <v>242</v>
      </c>
      <c r="F190" s="319"/>
      <c r="G190" s="318" t="s">
        <v>4524</v>
      </c>
      <c r="H190" s="319" t="s">
        <v>4720</v>
      </c>
      <c r="I190" s="324" t="s">
        <v>198</v>
      </c>
      <c r="J190" s="319" t="s">
        <v>4721</v>
      </c>
      <c r="K190" s="319" t="s">
        <v>191</v>
      </c>
      <c r="L190" s="320">
        <v>4</v>
      </c>
      <c r="M190" s="320">
        <v>4</v>
      </c>
      <c r="N190" s="322" t="s">
        <v>12</v>
      </c>
      <c r="O190" s="151">
        <v>5</v>
      </c>
      <c r="P190" s="151" t="s">
        <v>199</v>
      </c>
    </row>
    <row r="191" spans="1:16">
      <c r="A191" s="319" t="s">
        <v>4722</v>
      </c>
      <c r="B191" s="319" t="s">
        <v>4723</v>
      </c>
      <c r="C191" s="319" t="s">
        <v>4724</v>
      </c>
      <c r="D191" s="319"/>
      <c r="E191" s="319" t="s">
        <v>242</v>
      </c>
      <c r="F191" s="319"/>
      <c r="G191" s="318" t="s">
        <v>4524</v>
      </c>
      <c r="H191" s="319" t="s">
        <v>4725</v>
      </c>
      <c r="I191" s="324" t="s">
        <v>198</v>
      </c>
      <c r="J191" s="319" t="s">
        <v>4721</v>
      </c>
      <c r="K191" s="319" t="s">
        <v>191</v>
      </c>
      <c r="L191" s="320">
        <v>4</v>
      </c>
      <c r="M191" s="320">
        <v>4</v>
      </c>
      <c r="N191" s="322" t="s">
        <v>12</v>
      </c>
      <c r="O191" s="151">
        <v>5</v>
      </c>
      <c r="P191" s="151" t="s">
        <v>199</v>
      </c>
    </row>
    <row r="192" spans="1:16">
      <c r="A192" s="319" t="s">
        <v>4726</v>
      </c>
      <c r="B192" s="319" t="s">
        <v>4727</v>
      </c>
      <c r="C192" s="319" t="s">
        <v>4728</v>
      </c>
      <c r="D192" s="319"/>
      <c r="E192" s="319" t="s">
        <v>242</v>
      </c>
      <c r="F192" s="319"/>
      <c r="G192" s="318" t="s">
        <v>4524</v>
      </c>
      <c r="H192" s="319" t="s">
        <v>4729</v>
      </c>
      <c r="I192" s="324" t="s">
        <v>198</v>
      </c>
      <c r="J192" s="319" t="s">
        <v>3052</v>
      </c>
      <c r="K192" s="319" t="s">
        <v>191</v>
      </c>
      <c r="L192" s="320">
        <v>4</v>
      </c>
      <c r="M192" s="320">
        <v>4</v>
      </c>
      <c r="N192" s="322" t="s">
        <v>12</v>
      </c>
      <c r="O192" s="151">
        <v>5</v>
      </c>
      <c r="P192" s="151" t="s">
        <v>199</v>
      </c>
    </row>
    <row r="193" spans="1:16">
      <c r="A193" s="319" t="s">
        <v>4730</v>
      </c>
      <c r="B193" s="319" t="s">
        <v>4731</v>
      </c>
      <c r="C193" s="319" t="s">
        <v>4732</v>
      </c>
      <c r="D193" s="319"/>
      <c r="E193" s="319" t="s">
        <v>242</v>
      </c>
      <c r="F193" s="319"/>
      <c r="G193" s="318" t="s">
        <v>4524</v>
      </c>
      <c r="H193" s="319" t="s">
        <v>4733</v>
      </c>
      <c r="I193" s="324" t="s">
        <v>198</v>
      </c>
      <c r="J193" s="319" t="s">
        <v>3076</v>
      </c>
      <c r="K193" s="319" t="s">
        <v>191</v>
      </c>
      <c r="L193" s="320">
        <v>4</v>
      </c>
      <c r="M193" s="320">
        <v>4</v>
      </c>
      <c r="N193" s="322" t="s">
        <v>12</v>
      </c>
      <c r="O193" s="151">
        <v>5</v>
      </c>
      <c r="P193" s="151" t="s">
        <v>199</v>
      </c>
    </row>
    <row r="194" spans="1:16">
      <c r="A194" s="319" t="s">
        <v>4734</v>
      </c>
      <c r="B194" s="319" t="s">
        <v>4735</v>
      </c>
      <c r="C194" s="319" t="s">
        <v>4736</v>
      </c>
      <c r="D194" s="319"/>
      <c r="E194" s="319" t="s">
        <v>242</v>
      </c>
      <c r="F194" s="319"/>
      <c r="G194" s="318" t="s">
        <v>4524</v>
      </c>
      <c r="H194" s="319" t="s">
        <v>4737</v>
      </c>
      <c r="I194" s="324" t="s">
        <v>198</v>
      </c>
      <c r="J194" s="319" t="s">
        <v>3076</v>
      </c>
      <c r="K194" s="319" t="s">
        <v>191</v>
      </c>
      <c r="L194" s="320">
        <v>4</v>
      </c>
      <c r="M194" s="320">
        <v>4</v>
      </c>
      <c r="N194" s="322" t="s">
        <v>12</v>
      </c>
      <c r="O194" s="151">
        <v>5</v>
      </c>
      <c r="P194" s="151" t="s">
        <v>199</v>
      </c>
    </row>
    <row r="195" spans="1:16" ht="22.5">
      <c r="A195" s="319" t="s">
        <v>4738</v>
      </c>
      <c r="B195" s="319" t="s">
        <v>4739</v>
      </c>
      <c r="C195" s="319" t="s">
        <v>4738</v>
      </c>
      <c r="D195" s="319"/>
      <c r="E195" s="319" t="s">
        <v>242</v>
      </c>
      <c r="F195" s="319"/>
      <c r="G195" s="318" t="s">
        <v>4524</v>
      </c>
      <c r="H195" s="319" t="s">
        <v>4740</v>
      </c>
      <c r="I195" s="324" t="s">
        <v>198</v>
      </c>
      <c r="J195" s="319" t="s">
        <v>4741</v>
      </c>
      <c r="K195" s="319" t="s">
        <v>191</v>
      </c>
      <c r="L195" s="320">
        <v>4</v>
      </c>
      <c r="M195" s="320">
        <v>4</v>
      </c>
      <c r="N195" s="322" t="s">
        <v>12</v>
      </c>
      <c r="O195" s="151">
        <v>5</v>
      </c>
      <c r="P195" s="151" t="s">
        <v>199</v>
      </c>
    </row>
    <row r="196" spans="1:16" ht="22.5">
      <c r="A196" s="319" t="s">
        <v>4742</v>
      </c>
      <c r="B196" s="319" t="s">
        <v>4743</v>
      </c>
      <c r="C196" s="319" t="s">
        <v>4742</v>
      </c>
      <c r="D196" s="319"/>
      <c r="E196" s="319" t="s">
        <v>242</v>
      </c>
      <c r="F196" s="319"/>
      <c r="G196" s="318" t="s">
        <v>4524</v>
      </c>
      <c r="H196" s="319" t="s">
        <v>4744</v>
      </c>
      <c r="I196" s="324" t="s">
        <v>198</v>
      </c>
      <c r="J196" s="319" t="s">
        <v>4745</v>
      </c>
      <c r="K196" s="319" t="s">
        <v>191</v>
      </c>
      <c r="L196" s="320">
        <v>4</v>
      </c>
      <c r="M196" s="320">
        <v>4</v>
      </c>
      <c r="N196" s="322" t="s">
        <v>12</v>
      </c>
      <c r="O196" s="151">
        <v>5</v>
      </c>
      <c r="P196" s="151" t="s">
        <v>199</v>
      </c>
    </row>
    <row r="197" spans="1:16" ht="22.5">
      <c r="A197" s="319" t="s">
        <v>4746</v>
      </c>
      <c r="B197" s="319" t="s">
        <v>4747</v>
      </c>
      <c r="C197" s="319" t="s">
        <v>4746</v>
      </c>
      <c r="D197" s="319"/>
      <c r="E197" s="319" t="s">
        <v>242</v>
      </c>
      <c r="F197" s="319"/>
      <c r="G197" s="318" t="s">
        <v>4592</v>
      </c>
      <c r="H197" s="319" t="s">
        <v>4748</v>
      </c>
      <c r="I197" s="324" t="s">
        <v>198</v>
      </c>
      <c r="J197" s="319"/>
      <c r="K197" s="319" t="s">
        <v>191</v>
      </c>
      <c r="L197" s="320">
        <v>4</v>
      </c>
      <c r="M197" s="320">
        <v>4</v>
      </c>
      <c r="N197" s="322" t="s">
        <v>12</v>
      </c>
      <c r="O197" s="151">
        <v>5</v>
      </c>
      <c r="P197" s="151" t="s">
        <v>199</v>
      </c>
    </row>
    <row r="198" spans="1:16" ht="22.5">
      <c r="A198" s="319" t="s">
        <v>4749</v>
      </c>
      <c r="B198" s="319" t="s">
        <v>4750</v>
      </c>
      <c r="C198" s="319" t="s">
        <v>4749</v>
      </c>
      <c r="D198" s="319"/>
      <c r="E198" s="319" t="s">
        <v>242</v>
      </c>
      <c r="F198" s="319"/>
      <c r="G198" s="318" t="s">
        <v>4592</v>
      </c>
      <c r="H198" s="319" t="s">
        <v>4751</v>
      </c>
      <c r="I198" s="319" t="s">
        <v>188</v>
      </c>
      <c r="J198" s="319" t="s">
        <v>1453</v>
      </c>
      <c r="K198" s="319" t="s">
        <v>191</v>
      </c>
      <c r="L198" s="320">
        <v>4</v>
      </c>
      <c r="M198" s="320">
        <v>4</v>
      </c>
      <c r="N198" s="322" t="s">
        <v>12</v>
      </c>
      <c r="O198" s="151">
        <v>5</v>
      </c>
      <c r="P198" s="151" t="s">
        <v>199</v>
      </c>
    </row>
    <row r="199" spans="1:16" ht="22.5">
      <c r="A199" s="319" t="s">
        <v>4752</v>
      </c>
      <c r="B199" s="319" t="s">
        <v>4753</v>
      </c>
      <c r="C199" s="319" t="s">
        <v>4752</v>
      </c>
      <c r="D199" s="319"/>
      <c r="E199" s="319" t="s">
        <v>242</v>
      </c>
      <c r="F199" s="319"/>
      <c r="G199" s="318" t="s">
        <v>4754</v>
      </c>
      <c r="H199" s="319" t="s">
        <v>4755</v>
      </c>
      <c r="I199" s="319" t="s">
        <v>198</v>
      </c>
      <c r="J199" s="319"/>
      <c r="K199" s="319" t="s">
        <v>191</v>
      </c>
      <c r="L199" s="320">
        <v>4</v>
      </c>
      <c r="M199" s="320">
        <v>4</v>
      </c>
      <c r="N199" s="322" t="s">
        <v>12</v>
      </c>
      <c r="O199" s="151">
        <v>5</v>
      </c>
      <c r="P199" s="151" t="s">
        <v>199</v>
      </c>
    </row>
    <row r="200" spans="1:16" ht="22.5">
      <c r="A200" s="319" t="s">
        <v>4756</v>
      </c>
      <c r="B200" s="319" t="s">
        <v>4757</v>
      </c>
      <c r="C200" s="319" t="s">
        <v>4756</v>
      </c>
      <c r="D200" s="319"/>
      <c r="E200" s="319" t="s">
        <v>242</v>
      </c>
      <c r="F200" s="319"/>
      <c r="G200" s="318" t="s">
        <v>4291</v>
      </c>
      <c r="H200" s="319" t="s">
        <v>4758</v>
      </c>
      <c r="I200" s="319" t="s">
        <v>198</v>
      </c>
      <c r="J200" s="319"/>
      <c r="K200" s="319" t="s">
        <v>191</v>
      </c>
      <c r="L200" s="320">
        <v>4</v>
      </c>
      <c r="M200" s="320">
        <v>4</v>
      </c>
      <c r="N200" s="322" t="s">
        <v>12</v>
      </c>
      <c r="O200" s="151">
        <v>5</v>
      </c>
      <c r="P200" s="151" t="s">
        <v>199</v>
      </c>
    </row>
    <row r="201" spans="1:16" ht="22.5">
      <c r="A201" s="319" t="s">
        <v>4759</v>
      </c>
      <c r="B201" s="319" t="s">
        <v>4760</v>
      </c>
      <c r="C201" s="319" t="s">
        <v>4759</v>
      </c>
      <c r="D201" s="319"/>
      <c r="E201" s="319" t="s">
        <v>242</v>
      </c>
      <c r="F201" s="319"/>
      <c r="G201" s="318" t="s">
        <v>4524</v>
      </c>
      <c r="H201" s="319" t="s">
        <v>4761</v>
      </c>
      <c r="I201" s="319" t="s">
        <v>198</v>
      </c>
      <c r="J201" s="319" t="s">
        <v>4762</v>
      </c>
      <c r="K201" s="319" t="s">
        <v>191</v>
      </c>
      <c r="L201" s="320">
        <v>4</v>
      </c>
      <c r="M201" s="320">
        <v>4</v>
      </c>
      <c r="N201" s="322" t="s">
        <v>12</v>
      </c>
      <c r="O201" s="151">
        <v>5</v>
      </c>
      <c r="P201" s="151" t="s">
        <v>199</v>
      </c>
    </row>
    <row r="202" spans="1:16" ht="22.5">
      <c r="A202" s="319" t="s">
        <v>4763</v>
      </c>
      <c r="B202" s="319" t="s">
        <v>4764</v>
      </c>
      <c r="C202" s="319" t="s">
        <v>4763</v>
      </c>
      <c r="D202" s="319"/>
      <c r="E202" s="319" t="s">
        <v>242</v>
      </c>
      <c r="F202" s="319"/>
      <c r="G202" s="318" t="s">
        <v>4754</v>
      </c>
      <c r="H202" s="319" t="s">
        <v>4765</v>
      </c>
      <c r="I202" s="319" t="s">
        <v>198</v>
      </c>
      <c r="J202" s="319"/>
      <c r="K202" s="319" t="s">
        <v>191</v>
      </c>
      <c r="L202" s="320">
        <v>4</v>
      </c>
      <c r="M202" s="320">
        <v>4</v>
      </c>
      <c r="N202" s="322" t="s">
        <v>12</v>
      </c>
      <c r="O202" s="151">
        <v>5</v>
      </c>
      <c r="P202" s="151" t="s">
        <v>199</v>
      </c>
    </row>
    <row r="203" spans="1:16" ht="22.5">
      <c r="A203" s="319" t="s">
        <v>4766</v>
      </c>
      <c r="B203" s="319" t="s">
        <v>4767</v>
      </c>
      <c r="C203" s="319" t="s">
        <v>4766</v>
      </c>
      <c r="D203" s="319"/>
      <c r="E203" s="319" t="s">
        <v>242</v>
      </c>
      <c r="F203" s="319"/>
      <c r="G203" s="318" t="s">
        <v>4291</v>
      </c>
      <c r="H203" s="319" t="s">
        <v>4768</v>
      </c>
      <c r="I203" s="319" t="s">
        <v>198</v>
      </c>
      <c r="J203" s="319"/>
      <c r="K203" s="319" t="s">
        <v>191</v>
      </c>
      <c r="L203" s="320">
        <v>4</v>
      </c>
      <c r="M203" s="320">
        <v>4</v>
      </c>
      <c r="N203" s="322" t="s">
        <v>12</v>
      </c>
      <c r="O203" s="151">
        <v>5</v>
      </c>
      <c r="P203" s="151" t="s">
        <v>199</v>
      </c>
    </row>
    <row r="204" spans="1:16" ht="22.5">
      <c r="A204" s="319" t="s">
        <v>4769</v>
      </c>
      <c r="B204" s="319" t="s">
        <v>4770</v>
      </c>
      <c r="C204" s="319" t="s">
        <v>4771</v>
      </c>
      <c r="D204" s="319"/>
      <c r="E204" s="319" t="s">
        <v>242</v>
      </c>
      <c r="F204" s="319"/>
      <c r="G204" s="318" t="s">
        <v>4524</v>
      </c>
      <c r="H204" s="319" t="s">
        <v>4772</v>
      </c>
      <c r="I204" s="319" t="s">
        <v>198</v>
      </c>
      <c r="J204" s="319"/>
      <c r="K204" s="319" t="s">
        <v>191</v>
      </c>
      <c r="L204" s="320">
        <v>4</v>
      </c>
      <c r="M204" s="320">
        <v>4</v>
      </c>
      <c r="N204" s="322" t="s">
        <v>12</v>
      </c>
      <c r="O204" s="151">
        <v>5</v>
      </c>
      <c r="P204" s="151" t="s">
        <v>199</v>
      </c>
    </row>
    <row r="205" spans="1:16" ht="22.5">
      <c r="A205" s="319" t="s">
        <v>4773</v>
      </c>
      <c r="B205" s="319" t="s">
        <v>4774</v>
      </c>
      <c r="C205" s="319" t="s">
        <v>4775</v>
      </c>
      <c r="D205" s="319"/>
      <c r="E205" s="319" t="s">
        <v>242</v>
      </c>
      <c r="F205" s="319"/>
      <c r="G205" s="318" t="s">
        <v>4524</v>
      </c>
      <c r="H205" s="319" t="s">
        <v>4776</v>
      </c>
      <c r="I205" s="319" t="s">
        <v>198</v>
      </c>
      <c r="J205" s="319"/>
      <c r="K205" s="319" t="s">
        <v>191</v>
      </c>
      <c r="L205" s="320">
        <v>4</v>
      </c>
      <c r="M205" s="320">
        <v>4</v>
      </c>
      <c r="N205" s="322" t="s">
        <v>12</v>
      </c>
      <c r="O205" s="151">
        <v>5</v>
      </c>
      <c r="P205" s="151" t="s">
        <v>199</v>
      </c>
    </row>
    <row r="206" spans="1:16" ht="22.5">
      <c r="A206" s="319" t="s">
        <v>4777</v>
      </c>
      <c r="B206" s="319" t="s">
        <v>4778</v>
      </c>
      <c r="C206" s="319" t="s">
        <v>4777</v>
      </c>
      <c r="D206" s="319"/>
      <c r="E206" s="319" t="s">
        <v>242</v>
      </c>
      <c r="F206" s="319"/>
      <c r="G206" s="318" t="s">
        <v>4544</v>
      </c>
      <c r="H206" s="319" t="s">
        <v>4779</v>
      </c>
      <c r="I206" s="319" t="s">
        <v>198</v>
      </c>
      <c r="J206" s="319" t="s">
        <v>660</v>
      </c>
      <c r="K206" s="319" t="s">
        <v>191</v>
      </c>
      <c r="L206" s="320">
        <v>4</v>
      </c>
      <c r="M206" s="320">
        <v>4</v>
      </c>
      <c r="N206" s="322" t="s">
        <v>12</v>
      </c>
      <c r="O206" s="151">
        <v>5</v>
      </c>
      <c r="P206" s="151" t="s">
        <v>199</v>
      </c>
    </row>
    <row r="207" spans="1:16" ht="22.5">
      <c r="A207" s="319" t="s">
        <v>4780</v>
      </c>
      <c r="B207" s="319" t="s">
        <v>4781</v>
      </c>
      <c r="C207" s="319" t="s">
        <v>4780</v>
      </c>
      <c r="D207" s="319"/>
      <c r="E207" s="319" t="s">
        <v>242</v>
      </c>
      <c r="F207" s="319"/>
      <c r="G207" s="318" t="s">
        <v>4531</v>
      </c>
      <c r="H207" s="319" t="s">
        <v>4782</v>
      </c>
      <c r="I207" s="319" t="s">
        <v>198</v>
      </c>
      <c r="J207" s="319"/>
      <c r="K207" s="319" t="s">
        <v>191</v>
      </c>
      <c r="L207" s="320">
        <v>4</v>
      </c>
      <c r="M207" s="320">
        <v>4</v>
      </c>
      <c r="N207" s="322" t="s">
        <v>12</v>
      </c>
      <c r="O207" s="151">
        <v>5</v>
      </c>
      <c r="P207" s="151" t="s">
        <v>199</v>
      </c>
    </row>
    <row r="208" spans="1:16" ht="22.5">
      <c r="A208" s="319" t="s">
        <v>4783</v>
      </c>
      <c r="B208" s="319" t="s">
        <v>4784</v>
      </c>
      <c r="C208" s="319" t="s">
        <v>4783</v>
      </c>
      <c r="D208" s="319"/>
      <c r="E208" s="319" t="s">
        <v>242</v>
      </c>
      <c r="F208" s="319"/>
      <c r="G208" s="318" t="s">
        <v>4531</v>
      </c>
      <c r="H208" s="319" t="s">
        <v>4785</v>
      </c>
      <c r="I208" s="319" t="s">
        <v>198</v>
      </c>
      <c r="J208" s="319"/>
      <c r="K208" s="319" t="s">
        <v>191</v>
      </c>
      <c r="L208" s="320">
        <v>4</v>
      </c>
      <c r="M208" s="320">
        <v>4</v>
      </c>
      <c r="N208" s="322" t="s">
        <v>12</v>
      </c>
      <c r="O208" s="151">
        <v>5</v>
      </c>
      <c r="P208" s="151" t="s">
        <v>199</v>
      </c>
    </row>
    <row r="209" spans="1:16">
      <c r="A209" s="319" t="s">
        <v>4786</v>
      </c>
      <c r="B209" s="319" t="s">
        <v>4787</v>
      </c>
      <c r="C209" s="319" t="s">
        <v>4786</v>
      </c>
      <c r="D209" s="319"/>
      <c r="E209" s="319" t="s">
        <v>242</v>
      </c>
      <c r="F209" s="319"/>
      <c r="G209" s="318" t="s">
        <v>4231</v>
      </c>
      <c r="H209" s="326" t="s">
        <v>4788</v>
      </c>
      <c r="I209" s="319" t="s">
        <v>198</v>
      </c>
      <c r="J209" s="319"/>
      <c r="K209" s="319" t="s">
        <v>191</v>
      </c>
      <c r="L209" s="320">
        <v>4</v>
      </c>
      <c r="M209" s="320">
        <v>4</v>
      </c>
      <c r="N209" s="322" t="s">
        <v>12</v>
      </c>
      <c r="O209" s="151">
        <v>5</v>
      </c>
      <c r="P209" s="151" t="s">
        <v>199</v>
      </c>
    </row>
    <row r="210" spans="1:16" ht="22.5">
      <c r="A210" s="319" t="s">
        <v>4789</v>
      </c>
      <c r="B210" s="319" t="s">
        <v>4790</v>
      </c>
      <c r="C210" s="319" t="s">
        <v>4789</v>
      </c>
      <c r="D210" s="319"/>
      <c r="E210" s="319" t="s">
        <v>242</v>
      </c>
      <c r="F210" s="319"/>
      <c r="G210" s="318" t="s">
        <v>4231</v>
      </c>
      <c r="H210" s="324" t="s">
        <v>4791</v>
      </c>
      <c r="I210" s="319" t="s">
        <v>198</v>
      </c>
      <c r="J210" s="319"/>
      <c r="K210" s="319" t="s">
        <v>191</v>
      </c>
      <c r="L210" s="320">
        <v>4</v>
      </c>
      <c r="M210" s="320">
        <v>4</v>
      </c>
      <c r="N210" s="322" t="s">
        <v>12</v>
      </c>
      <c r="O210" s="151">
        <v>5</v>
      </c>
      <c r="P210" s="151" t="s">
        <v>199</v>
      </c>
    </row>
    <row r="211" spans="1:16" ht="22.5">
      <c r="A211" s="319" t="s">
        <v>4792</v>
      </c>
      <c r="B211" s="319" t="s">
        <v>4793</v>
      </c>
      <c r="C211" s="319" t="s">
        <v>4792</v>
      </c>
      <c r="D211" s="319"/>
      <c r="E211" s="319" t="s">
        <v>242</v>
      </c>
      <c r="F211" s="319"/>
      <c r="G211" s="318" t="s">
        <v>4531</v>
      </c>
      <c r="H211" s="319" t="s">
        <v>4794</v>
      </c>
      <c r="I211" s="319" t="s">
        <v>198</v>
      </c>
      <c r="J211" s="319"/>
      <c r="K211" s="319" t="s">
        <v>191</v>
      </c>
      <c r="L211" s="320">
        <v>4</v>
      </c>
      <c r="M211" s="320">
        <v>4</v>
      </c>
      <c r="N211" s="322" t="s">
        <v>12</v>
      </c>
      <c r="O211" s="151">
        <v>5</v>
      </c>
      <c r="P211" s="151" t="s">
        <v>199</v>
      </c>
    </row>
    <row r="212" spans="1:16">
      <c r="A212" s="319" t="s">
        <v>4795</v>
      </c>
      <c r="B212" s="319" t="s">
        <v>4796</v>
      </c>
      <c r="C212" s="319" t="s">
        <v>4797</v>
      </c>
      <c r="D212" s="319"/>
      <c r="E212" s="319" t="s">
        <v>242</v>
      </c>
      <c r="F212" s="319"/>
      <c r="G212" s="318" t="s">
        <v>4454</v>
      </c>
      <c r="H212" s="319" t="s">
        <v>4798</v>
      </c>
      <c r="I212" s="319" t="s">
        <v>198</v>
      </c>
      <c r="J212" s="319"/>
      <c r="K212" s="319" t="s">
        <v>191</v>
      </c>
      <c r="L212" s="320">
        <v>4</v>
      </c>
      <c r="M212" s="320">
        <v>4</v>
      </c>
      <c r="N212" s="322" t="s">
        <v>12</v>
      </c>
      <c r="O212" s="151">
        <v>5</v>
      </c>
      <c r="P212" s="151" t="s">
        <v>199</v>
      </c>
    </row>
    <row r="213" spans="1:16" ht="22.5">
      <c r="A213" s="319" t="s">
        <v>4799</v>
      </c>
      <c r="B213" s="319" t="s">
        <v>4800</v>
      </c>
      <c r="C213" s="319" t="s">
        <v>4799</v>
      </c>
      <c r="D213" s="319"/>
      <c r="E213" s="319" t="s">
        <v>242</v>
      </c>
      <c r="F213" s="319"/>
      <c r="G213" s="318" t="s">
        <v>4531</v>
      </c>
      <c r="H213" s="319" t="s">
        <v>4801</v>
      </c>
      <c r="I213" s="319" t="s">
        <v>198</v>
      </c>
      <c r="J213" s="319"/>
      <c r="K213" s="319" t="s">
        <v>191</v>
      </c>
      <c r="L213" s="320">
        <v>4</v>
      </c>
      <c r="M213" s="320">
        <v>4</v>
      </c>
      <c r="N213" s="322" t="s">
        <v>12</v>
      </c>
      <c r="O213" s="151">
        <v>5</v>
      </c>
      <c r="P213" s="151" t="s">
        <v>199</v>
      </c>
    </row>
    <row r="214" spans="1:16" ht="22.5">
      <c r="A214" s="319" t="s">
        <v>4802</v>
      </c>
      <c r="B214" s="319" t="s">
        <v>4803</v>
      </c>
      <c r="C214" s="319" t="s">
        <v>4802</v>
      </c>
      <c r="D214" s="319"/>
      <c r="E214" s="319" t="s">
        <v>242</v>
      </c>
      <c r="F214" s="319"/>
      <c r="G214" s="318" t="s">
        <v>4531</v>
      </c>
      <c r="H214" s="319" t="s">
        <v>4804</v>
      </c>
      <c r="I214" s="319" t="s">
        <v>198</v>
      </c>
      <c r="J214" s="319"/>
      <c r="K214" s="319" t="s">
        <v>191</v>
      </c>
      <c r="L214" s="320">
        <v>4</v>
      </c>
      <c r="M214" s="320">
        <v>4</v>
      </c>
      <c r="N214" s="322" t="s">
        <v>12</v>
      </c>
      <c r="O214" s="151">
        <v>5</v>
      </c>
      <c r="P214" s="151" t="s">
        <v>199</v>
      </c>
    </row>
    <row r="215" spans="1:16">
      <c r="A215" s="319" t="s">
        <v>4805</v>
      </c>
      <c r="B215" s="319" t="s">
        <v>4806</v>
      </c>
      <c r="C215" s="319" t="s">
        <v>4807</v>
      </c>
      <c r="D215" s="319"/>
      <c r="E215" s="319" t="s">
        <v>242</v>
      </c>
      <c r="F215" s="319"/>
      <c r="G215" s="318" t="s">
        <v>4454</v>
      </c>
      <c r="H215" s="319" t="s">
        <v>4808</v>
      </c>
      <c r="I215" s="319" t="s">
        <v>198</v>
      </c>
      <c r="J215" s="319"/>
      <c r="K215" s="319" t="s">
        <v>191</v>
      </c>
      <c r="L215" s="320">
        <v>4</v>
      </c>
      <c r="M215" s="320">
        <v>4</v>
      </c>
      <c r="N215" s="322" t="s">
        <v>12</v>
      </c>
      <c r="O215" s="151">
        <v>5</v>
      </c>
      <c r="P215" s="151" t="s">
        <v>199</v>
      </c>
    </row>
    <row r="216" spans="1:16">
      <c r="A216" s="319" t="s">
        <v>4809</v>
      </c>
      <c r="B216" s="319" t="s">
        <v>4810</v>
      </c>
      <c r="C216" s="319" t="s">
        <v>4811</v>
      </c>
      <c r="D216" s="319"/>
      <c r="E216" s="319" t="s">
        <v>242</v>
      </c>
      <c r="F216" s="319"/>
      <c r="G216" s="318" t="s">
        <v>4454</v>
      </c>
      <c r="H216" s="319" t="s">
        <v>4812</v>
      </c>
      <c r="I216" s="319" t="s">
        <v>198</v>
      </c>
      <c r="J216" s="319"/>
      <c r="K216" s="319" t="s">
        <v>191</v>
      </c>
      <c r="L216" s="320">
        <v>4</v>
      </c>
      <c r="M216" s="320">
        <v>4</v>
      </c>
      <c r="N216" s="322" t="s">
        <v>12</v>
      </c>
      <c r="O216" s="151">
        <v>5</v>
      </c>
      <c r="P216" s="151" t="s">
        <v>199</v>
      </c>
    </row>
    <row r="217" spans="1:16">
      <c r="A217" s="319" t="s">
        <v>4813</v>
      </c>
      <c r="B217" s="319" t="s">
        <v>4814</v>
      </c>
      <c r="C217" s="319" t="s">
        <v>4815</v>
      </c>
      <c r="D217" s="319"/>
      <c r="E217" s="319" t="s">
        <v>242</v>
      </c>
      <c r="F217" s="319"/>
      <c r="G217" s="318" t="s">
        <v>1442</v>
      </c>
      <c r="H217" s="319" t="s">
        <v>4816</v>
      </c>
      <c r="I217" s="319" t="s">
        <v>198</v>
      </c>
      <c r="J217" s="319"/>
      <c r="K217" s="319" t="s">
        <v>191</v>
      </c>
      <c r="L217" s="320">
        <v>4</v>
      </c>
      <c r="M217" s="320">
        <v>4</v>
      </c>
      <c r="N217" s="322" t="s">
        <v>12</v>
      </c>
      <c r="O217" s="151">
        <v>5</v>
      </c>
      <c r="P217" s="151" t="s">
        <v>199</v>
      </c>
    </row>
    <row r="218" spans="1:16">
      <c r="A218" s="319" t="s">
        <v>4817</v>
      </c>
      <c r="B218" s="319" t="s">
        <v>4818</v>
      </c>
      <c r="C218" s="319" t="s">
        <v>4819</v>
      </c>
      <c r="D218" s="319"/>
      <c r="E218" s="319" t="s">
        <v>242</v>
      </c>
      <c r="F218" s="319"/>
      <c r="G218" s="318" t="s">
        <v>4524</v>
      </c>
      <c r="H218" s="319" t="s">
        <v>4820</v>
      </c>
      <c r="I218" s="319" t="s">
        <v>198</v>
      </c>
      <c r="J218" s="319"/>
      <c r="K218" s="319" t="s">
        <v>191</v>
      </c>
      <c r="L218" s="320">
        <v>4</v>
      </c>
      <c r="M218" s="320">
        <v>4</v>
      </c>
      <c r="N218" s="322" t="s">
        <v>12</v>
      </c>
      <c r="O218" s="151">
        <v>5</v>
      </c>
      <c r="P218" s="151" t="s">
        <v>199</v>
      </c>
    </row>
    <row r="219" spans="1:16">
      <c r="A219" s="319" t="s">
        <v>4821</v>
      </c>
      <c r="B219" s="319" t="s">
        <v>4822</v>
      </c>
      <c r="C219" s="319" t="s">
        <v>4823</v>
      </c>
      <c r="D219" s="319"/>
      <c r="E219" s="319" t="s">
        <v>242</v>
      </c>
      <c r="F219" s="319"/>
      <c r="G219" s="318" t="s">
        <v>4824</v>
      </c>
      <c r="H219" s="319" t="s">
        <v>4825</v>
      </c>
      <c r="I219" s="319" t="s">
        <v>198</v>
      </c>
      <c r="J219" s="319"/>
      <c r="K219" s="319" t="s">
        <v>191</v>
      </c>
      <c r="L219" s="320">
        <v>4</v>
      </c>
      <c r="M219" s="320">
        <v>4</v>
      </c>
      <c r="N219" s="322" t="s">
        <v>12</v>
      </c>
      <c r="O219" s="151">
        <v>5</v>
      </c>
      <c r="P219" s="151" t="s">
        <v>199</v>
      </c>
    </row>
    <row r="220" spans="1:16">
      <c r="A220" s="319" t="s">
        <v>4826</v>
      </c>
      <c r="B220" s="319" t="s">
        <v>4827</v>
      </c>
      <c r="C220" s="319" t="s">
        <v>4828</v>
      </c>
      <c r="D220" s="319"/>
      <c r="E220" s="319" t="s">
        <v>242</v>
      </c>
      <c r="F220" s="319"/>
      <c r="G220" s="318" t="s">
        <v>4220</v>
      </c>
      <c r="H220" s="319" t="s">
        <v>4829</v>
      </c>
      <c r="I220" s="319" t="s">
        <v>198</v>
      </c>
      <c r="J220" s="319"/>
      <c r="K220" s="319" t="s">
        <v>191</v>
      </c>
      <c r="L220" s="320">
        <v>4</v>
      </c>
      <c r="M220" s="320">
        <v>4</v>
      </c>
      <c r="N220" s="322" t="s">
        <v>12</v>
      </c>
      <c r="O220" s="151">
        <v>5</v>
      </c>
      <c r="P220" s="151" t="s">
        <v>199</v>
      </c>
    </row>
    <row r="221" spans="1:16" ht="22.5">
      <c r="A221" s="319" t="s">
        <v>4830</v>
      </c>
      <c r="B221" s="319" t="s">
        <v>4831</v>
      </c>
      <c r="C221" s="319" t="s">
        <v>4830</v>
      </c>
      <c r="D221" s="319"/>
      <c r="E221" s="319" t="s">
        <v>242</v>
      </c>
      <c r="F221" s="319"/>
      <c r="G221" s="318" t="s">
        <v>4291</v>
      </c>
      <c r="H221" s="319" t="s">
        <v>4832</v>
      </c>
      <c r="I221" s="319" t="s">
        <v>198</v>
      </c>
      <c r="J221" s="319"/>
      <c r="K221" s="319" t="s">
        <v>191</v>
      </c>
      <c r="L221" s="320">
        <v>4</v>
      </c>
      <c r="M221" s="320">
        <v>4</v>
      </c>
      <c r="N221" s="322" t="s">
        <v>12</v>
      </c>
      <c r="O221" s="151">
        <v>5</v>
      </c>
      <c r="P221" s="151" t="s">
        <v>199</v>
      </c>
    </row>
    <row r="222" spans="1:16" ht="22.5">
      <c r="A222" s="319" t="s">
        <v>4833</v>
      </c>
      <c r="B222" s="319" t="s">
        <v>4834</v>
      </c>
      <c r="C222" s="319" t="s">
        <v>4833</v>
      </c>
      <c r="D222" s="319"/>
      <c r="E222" s="319" t="s">
        <v>242</v>
      </c>
      <c r="F222" s="319"/>
      <c r="G222" s="318" t="s">
        <v>4524</v>
      </c>
      <c r="H222" s="319" t="s">
        <v>4835</v>
      </c>
      <c r="I222" s="319" t="s">
        <v>188</v>
      </c>
      <c r="J222" s="319" t="s">
        <v>1453</v>
      </c>
      <c r="K222" s="319" t="s">
        <v>191</v>
      </c>
      <c r="L222" s="320">
        <v>4</v>
      </c>
      <c r="M222" s="320">
        <v>4</v>
      </c>
      <c r="N222" s="322" t="s">
        <v>12</v>
      </c>
      <c r="O222" s="151">
        <v>5</v>
      </c>
      <c r="P222" s="151" t="s">
        <v>199</v>
      </c>
    </row>
    <row r="223" spans="1:16" ht="22.5">
      <c r="A223" s="319" t="s">
        <v>4836</v>
      </c>
      <c r="B223" s="319" t="s">
        <v>4837</v>
      </c>
      <c r="C223" s="319" t="s">
        <v>4836</v>
      </c>
      <c r="D223" s="319"/>
      <c r="E223" s="319" t="s">
        <v>242</v>
      </c>
      <c r="F223" s="319"/>
      <c r="G223" s="318" t="s">
        <v>4524</v>
      </c>
      <c r="H223" s="319" t="s">
        <v>4838</v>
      </c>
      <c r="I223" s="319" t="s">
        <v>188</v>
      </c>
      <c r="J223" s="319" t="s">
        <v>1453</v>
      </c>
      <c r="K223" s="319" t="s">
        <v>191</v>
      </c>
      <c r="L223" s="320">
        <v>4</v>
      </c>
      <c r="M223" s="320">
        <v>4</v>
      </c>
      <c r="N223" s="322" t="s">
        <v>12</v>
      </c>
      <c r="O223" s="151">
        <v>5</v>
      </c>
      <c r="P223" s="151" t="s">
        <v>199</v>
      </c>
    </row>
    <row r="224" spans="1:16" ht="22.5">
      <c r="A224" s="319" t="s">
        <v>4839</v>
      </c>
      <c r="B224" s="319" t="s">
        <v>4840</v>
      </c>
      <c r="C224" s="319" t="s">
        <v>4839</v>
      </c>
      <c r="D224" s="319"/>
      <c r="E224" s="319" t="s">
        <v>242</v>
      </c>
      <c r="F224" s="319"/>
      <c r="G224" s="318" t="s">
        <v>4531</v>
      </c>
      <c r="H224" s="319" t="s">
        <v>4841</v>
      </c>
      <c r="I224" s="319" t="s">
        <v>188</v>
      </c>
      <c r="J224" s="319" t="s">
        <v>1453</v>
      </c>
      <c r="K224" s="319" t="s">
        <v>191</v>
      </c>
      <c r="L224" s="320">
        <v>4</v>
      </c>
      <c r="M224" s="320">
        <v>4</v>
      </c>
      <c r="N224" s="322" t="s">
        <v>12</v>
      </c>
      <c r="O224" s="151">
        <v>5</v>
      </c>
      <c r="P224" s="151" t="s">
        <v>199</v>
      </c>
    </row>
    <row r="225" spans="1:16">
      <c r="A225" s="319" t="str">
        <f>(CONCATENATE("KS4_",B225))</f>
        <v>KS4_GCSE_9</v>
      </c>
      <c r="B225" s="319" t="s">
        <v>4842</v>
      </c>
      <c r="C225" s="319"/>
      <c r="D225" s="319"/>
      <c r="E225" s="319" t="s">
        <v>242</v>
      </c>
      <c r="F225" s="319"/>
      <c r="G225" s="318" t="s">
        <v>4843</v>
      </c>
      <c r="H225" s="319" t="s">
        <v>4844</v>
      </c>
      <c r="I225" s="319" t="s">
        <v>198</v>
      </c>
      <c r="J225" s="319" t="s">
        <v>4845</v>
      </c>
      <c r="K225" s="319" t="s">
        <v>191</v>
      </c>
      <c r="L225" s="320">
        <v>4</v>
      </c>
      <c r="M225" s="320">
        <v>4</v>
      </c>
      <c r="N225" s="322" t="s">
        <v>12</v>
      </c>
      <c r="O225" s="151">
        <v>5</v>
      </c>
      <c r="P225" s="151" t="s">
        <v>199</v>
      </c>
    </row>
    <row r="226" spans="1:16">
      <c r="A226" s="319" t="str">
        <f>(CONCATENATE("KS4_",B226))</f>
        <v>KS4_GCSE_8</v>
      </c>
      <c r="B226" s="319" t="s">
        <v>4846</v>
      </c>
      <c r="C226" s="319"/>
      <c r="D226" s="319"/>
      <c r="E226" s="319" t="s">
        <v>242</v>
      </c>
      <c r="F226" s="319"/>
      <c r="G226" s="318" t="s">
        <v>4843</v>
      </c>
      <c r="H226" s="319" t="s">
        <v>4847</v>
      </c>
      <c r="I226" s="319" t="s">
        <v>198</v>
      </c>
      <c r="J226" s="319" t="s">
        <v>4845</v>
      </c>
      <c r="K226" s="319" t="s">
        <v>191</v>
      </c>
      <c r="L226" s="320">
        <v>4</v>
      </c>
      <c r="M226" s="320">
        <v>4</v>
      </c>
      <c r="N226" s="322" t="s">
        <v>12</v>
      </c>
      <c r="O226" s="151">
        <v>5</v>
      </c>
      <c r="P226" s="151" t="s">
        <v>199</v>
      </c>
    </row>
    <row r="227" spans="1:16">
      <c r="A227" s="319" t="str">
        <f t="shared" ref="A227:A240" si="0">(CONCATENATE("KS4_",B227))</f>
        <v>KS4_GCSE_7</v>
      </c>
      <c r="B227" s="319" t="s">
        <v>4848</v>
      </c>
      <c r="C227" s="319"/>
      <c r="D227" s="319"/>
      <c r="E227" s="319" t="s">
        <v>242</v>
      </c>
      <c r="F227" s="319"/>
      <c r="G227" s="318" t="s">
        <v>4843</v>
      </c>
      <c r="H227" s="319" t="s">
        <v>4849</v>
      </c>
      <c r="I227" s="319" t="s">
        <v>198</v>
      </c>
      <c r="J227" s="319" t="s">
        <v>4845</v>
      </c>
      <c r="K227" s="319" t="s">
        <v>191</v>
      </c>
      <c r="L227" s="320">
        <v>4</v>
      </c>
      <c r="M227" s="320">
        <v>4</v>
      </c>
      <c r="N227" s="322" t="s">
        <v>12</v>
      </c>
      <c r="O227" s="151">
        <v>5</v>
      </c>
      <c r="P227" s="151" t="s">
        <v>199</v>
      </c>
    </row>
    <row r="228" spans="1:16">
      <c r="A228" s="319" t="str">
        <f t="shared" si="0"/>
        <v>KS4_GCSE_6</v>
      </c>
      <c r="B228" s="319" t="s">
        <v>4850</v>
      </c>
      <c r="C228" s="319"/>
      <c r="D228" s="319"/>
      <c r="E228" s="319" t="s">
        <v>242</v>
      </c>
      <c r="F228" s="319"/>
      <c r="G228" s="318" t="s">
        <v>4843</v>
      </c>
      <c r="H228" s="319" t="s">
        <v>4851</v>
      </c>
      <c r="I228" s="319" t="s">
        <v>198</v>
      </c>
      <c r="J228" s="319" t="s">
        <v>4845</v>
      </c>
      <c r="K228" s="319" t="s">
        <v>191</v>
      </c>
      <c r="L228" s="320">
        <v>4</v>
      </c>
      <c r="M228" s="320">
        <v>4</v>
      </c>
      <c r="N228" s="322" t="s">
        <v>12</v>
      </c>
      <c r="O228" s="151">
        <v>5</v>
      </c>
      <c r="P228" s="151" t="s">
        <v>199</v>
      </c>
    </row>
    <row r="229" spans="1:16">
      <c r="A229" s="319" t="str">
        <f t="shared" si="0"/>
        <v>KS4_GCSE_5</v>
      </c>
      <c r="B229" s="319" t="s">
        <v>4852</v>
      </c>
      <c r="C229" s="319"/>
      <c r="D229" s="319"/>
      <c r="E229" s="319" t="s">
        <v>242</v>
      </c>
      <c r="F229" s="319"/>
      <c r="G229" s="318" t="s">
        <v>4843</v>
      </c>
      <c r="H229" s="319" t="s">
        <v>4853</v>
      </c>
      <c r="I229" s="319" t="s">
        <v>198</v>
      </c>
      <c r="J229" s="319" t="s">
        <v>4845</v>
      </c>
      <c r="K229" s="319" t="s">
        <v>191</v>
      </c>
      <c r="L229" s="320">
        <v>4</v>
      </c>
      <c r="M229" s="320">
        <v>4</v>
      </c>
      <c r="N229" s="322" t="s">
        <v>12</v>
      </c>
      <c r="O229" s="151">
        <v>5</v>
      </c>
      <c r="P229" s="151" t="s">
        <v>199</v>
      </c>
    </row>
    <row r="230" spans="1:16">
      <c r="A230" s="319" t="str">
        <f t="shared" si="0"/>
        <v>KS4_GCSE_4</v>
      </c>
      <c r="B230" s="319" t="s">
        <v>4854</v>
      </c>
      <c r="C230" s="319"/>
      <c r="D230" s="319"/>
      <c r="E230" s="319" t="s">
        <v>242</v>
      </c>
      <c r="F230" s="319"/>
      <c r="G230" s="318" t="s">
        <v>4843</v>
      </c>
      <c r="H230" s="319" t="s">
        <v>4855</v>
      </c>
      <c r="I230" s="319" t="s">
        <v>198</v>
      </c>
      <c r="J230" s="319" t="s">
        <v>4845</v>
      </c>
      <c r="K230" s="319" t="s">
        <v>191</v>
      </c>
      <c r="L230" s="320">
        <v>4</v>
      </c>
      <c r="M230" s="320">
        <v>4</v>
      </c>
      <c r="N230" s="322" t="s">
        <v>12</v>
      </c>
      <c r="O230" s="151">
        <v>5</v>
      </c>
      <c r="P230" s="151" t="s">
        <v>199</v>
      </c>
    </row>
    <row r="231" spans="1:16">
      <c r="A231" s="319" t="str">
        <f t="shared" si="0"/>
        <v>KS4_GCSE_3</v>
      </c>
      <c r="B231" s="319" t="s">
        <v>4856</v>
      </c>
      <c r="C231" s="319"/>
      <c r="D231" s="319"/>
      <c r="E231" s="319" t="s">
        <v>242</v>
      </c>
      <c r="F231" s="319"/>
      <c r="G231" s="318" t="s">
        <v>4843</v>
      </c>
      <c r="H231" s="319" t="s">
        <v>4857</v>
      </c>
      <c r="I231" s="319" t="s">
        <v>198</v>
      </c>
      <c r="J231" s="319" t="s">
        <v>4845</v>
      </c>
      <c r="K231" s="319" t="s">
        <v>191</v>
      </c>
      <c r="L231" s="320">
        <v>4</v>
      </c>
      <c r="M231" s="320">
        <v>4</v>
      </c>
      <c r="N231" s="322" t="s">
        <v>12</v>
      </c>
      <c r="O231" s="151">
        <v>5</v>
      </c>
      <c r="P231" s="151" t="s">
        <v>199</v>
      </c>
    </row>
    <row r="232" spans="1:16">
      <c r="A232" s="319" t="str">
        <f t="shared" si="0"/>
        <v>KS4_GCSE_2</v>
      </c>
      <c r="B232" s="319" t="s">
        <v>4858</v>
      </c>
      <c r="C232" s="319"/>
      <c r="D232" s="319"/>
      <c r="E232" s="319" t="s">
        <v>242</v>
      </c>
      <c r="F232" s="319"/>
      <c r="G232" s="318" t="s">
        <v>4843</v>
      </c>
      <c r="H232" s="319" t="s">
        <v>4859</v>
      </c>
      <c r="I232" s="319" t="s">
        <v>198</v>
      </c>
      <c r="J232" s="319" t="s">
        <v>4845</v>
      </c>
      <c r="K232" s="319" t="s">
        <v>191</v>
      </c>
      <c r="L232" s="320">
        <v>4</v>
      </c>
      <c r="M232" s="320">
        <v>4</v>
      </c>
      <c r="N232" s="322" t="s">
        <v>12</v>
      </c>
      <c r="O232" s="151">
        <v>5</v>
      </c>
      <c r="P232" s="151" t="s">
        <v>199</v>
      </c>
    </row>
    <row r="233" spans="1:16">
      <c r="A233" s="319" t="str">
        <f t="shared" si="0"/>
        <v>KS4_GCSE_1</v>
      </c>
      <c r="B233" s="319" t="s">
        <v>4860</v>
      </c>
      <c r="C233" s="319"/>
      <c r="D233" s="319"/>
      <c r="E233" s="319" t="s">
        <v>242</v>
      </c>
      <c r="F233" s="319"/>
      <c r="G233" s="318" t="s">
        <v>4843</v>
      </c>
      <c r="H233" s="319" t="s">
        <v>4861</v>
      </c>
      <c r="I233" s="319" t="s">
        <v>198</v>
      </c>
      <c r="J233" s="319" t="s">
        <v>4845</v>
      </c>
      <c r="K233" s="319" t="s">
        <v>191</v>
      </c>
      <c r="L233" s="320">
        <v>4</v>
      </c>
      <c r="M233" s="320">
        <v>4</v>
      </c>
      <c r="N233" s="322" t="s">
        <v>12</v>
      </c>
      <c r="O233" s="151">
        <v>5</v>
      </c>
      <c r="P233" s="151" t="s">
        <v>199</v>
      </c>
    </row>
    <row r="234" spans="1:16" ht="22.5">
      <c r="A234" s="319" t="str">
        <f t="shared" si="0"/>
        <v>KS4_GCSE_95</v>
      </c>
      <c r="B234" s="319" t="s">
        <v>4862</v>
      </c>
      <c r="C234" s="319"/>
      <c r="D234" s="319"/>
      <c r="E234" s="319" t="s">
        <v>242</v>
      </c>
      <c r="F234" s="319"/>
      <c r="G234" s="318" t="s">
        <v>4843</v>
      </c>
      <c r="H234" s="319" t="s">
        <v>4863</v>
      </c>
      <c r="I234" s="319" t="s">
        <v>198</v>
      </c>
      <c r="J234" s="319" t="s">
        <v>4845</v>
      </c>
      <c r="K234" s="319" t="s">
        <v>191</v>
      </c>
      <c r="L234" s="320">
        <v>4</v>
      </c>
      <c r="M234" s="320">
        <v>4</v>
      </c>
      <c r="N234" s="322" t="s">
        <v>12</v>
      </c>
      <c r="O234" s="151">
        <v>5</v>
      </c>
      <c r="P234" s="151" t="s">
        <v>199</v>
      </c>
    </row>
    <row r="235" spans="1:16" ht="22.5">
      <c r="A235" s="319" t="str">
        <f t="shared" si="0"/>
        <v>KS4_GCSE_94</v>
      </c>
      <c r="B235" s="319" t="s">
        <v>4864</v>
      </c>
      <c r="C235" s="319"/>
      <c r="D235" s="319"/>
      <c r="E235" s="319" t="s">
        <v>242</v>
      </c>
      <c r="F235" s="319"/>
      <c r="G235" s="318" t="s">
        <v>4843</v>
      </c>
      <c r="H235" s="319" t="s">
        <v>4865</v>
      </c>
      <c r="I235" s="319" t="s">
        <v>198</v>
      </c>
      <c r="J235" s="319" t="s">
        <v>4845</v>
      </c>
      <c r="K235" s="319" t="s">
        <v>191</v>
      </c>
      <c r="L235" s="320">
        <v>4</v>
      </c>
      <c r="M235" s="320">
        <v>4</v>
      </c>
      <c r="N235" s="322" t="s">
        <v>12</v>
      </c>
      <c r="O235" s="151">
        <v>5</v>
      </c>
      <c r="P235" s="151" t="s">
        <v>199</v>
      </c>
    </row>
    <row r="236" spans="1:16" ht="22.5">
      <c r="A236" s="319" t="str">
        <f t="shared" si="0"/>
        <v>KS4_GCSE_91</v>
      </c>
      <c r="B236" s="319" t="s">
        <v>4866</v>
      </c>
      <c r="C236" s="319"/>
      <c r="D236" s="319"/>
      <c r="E236" s="319" t="s">
        <v>242</v>
      </c>
      <c r="F236" s="319"/>
      <c r="G236" s="318" t="s">
        <v>4843</v>
      </c>
      <c r="H236" s="319" t="s">
        <v>4867</v>
      </c>
      <c r="I236" s="319" t="s">
        <v>198</v>
      </c>
      <c r="J236" s="319" t="s">
        <v>4845</v>
      </c>
      <c r="K236" s="319" t="s">
        <v>191</v>
      </c>
      <c r="L236" s="320">
        <v>4</v>
      </c>
      <c r="M236" s="320">
        <v>4</v>
      </c>
      <c r="N236" s="322" t="s">
        <v>12</v>
      </c>
      <c r="O236" s="151">
        <v>5</v>
      </c>
      <c r="P236" s="151" t="s">
        <v>199</v>
      </c>
    </row>
    <row r="237" spans="1:16" ht="22.5">
      <c r="A237" s="319" t="str">
        <f t="shared" si="0"/>
        <v>KS4_PASS_91</v>
      </c>
      <c r="B237" s="319" t="s">
        <v>4868</v>
      </c>
      <c r="C237" s="319"/>
      <c r="D237" s="319"/>
      <c r="E237" s="319" t="s">
        <v>242</v>
      </c>
      <c r="F237" s="319"/>
      <c r="G237" s="318" t="s">
        <v>4843</v>
      </c>
      <c r="H237" s="319" t="s">
        <v>4869</v>
      </c>
      <c r="I237" s="319" t="s">
        <v>198</v>
      </c>
      <c r="J237" s="319" t="s">
        <v>4845</v>
      </c>
      <c r="K237" s="319" t="s">
        <v>191</v>
      </c>
      <c r="L237" s="320">
        <v>4</v>
      </c>
      <c r="M237" s="320">
        <v>4</v>
      </c>
      <c r="N237" s="322" t="s">
        <v>12</v>
      </c>
      <c r="O237" s="151">
        <v>5</v>
      </c>
      <c r="P237" s="151" t="s">
        <v>199</v>
      </c>
    </row>
    <row r="238" spans="1:16" ht="22.5">
      <c r="A238" s="319" t="str">
        <f t="shared" si="0"/>
        <v>KS4_FIVE94</v>
      </c>
      <c r="B238" s="319" t="s">
        <v>4870</v>
      </c>
      <c r="C238" s="319"/>
      <c r="D238" s="319"/>
      <c r="E238" s="319" t="s">
        <v>242</v>
      </c>
      <c r="F238" s="319"/>
      <c r="G238" s="318" t="s">
        <v>4843</v>
      </c>
      <c r="H238" s="319" t="s">
        <v>4871</v>
      </c>
      <c r="I238" s="319" t="s">
        <v>188</v>
      </c>
      <c r="J238" s="319" t="s">
        <v>1453</v>
      </c>
      <c r="K238" s="319" t="s">
        <v>191</v>
      </c>
      <c r="L238" s="320">
        <v>4</v>
      </c>
      <c r="M238" s="320">
        <v>4</v>
      </c>
      <c r="N238" s="322" t="s">
        <v>12</v>
      </c>
      <c r="O238" s="151">
        <v>5</v>
      </c>
      <c r="P238" s="151" t="s">
        <v>199</v>
      </c>
    </row>
    <row r="239" spans="1:16" ht="22.5">
      <c r="A239" s="319" t="str">
        <f t="shared" si="0"/>
        <v>KS4_FIVE91</v>
      </c>
      <c r="B239" s="319" t="s">
        <v>4872</v>
      </c>
      <c r="C239" s="319"/>
      <c r="D239" s="319"/>
      <c r="E239" s="319" t="s">
        <v>242</v>
      </c>
      <c r="F239" s="319"/>
      <c r="G239" s="318" t="s">
        <v>4843</v>
      </c>
      <c r="H239" s="319" t="s">
        <v>4873</v>
      </c>
      <c r="I239" s="319" t="s">
        <v>188</v>
      </c>
      <c r="J239" s="319" t="s">
        <v>1453</v>
      </c>
      <c r="K239" s="319" t="s">
        <v>191</v>
      </c>
      <c r="L239" s="320">
        <v>4</v>
      </c>
      <c r="M239" s="320">
        <v>4</v>
      </c>
      <c r="N239" s="322" t="s">
        <v>12</v>
      </c>
      <c r="O239" s="151">
        <v>5</v>
      </c>
      <c r="P239" s="151" t="s">
        <v>199</v>
      </c>
    </row>
    <row r="240" spans="1:16" ht="22.5">
      <c r="A240" s="319" t="str">
        <f t="shared" si="0"/>
        <v>KS4_PASS_1_91</v>
      </c>
      <c r="B240" s="319" t="s">
        <v>4874</v>
      </c>
      <c r="C240" s="319"/>
      <c r="D240" s="319"/>
      <c r="E240" s="319" t="s">
        <v>242</v>
      </c>
      <c r="F240" s="319"/>
      <c r="G240" s="318" t="s">
        <v>4843</v>
      </c>
      <c r="H240" s="319" t="s">
        <v>4875</v>
      </c>
      <c r="I240" s="319" t="s">
        <v>188</v>
      </c>
      <c r="J240" s="319" t="s">
        <v>1453</v>
      </c>
      <c r="K240" s="319" t="s">
        <v>191</v>
      </c>
      <c r="L240" s="320">
        <v>4</v>
      </c>
      <c r="M240" s="320">
        <v>4</v>
      </c>
      <c r="N240" s="322" t="s">
        <v>12</v>
      </c>
      <c r="O240" s="151">
        <v>5</v>
      </c>
      <c r="P240" s="151" t="s">
        <v>199</v>
      </c>
    </row>
    <row r="241" spans="1:16" ht="22.5">
      <c r="A241" s="319" t="s">
        <v>4876</v>
      </c>
      <c r="B241" s="319" t="s">
        <v>4877</v>
      </c>
      <c r="C241" s="319" t="s">
        <v>4876</v>
      </c>
      <c r="D241" s="324"/>
      <c r="E241" s="319" t="s">
        <v>242</v>
      </c>
      <c r="F241" s="319"/>
      <c r="G241" s="318" t="s">
        <v>4327</v>
      </c>
      <c r="H241" s="319" t="s">
        <v>4878</v>
      </c>
      <c r="I241" s="319" t="s">
        <v>188</v>
      </c>
      <c r="J241" s="319" t="s">
        <v>1453</v>
      </c>
      <c r="K241" s="319" t="s">
        <v>191</v>
      </c>
      <c r="L241" s="320">
        <v>4</v>
      </c>
      <c r="M241" s="320">
        <v>4</v>
      </c>
      <c r="N241" s="322" t="s">
        <v>12</v>
      </c>
      <c r="O241" s="151">
        <v>5</v>
      </c>
      <c r="P241" s="151" t="s">
        <v>199</v>
      </c>
    </row>
    <row r="242" spans="1:16" ht="22.5">
      <c r="A242" s="319" t="s">
        <v>4879</v>
      </c>
      <c r="B242" s="319" t="s">
        <v>4880</v>
      </c>
      <c r="C242" s="319" t="s">
        <v>4879</v>
      </c>
      <c r="D242" s="324"/>
      <c r="E242" s="319" t="s">
        <v>242</v>
      </c>
      <c r="F242" s="319"/>
      <c r="G242" s="318" t="s">
        <v>4327</v>
      </c>
      <c r="H242" s="319" t="s">
        <v>4881</v>
      </c>
      <c r="I242" s="319" t="s">
        <v>188</v>
      </c>
      <c r="J242" s="319" t="s">
        <v>1453</v>
      </c>
      <c r="K242" s="319" t="s">
        <v>191</v>
      </c>
      <c r="L242" s="320">
        <v>4</v>
      </c>
      <c r="M242" s="320">
        <v>4</v>
      </c>
      <c r="N242" s="322" t="s">
        <v>12</v>
      </c>
      <c r="O242" s="151">
        <v>5</v>
      </c>
      <c r="P242" s="151" t="s">
        <v>199</v>
      </c>
    </row>
    <row r="243" spans="1:16" ht="22.5">
      <c r="A243" s="319" t="s">
        <v>4882</v>
      </c>
      <c r="B243" s="319" t="s">
        <v>4883</v>
      </c>
      <c r="C243" s="319" t="s">
        <v>4882</v>
      </c>
      <c r="D243" s="319"/>
      <c r="E243" s="319" t="s">
        <v>242</v>
      </c>
      <c r="F243" s="319"/>
      <c r="G243" s="318" t="s">
        <v>4524</v>
      </c>
      <c r="H243" s="319" t="s">
        <v>4884</v>
      </c>
      <c r="I243" s="319" t="s">
        <v>188</v>
      </c>
      <c r="J243" s="319" t="s">
        <v>1453</v>
      </c>
      <c r="K243" s="319" t="s">
        <v>191</v>
      </c>
      <c r="L243" s="320">
        <v>4</v>
      </c>
      <c r="M243" s="320">
        <v>4</v>
      </c>
      <c r="N243" s="322" t="s">
        <v>12</v>
      </c>
      <c r="O243" s="151">
        <v>5</v>
      </c>
      <c r="P243" s="151" t="s">
        <v>199</v>
      </c>
    </row>
    <row r="244" spans="1:16" ht="22.5">
      <c r="A244" s="319" t="s">
        <v>4885</v>
      </c>
      <c r="B244" s="319" t="s">
        <v>4886</v>
      </c>
      <c r="C244" s="319" t="s">
        <v>4885</v>
      </c>
      <c r="D244" s="319"/>
      <c r="E244" s="319" t="s">
        <v>242</v>
      </c>
      <c r="F244" s="319"/>
      <c r="G244" s="318" t="s">
        <v>4531</v>
      </c>
      <c r="H244" s="319" t="s">
        <v>4887</v>
      </c>
      <c r="I244" s="319" t="s">
        <v>188</v>
      </c>
      <c r="J244" s="319" t="s">
        <v>1453</v>
      </c>
      <c r="K244" s="319" t="s">
        <v>191</v>
      </c>
      <c r="L244" s="320">
        <v>4</v>
      </c>
      <c r="M244" s="320">
        <v>4</v>
      </c>
      <c r="N244" s="322" t="s">
        <v>12</v>
      </c>
      <c r="O244" s="151">
        <v>5</v>
      </c>
      <c r="P244" s="151" t="s">
        <v>199</v>
      </c>
    </row>
    <row r="245" spans="1:16" ht="22.5">
      <c r="A245" s="319" t="s">
        <v>4888</v>
      </c>
      <c r="B245" s="319" t="s">
        <v>4889</v>
      </c>
      <c r="C245" s="319" t="s">
        <v>4888</v>
      </c>
      <c r="D245" s="319"/>
      <c r="E245" s="319" t="s">
        <v>242</v>
      </c>
      <c r="F245" s="319"/>
      <c r="G245" s="318" t="s">
        <v>4890</v>
      </c>
      <c r="H245" s="319" t="s">
        <v>4891</v>
      </c>
      <c r="I245" s="319" t="s">
        <v>188</v>
      </c>
      <c r="J245" s="319" t="s">
        <v>1453</v>
      </c>
      <c r="K245" s="319" t="s">
        <v>191</v>
      </c>
      <c r="L245" s="320">
        <v>4</v>
      </c>
      <c r="M245" s="320">
        <v>4</v>
      </c>
      <c r="N245" s="322" t="s">
        <v>12</v>
      </c>
      <c r="O245" s="151">
        <v>5</v>
      </c>
      <c r="P245" s="151" t="s">
        <v>199</v>
      </c>
    </row>
    <row r="246" spans="1:16" ht="22.5">
      <c r="A246" s="319" t="s">
        <v>4892</v>
      </c>
      <c r="B246" s="319" t="s">
        <v>4893</v>
      </c>
      <c r="C246" s="319" t="s">
        <v>4892</v>
      </c>
      <c r="D246" s="319"/>
      <c r="E246" s="319" t="s">
        <v>242</v>
      </c>
      <c r="F246" s="319"/>
      <c r="G246" s="318" t="s">
        <v>4531</v>
      </c>
      <c r="H246" s="319" t="s">
        <v>4894</v>
      </c>
      <c r="I246" s="319" t="s">
        <v>188</v>
      </c>
      <c r="J246" s="319" t="s">
        <v>1453</v>
      </c>
      <c r="K246" s="319" t="s">
        <v>191</v>
      </c>
      <c r="L246" s="320">
        <v>4</v>
      </c>
      <c r="M246" s="320">
        <v>4</v>
      </c>
      <c r="N246" s="322" t="s">
        <v>12</v>
      </c>
      <c r="O246" s="151">
        <v>5</v>
      </c>
      <c r="P246" s="151" t="s">
        <v>199</v>
      </c>
    </row>
    <row r="247" spans="1:16" ht="22.5">
      <c r="A247" s="319" t="s">
        <v>4895</v>
      </c>
      <c r="B247" s="319" t="s">
        <v>4896</v>
      </c>
      <c r="C247" s="319" t="s">
        <v>4895</v>
      </c>
      <c r="D247" s="319"/>
      <c r="E247" s="319" t="s">
        <v>242</v>
      </c>
      <c r="F247" s="319"/>
      <c r="G247" s="318" t="s">
        <v>4599</v>
      </c>
      <c r="H247" s="319" t="s">
        <v>4897</v>
      </c>
      <c r="I247" s="319" t="s">
        <v>188</v>
      </c>
      <c r="J247" s="319" t="s">
        <v>1453</v>
      </c>
      <c r="K247" s="319" t="s">
        <v>191</v>
      </c>
      <c r="L247" s="320">
        <v>4</v>
      </c>
      <c r="M247" s="320">
        <v>4</v>
      </c>
      <c r="N247" s="322" t="s">
        <v>12</v>
      </c>
      <c r="O247" s="151">
        <v>5</v>
      </c>
      <c r="P247" s="151" t="s">
        <v>199</v>
      </c>
    </row>
    <row r="248" spans="1:16" ht="22.5">
      <c r="A248" s="319" t="s">
        <v>4898</v>
      </c>
      <c r="B248" s="319" t="s">
        <v>4899</v>
      </c>
      <c r="C248" s="319" t="s">
        <v>4898</v>
      </c>
      <c r="D248" s="319"/>
      <c r="E248" s="319" t="s">
        <v>242</v>
      </c>
      <c r="F248" s="319"/>
      <c r="G248" s="318" t="s">
        <v>4231</v>
      </c>
      <c r="H248" s="319" t="s">
        <v>4900</v>
      </c>
      <c r="I248" s="319" t="s">
        <v>188</v>
      </c>
      <c r="J248" s="324" t="s">
        <v>1453</v>
      </c>
      <c r="K248" s="319" t="s">
        <v>191</v>
      </c>
      <c r="L248" s="320">
        <v>4</v>
      </c>
      <c r="M248" s="320">
        <v>4</v>
      </c>
      <c r="N248" s="322" t="s">
        <v>12</v>
      </c>
      <c r="O248" s="151">
        <v>5</v>
      </c>
      <c r="P248" s="151" t="s">
        <v>199</v>
      </c>
    </row>
    <row r="249" spans="1:16" ht="22.5">
      <c r="A249" s="319" t="s">
        <v>4901</v>
      </c>
      <c r="B249" s="319" t="s">
        <v>4902</v>
      </c>
      <c r="C249" s="319" t="s">
        <v>4901</v>
      </c>
      <c r="D249" s="319"/>
      <c r="E249" s="319" t="s">
        <v>242</v>
      </c>
      <c r="F249" s="319"/>
      <c r="G249" s="318" t="s">
        <v>4231</v>
      </c>
      <c r="H249" s="327" t="s">
        <v>4903</v>
      </c>
      <c r="I249" s="319" t="s">
        <v>188</v>
      </c>
      <c r="J249" s="324" t="s">
        <v>1453</v>
      </c>
      <c r="K249" s="319" t="s">
        <v>191</v>
      </c>
      <c r="L249" s="320">
        <v>4</v>
      </c>
      <c r="M249" s="320">
        <v>4</v>
      </c>
      <c r="N249" s="322" t="s">
        <v>12</v>
      </c>
      <c r="O249" s="151">
        <v>5</v>
      </c>
      <c r="P249" s="151" t="s">
        <v>199</v>
      </c>
    </row>
    <row r="250" spans="1:16" ht="22.5">
      <c r="A250" s="319" t="s">
        <v>4904</v>
      </c>
      <c r="B250" s="319" t="s">
        <v>4905</v>
      </c>
      <c r="C250" s="319" t="s">
        <v>4904</v>
      </c>
      <c r="D250" s="319"/>
      <c r="E250" s="319" t="s">
        <v>242</v>
      </c>
      <c r="F250" s="319"/>
      <c r="G250" s="318" t="s">
        <v>4291</v>
      </c>
      <c r="H250" s="319" t="s">
        <v>4906</v>
      </c>
      <c r="I250" s="319" t="s">
        <v>204</v>
      </c>
      <c r="J250" s="319"/>
      <c r="K250" s="319" t="s">
        <v>191</v>
      </c>
      <c r="L250" s="320">
        <v>4</v>
      </c>
      <c r="M250" s="320">
        <v>4</v>
      </c>
      <c r="N250" s="322" t="s">
        <v>12</v>
      </c>
      <c r="O250" s="151">
        <v>5</v>
      </c>
      <c r="P250" s="151" t="s">
        <v>199</v>
      </c>
    </row>
    <row r="251" spans="1:16" ht="22.5">
      <c r="A251" s="319" t="s">
        <v>4907</v>
      </c>
      <c r="B251" s="319" t="s">
        <v>4908</v>
      </c>
      <c r="C251" s="319" t="s">
        <v>4909</v>
      </c>
      <c r="D251" s="319"/>
      <c r="E251" s="319" t="s">
        <v>242</v>
      </c>
      <c r="F251" s="319"/>
      <c r="G251" s="318" t="s">
        <v>1442</v>
      </c>
      <c r="H251" s="319" t="s">
        <v>4910</v>
      </c>
      <c r="I251" s="319" t="s">
        <v>188</v>
      </c>
      <c r="J251" s="319" t="s">
        <v>1453</v>
      </c>
      <c r="K251" s="319" t="s">
        <v>191</v>
      </c>
      <c r="L251" s="320">
        <v>4</v>
      </c>
      <c r="M251" s="320">
        <v>4</v>
      </c>
      <c r="N251" s="322" t="s">
        <v>12</v>
      </c>
      <c r="O251" s="151">
        <v>5</v>
      </c>
      <c r="P251" s="151" t="s">
        <v>199</v>
      </c>
    </row>
    <row r="252" spans="1:16" ht="22.5">
      <c r="A252" s="319" t="s">
        <v>4911</v>
      </c>
      <c r="B252" s="319" t="s">
        <v>4912</v>
      </c>
      <c r="C252" s="319" t="s">
        <v>4913</v>
      </c>
      <c r="D252" s="319"/>
      <c r="E252" s="319" t="s">
        <v>242</v>
      </c>
      <c r="F252" s="319"/>
      <c r="G252" s="318" t="s">
        <v>1442</v>
      </c>
      <c r="H252" s="319" t="s">
        <v>4914</v>
      </c>
      <c r="I252" s="319" t="s">
        <v>188</v>
      </c>
      <c r="J252" s="319" t="s">
        <v>1453</v>
      </c>
      <c r="K252" s="319" t="s">
        <v>191</v>
      </c>
      <c r="L252" s="320">
        <v>4</v>
      </c>
      <c r="M252" s="320">
        <v>4</v>
      </c>
      <c r="N252" s="322" t="s">
        <v>12</v>
      </c>
      <c r="O252" s="151">
        <v>5</v>
      </c>
      <c r="P252" s="151" t="s">
        <v>199</v>
      </c>
    </row>
    <row r="253" spans="1:16" ht="112.5">
      <c r="A253" s="319" t="s">
        <v>4915</v>
      </c>
      <c r="B253" s="319" t="s">
        <v>4916</v>
      </c>
      <c r="C253" s="319" t="s">
        <v>4917</v>
      </c>
      <c r="D253" s="319"/>
      <c r="E253" s="319" t="s">
        <v>242</v>
      </c>
      <c r="F253" s="319"/>
      <c r="G253" s="318" t="s">
        <v>4220</v>
      </c>
      <c r="H253" s="319" t="s">
        <v>4918</v>
      </c>
      <c r="I253" s="319" t="s">
        <v>204</v>
      </c>
      <c r="J253" s="319" t="s">
        <v>4919</v>
      </c>
      <c r="K253" s="319" t="s">
        <v>191</v>
      </c>
      <c r="L253" s="320">
        <v>4</v>
      </c>
      <c r="M253" s="320">
        <v>4</v>
      </c>
      <c r="N253" s="322" t="s">
        <v>12</v>
      </c>
      <c r="O253" s="151">
        <v>5</v>
      </c>
      <c r="P253" s="151" t="s">
        <v>199</v>
      </c>
    </row>
    <row r="254" spans="1:16" ht="112.5">
      <c r="A254" s="319" t="s">
        <v>4920</v>
      </c>
      <c r="B254" s="319" t="s">
        <v>4921</v>
      </c>
      <c r="C254" s="319" t="s">
        <v>4922</v>
      </c>
      <c r="D254" s="319"/>
      <c r="E254" s="319" t="s">
        <v>242</v>
      </c>
      <c r="F254" s="319"/>
      <c r="G254" s="318" t="s">
        <v>4220</v>
      </c>
      <c r="H254" s="319" t="s">
        <v>4923</v>
      </c>
      <c r="I254" s="319" t="s">
        <v>204</v>
      </c>
      <c r="J254" s="319" t="s">
        <v>4919</v>
      </c>
      <c r="K254" s="319" t="s">
        <v>191</v>
      </c>
      <c r="L254" s="320">
        <v>4</v>
      </c>
      <c r="M254" s="320">
        <v>4</v>
      </c>
      <c r="N254" s="322" t="s">
        <v>12</v>
      </c>
      <c r="O254" s="151">
        <v>5</v>
      </c>
      <c r="P254" s="151" t="s">
        <v>199</v>
      </c>
    </row>
    <row r="255" spans="1:16" ht="112.5">
      <c r="A255" s="319" t="s">
        <v>4924</v>
      </c>
      <c r="B255" s="319" t="s">
        <v>4925</v>
      </c>
      <c r="C255" s="319" t="s">
        <v>4926</v>
      </c>
      <c r="D255" s="319"/>
      <c r="E255" s="319" t="s">
        <v>242</v>
      </c>
      <c r="F255" s="319"/>
      <c r="G255" s="318" t="s">
        <v>4220</v>
      </c>
      <c r="H255" s="319" t="s">
        <v>4927</v>
      </c>
      <c r="I255" s="319" t="s">
        <v>204</v>
      </c>
      <c r="J255" s="319" t="s">
        <v>4919</v>
      </c>
      <c r="K255" s="319" t="s">
        <v>191</v>
      </c>
      <c r="L255" s="320">
        <v>4</v>
      </c>
      <c r="M255" s="320">
        <v>4</v>
      </c>
      <c r="N255" s="322" t="s">
        <v>12</v>
      </c>
      <c r="O255" s="151">
        <v>5</v>
      </c>
      <c r="P255" s="151" t="s">
        <v>199</v>
      </c>
    </row>
    <row r="256" spans="1:16" ht="22.5">
      <c r="A256" s="319" t="s">
        <v>4928</v>
      </c>
      <c r="B256" s="319" t="s">
        <v>4929</v>
      </c>
      <c r="C256" s="319" t="s">
        <v>4928</v>
      </c>
      <c r="D256" s="319"/>
      <c r="E256" s="319" t="s">
        <v>242</v>
      </c>
      <c r="F256" s="319"/>
      <c r="G256" s="318" t="s">
        <v>4754</v>
      </c>
      <c r="H256" s="319" t="s">
        <v>4930</v>
      </c>
      <c r="I256" s="319" t="s">
        <v>198</v>
      </c>
      <c r="J256" s="319"/>
      <c r="K256" s="319" t="s">
        <v>191</v>
      </c>
      <c r="L256" s="320">
        <v>4</v>
      </c>
      <c r="M256" s="320">
        <v>4</v>
      </c>
      <c r="N256" s="322" t="s">
        <v>12</v>
      </c>
      <c r="O256" s="151">
        <v>5</v>
      </c>
      <c r="P256" s="151" t="s">
        <v>199</v>
      </c>
    </row>
    <row r="257" spans="1:16" ht="22.5">
      <c r="A257" s="319" t="s">
        <v>4931</v>
      </c>
      <c r="B257" s="319" t="s">
        <v>4932</v>
      </c>
      <c r="C257" s="319" t="s">
        <v>4933</v>
      </c>
      <c r="D257" s="319"/>
      <c r="E257" s="319" t="s">
        <v>242</v>
      </c>
      <c r="F257" s="319"/>
      <c r="G257" s="318" t="s">
        <v>4454</v>
      </c>
      <c r="H257" s="319" t="s">
        <v>4934</v>
      </c>
      <c r="I257" s="319" t="s">
        <v>188</v>
      </c>
      <c r="J257" s="319" t="s">
        <v>1453</v>
      </c>
      <c r="K257" s="319" t="s">
        <v>191</v>
      </c>
      <c r="L257" s="320">
        <v>4</v>
      </c>
      <c r="M257" s="320">
        <v>4</v>
      </c>
      <c r="N257" s="322" t="s">
        <v>12</v>
      </c>
      <c r="O257" s="151">
        <v>5</v>
      </c>
      <c r="P257" s="151" t="s">
        <v>199</v>
      </c>
    </row>
    <row r="258" spans="1:16" ht="22.5">
      <c r="A258" s="319" t="s">
        <v>4935</v>
      </c>
      <c r="B258" s="319" t="s">
        <v>4936</v>
      </c>
      <c r="C258" s="319" t="s">
        <v>4935</v>
      </c>
      <c r="D258" s="319"/>
      <c r="E258" s="319" t="s">
        <v>242</v>
      </c>
      <c r="F258" s="319"/>
      <c r="G258" s="318" t="s">
        <v>4531</v>
      </c>
      <c r="H258" s="319" t="s">
        <v>4937</v>
      </c>
      <c r="I258" s="319" t="s">
        <v>188</v>
      </c>
      <c r="J258" s="319" t="s">
        <v>1453</v>
      </c>
      <c r="K258" s="319" t="s">
        <v>191</v>
      </c>
      <c r="L258" s="320">
        <v>4</v>
      </c>
      <c r="M258" s="320">
        <v>4</v>
      </c>
      <c r="N258" s="322" t="s">
        <v>12</v>
      </c>
      <c r="O258" s="151">
        <v>5</v>
      </c>
      <c r="P258" s="151" t="s">
        <v>199</v>
      </c>
    </row>
    <row r="259" spans="1:16" ht="22.5">
      <c r="A259" s="319" t="s">
        <v>4938</v>
      </c>
      <c r="B259" s="319" t="s">
        <v>4939</v>
      </c>
      <c r="C259" s="319" t="s">
        <v>4938</v>
      </c>
      <c r="D259" s="319"/>
      <c r="E259" s="319" t="s">
        <v>242</v>
      </c>
      <c r="F259" s="319"/>
      <c r="G259" s="318" t="s">
        <v>3381</v>
      </c>
      <c r="H259" s="319" t="s">
        <v>4940</v>
      </c>
      <c r="I259" s="319" t="s">
        <v>188</v>
      </c>
      <c r="J259" s="319" t="s">
        <v>1453</v>
      </c>
      <c r="K259" s="319" t="s">
        <v>191</v>
      </c>
      <c r="L259" s="320">
        <v>4</v>
      </c>
      <c r="M259" s="320">
        <v>4</v>
      </c>
      <c r="N259" s="322" t="s">
        <v>12</v>
      </c>
      <c r="O259" s="151">
        <v>5</v>
      </c>
      <c r="P259" s="151" t="s">
        <v>199</v>
      </c>
    </row>
    <row r="260" spans="1:16" ht="33.75">
      <c r="A260" s="319" t="s">
        <v>4941</v>
      </c>
      <c r="B260" s="319" t="s">
        <v>4942</v>
      </c>
      <c r="C260" s="319" t="s">
        <v>4941</v>
      </c>
      <c r="D260" s="319"/>
      <c r="E260" s="319" t="s">
        <v>242</v>
      </c>
      <c r="F260" s="319"/>
      <c r="G260" s="318" t="s">
        <v>4754</v>
      </c>
      <c r="H260" s="319" t="s">
        <v>4943</v>
      </c>
      <c r="I260" s="319" t="s">
        <v>188</v>
      </c>
      <c r="J260" s="319" t="s">
        <v>1453</v>
      </c>
      <c r="K260" s="319" t="s">
        <v>191</v>
      </c>
      <c r="L260" s="320">
        <v>4</v>
      </c>
      <c r="M260" s="320">
        <v>4</v>
      </c>
      <c r="N260" s="322" t="s">
        <v>12</v>
      </c>
      <c r="O260" s="151">
        <v>5</v>
      </c>
      <c r="P260" s="151" t="s">
        <v>199</v>
      </c>
    </row>
    <row r="261" spans="1:16" ht="22.5">
      <c r="A261" s="319" t="s">
        <v>4944</v>
      </c>
      <c r="B261" s="319" t="s">
        <v>4945</v>
      </c>
      <c r="C261" s="319" t="s">
        <v>4946</v>
      </c>
      <c r="D261" s="319"/>
      <c r="E261" s="319" t="s">
        <v>242</v>
      </c>
      <c r="F261" s="319"/>
      <c r="G261" s="318" t="s">
        <v>4454</v>
      </c>
      <c r="H261" s="319" t="s">
        <v>4947</v>
      </c>
      <c r="I261" s="319" t="s">
        <v>188</v>
      </c>
      <c r="J261" s="319" t="s">
        <v>1453</v>
      </c>
      <c r="K261" s="319" t="s">
        <v>191</v>
      </c>
      <c r="L261" s="320">
        <v>4</v>
      </c>
      <c r="M261" s="320">
        <v>4</v>
      </c>
      <c r="N261" s="322" t="s">
        <v>12</v>
      </c>
      <c r="O261" s="151">
        <v>5</v>
      </c>
      <c r="P261" s="151" t="s">
        <v>199</v>
      </c>
    </row>
    <row r="262" spans="1:16" ht="22.5">
      <c r="A262" s="319" t="s">
        <v>4948</v>
      </c>
      <c r="B262" s="319" t="s">
        <v>4949</v>
      </c>
      <c r="C262" s="319" t="s">
        <v>4950</v>
      </c>
      <c r="D262" s="319"/>
      <c r="E262" s="319" t="s">
        <v>242</v>
      </c>
      <c r="F262" s="319"/>
      <c r="G262" s="318" t="s">
        <v>4454</v>
      </c>
      <c r="H262" s="319" t="s">
        <v>4951</v>
      </c>
      <c r="I262" s="319" t="s">
        <v>188</v>
      </c>
      <c r="J262" s="319" t="s">
        <v>1453</v>
      </c>
      <c r="K262" s="319" t="s">
        <v>191</v>
      </c>
      <c r="L262" s="320">
        <v>4</v>
      </c>
      <c r="M262" s="320">
        <v>4</v>
      </c>
      <c r="N262" s="322" t="s">
        <v>12</v>
      </c>
      <c r="O262" s="151">
        <v>5</v>
      </c>
      <c r="P262" s="151" t="s">
        <v>199</v>
      </c>
    </row>
    <row r="263" spans="1:16" ht="22.5">
      <c r="A263" s="319" t="s">
        <v>4952</v>
      </c>
      <c r="B263" s="319" t="s">
        <v>4953</v>
      </c>
      <c r="C263" s="319" t="s">
        <v>4954</v>
      </c>
      <c r="D263" s="319"/>
      <c r="E263" s="319" t="s">
        <v>242</v>
      </c>
      <c r="F263" s="319"/>
      <c r="G263" s="318" t="s">
        <v>4220</v>
      </c>
      <c r="H263" s="319" t="s">
        <v>4955</v>
      </c>
      <c r="I263" s="319" t="s">
        <v>188</v>
      </c>
      <c r="J263" s="319" t="s">
        <v>1453</v>
      </c>
      <c r="K263" s="319" t="s">
        <v>191</v>
      </c>
      <c r="L263" s="320">
        <v>4</v>
      </c>
      <c r="M263" s="320">
        <v>4</v>
      </c>
      <c r="N263" s="322" t="s">
        <v>12</v>
      </c>
      <c r="O263" s="151">
        <v>5</v>
      </c>
      <c r="P263" s="151" t="s">
        <v>199</v>
      </c>
    </row>
    <row r="264" spans="1:16" ht="22.5">
      <c r="A264" s="319" t="s">
        <v>4956</v>
      </c>
      <c r="B264" s="319" t="s">
        <v>4957</v>
      </c>
      <c r="C264" s="319" t="s">
        <v>4956</v>
      </c>
      <c r="D264" s="319"/>
      <c r="E264" s="319" t="s">
        <v>242</v>
      </c>
      <c r="F264" s="319"/>
      <c r="G264" s="318" t="s">
        <v>4531</v>
      </c>
      <c r="H264" s="319" t="s">
        <v>4958</v>
      </c>
      <c r="I264" s="319" t="s">
        <v>188</v>
      </c>
      <c r="J264" s="319" t="s">
        <v>1453</v>
      </c>
      <c r="K264" s="319" t="s">
        <v>191</v>
      </c>
      <c r="L264" s="320">
        <v>4</v>
      </c>
      <c r="M264" s="320">
        <v>4</v>
      </c>
      <c r="N264" s="322" t="s">
        <v>12</v>
      </c>
      <c r="O264" s="151">
        <v>5</v>
      </c>
      <c r="P264" s="151" t="s">
        <v>199</v>
      </c>
    </row>
    <row r="265" spans="1:16" ht="33.75">
      <c r="A265" s="319" t="s">
        <v>4959</v>
      </c>
      <c r="B265" s="319" t="s">
        <v>4960</v>
      </c>
      <c r="C265" s="319" t="s">
        <v>4959</v>
      </c>
      <c r="D265" s="319"/>
      <c r="E265" s="319" t="s">
        <v>242</v>
      </c>
      <c r="F265" s="319"/>
      <c r="G265" s="318" t="s">
        <v>4754</v>
      </c>
      <c r="H265" s="319" t="s">
        <v>4961</v>
      </c>
      <c r="I265" s="319" t="s">
        <v>188</v>
      </c>
      <c r="J265" s="319" t="s">
        <v>1453</v>
      </c>
      <c r="K265" s="319" t="s">
        <v>191</v>
      </c>
      <c r="L265" s="320">
        <v>4</v>
      </c>
      <c r="M265" s="320">
        <v>4</v>
      </c>
      <c r="N265" s="322" t="s">
        <v>12</v>
      </c>
      <c r="O265" s="151">
        <v>5</v>
      </c>
      <c r="P265" s="151" t="s">
        <v>199</v>
      </c>
    </row>
    <row r="266" spans="1:16" ht="22.5">
      <c r="A266" s="319" t="s">
        <v>4962</v>
      </c>
      <c r="B266" s="319" t="s">
        <v>4963</v>
      </c>
      <c r="C266" s="319" t="s">
        <v>4964</v>
      </c>
      <c r="D266" s="319"/>
      <c r="E266" s="319" t="s">
        <v>242</v>
      </c>
      <c r="F266" s="319"/>
      <c r="G266" s="318" t="s">
        <v>4454</v>
      </c>
      <c r="H266" s="319" t="s">
        <v>4965</v>
      </c>
      <c r="I266" s="319" t="s">
        <v>188</v>
      </c>
      <c r="J266" s="319" t="s">
        <v>1453</v>
      </c>
      <c r="K266" s="319" t="s">
        <v>191</v>
      </c>
      <c r="L266" s="320">
        <v>4</v>
      </c>
      <c r="M266" s="320">
        <v>4</v>
      </c>
      <c r="N266" s="322" t="s">
        <v>12</v>
      </c>
      <c r="O266" s="151">
        <v>5</v>
      </c>
      <c r="P266" s="151" t="s">
        <v>199</v>
      </c>
    </row>
    <row r="267" spans="1:16" ht="22.5">
      <c r="A267" s="319" t="s">
        <v>4966</v>
      </c>
      <c r="B267" s="319" t="s">
        <v>4967</v>
      </c>
      <c r="C267" s="319" t="s">
        <v>4968</v>
      </c>
      <c r="D267" s="319"/>
      <c r="E267" s="319" t="s">
        <v>242</v>
      </c>
      <c r="F267" s="319"/>
      <c r="G267" s="318" t="s">
        <v>4454</v>
      </c>
      <c r="H267" s="319" t="s">
        <v>4969</v>
      </c>
      <c r="I267" s="319" t="s">
        <v>188</v>
      </c>
      <c r="J267" s="319" t="s">
        <v>1453</v>
      </c>
      <c r="K267" s="319" t="s">
        <v>191</v>
      </c>
      <c r="L267" s="320">
        <v>4</v>
      </c>
      <c r="M267" s="320">
        <v>4</v>
      </c>
      <c r="N267" s="322" t="s">
        <v>12</v>
      </c>
      <c r="O267" s="151">
        <v>5</v>
      </c>
      <c r="P267" s="151" t="s">
        <v>199</v>
      </c>
    </row>
    <row r="268" spans="1:16" ht="22.5">
      <c r="A268" s="319" t="s">
        <v>4970</v>
      </c>
      <c r="B268" s="319" t="s">
        <v>4971</v>
      </c>
      <c r="C268" s="319" t="s">
        <v>4972</v>
      </c>
      <c r="D268" s="319"/>
      <c r="E268" s="319" t="s">
        <v>242</v>
      </c>
      <c r="F268" s="319"/>
      <c r="G268" s="318" t="s">
        <v>4220</v>
      </c>
      <c r="H268" s="319" t="s">
        <v>4973</v>
      </c>
      <c r="I268" s="319" t="s">
        <v>188</v>
      </c>
      <c r="J268" s="319" t="s">
        <v>1453</v>
      </c>
      <c r="K268" s="319" t="s">
        <v>191</v>
      </c>
      <c r="L268" s="320">
        <v>4</v>
      </c>
      <c r="M268" s="320">
        <v>4</v>
      </c>
      <c r="N268" s="322" t="s">
        <v>12</v>
      </c>
      <c r="O268" s="151">
        <v>5</v>
      </c>
      <c r="P268" s="151" t="s">
        <v>199</v>
      </c>
    </row>
    <row r="269" spans="1:16">
      <c r="A269" s="319" t="s">
        <v>4974</v>
      </c>
      <c r="B269" s="319" t="s">
        <v>4975</v>
      </c>
      <c r="C269" s="319" t="s">
        <v>4974</v>
      </c>
      <c r="D269" s="319"/>
      <c r="E269" s="319" t="s">
        <v>242</v>
      </c>
      <c r="F269" s="319"/>
      <c r="G269" s="318" t="s">
        <v>4754</v>
      </c>
      <c r="H269" s="319" t="s">
        <v>4976</v>
      </c>
      <c r="I269" s="319" t="s">
        <v>188</v>
      </c>
      <c r="J269" s="319"/>
      <c r="K269" s="319" t="s">
        <v>191</v>
      </c>
      <c r="L269" s="320">
        <v>4</v>
      </c>
      <c r="M269" s="320">
        <v>4</v>
      </c>
      <c r="N269" s="322" t="s">
        <v>12</v>
      </c>
      <c r="O269" s="151">
        <v>5</v>
      </c>
      <c r="P269" s="151" t="s">
        <v>199</v>
      </c>
    </row>
    <row r="270" spans="1:16" ht="22.5">
      <c r="A270" s="319" t="s">
        <v>4977</v>
      </c>
      <c r="B270" s="319" t="s">
        <v>4978</v>
      </c>
      <c r="C270" s="319" t="s">
        <v>4977</v>
      </c>
      <c r="D270" s="319"/>
      <c r="E270" s="319" t="s">
        <v>242</v>
      </c>
      <c r="F270" s="319"/>
      <c r="G270" s="318" t="s">
        <v>4754</v>
      </c>
      <c r="H270" s="319" t="s">
        <v>4979</v>
      </c>
      <c r="I270" s="319" t="s">
        <v>188</v>
      </c>
      <c r="J270" s="319"/>
      <c r="K270" s="319" t="s">
        <v>191</v>
      </c>
      <c r="L270" s="320">
        <v>4</v>
      </c>
      <c r="M270" s="320">
        <v>4</v>
      </c>
      <c r="N270" s="322" t="s">
        <v>12</v>
      </c>
      <c r="O270" s="151">
        <v>5</v>
      </c>
      <c r="P270" s="151" t="s">
        <v>199</v>
      </c>
    </row>
    <row r="271" spans="1:16">
      <c r="A271" s="319" t="s">
        <v>4980</v>
      </c>
      <c r="B271" s="319" t="s">
        <v>4981</v>
      </c>
      <c r="C271" s="319" t="s">
        <v>4980</v>
      </c>
      <c r="D271" s="319"/>
      <c r="E271" s="319" t="s">
        <v>242</v>
      </c>
      <c r="F271" s="319"/>
      <c r="G271" s="318" t="s">
        <v>4754</v>
      </c>
      <c r="H271" s="319" t="s">
        <v>4982</v>
      </c>
      <c r="I271" s="319" t="s">
        <v>188</v>
      </c>
      <c r="J271" s="319"/>
      <c r="K271" s="319" t="s">
        <v>191</v>
      </c>
      <c r="L271" s="320">
        <v>4</v>
      </c>
      <c r="M271" s="320">
        <v>4</v>
      </c>
      <c r="N271" s="322" t="s">
        <v>12</v>
      </c>
      <c r="O271" s="151">
        <v>5</v>
      </c>
      <c r="P271" s="151" t="s">
        <v>199</v>
      </c>
    </row>
    <row r="272" spans="1:16" ht="22.5">
      <c r="A272" s="319" t="s">
        <v>4983</v>
      </c>
      <c r="B272" s="319" t="s">
        <v>4984</v>
      </c>
      <c r="C272" s="319" t="s">
        <v>4983</v>
      </c>
      <c r="D272" s="319"/>
      <c r="E272" s="319" t="s">
        <v>242</v>
      </c>
      <c r="F272" s="319"/>
      <c r="G272" s="318" t="s">
        <v>4754</v>
      </c>
      <c r="H272" s="319" t="s">
        <v>4985</v>
      </c>
      <c r="I272" s="319" t="s">
        <v>188</v>
      </c>
      <c r="J272" s="319"/>
      <c r="K272" s="319" t="s">
        <v>191</v>
      </c>
      <c r="L272" s="320">
        <v>4</v>
      </c>
      <c r="M272" s="320">
        <v>4</v>
      </c>
      <c r="N272" s="322" t="s">
        <v>12</v>
      </c>
      <c r="O272" s="151">
        <v>5</v>
      </c>
      <c r="P272" s="151" t="s">
        <v>199</v>
      </c>
    </row>
    <row r="273" spans="1:16">
      <c r="A273" s="319" t="s">
        <v>4986</v>
      </c>
      <c r="B273" s="319" t="s">
        <v>4987</v>
      </c>
      <c r="C273" s="319" t="s">
        <v>4986</v>
      </c>
      <c r="D273" s="319"/>
      <c r="E273" s="319" t="s">
        <v>242</v>
      </c>
      <c r="F273" s="319"/>
      <c r="G273" s="318" t="s">
        <v>4754</v>
      </c>
      <c r="H273" s="319" t="s">
        <v>4988</v>
      </c>
      <c r="I273" s="319" t="s">
        <v>188</v>
      </c>
      <c r="J273" s="319"/>
      <c r="K273" s="319" t="s">
        <v>191</v>
      </c>
      <c r="L273" s="320">
        <v>4</v>
      </c>
      <c r="M273" s="320">
        <v>4</v>
      </c>
      <c r="N273" s="322" t="s">
        <v>12</v>
      </c>
      <c r="O273" s="151">
        <v>5</v>
      </c>
      <c r="P273" s="151" t="s">
        <v>199</v>
      </c>
    </row>
    <row r="274" spans="1:16" ht="22.5">
      <c r="A274" s="319" t="s">
        <v>4989</v>
      </c>
      <c r="B274" s="319" t="s">
        <v>4990</v>
      </c>
      <c r="C274" s="319" t="s">
        <v>4989</v>
      </c>
      <c r="D274" s="319"/>
      <c r="E274" s="319" t="s">
        <v>242</v>
      </c>
      <c r="F274" s="319"/>
      <c r="G274" s="318" t="s">
        <v>4754</v>
      </c>
      <c r="H274" s="319" t="s">
        <v>4991</v>
      </c>
      <c r="I274" s="319" t="s">
        <v>188</v>
      </c>
      <c r="J274" s="319"/>
      <c r="K274" s="319" t="s">
        <v>191</v>
      </c>
      <c r="L274" s="320">
        <v>4</v>
      </c>
      <c r="M274" s="320">
        <v>4</v>
      </c>
      <c r="N274" s="322" t="s">
        <v>12</v>
      </c>
      <c r="O274" s="151">
        <v>5</v>
      </c>
      <c r="P274" s="151" t="s">
        <v>199</v>
      </c>
    </row>
    <row r="275" spans="1:16">
      <c r="A275" s="319" t="s">
        <v>4992</v>
      </c>
      <c r="B275" s="319" t="s">
        <v>4993</v>
      </c>
      <c r="C275" s="319" t="s">
        <v>4992</v>
      </c>
      <c r="D275" s="319"/>
      <c r="E275" s="319" t="s">
        <v>242</v>
      </c>
      <c r="F275" s="319"/>
      <c r="G275" s="318" t="s">
        <v>4754</v>
      </c>
      <c r="H275" s="319" t="s">
        <v>4994</v>
      </c>
      <c r="I275" s="319" t="s">
        <v>188</v>
      </c>
      <c r="J275" s="319"/>
      <c r="K275" s="319" t="s">
        <v>191</v>
      </c>
      <c r="L275" s="320">
        <v>4</v>
      </c>
      <c r="M275" s="320">
        <v>4</v>
      </c>
      <c r="N275" s="322" t="s">
        <v>12</v>
      </c>
      <c r="O275" s="151">
        <v>5</v>
      </c>
      <c r="P275" s="151" t="s">
        <v>199</v>
      </c>
    </row>
    <row r="276" spans="1:16" ht="22.5">
      <c r="A276" s="319" t="s">
        <v>4995</v>
      </c>
      <c r="B276" s="319" t="s">
        <v>4996</v>
      </c>
      <c r="C276" s="319" t="s">
        <v>4995</v>
      </c>
      <c r="D276" s="319"/>
      <c r="E276" s="319" t="s">
        <v>242</v>
      </c>
      <c r="F276" s="319"/>
      <c r="G276" s="318" t="s">
        <v>4754</v>
      </c>
      <c r="H276" s="319" t="s">
        <v>4997</v>
      </c>
      <c r="I276" s="319" t="s">
        <v>188</v>
      </c>
      <c r="J276" s="319"/>
      <c r="K276" s="319" t="s">
        <v>191</v>
      </c>
      <c r="L276" s="320">
        <v>4</v>
      </c>
      <c r="M276" s="320">
        <v>4</v>
      </c>
      <c r="N276" s="322" t="s">
        <v>12</v>
      </c>
      <c r="O276" s="151">
        <v>5</v>
      </c>
      <c r="P276" s="151" t="s">
        <v>199</v>
      </c>
    </row>
    <row r="277" spans="1:16" ht="22.5">
      <c r="A277" s="319" t="s">
        <v>4998</v>
      </c>
      <c r="B277" s="319" t="s">
        <v>4999</v>
      </c>
      <c r="C277" s="319" t="s">
        <v>4998</v>
      </c>
      <c r="D277" s="319"/>
      <c r="E277" s="319" t="s">
        <v>242</v>
      </c>
      <c r="F277" s="319"/>
      <c r="G277" s="318" t="s">
        <v>4599</v>
      </c>
      <c r="H277" s="319" t="s">
        <v>5000</v>
      </c>
      <c r="I277" s="319" t="s">
        <v>188</v>
      </c>
      <c r="J277" s="319" t="s">
        <v>1453</v>
      </c>
      <c r="K277" s="319" t="s">
        <v>191</v>
      </c>
      <c r="L277" s="320">
        <v>4</v>
      </c>
      <c r="M277" s="320">
        <v>4</v>
      </c>
      <c r="N277" s="322" t="s">
        <v>12</v>
      </c>
      <c r="O277" s="151">
        <v>5</v>
      </c>
      <c r="P277" s="151" t="s">
        <v>199</v>
      </c>
    </row>
    <row r="278" spans="1:16" ht="22.5">
      <c r="A278" s="319" t="s">
        <v>5001</v>
      </c>
      <c r="B278" s="319" t="s">
        <v>5002</v>
      </c>
      <c r="C278" s="319"/>
      <c r="D278" s="319"/>
      <c r="E278" s="319" t="s">
        <v>242</v>
      </c>
      <c r="F278" s="319"/>
      <c r="G278" s="318" t="s">
        <v>4599</v>
      </c>
      <c r="H278" s="319" t="s">
        <v>5003</v>
      </c>
      <c r="I278" s="319" t="s">
        <v>188</v>
      </c>
      <c r="J278" s="319" t="s">
        <v>1453</v>
      </c>
      <c r="K278" s="319" t="s">
        <v>191</v>
      </c>
      <c r="L278" s="320">
        <v>4</v>
      </c>
      <c r="M278" s="320">
        <v>4</v>
      </c>
      <c r="N278" s="322" t="s">
        <v>12</v>
      </c>
      <c r="O278" s="151">
        <v>5</v>
      </c>
      <c r="P278" s="151" t="s">
        <v>199</v>
      </c>
    </row>
    <row r="279" spans="1:16" ht="22.5">
      <c r="A279" s="319" t="s">
        <v>5004</v>
      </c>
      <c r="B279" s="319" t="s">
        <v>5005</v>
      </c>
      <c r="C279" s="319" t="s">
        <v>5004</v>
      </c>
      <c r="D279" s="319"/>
      <c r="E279" s="319" t="s">
        <v>242</v>
      </c>
      <c r="F279" s="319"/>
      <c r="G279" s="318" t="s">
        <v>4754</v>
      </c>
      <c r="H279" s="319" t="s">
        <v>5006</v>
      </c>
      <c r="I279" s="319" t="s">
        <v>188</v>
      </c>
      <c r="J279" s="319" t="s">
        <v>1453</v>
      </c>
      <c r="K279" s="319" t="s">
        <v>191</v>
      </c>
      <c r="L279" s="320">
        <v>4</v>
      </c>
      <c r="M279" s="320">
        <v>4</v>
      </c>
      <c r="N279" s="322" t="s">
        <v>12</v>
      </c>
      <c r="O279" s="151">
        <v>5</v>
      </c>
      <c r="P279" s="151" t="s">
        <v>199</v>
      </c>
    </row>
    <row r="280" spans="1:16" ht="22.5">
      <c r="A280" s="319" t="s">
        <v>5007</v>
      </c>
      <c r="B280" s="319" t="s">
        <v>5008</v>
      </c>
      <c r="C280" s="319"/>
      <c r="D280" s="319"/>
      <c r="E280" s="319" t="s">
        <v>242</v>
      </c>
      <c r="F280" s="319"/>
      <c r="G280" s="318" t="s">
        <v>4599</v>
      </c>
      <c r="H280" s="319" t="s">
        <v>5009</v>
      </c>
      <c r="I280" s="319" t="s">
        <v>188</v>
      </c>
      <c r="J280" s="319" t="s">
        <v>1453</v>
      </c>
      <c r="K280" s="319" t="s">
        <v>191</v>
      </c>
      <c r="L280" s="320">
        <v>4</v>
      </c>
      <c r="M280" s="320">
        <v>4</v>
      </c>
      <c r="N280" s="322" t="s">
        <v>12</v>
      </c>
      <c r="O280" s="151">
        <v>5</v>
      </c>
      <c r="P280" s="151" t="s">
        <v>199</v>
      </c>
    </row>
    <row r="281" spans="1:16" ht="22.5">
      <c r="A281" s="319" t="s">
        <v>5010</v>
      </c>
      <c r="B281" s="319" t="s">
        <v>5011</v>
      </c>
      <c r="C281" s="319"/>
      <c r="D281" s="319"/>
      <c r="E281" s="319" t="s">
        <v>242</v>
      </c>
      <c r="F281" s="319"/>
      <c r="G281" s="318" t="s">
        <v>4291</v>
      </c>
      <c r="H281" s="319" t="s">
        <v>5012</v>
      </c>
      <c r="I281" s="319" t="s">
        <v>188</v>
      </c>
      <c r="J281" s="319" t="s">
        <v>1453</v>
      </c>
      <c r="K281" s="319" t="s">
        <v>191</v>
      </c>
      <c r="L281" s="320">
        <v>4</v>
      </c>
      <c r="M281" s="320">
        <v>4</v>
      </c>
      <c r="N281" s="322" t="s">
        <v>12</v>
      </c>
      <c r="O281" s="151">
        <v>5</v>
      </c>
      <c r="P281" s="151" t="s">
        <v>199</v>
      </c>
    </row>
    <row r="282" spans="1:16" ht="22.5">
      <c r="A282" s="319" t="s">
        <v>5013</v>
      </c>
      <c r="B282" s="319" t="s">
        <v>5014</v>
      </c>
      <c r="C282" s="319"/>
      <c r="D282" s="319"/>
      <c r="E282" s="319" t="s">
        <v>242</v>
      </c>
      <c r="F282" s="319"/>
      <c r="G282" s="318" t="s">
        <v>4291</v>
      </c>
      <c r="H282" s="319" t="s">
        <v>5015</v>
      </c>
      <c r="I282" s="319" t="s">
        <v>188</v>
      </c>
      <c r="J282" s="319" t="s">
        <v>1453</v>
      </c>
      <c r="K282" s="319" t="s">
        <v>191</v>
      </c>
      <c r="L282" s="320">
        <v>4</v>
      </c>
      <c r="M282" s="320">
        <v>4</v>
      </c>
      <c r="N282" s="322" t="s">
        <v>12</v>
      </c>
      <c r="O282" s="151">
        <v>5</v>
      </c>
      <c r="P282" s="151" t="s">
        <v>199</v>
      </c>
    </row>
    <row r="283" spans="1:16" ht="22.5">
      <c r="A283" s="319" t="s">
        <v>5016</v>
      </c>
      <c r="B283" s="319" t="s">
        <v>5017</v>
      </c>
      <c r="C283" s="319"/>
      <c r="D283" s="319"/>
      <c r="E283" s="319" t="s">
        <v>242</v>
      </c>
      <c r="F283" s="319"/>
      <c r="G283" s="318" t="s">
        <v>4291</v>
      </c>
      <c r="H283" s="319" t="s">
        <v>5018</v>
      </c>
      <c r="I283" s="319" t="s">
        <v>188</v>
      </c>
      <c r="J283" s="319" t="s">
        <v>1453</v>
      </c>
      <c r="K283" s="319" t="s">
        <v>191</v>
      </c>
      <c r="L283" s="320">
        <v>4</v>
      </c>
      <c r="M283" s="320">
        <v>4</v>
      </c>
      <c r="N283" s="322" t="s">
        <v>12</v>
      </c>
      <c r="O283" s="151">
        <v>5</v>
      </c>
      <c r="P283" s="151" t="s">
        <v>199</v>
      </c>
    </row>
    <row r="284" spans="1:16" ht="22.5">
      <c r="A284" s="319" t="s">
        <v>5019</v>
      </c>
      <c r="B284" s="319" t="s">
        <v>5020</v>
      </c>
      <c r="C284" s="319"/>
      <c r="D284" s="319"/>
      <c r="E284" s="319" t="s">
        <v>242</v>
      </c>
      <c r="F284" s="319"/>
      <c r="G284" s="318" t="s">
        <v>4291</v>
      </c>
      <c r="H284" s="319" t="s">
        <v>5021</v>
      </c>
      <c r="I284" s="319" t="s">
        <v>188</v>
      </c>
      <c r="J284" s="319" t="s">
        <v>1453</v>
      </c>
      <c r="K284" s="319" t="s">
        <v>191</v>
      </c>
      <c r="L284" s="320">
        <v>4</v>
      </c>
      <c r="M284" s="320">
        <v>4</v>
      </c>
      <c r="N284" s="322" t="s">
        <v>12</v>
      </c>
      <c r="O284" s="151">
        <v>5</v>
      </c>
      <c r="P284" s="151" t="s">
        <v>199</v>
      </c>
    </row>
    <row r="285" spans="1:16" ht="22.5">
      <c r="A285" s="319" t="s">
        <v>5022</v>
      </c>
      <c r="B285" s="319" t="s">
        <v>5023</v>
      </c>
      <c r="C285" s="319"/>
      <c r="D285" s="319"/>
      <c r="E285" s="319" t="s">
        <v>242</v>
      </c>
      <c r="F285" s="319"/>
      <c r="G285" s="318" t="s">
        <v>4291</v>
      </c>
      <c r="H285" s="319" t="s">
        <v>5024</v>
      </c>
      <c r="I285" s="319" t="s">
        <v>188</v>
      </c>
      <c r="J285" s="319" t="s">
        <v>1453</v>
      </c>
      <c r="K285" s="319" t="s">
        <v>191</v>
      </c>
      <c r="L285" s="320">
        <v>4</v>
      </c>
      <c r="M285" s="320">
        <v>4</v>
      </c>
      <c r="N285" s="322" t="s">
        <v>12</v>
      </c>
      <c r="O285" s="151">
        <v>5</v>
      </c>
      <c r="P285" s="151" t="s">
        <v>199</v>
      </c>
    </row>
    <row r="286" spans="1:16" ht="22.5">
      <c r="A286" s="319" t="s">
        <v>5025</v>
      </c>
      <c r="B286" s="319" t="s">
        <v>5026</v>
      </c>
      <c r="C286" s="319"/>
      <c r="D286" s="319"/>
      <c r="E286" s="319" t="s">
        <v>242</v>
      </c>
      <c r="F286" s="319"/>
      <c r="G286" s="318" t="s">
        <v>4291</v>
      </c>
      <c r="H286" s="319" t="s">
        <v>5027</v>
      </c>
      <c r="I286" s="319" t="s">
        <v>188</v>
      </c>
      <c r="J286" s="319" t="s">
        <v>1453</v>
      </c>
      <c r="K286" s="319" t="s">
        <v>191</v>
      </c>
      <c r="L286" s="320">
        <v>4</v>
      </c>
      <c r="M286" s="320">
        <v>4</v>
      </c>
      <c r="N286" s="322" t="s">
        <v>12</v>
      </c>
      <c r="O286" s="151">
        <v>5</v>
      </c>
      <c r="P286" s="151" t="s">
        <v>199</v>
      </c>
    </row>
    <row r="287" spans="1:16" ht="22.5">
      <c r="A287" s="319" t="s">
        <v>5028</v>
      </c>
      <c r="B287" s="319" t="s">
        <v>5029</v>
      </c>
      <c r="C287" s="319"/>
      <c r="D287" s="319"/>
      <c r="E287" s="319" t="s">
        <v>242</v>
      </c>
      <c r="F287" s="319"/>
      <c r="G287" s="318" t="s">
        <v>4231</v>
      </c>
      <c r="H287" s="319" t="s">
        <v>5030</v>
      </c>
      <c r="I287" s="319" t="s">
        <v>188</v>
      </c>
      <c r="J287" s="319" t="s">
        <v>2361</v>
      </c>
      <c r="K287" s="319" t="s">
        <v>191</v>
      </c>
      <c r="L287" s="320">
        <v>4</v>
      </c>
      <c r="M287" s="320">
        <v>4</v>
      </c>
      <c r="N287" s="322" t="s">
        <v>12</v>
      </c>
      <c r="O287" s="151">
        <v>5</v>
      </c>
      <c r="P287" s="151" t="s">
        <v>199</v>
      </c>
    </row>
    <row r="288" spans="1:16" ht="22.5">
      <c r="A288" s="319" t="s">
        <v>5031</v>
      </c>
      <c r="B288" s="319" t="s">
        <v>5032</v>
      </c>
      <c r="C288" s="319"/>
      <c r="D288" s="319"/>
      <c r="E288" s="319" t="s">
        <v>242</v>
      </c>
      <c r="F288" s="319"/>
      <c r="G288" s="318" t="s">
        <v>4291</v>
      </c>
      <c r="H288" s="319" t="s">
        <v>5033</v>
      </c>
      <c r="I288" s="319" t="s">
        <v>188</v>
      </c>
      <c r="J288" s="319" t="s">
        <v>1453</v>
      </c>
      <c r="K288" s="319" t="s">
        <v>191</v>
      </c>
      <c r="L288" s="320">
        <v>4</v>
      </c>
      <c r="M288" s="320">
        <v>4</v>
      </c>
      <c r="N288" s="322" t="s">
        <v>12</v>
      </c>
      <c r="O288" s="151">
        <v>5</v>
      </c>
      <c r="P288" s="151" t="s">
        <v>199</v>
      </c>
    </row>
    <row r="289" spans="1:16" ht="22.5">
      <c r="A289" s="319" t="s">
        <v>5034</v>
      </c>
      <c r="B289" s="319" t="s">
        <v>5035</v>
      </c>
      <c r="C289" s="319"/>
      <c r="D289" s="319"/>
      <c r="E289" s="319" t="s">
        <v>242</v>
      </c>
      <c r="F289" s="319"/>
      <c r="G289" s="318" t="s">
        <v>4291</v>
      </c>
      <c r="H289" s="319" t="s">
        <v>5036</v>
      </c>
      <c r="I289" s="319" t="s">
        <v>188</v>
      </c>
      <c r="J289" s="319" t="s">
        <v>1453</v>
      </c>
      <c r="K289" s="319" t="s">
        <v>191</v>
      </c>
      <c r="L289" s="320">
        <v>4</v>
      </c>
      <c r="M289" s="320">
        <v>4</v>
      </c>
      <c r="N289" s="322" t="s">
        <v>12</v>
      </c>
      <c r="O289" s="151">
        <v>5</v>
      </c>
      <c r="P289" s="151" t="s">
        <v>199</v>
      </c>
    </row>
    <row r="290" spans="1:16" ht="22.5">
      <c r="A290" s="319" t="s">
        <v>5037</v>
      </c>
      <c r="B290" s="319" t="s">
        <v>5038</v>
      </c>
      <c r="C290" s="319" t="s">
        <v>5037</v>
      </c>
      <c r="D290" s="319"/>
      <c r="E290" s="319" t="s">
        <v>242</v>
      </c>
      <c r="F290" s="319"/>
      <c r="G290" s="318" t="s">
        <v>4231</v>
      </c>
      <c r="H290" s="319" t="s">
        <v>5039</v>
      </c>
      <c r="I290" s="319" t="s">
        <v>188</v>
      </c>
      <c r="J290" s="319" t="s">
        <v>1453</v>
      </c>
      <c r="K290" s="319" t="s">
        <v>191</v>
      </c>
      <c r="L290" s="320">
        <v>4</v>
      </c>
      <c r="M290" s="320">
        <v>4</v>
      </c>
      <c r="N290" s="322" t="s">
        <v>12</v>
      </c>
      <c r="O290" s="151">
        <v>5</v>
      </c>
      <c r="P290" s="151" t="s">
        <v>199</v>
      </c>
    </row>
    <row r="291" spans="1:16" ht="22.5">
      <c r="A291" s="319" t="s">
        <v>5040</v>
      </c>
      <c r="B291" s="319" t="s">
        <v>5041</v>
      </c>
      <c r="C291" s="319" t="s">
        <v>5040</v>
      </c>
      <c r="D291" s="319"/>
      <c r="E291" s="319" t="s">
        <v>242</v>
      </c>
      <c r="F291" s="319"/>
      <c r="G291" s="318" t="s">
        <v>4231</v>
      </c>
      <c r="H291" s="319" t="s">
        <v>5042</v>
      </c>
      <c r="I291" s="319" t="s">
        <v>188</v>
      </c>
      <c r="J291" s="319" t="s">
        <v>1453</v>
      </c>
      <c r="K291" s="319" t="s">
        <v>191</v>
      </c>
      <c r="L291" s="320">
        <v>4</v>
      </c>
      <c r="M291" s="320">
        <v>4</v>
      </c>
      <c r="N291" s="322" t="s">
        <v>12</v>
      </c>
      <c r="O291" s="151">
        <v>5</v>
      </c>
      <c r="P291" s="151" t="s">
        <v>199</v>
      </c>
    </row>
    <row r="292" spans="1:16" ht="33.75">
      <c r="A292" s="319" t="s">
        <v>5043</v>
      </c>
      <c r="B292" s="319" t="s">
        <v>5044</v>
      </c>
      <c r="C292" s="319" t="s">
        <v>5043</v>
      </c>
      <c r="D292" s="319"/>
      <c r="E292" s="319" t="s">
        <v>242</v>
      </c>
      <c r="F292" s="319"/>
      <c r="G292" s="318" t="s">
        <v>4231</v>
      </c>
      <c r="H292" s="319" t="s">
        <v>5045</v>
      </c>
      <c r="I292" s="319" t="s">
        <v>188</v>
      </c>
      <c r="J292" s="319" t="s">
        <v>1453</v>
      </c>
      <c r="K292" s="319" t="s">
        <v>191</v>
      </c>
      <c r="L292" s="320">
        <v>4</v>
      </c>
      <c r="M292" s="320">
        <v>4</v>
      </c>
      <c r="N292" s="322" t="s">
        <v>12</v>
      </c>
      <c r="O292" s="151">
        <v>5</v>
      </c>
      <c r="P292" s="151" t="s">
        <v>199</v>
      </c>
    </row>
    <row r="293" spans="1:16" ht="22.5">
      <c r="A293" s="319" t="s">
        <v>5046</v>
      </c>
      <c r="B293" s="319" t="s">
        <v>5047</v>
      </c>
      <c r="C293" s="319" t="s">
        <v>5046</v>
      </c>
      <c r="D293" s="319"/>
      <c r="E293" s="319" t="s">
        <v>242</v>
      </c>
      <c r="F293" s="319"/>
      <c r="G293" s="318" t="s">
        <v>4231</v>
      </c>
      <c r="H293" s="319" t="s">
        <v>5048</v>
      </c>
      <c r="I293" s="319" t="s">
        <v>188</v>
      </c>
      <c r="J293" s="319" t="s">
        <v>1453</v>
      </c>
      <c r="K293" s="319" t="s">
        <v>191</v>
      </c>
      <c r="L293" s="320">
        <v>4</v>
      </c>
      <c r="M293" s="320">
        <v>4</v>
      </c>
      <c r="N293" s="322" t="s">
        <v>12</v>
      </c>
      <c r="O293" s="151">
        <v>5</v>
      </c>
      <c r="P293" s="151" t="s">
        <v>199</v>
      </c>
    </row>
    <row r="294" spans="1:16" ht="22.5">
      <c r="A294" s="319" t="s">
        <v>5049</v>
      </c>
      <c r="B294" s="319" t="s">
        <v>5050</v>
      </c>
      <c r="C294" s="319" t="s">
        <v>5049</v>
      </c>
      <c r="D294" s="319"/>
      <c r="E294" s="319" t="s">
        <v>242</v>
      </c>
      <c r="F294" s="319"/>
      <c r="G294" s="318" t="s">
        <v>4231</v>
      </c>
      <c r="H294" s="319" t="s">
        <v>5051</v>
      </c>
      <c r="I294" s="319" t="s">
        <v>188</v>
      </c>
      <c r="J294" s="319" t="s">
        <v>1453</v>
      </c>
      <c r="K294" s="319" t="s">
        <v>191</v>
      </c>
      <c r="L294" s="320">
        <v>4</v>
      </c>
      <c r="M294" s="320">
        <v>4</v>
      </c>
      <c r="N294" s="322" t="s">
        <v>12</v>
      </c>
      <c r="O294" s="151">
        <v>5</v>
      </c>
      <c r="P294" s="151" t="s">
        <v>199</v>
      </c>
    </row>
    <row r="295" spans="1:16" ht="22.5">
      <c r="A295" s="319" t="s">
        <v>5052</v>
      </c>
      <c r="B295" s="319" t="s">
        <v>5053</v>
      </c>
      <c r="C295" s="319" t="s">
        <v>5052</v>
      </c>
      <c r="D295" s="319"/>
      <c r="E295" s="319" t="s">
        <v>242</v>
      </c>
      <c r="F295" s="319"/>
      <c r="G295" s="318" t="s">
        <v>4231</v>
      </c>
      <c r="H295" s="319" t="s">
        <v>5054</v>
      </c>
      <c r="I295" s="319" t="s">
        <v>188</v>
      </c>
      <c r="J295" s="319" t="s">
        <v>1453</v>
      </c>
      <c r="K295" s="319" t="s">
        <v>191</v>
      </c>
      <c r="L295" s="320">
        <v>4</v>
      </c>
      <c r="M295" s="320">
        <v>4</v>
      </c>
      <c r="N295" s="322" t="s">
        <v>12</v>
      </c>
      <c r="O295" s="151">
        <v>5</v>
      </c>
      <c r="P295" s="151" t="s">
        <v>199</v>
      </c>
    </row>
    <row r="296" spans="1:16" ht="22.5">
      <c r="A296" s="319" t="s">
        <v>5055</v>
      </c>
      <c r="B296" s="319" t="s">
        <v>5056</v>
      </c>
      <c r="C296" s="319"/>
      <c r="D296" s="319"/>
      <c r="E296" s="319" t="s">
        <v>242</v>
      </c>
      <c r="F296" s="319"/>
      <c r="G296" s="318" t="s">
        <v>4231</v>
      </c>
      <c r="H296" s="319" t="s">
        <v>5057</v>
      </c>
      <c r="I296" s="319" t="s">
        <v>188</v>
      </c>
      <c r="J296" s="319" t="s">
        <v>1453</v>
      </c>
      <c r="K296" s="319" t="s">
        <v>191</v>
      </c>
      <c r="L296" s="320">
        <v>4</v>
      </c>
      <c r="M296" s="320">
        <v>4</v>
      </c>
      <c r="N296" s="322" t="s">
        <v>12</v>
      </c>
      <c r="O296" s="151">
        <v>5</v>
      </c>
      <c r="P296" s="151" t="s">
        <v>199</v>
      </c>
    </row>
    <row r="297" spans="1:16" ht="22.5">
      <c r="A297" s="319" t="s">
        <v>5058</v>
      </c>
      <c r="B297" s="319" t="s">
        <v>5059</v>
      </c>
      <c r="C297" s="319" t="s">
        <v>5058</v>
      </c>
      <c r="D297" s="319"/>
      <c r="E297" s="319" t="s">
        <v>242</v>
      </c>
      <c r="F297" s="319"/>
      <c r="G297" s="318" t="s">
        <v>4231</v>
      </c>
      <c r="H297" s="319" t="s">
        <v>5060</v>
      </c>
      <c r="I297" s="319" t="s">
        <v>188</v>
      </c>
      <c r="J297" s="319" t="s">
        <v>1453</v>
      </c>
      <c r="K297" s="319" t="s">
        <v>191</v>
      </c>
      <c r="L297" s="320">
        <v>4</v>
      </c>
      <c r="M297" s="320">
        <v>4</v>
      </c>
      <c r="N297" s="322" t="s">
        <v>12</v>
      </c>
      <c r="O297" s="151">
        <v>5</v>
      </c>
      <c r="P297" s="151" t="s">
        <v>199</v>
      </c>
    </row>
    <row r="298" spans="1:16" ht="22.5">
      <c r="A298" s="319" t="s">
        <v>5061</v>
      </c>
      <c r="B298" s="319" t="s">
        <v>5062</v>
      </c>
      <c r="C298" s="319" t="s">
        <v>5061</v>
      </c>
      <c r="D298" s="319"/>
      <c r="E298" s="319" t="s">
        <v>242</v>
      </c>
      <c r="F298" s="319"/>
      <c r="G298" s="318" t="s">
        <v>4231</v>
      </c>
      <c r="H298" s="319" t="s">
        <v>5063</v>
      </c>
      <c r="I298" s="319" t="s">
        <v>188</v>
      </c>
      <c r="J298" s="319" t="s">
        <v>1453</v>
      </c>
      <c r="K298" s="319" t="s">
        <v>191</v>
      </c>
      <c r="L298" s="320">
        <v>4</v>
      </c>
      <c r="M298" s="320">
        <v>4</v>
      </c>
      <c r="N298" s="322" t="s">
        <v>12</v>
      </c>
      <c r="O298" s="151">
        <v>5</v>
      </c>
      <c r="P298" s="151" t="s">
        <v>199</v>
      </c>
    </row>
    <row r="299" spans="1:16" ht="22.5">
      <c r="A299" s="319" t="s">
        <v>5064</v>
      </c>
      <c r="B299" s="319" t="s">
        <v>5065</v>
      </c>
      <c r="C299" s="319"/>
      <c r="D299" s="319"/>
      <c r="E299" s="319" t="s">
        <v>242</v>
      </c>
      <c r="F299" s="319"/>
      <c r="G299" s="318" t="s">
        <v>4231</v>
      </c>
      <c r="H299" s="319" t="s">
        <v>5066</v>
      </c>
      <c r="I299" s="319" t="s">
        <v>188</v>
      </c>
      <c r="J299" s="319" t="s">
        <v>1453</v>
      </c>
      <c r="K299" s="319" t="s">
        <v>191</v>
      </c>
      <c r="L299" s="320">
        <v>4</v>
      </c>
      <c r="M299" s="320">
        <v>4</v>
      </c>
      <c r="N299" s="322" t="s">
        <v>12</v>
      </c>
      <c r="O299" s="151">
        <v>5</v>
      </c>
      <c r="P299" s="151" t="s">
        <v>199</v>
      </c>
    </row>
    <row r="300" spans="1:16" ht="22.5">
      <c r="A300" s="319" t="s">
        <v>5067</v>
      </c>
      <c r="B300" s="319" t="s">
        <v>5068</v>
      </c>
      <c r="C300" s="319"/>
      <c r="D300" s="319"/>
      <c r="E300" s="319" t="s">
        <v>242</v>
      </c>
      <c r="F300" s="319"/>
      <c r="G300" s="318" t="s">
        <v>4231</v>
      </c>
      <c r="H300" s="319" t="s">
        <v>5069</v>
      </c>
      <c r="I300" s="319" t="s">
        <v>188</v>
      </c>
      <c r="J300" s="319" t="s">
        <v>1453</v>
      </c>
      <c r="K300" s="319" t="s">
        <v>191</v>
      </c>
      <c r="L300" s="320">
        <v>4</v>
      </c>
      <c r="M300" s="320">
        <v>4</v>
      </c>
      <c r="N300" s="322" t="s">
        <v>12</v>
      </c>
      <c r="O300" s="151">
        <v>5</v>
      </c>
      <c r="P300" s="151" t="s">
        <v>199</v>
      </c>
    </row>
    <row r="301" spans="1:16" ht="22.5">
      <c r="A301" s="319" t="s">
        <v>5070</v>
      </c>
      <c r="B301" s="319" t="s">
        <v>5071</v>
      </c>
      <c r="C301" s="319"/>
      <c r="D301" s="319"/>
      <c r="E301" s="319" t="s">
        <v>242</v>
      </c>
      <c r="F301" s="319"/>
      <c r="G301" s="318" t="s">
        <v>4231</v>
      </c>
      <c r="H301" s="319" t="s">
        <v>5072</v>
      </c>
      <c r="I301" s="319" t="s">
        <v>188</v>
      </c>
      <c r="J301" s="319" t="s">
        <v>1453</v>
      </c>
      <c r="K301" s="319" t="s">
        <v>191</v>
      </c>
      <c r="L301" s="320">
        <v>4</v>
      </c>
      <c r="M301" s="320">
        <v>4</v>
      </c>
      <c r="N301" s="322" t="s">
        <v>12</v>
      </c>
      <c r="O301" s="151">
        <v>5</v>
      </c>
      <c r="P301" s="151" t="s">
        <v>199</v>
      </c>
    </row>
    <row r="302" spans="1:16" ht="22.5">
      <c r="A302" s="319" t="s">
        <v>5073</v>
      </c>
      <c r="B302" s="319" t="s">
        <v>5074</v>
      </c>
      <c r="C302" s="324" t="s">
        <v>5073</v>
      </c>
      <c r="D302" s="319"/>
      <c r="E302" s="319" t="s">
        <v>242</v>
      </c>
      <c r="F302" s="319"/>
      <c r="G302" s="318" t="s">
        <v>4592</v>
      </c>
      <c r="H302" s="319" t="s">
        <v>5075</v>
      </c>
      <c r="I302" s="319" t="s">
        <v>188</v>
      </c>
      <c r="J302" s="319" t="s">
        <v>1453</v>
      </c>
      <c r="K302" s="319" t="s">
        <v>191</v>
      </c>
      <c r="L302" s="320">
        <v>4</v>
      </c>
      <c r="M302" s="320">
        <v>4</v>
      </c>
      <c r="N302" s="322" t="s">
        <v>12</v>
      </c>
      <c r="O302" s="151">
        <v>5</v>
      </c>
      <c r="P302" s="151" t="s">
        <v>199</v>
      </c>
    </row>
    <row r="303" spans="1:16" ht="22.5">
      <c r="A303" s="319" t="s">
        <v>5076</v>
      </c>
      <c r="B303" s="319" t="s">
        <v>5077</v>
      </c>
      <c r="C303" s="324" t="s">
        <v>5076</v>
      </c>
      <c r="D303" s="319"/>
      <c r="E303" s="319" t="s">
        <v>242</v>
      </c>
      <c r="F303" s="319"/>
      <c r="G303" s="318" t="s">
        <v>4592</v>
      </c>
      <c r="H303" s="319" t="s">
        <v>5078</v>
      </c>
      <c r="I303" s="319" t="s">
        <v>188</v>
      </c>
      <c r="J303" s="319" t="s">
        <v>1453</v>
      </c>
      <c r="K303" s="319" t="s">
        <v>191</v>
      </c>
      <c r="L303" s="320">
        <v>4</v>
      </c>
      <c r="M303" s="320">
        <v>4</v>
      </c>
      <c r="N303" s="322" t="s">
        <v>12</v>
      </c>
      <c r="O303" s="151">
        <v>5</v>
      </c>
      <c r="P303" s="151" t="s">
        <v>199</v>
      </c>
    </row>
    <row r="304" spans="1:16" ht="22.5">
      <c r="A304" s="319" t="s">
        <v>5079</v>
      </c>
      <c r="B304" s="319" t="s">
        <v>5080</v>
      </c>
      <c r="C304" s="324" t="s">
        <v>5079</v>
      </c>
      <c r="D304" s="319"/>
      <c r="E304" s="319" t="s">
        <v>242</v>
      </c>
      <c r="F304" s="319"/>
      <c r="G304" s="318" t="s">
        <v>4592</v>
      </c>
      <c r="H304" s="319" t="s">
        <v>5081</v>
      </c>
      <c r="I304" s="319" t="s">
        <v>188</v>
      </c>
      <c r="J304" s="319" t="s">
        <v>1453</v>
      </c>
      <c r="K304" s="319" t="s">
        <v>191</v>
      </c>
      <c r="L304" s="320">
        <v>4</v>
      </c>
      <c r="M304" s="320">
        <v>4</v>
      </c>
      <c r="N304" s="322" t="s">
        <v>12</v>
      </c>
      <c r="O304" s="151">
        <v>5</v>
      </c>
      <c r="P304" s="151" t="s">
        <v>199</v>
      </c>
    </row>
    <row r="305" spans="1:16" ht="22.5">
      <c r="A305" s="319" t="s">
        <v>5082</v>
      </c>
      <c r="B305" s="319" t="s">
        <v>5083</v>
      </c>
      <c r="C305" s="324" t="s">
        <v>5082</v>
      </c>
      <c r="D305" s="319"/>
      <c r="E305" s="319" t="s">
        <v>242</v>
      </c>
      <c r="F305" s="319"/>
      <c r="G305" s="318" t="s">
        <v>4592</v>
      </c>
      <c r="H305" s="319" t="s">
        <v>5084</v>
      </c>
      <c r="I305" s="319" t="s">
        <v>188</v>
      </c>
      <c r="J305" s="319" t="s">
        <v>1453</v>
      </c>
      <c r="K305" s="319" t="s">
        <v>191</v>
      </c>
      <c r="L305" s="320">
        <v>4</v>
      </c>
      <c r="M305" s="320">
        <v>4</v>
      </c>
      <c r="N305" s="322" t="s">
        <v>12</v>
      </c>
      <c r="O305" s="151">
        <v>5</v>
      </c>
      <c r="P305" s="151" t="s">
        <v>199</v>
      </c>
    </row>
    <row r="306" spans="1:16" ht="22.5">
      <c r="A306" s="319" t="s">
        <v>5085</v>
      </c>
      <c r="B306" s="319" t="s">
        <v>5086</v>
      </c>
      <c r="C306" s="324" t="s">
        <v>5085</v>
      </c>
      <c r="D306" s="319"/>
      <c r="E306" s="319" t="s">
        <v>242</v>
      </c>
      <c r="F306" s="319"/>
      <c r="G306" s="318" t="s">
        <v>4592</v>
      </c>
      <c r="H306" s="319" t="s">
        <v>5087</v>
      </c>
      <c r="I306" s="319" t="s">
        <v>188</v>
      </c>
      <c r="J306" s="319" t="s">
        <v>1453</v>
      </c>
      <c r="K306" s="319" t="s">
        <v>191</v>
      </c>
      <c r="L306" s="320">
        <v>4</v>
      </c>
      <c r="M306" s="320">
        <v>4</v>
      </c>
      <c r="N306" s="322" t="s">
        <v>12</v>
      </c>
      <c r="O306" s="151">
        <v>5</v>
      </c>
      <c r="P306" s="151" t="s">
        <v>199</v>
      </c>
    </row>
    <row r="307" spans="1:16" ht="22.5">
      <c r="A307" s="319" t="s">
        <v>5088</v>
      </c>
      <c r="B307" s="319" t="s">
        <v>5089</v>
      </c>
      <c r="C307" s="324" t="s">
        <v>5088</v>
      </c>
      <c r="D307" s="319"/>
      <c r="E307" s="319" t="s">
        <v>242</v>
      </c>
      <c r="F307" s="319"/>
      <c r="G307" s="318" t="s">
        <v>4592</v>
      </c>
      <c r="H307" s="319" t="s">
        <v>5090</v>
      </c>
      <c r="I307" s="319" t="s">
        <v>188</v>
      </c>
      <c r="J307" s="319" t="s">
        <v>1453</v>
      </c>
      <c r="K307" s="319" t="s">
        <v>191</v>
      </c>
      <c r="L307" s="320">
        <v>4</v>
      </c>
      <c r="M307" s="320">
        <v>4</v>
      </c>
      <c r="N307" s="322" t="s">
        <v>12</v>
      </c>
      <c r="O307" s="151">
        <v>5</v>
      </c>
      <c r="P307" s="151" t="s">
        <v>199</v>
      </c>
    </row>
    <row r="308" spans="1:16" ht="22.5">
      <c r="A308" s="319" t="s">
        <v>5091</v>
      </c>
      <c r="B308" s="319" t="s">
        <v>5092</v>
      </c>
      <c r="C308" s="324" t="s">
        <v>5091</v>
      </c>
      <c r="D308" s="319"/>
      <c r="E308" s="319" t="s">
        <v>242</v>
      </c>
      <c r="F308" s="319"/>
      <c r="G308" s="318" t="s">
        <v>4592</v>
      </c>
      <c r="H308" s="319" t="s">
        <v>5093</v>
      </c>
      <c r="I308" s="319" t="s">
        <v>188</v>
      </c>
      <c r="J308" s="319" t="s">
        <v>1453</v>
      </c>
      <c r="K308" s="319" t="s">
        <v>191</v>
      </c>
      <c r="L308" s="320">
        <v>4</v>
      </c>
      <c r="M308" s="320">
        <v>4</v>
      </c>
      <c r="N308" s="322" t="s">
        <v>12</v>
      </c>
      <c r="O308" s="151">
        <v>5</v>
      </c>
      <c r="P308" s="151" t="s">
        <v>199</v>
      </c>
    </row>
    <row r="309" spans="1:16" ht="22.5">
      <c r="A309" s="319" t="s">
        <v>5094</v>
      </c>
      <c r="B309" s="319" t="s">
        <v>5095</v>
      </c>
      <c r="C309" s="324" t="s">
        <v>5094</v>
      </c>
      <c r="D309" s="319"/>
      <c r="E309" s="319" t="s">
        <v>242</v>
      </c>
      <c r="F309" s="319"/>
      <c r="G309" s="318" t="s">
        <v>4592</v>
      </c>
      <c r="H309" s="319" t="s">
        <v>5096</v>
      </c>
      <c r="I309" s="319" t="s">
        <v>188</v>
      </c>
      <c r="J309" s="319" t="s">
        <v>1453</v>
      </c>
      <c r="K309" s="319" t="s">
        <v>191</v>
      </c>
      <c r="L309" s="320">
        <v>4</v>
      </c>
      <c r="M309" s="320">
        <v>4</v>
      </c>
      <c r="N309" s="322" t="s">
        <v>12</v>
      </c>
      <c r="O309" s="151">
        <v>5</v>
      </c>
      <c r="P309" s="151" t="s">
        <v>199</v>
      </c>
    </row>
    <row r="310" spans="1:16" ht="22.5">
      <c r="A310" s="319" t="s">
        <v>5097</v>
      </c>
      <c r="B310" s="319" t="s">
        <v>5098</v>
      </c>
      <c r="C310" s="324" t="s">
        <v>5097</v>
      </c>
      <c r="D310" s="319"/>
      <c r="E310" s="319" t="s">
        <v>242</v>
      </c>
      <c r="F310" s="319"/>
      <c r="G310" s="318" t="s">
        <v>4592</v>
      </c>
      <c r="H310" s="319" t="s">
        <v>5099</v>
      </c>
      <c r="I310" s="319" t="s">
        <v>188</v>
      </c>
      <c r="J310" s="319" t="s">
        <v>1453</v>
      </c>
      <c r="K310" s="319" t="s">
        <v>191</v>
      </c>
      <c r="L310" s="320">
        <v>4</v>
      </c>
      <c r="M310" s="320">
        <v>4</v>
      </c>
      <c r="N310" s="322" t="s">
        <v>12</v>
      </c>
      <c r="O310" s="151">
        <v>5</v>
      </c>
      <c r="P310" s="151" t="s">
        <v>199</v>
      </c>
    </row>
    <row r="311" spans="1:16" ht="22.5">
      <c r="A311" s="319" t="s">
        <v>5100</v>
      </c>
      <c r="B311" s="319" t="s">
        <v>5101</v>
      </c>
      <c r="C311" s="324" t="s">
        <v>5100</v>
      </c>
      <c r="D311" s="319"/>
      <c r="E311" s="319" t="s">
        <v>242</v>
      </c>
      <c r="F311" s="319"/>
      <c r="G311" s="318" t="s">
        <v>5102</v>
      </c>
      <c r="H311" s="319" t="s">
        <v>5103</v>
      </c>
      <c r="I311" s="319" t="s">
        <v>188</v>
      </c>
      <c r="J311" s="324" t="s">
        <v>1453</v>
      </c>
      <c r="K311" s="319" t="s">
        <v>191</v>
      </c>
      <c r="L311" s="320">
        <v>4</v>
      </c>
      <c r="M311" s="320">
        <v>4</v>
      </c>
      <c r="N311" s="322" t="s">
        <v>12</v>
      </c>
      <c r="O311" s="151">
        <v>5</v>
      </c>
      <c r="P311" s="151" t="s">
        <v>199</v>
      </c>
    </row>
    <row r="312" spans="1:16" ht="22.5">
      <c r="A312" s="319" t="s">
        <v>5104</v>
      </c>
      <c r="B312" s="319" t="s">
        <v>5105</v>
      </c>
      <c r="C312" s="324" t="s">
        <v>5104</v>
      </c>
      <c r="D312" s="319"/>
      <c r="E312" s="319" t="s">
        <v>242</v>
      </c>
      <c r="F312" s="319"/>
      <c r="G312" s="318" t="s">
        <v>5102</v>
      </c>
      <c r="H312" s="324" t="s">
        <v>5106</v>
      </c>
      <c r="I312" s="319" t="s">
        <v>188</v>
      </c>
      <c r="J312" s="324" t="s">
        <v>1453</v>
      </c>
      <c r="K312" s="319" t="s">
        <v>191</v>
      </c>
      <c r="L312" s="320">
        <v>4</v>
      </c>
      <c r="M312" s="320">
        <v>4</v>
      </c>
      <c r="N312" s="322" t="s">
        <v>12</v>
      </c>
      <c r="O312" s="151">
        <v>5</v>
      </c>
      <c r="P312" s="151" t="s">
        <v>199</v>
      </c>
    </row>
    <row r="313" spans="1:16" ht="33.75">
      <c r="A313" s="319" t="s">
        <v>5107</v>
      </c>
      <c r="B313" s="319" t="s">
        <v>5108</v>
      </c>
      <c r="C313" s="324" t="s">
        <v>5107</v>
      </c>
      <c r="D313" s="319"/>
      <c r="E313" s="319" t="s">
        <v>242</v>
      </c>
      <c r="F313" s="319"/>
      <c r="G313" s="318" t="s">
        <v>5102</v>
      </c>
      <c r="H313" s="324" t="s">
        <v>5109</v>
      </c>
      <c r="I313" s="319" t="s">
        <v>188</v>
      </c>
      <c r="J313" s="324" t="s">
        <v>1453</v>
      </c>
      <c r="K313" s="319" t="s">
        <v>191</v>
      </c>
      <c r="L313" s="320">
        <v>4</v>
      </c>
      <c r="M313" s="320">
        <v>4</v>
      </c>
      <c r="N313" s="322" t="s">
        <v>12</v>
      </c>
      <c r="O313" s="151">
        <v>5</v>
      </c>
      <c r="P313" s="151" t="s">
        <v>199</v>
      </c>
    </row>
    <row r="314" spans="1:16" ht="22.5">
      <c r="A314" s="319" t="s">
        <v>5110</v>
      </c>
      <c r="B314" s="319" t="s">
        <v>5111</v>
      </c>
      <c r="C314" s="324" t="s">
        <v>5110</v>
      </c>
      <c r="D314" s="319"/>
      <c r="E314" s="319" t="s">
        <v>242</v>
      </c>
      <c r="F314" s="319"/>
      <c r="G314" s="318" t="s">
        <v>5102</v>
      </c>
      <c r="H314" s="324" t="s">
        <v>5112</v>
      </c>
      <c r="I314" s="319" t="s">
        <v>188</v>
      </c>
      <c r="J314" s="324" t="s">
        <v>1453</v>
      </c>
      <c r="K314" s="319" t="s">
        <v>191</v>
      </c>
      <c r="L314" s="320">
        <v>4</v>
      </c>
      <c r="M314" s="320">
        <v>4</v>
      </c>
      <c r="N314" s="322" t="s">
        <v>12</v>
      </c>
      <c r="O314" s="151">
        <v>5</v>
      </c>
      <c r="P314" s="151" t="s">
        <v>199</v>
      </c>
    </row>
    <row r="315" spans="1:16" ht="22.5">
      <c r="A315" s="319" t="s">
        <v>5113</v>
      </c>
      <c r="B315" s="319" t="s">
        <v>5114</v>
      </c>
      <c r="C315" s="324" t="s">
        <v>5113</v>
      </c>
      <c r="D315" s="319"/>
      <c r="E315" s="319" t="s">
        <v>242</v>
      </c>
      <c r="F315" s="319"/>
      <c r="G315" s="318" t="s">
        <v>5102</v>
      </c>
      <c r="H315" s="324" t="s">
        <v>5115</v>
      </c>
      <c r="I315" s="319" t="s">
        <v>188</v>
      </c>
      <c r="J315" s="324" t="s">
        <v>1453</v>
      </c>
      <c r="K315" s="319" t="s">
        <v>191</v>
      </c>
      <c r="L315" s="320">
        <v>4</v>
      </c>
      <c r="M315" s="320">
        <v>4</v>
      </c>
      <c r="N315" s="322" t="s">
        <v>12</v>
      </c>
      <c r="O315" s="151">
        <v>5</v>
      </c>
      <c r="P315" s="151" t="s">
        <v>199</v>
      </c>
    </row>
    <row r="316" spans="1:16" ht="22.5">
      <c r="A316" s="319" t="s">
        <v>5116</v>
      </c>
      <c r="B316" s="319" t="s">
        <v>5117</v>
      </c>
      <c r="C316" s="324" t="s">
        <v>5116</v>
      </c>
      <c r="D316" s="319"/>
      <c r="E316" s="319" t="s">
        <v>242</v>
      </c>
      <c r="F316" s="319"/>
      <c r="G316" s="318" t="s">
        <v>5102</v>
      </c>
      <c r="H316" s="324" t="s">
        <v>5118</v>
      </c>
      <c r="I316" s="319" t="s">
        <v>188</v>
      </c>
      <c r="J316" s="324" t="s">
        <v>1453</v>
      </c>
      <c r="K316" s="319" t="s">
        <v>191</v>
      </c>
      <c r="L316" s="320">
        <v>4</v>
      </c>
      <c r="M316" s="320">
        <v>4</v>
      </c>
      <c r="N316" s="322" t="s">
        <v>12</v>
      </c>
      <c r="O316" s="151">
        <v>5</v>
      </c>
      <c r="P316" s="151" t="s">
        <v>199</v>
      </c>
    </row>
    <row r="317" spans="1:16" ht="22.5">
      <c r="A317" s="319" t="s">
        <v>5119</v>
      </c>
      <c r="B317" s="319" t="s">
        <v>5120</v>
      </c>
      <c r="C317" s="324" t="s">
        <v>5119</v>
      </c>
      <c r="D317" s="319"/>
      <c r="E317" s="319" t="s">
        <v>242</v>
      </c>
      <c r="F317" s="319"/>
      <c r="G317" s="318" t="s">
        <v>5102</v>
      </c>
      <c r="H317" s="324" t="s">
        <v>5121</v>
      </c>
      <c r="I317" s="319" t="s">
        <v>188</v>
      </c>
      <c r="J317" s="324" t="s">
        <v>1453</v>
      </c>
      <c r="K317" s="319" t="s">
        <v>191</v>
      </c>
      <c r="L317" s="320">
        <v>4</v>
      </c>
      <c r="M317" s="320">
        <v>4</v>
      </c>
      <c r="N317" s="322" t="s">
        <v>12</v>
      </c>
      <c r="O317" s="151">
        <v>5</v>
      </c>
      <c r="P317" s="151" t="s">
        <v>199</v>
      </c>
    </row>
    <row r="318" spans="1:16" ht="22.5">
      <c r="A318" s="319" t="s">
        <v>5122</v>
      </c>
      <c r="B318" s="319" t="s">
        <v>5123</v>
      </c>
      <c r="C318" s="324" t="s">
        <v>5122</v>
      </c>
      <c r="D318" s="319"/>
      <c r="E318" s="319" t="s">
        <v>242</v>
      </c>
      <c r="F318" s="319"/>
      <c r="G318" s="318" t="s">
        <v>5102</v>
      </c>
      <c r="H318" s="324" t="s">
        <v>5124</v>
      </c>
      <c r="I318" s="319" t="s">
        <v>188</v>
      </c>
      <c r="J318" s="324" t="s">
        <v>1453</v>
      </c>
      <c r="K318" s="319" t="s">
        <v>191</v>
      </c>
      <c r="L318" s="320">
        <v>4</v>
      </c>
      <c r="M318" s="320">
        <v>4</v>
      </c>
      <c r="N318" s="322" t="s">
        <v>12</v>
      </c>
      <c r="O318" s="151">
        <v>5</v>
      </c>
      <c r="P318" s="151" t="s">
        <v>199</v>
      </c>
    </row>
    <row r="319" spans="1:16" ht="22.5">
      <c r="A319" s="319" t="s">
        <v>5125</v>
      </c>
      <c r="B319" s="319" t="s">
        <v>5126</v>
      </c>
      <c r="C319" s="324" t="s">
        <v>5125</v>
      </c>
      <c r="D319" s="319"/>
      <c r="E319" s="319" t="s">
        <v>242</v>
      </c>
      <c r="F319" s="319"/>
      <c r="G319" s="318" t="s">
        <v>5102</v>
      </c>
      <c r="H319" s="324" t="s">
        <v>5127</v>
      </c>
      <c r="I319" s="319" t="s">
        <v>188</v>
      </c>
      <c r="J319" s="324" t="s">
        <v>1453</v>
      </c>
      <c r="K319" s="319" t="s">
        <v>191</v>
      </c>
      <c r="L319" s="320">
        <v>4</v>
      </c>
      <c r="M319" s="320">
        <v>4</v>
      </c>
      <c r="N319" s="322" t="s">
        <v>12</v>
      </c>
      <c r="O319" s="151">
        <v>5</v>
      </c>
      <c r="P319" s="151" t="s">
        <v>199</v>
      </c>
    </row>
    <row r="320" spans="1:16" ht="22.5">
      <c r="A320" s="319" t="s">
        <v>5128</v>
      </c>
      <c r="B320" s="319" t="s">
        <v>5129</v>
      </c>
      <c r="C320" s="324" t="s">
        <v>5128</v>
      </c>
      <c r="D320" s="319"/>
      <c r="E320" s="319" t="s">
        <v>242</v>
      </c>
      <c r="F320" s="319"/>
      <c r="G320" s="318" t="s">
        <v>5102</v>
      </c>
      <c r="H320" s="324" t="s">
        <v>5130</v>
      </c>
      <c r="I320" s="319" t="s">
        <v>188</v>
      </c>
      <c r="J320" s="324" t="s">
        <v>1453</v>
      </c>
      <c r="K320" s="319" t="s">
        <v>191</v>
      </c>
      <c r="L320" s="320">
        <v>4</v>
      </c>
      <c r="M320" s="320">
        <v>4</v>
      </c>
      <c r="N320" s="322" t="s">
        <v>12</v>
      </c>
      <c r="O320" s="151">
        <v>5</v>
      </c>
      <c r="P320" s="151" t="s">
        <v>199</v>
      </c>
    </row>
    <row r="321" spans="1:16" ht="22.5">
      <c r="A321" s="319" t="s">
        <v>5131</v>
      </c>
      <c r="B321" s="319" t="s">
        <v>5132</v>
      </c>
      <c r="C321" s="324" t="s">
        <v>5131</v>
      </c>
      <c r="D321" s="319"/>
      <c r="E321" s="319" t="s">
        <v>242</v>
      </c>
      <c r="F321" s="319"/>
      <c r="G321" s="318" t="s">
        <v>5102</v>
      </c>
      <c r="H321" s="324" t="s">
        <v>5133</v>
      </c>
      <c r="I321" s="319" t="s">
        <v>188</v>
      </c>
      <c r="J321" s="324" t="s">
        <v>1453</v>
      </c>
      <c r="K321" s="319" t="s">
        <v>191</v>
      </c>
      <c r="L321" s="320">
        <v>4</v>
      </c>
      <c r="M321" s="320">
        <v>4</v>
      </c>
      <c r="N321" s="322" t="s">
        <v>12</v>
      </c>
      <c r="O321" s="151">
        <v>5</v>
      </c>
      <c r="P321" s="151" t="s">
        <v>199</v>
      </c>
    </row>
    <row r="322" spans="1:16" ht="22.5">
      <c r="A322" s="319" t="s">
        <v>5134</v>
      </c>
      <c r="B322" s="319" t="s">
        <v>5135</v>
      </c>
      <c r="C322" s="324" t="s">
        <v>5134</v>
      </c>
      <c r="D322" s="319"/>
      <c r="E322" s="319" t="s">
        <v>242</v>
      </c>
      <c r="F322" s="319"/>
      <c r="G322" s="318" t="s">
        <v>5102</v>
      </c>
      <c r="H322" s="319" t="s">
        <v>5136</v>
      </c>
      <c r="I322" s="319" t="s">
        <v>188</v>
      </c>
      <c r="J322" s="324" t="s">
        <v>1453</v>
      </c>
      <c r="K322" s="319" t="s">
        <v>191</v>
      </c>
      <c r="L322" s="320">
        <v>4</v>
      </c>
      <c r="M322" s="320">
        <v>4</v>
      </c>
      <c r="N322" s="322" t="s">
        <v>12</v>
      </c>
      <c r="O322" s="151">
        <v>5</v>
      </c>
      <c r="P322" s="151" t="s">
        <v>199</v>
      </c>
    </row>
    <row r="323" spans="1:16" ht="22.5">
      <c r="A323" s="319" t="s">
        <v>5137</v>
      </c>
      <c r="B323" s="319" t="s">
        <v>5138</v>
      </c>
      <c r="C323" s="324" t="s">
        <v>5137</v>
      </c>
      <c r="D323" s="319"/>
      <c r="E323" s="319" t="s">
        <v>242</v>
      </c>
      <c r="F323" s="319"/>
      <c r="G323" s="318" t="s">
        <v>5102</v>
      </c>
      <c r="H323" s="319" t="s">
        <v>5139</v>
      </c>
      <c r="I323" s="319" t="s">
        <v>188</v>
      </c>
      <c r="J323" s="324" t="s">
        <v>1453</v>
      </c>
      <c r="K323" s="319" t="s">
        <v>191</v>
      </c>
      <c r="L323" s="320">
        <v>4</v>
      </c>
      <c r="M323" s="320">
        <v>4</v>
      </c>
      <c r="N323" s="322" t="s">
        <v>12</v>
      </c>
      <c r="O323" s="151">
        <v>5</v>
      </c>
      <c r="P323" s="151" t="s">
        <v>199</v>
      </c>
    </row>
    <row r="324" spans="1:16" ht="22.5">
      <c r="A324" s="319" t="s">
        <v>5140</v>
      </c>
      <c r="B324" s="319" t="s">
        <v>5141</v>
      </c>
      <c r="C324" s="324"/>
      <c r="D324" s="319"/>
      <c r="E324" s="319" t="s">
        <v>242</v>
      </c>
      <c r="F324" s="319"/>
      <c r="G324" s="318" t="s">
        <v>5102</v>
      </c>
      <c r="H324" s="319" t="s">
        <v>5142</v>
      </c>
      <c r="I324" s="319" t="s">
        <v>188</v>
      </c>
      <c r="J324" s="324" t="s">
        <v>1453</v>
      </c>
      <c r="K324" s="319" t="s">
        <v>191</v>
      </c>
      <c r="L324" s="320">
        <v>4</v>
      </c>
      <c r="M324" s="320">
        <v>4</v>
      </c>
      <c r="N324" s="322" t="s">
        <v>12</v>
      </c>
      <c r="O324" s="151">
        <v>5</v>
      </c>
      <c r="P324" s="151" t="s">
        <v>199</v>
      </c>
    </row>
    <row r="325" spans="1:16" ht="22.5">
      <c r="A325" s="319" t="s">
        <v>5143</v>
      </c>
      <c r="B325" s="319" t="s">
        <v>5144</v>
      </c>
      <c r="C325" s="324"/>
      <c r="D325" s="319"/>
      <c r="E325" s="319" t="s">
        <v>242</v>
      </c>
      <c r="F325" s="319"/>
      <c r="G325" s="318" t="s">
        <v>5102</v>
      </c>
      <c r="H325" s="319" t="s">
        <v>5145</v>
      </c>
      <c r="I325" s="319" t="s">
        <v>188</v>
      </c>
      <c r="J325" s="324" t="s">
        <v>1453</v>
      </c>
      <c r="K325" s="319" t="s">
        <v>191</v>
      </c>
      <c r="L325" s="320">
        <v>4</v>
      </c>
      <c r="M325" s="320">
        <v>4</v>
      </c>
      <c r="N325" s="322" t="s">
        <v>12</v>
      </c>
      <c r="O325" s="151">
        <v>5</v>
      </c>
      <c r="P325" s="151" t="s">
        <v>199</v>
      </c>
    </row>
    <row r="326" spans="1:16" ht="22.5">
      <c r="A326" s="319" t="s">
        <v>5146</v>
      </c>
      <c r="B326" s="319" t="s">
        <v>5147</v>
      </c>
      <c r="C326" s="324"/>
      <c r="D326" s="319"/>
      <c r="E326" s="319" t="s">
        <v>242</v>
      </c>
      <c r="F326" s="319"/>
      <c r="G326" s="318" t="s">
        <v>5102</v>
      </c>
      <c r="H326" s="319" t="s">
        <v>5148</v>
      </c>
      <c r="I326" s="319" t="s">
        <v>188</v>
      </c>
      <c r="J326" s="324" t="s">
        <v>1453</v>
      </c>
      <c r="K326" s="319" t="s">
        <v>191</v>
      </c>
      <c r="L326" s="320">
        <v>4</v>
      </c>
      <c r="M326" s="320">
        <v>4</v>
      </c>
      <c r="N326" s="322" t="s">
        <v>12</v>
      </c>
      <c r="O326" s="151">
        <v>5</v>
      </c>
      <c r="P326" s="151" t="s">
        <v>199</v>
      </c>
    </row>
    <row r="327" spans="1:16" ht="22.5">
      <c r="A327" s="319" t="s">
        <v>5149</v>
      </c>
      <c r="B327" s="319" t="s">
        <v>5150</v>
      </c>
      <c r="C327" s="324"/>
      <c r="D327" s="319"/>
      <c r="E327" s="319" t="s">
        <v>242</v>
      </c>
      <c r="F327" s="319"/>
      <c r="G327" s="318" t="s">
        <v>5102</v>
      </c>
      <c r="H327" s="319" t="s">
        <v>5151</v>
      </c>
      <c r="I327" s="319" t="s">
        <v>188</v>
      </c>
      <c r="J327" s="324" t="s">
        <v>1453</v>
      </c>
      <c r="K327" s="319" t="s">
        <v>191</v>
      </c>
      <c r="L327" s="320">
        <v>4</v>
      </c>
      <c r="M327" s="320">
        <v>4</v>
      </c>
      <c r="N327" s="322" t="s">
        <v>12</v>
      </c>
      <c r="O327" s="151">
        <v>5</v>
      </c>
      <c r="P327" s="151" t="s">
        <v>199</v>
      </c>
    </row>
    <row r="328" spans="1:16" ht="22.5">
      <c r="A328" s="319" t="s">
        <v>5152</v>
      </c>
      <c r="B328" s="319" t="s">
        <v>5153</v>
      </c>
      <c r="C328" s="324" t="s">
        <v>5152</v>
      </c>
      <c r="D328" s="329"/>
      <c r="E328" s="319" t="s">
        <v>242</v>
      </c>
      <c r="F328" s="319"/>
      <c r="G328" s="318" t="s">
        <v>4327</v>
      </c>
      <c r="H328" s="319" t="s">
        <v>5154</v>
      </c>
      <c r="I328" s="319" t="s">
        <v>188</v>
      </c>
      <c r="J328" s="324" t="s">
        <v>1453</v>
      </c>
      <c r="K328" s="319" t="s">
        <v>191</v>
      </c>
      <c r="L328" s="320">
        <v>4</v>
      </c>
      <c r="M328" s="320">
        <v>4</v>
      </c>
      <c r="N328" s="322" t="s">
        <v>12</v>
      </c>
      <c r="O328" s="151">
        <v>5</v>
      </c>
      <c r="P328" s="151" t="s">
        <v>199</v>
      </c>
    </row>
    <row r="329" spans="1:16" ht="22.5">
      <c r="A329" s="319" t="s">
        <v>5155</v>
      </c>
      <c r="B329" s="319" t="s">
        <v>5156</v>
      </c>
      <c r="C329" s="324" t="s">
        <v>5155</v>
      </c>
      <c r="D329" s="329"/>
      <c r="E329" s="319" t="s">
        <v>242</v>
      </c>
      <c r="F329" s="319"/>
      <c r="G329" s="318" t="s">
        <v>4327</v>
      </c>
      <c r="H329" s="319" t="s">
        <v>5157</v>
      </c>
      <c r="I329" s="319" t="s">
        <v>188</v>
      </c>
      <c r="J329" s="324" t="s">
        <v>1453</v>
      </c>
      <c r="K329" s="319" t="s">
        <v>191</v>
      </c>
      <c r="L329" s="320">
        <v>4</v>
      </c>
      <c r="M329" s="320">
        <v>4</v>
      </c>
      <c r="N329" s="322" t="s">
        <v>12</v>
      </c>
      <c r="O329" s="151">
        <v>5</v>
      </c>
      <c r="P329" s="151" t="s">
        <v>199</v>
      </c>
    </row>
    <row r="330" spans="1:16" ht="22.5">
      <c r="A330" s="319" t="s">
        <v>5158</v>
      </c>
      <c r="B330" s="319" t="s">
        <v>5159</v>
      </c>
      <c r="C330" s="324" t="s">
        <v>5158</v>
      </c>
      <c r="D330" s="329"/>
      <c r="E330" s="319" t="s">
        <v>242</v>
      </c>
      <c r="F330" s="319"/>
      <c r="G330" s="318" t="s">
        <v>4327</v>
      </c>
      <c r="H330" s="319" t="s">
        <v>5160</v>
      </c>
      <c r="I330" s="319" t="s">
        <v>188</v>
      </c>
      <c r="J330" s="324" t="s">
        <v>1453</v>
      </c>
      <c r="K330" s="319" t="s">
        <v>191</v>
      </c>
      <c r="L330" s="320">
        <v>4</v>
      </c>
      <c r="M330" s="320">
        <v>4</v>
      </c>
      <c r="N330" s="322" t="s">
        <v>12</v>
      </c>
      <c r="O330" s="151">
        <v>5</v>
      </c>
      <c r="P330" s="151" t="s">
        <v>199</v>
      </c>
    </row>
    <row r="331" spans="1:16" ht="22.5">
      <c r="A331" s="319" t="s">
        <v>5161</v>
      </c>
      <c r="B331" s="319" t="s">
        <v>5162</v>
      </c>
      <c r="C331" s="324" t="s">
        <v>5161</v>
      </c>
      <c r="D331" s="329"/>
      <c r="E331" s="319" t="s">
        <v>242</v>
      </c>
      <c r="F331" s="319"/>
      <c r="G331" s="318" t="s">
        <v>4327</v>
      </c>
      <c r="H331" s="319" t="s">
        <v>5163</v>
      </c>
      <c r="I331" s="319" t="s">
        <v>188</v>
      </c>
      <c r="J331" s="324" t="s">
        <v>1453</v>
      </c>
      <c r="K331" s="319" t="s">
        <v>191</v>
      </c>
      <c r="L331" s="320">
        <v>4</v>
      </c>
      <c r="M331" s="320">
        <v>4</v>
      </c>
      <c r="N331" s="322" t="s">
        <v>12</v>
      </c>
      <c r="O331" s="151">
        <v>5</v>
      </c>
      <c r="P331" s="151" t="s">
        <v>199</v>
      </c>
    </row>
    <row r="332" spans="1:16" ht="22.5">
      <c r="A332" s="319" t="s">
        <v>5164</v>
      </c>
      <c r="B332" s="319" t="s">
        <v>5165</v>
      </c>
      <c r="C332" s="324" t="s">
        <v>5164</v>
      </c>
      <c r="D332" s="329"/>
      <c r="E332" s="319" t="s">
        <v>242</v>
      </c>
      <c r="F332" s="319"/>
      <c r="G332" s="318" t="s">
        <v>4327</v>
      </c>
      <c r="H332" s="319" t="s">
        <v>5166</v>
      </c>
      <c r="I332" s="319" t="s">
        <v>188</v>
      </c>
      <c r="J332" s="324" t="s">
        <v>1453</v>
      </c>
      <c r="K332" s="319" t="s">
        <v>191</v>
      </c>
      <c r="L332" s="320">
        <v>4</v>
      </c>
      <c r="M332" s="320">
        <v>4</v>
      </c>
      <c r="N332" s="322" t="s">
        <v>12</v>
      </c>
      <c r="O332" s="151">
        <v>5</v>
      </c>
      <c r="P332" s="151" t="s">
        <v>199</v>
      </c>
    </row>
    <row r="333" spans="1:16" ht="22.5">
      <c r="A333" s="319" t="s">
        <v>5167</v>
      </c>
      <c r="B333" s="319" t="s">
        <v>5168</v>
      </c>
      <c r="C333" s="324" t="s">
        <v>5167</v>
      </c>
      <c r="D333" s="329"/>
      <c r="E333" s="319" t="s">
        <v>242</v>
      </c>
      <c r="F333" s="319"/>
      <c r="G333" s="318" t="s">
        <v>4327</v>
      </c>
      <c r="H333" s="319" t="s">
        <v>5169</v>
      </c>
      <c r="I333" s="319" t="s">
        <v>188</v>
      </c>
      <c r="J333" s="324" t="s">
        <v>1453</v>
      </c>
      <c r="K333" s="319" t="s">
        <v>191</v>
      </c>
      <c r="L333" s="320">
        <v>4</v>
      </c>
      <c r="M333" s="320">
        <v>4</v>
      </c>
      <c r="N333" s="322" t="s">
        <v>12</v>
      </c>
      <c r="O333" s="151">
        <v>5</v>
      </c>
      <c r="P333" s="151" t="s">
        <v>199</v>
      </c>
    </row>
    <row r="334" spans="1:16" ht="22.5">
      <c r="A334" s="319" t="s">
        <v>5170</v>
      </c>
      <c r="B334" s="319" t="s">
        <v>5171</v>
      </c>
      <c r="C334" s="324"/>
      <c r="D334" s="329"/>
      <c r="E334" s="319" t="s">
        <v>242</v>
      </c>
      <c r="F334" s="319"/>
      <c r="G334" s="318" t="s">
        <v>4327</v>
      </c>
      <c r="H334" s="319" t="s">
        <v>5172</v>
      </c>
      <c r="I334" s="319" t="s">
        <v>188</v>
      </c>
      <c r="J334" s="324" t="s">
        <v>1453</v>
      </c>
      <c r="K334" s="319" t="s">
        <v>191</v>
      </c>
      <c r="L334" s="320">
        <v>4</v>
      </c>
      <c r="M334" s="320">
        <v>4</v>
      </c>
      <c r="N334" s="322" t="s">
        <v>12</v>
      </c>
      <c r="O334" s="151">
        <v>5</v>
      </c>
      <c r="P334" s="151" t="s">
        <v>199</v>
      </c>
    </row>
    <row r="335" spans="1:16" ht="22.5">
      <c r="A335" s="319" t="s">
        <v>5173</v>
      </c>
      <c r="B335" s="319" t="s">
        <v>5174</v>
      </c>
      <c r="C335" s="324"/>
      <c r="D335" s="329"/>
      <c r="E335" s="319" t="s">
        <v>242</v>
      </c>
      <c r="F335" s="319"/>
      <c r="G335" s="318" t="s">
        <v>4327</v>
      </c>
      <c r="H335" s="319" t="s">
        <v>5175</v>
      </c>
      <c r="I335" s="319" t="s">
        <v>188</v>
      </c>
      <c r="J335" s="324" t="s">
        <v>1453</v>
      </c>
      <c r="K335" s="319" t="s">
        <v>191</v>
      </c>
      <c r="L335" s="320">
        <v>4</v>
      </c>
      <c r="M335" s="320">
        <v>4</v>
      </c>
      <c r="N335" s="322" t="s">
        <v>12</v>
      </c>
      <c r="O335" s="151">
        <v>5</v>
      </c>
      <c r="P335" s="151" t="s">
        <v>199</v>
      </c>
    </row>
    <row r="336" spans="1:16" ht="22.5">
      <c r="A336" s="319" t="s">
        <v>5176</v>
      </c>
      <c r="B336" s="319" t="s">
        <v>5177</v>
      </c>
      <c r="C336" s="324"/>
      <c r="D336" s="329"/>
      <c r="E336" s="319" t="s">
        <v>242</v>
      </c>
      <c r="F336" s="319"/>
      <c r="G336" s="318" t="s">
        <v>4327</v>
      </c>
      <c r="H336" s="319" t="s">
        <v>5178</v>
      </c>
      <c r="I336" s="319" t="s">
        <v>188</v>
      </c>
      <c r="J336" s="324" t="s">
        <v>1453</v>
      </c>
      <c r="K336" s="319" t="s">
        <v>191</v>
      </c>
      <c r="L336" s="320">
        <v>4</v>
      </c>
      <c r="M336" s="320">
        <v>4</v>
      </c>
      <c r="N336" s="322" t="s">
        <v>12</v>
      </c>
      <c r="O336" s="151">
        <v>5</v>
      </c>
      <c r="P336" s="151" t="s">
        <v>199</v>
      </c>
    </row>
    <row r="337" spans="1:16" ht="22.5">
      <c r="A337" s="319" t="s">
        <v>5179</v>
      </c>
      <c r="B337" s="319" t="s">
        <v>5180</v>
      </c>
      <c r="C337" s="324"/>
      <c r="D337" s="329"/>
      <c r="E337" s="319" t="s">
        <v>242</v>
      </c>
      <c r="F337" s="319"/>
      <c r="G337" s="318" t="s">
        <v>4327</v>
      </c>
      <c r="H337" s="319" t="s">
        <v>5181</v>
      </c>
      <c r="I337" s="319" t="s">
        <v>188</v>
      </c>
      <c r="J337" s="324" t="s">
        <v>1453</v>
      </c>
      <c r="K337" s="319" t="s">
        <v>191</v>
      </c>
      <c r="L337" s="320">
        <v>4</v>
      </c>
      <c r="M337" s="320">
        <v>4</v>
      </c>
      <c r="N337" s="322" t="s">
        <v>12</v>
      </c>
      <c r="O337" s="151">
        <v>5</v>
      </c>
      <c r="P337" s="151" t="s">
        <v>199</v>
      </c>
    </row>
    <row r="338" spans="1:16" ht="22.5">
      <c r="A338" s="319" t="s">
        <v>5182</v>
      </c>
      <c r="B338" s="319" t="s">
        <v>5183</v>
      </c>
      <c r="C338" s="324"/>
      <c r="D338" s="329"/>
      <c r="E338" s="319" t="s">
        <v>242</v>
      </c>
      <c r="F338" s="319"/>
      <c r="G338" s="318" t="s">
        <v>4327</v>
      </c>
      <c r="H338" s="319" t="s">
        <v>5184</v>
      </c>
      <c r="I338" s="319" t="s">
        <v>188</v>
      </c>
      <c r="J338" s="324" t="s">
        <v>1453</v>
      </c>
      <c r="K338" s="319" t="s">
        <v>191</v>
      </c>
      <c r="L338" s="320">
        <v>4</v>
      </c>
      <c r="M338" s="320">
        <v>4</v>
      </c>
      <c r="N338" s="322" t="s">
        <v>12</v>
      </c>
      <c r="O338" s="151">
        <v>5</v>
      </c>
      <c r="P338" s="151" t="s">
        <v>199</v>
      </c>
    </row>
    <row r="339" spans="1:16" ht="22.5">
      <c r="A339" s="319" t="s">
        <v>5185</v>
      </c>
      <c r="B339" s="319" t="s">
        <v>5186</v>
      </c>
      <c r="C339" s="324"/>
      <c r="D339" s="329"/>
      <c r="E339" s="319" t="s">
        <v>242</v>
      </c>
      <c r="F339" s="319"/>
      <c r="G339" s="318" t="s">
        <v>4327</v>
      </c>
      <c r="H339" s="319" t="s">
        <v>5187</v>
      </c>
      <c r="I339" s="319" t="s">
        <v>188</v>
      </c>
      <c r="J339" s="324" t="s">
        <v>1453</v>
      </c>
      <c r="K339" s="319" t="s">
        <v>191</v>
      </c>
      <c r="L339" s="320">
        <v>4</v>
      </c>
      <c r="M339" s="320">
        <v>4</v>
      </c>
      <c r="N339" s="322" t="s">
        <v>12</v>
      </c>
      <c r="O339" s="151">
        <v>5</v>
      </c>
      <c r="P339" s="151" t="s">
        <v>199</v>
      </c>
    </row>
    <row r="340" spans="1:16" ht="22.5">
      <c r="A340" s="319" t="s">
        <v>5188</v>
      </c>
      <c r="B340" s="319" t="s">
        <v>5189</v>
      </c>
      <c r="C340" s="324"/>
      <c r="D340" s="329"/>
      <c r="E340" s="319" t="s">
        <v>242</v>
      </c>
      <c r="F340" s="319"/>
      <c r="G340" s="318" t="s">
        <v>4327</v>
      </c>
      <c r="H340" s="319" t="s">
        <v>5190</v>
      </c>
      <c r="I340" s="319" t="s">
        <v>188</v>
      </c>
      <c r="J340" s="324" t="s">
        <v>1453</v>
      </c>
      <c r="K340" s="319" t="s">
        <v>191</v>
      </c>
      <c r="L340" s="320">
        <v>4</v>
      </c>
      <c r="M340" s="320">
        <v>4</v>
      </c>
      <c r="N340" s="322" t="s">
        <v>12</v>
      </c>
      <c r="O340" s="151">
        <v>5</v>
      </c>
      <c r="P340" s="151" t="s">
        <v>199</v>
      </c>
    </row>
    <row r="341" spans="1:16" ht="22.5">
      <c r="A341" s="319" t="s">
        <v>5191</v>
      </c>
      <c r="B341" s="319" t="s">
        <v>5192</v>
      </c>
      <c r="C341" s="324"/>
      <c r="D341" s="329"/>
      <c r="E341" s="319" t="s">
        <v>242</v>
      </c>
      <c r="F341" s="319"/>
      <c r="G341" s="318" t="s">
        <v>4327</v>
      </c>
      <c r="H341" s="319" t="s">
        <v>5193</v>
      </c>
      <c r="I341" s="319" t="s">
        <v>188</v>
      </c>
      <c r="J341" s="324" t="s">
        <v>1453</v>
      </c>
      <c r="K341" s="319" t="s">
        <v>191</v>
      </c>
      <c r="L341" s="320">
        <v>4</v>
      </c>
      <c r="M341" s="320">
        <v>4</v>
      </c>
      <c r="N341" s="322" t="s">
        <v>12</v>
      </c>
      <c r="O341" s="151">
        <v>5</v>
      </c>
      <c r="P341" s="151" t="s">
        <v>199</v>
      </c>
    </row>
    <row r="342" spans="1:16" ht="22.5">
      <c r="A342" s="319" t="s">
        <v>5194</v>
      </c>
      <c r="B342" s="319" t="s">
        <v>5195</v>
      </c>
      <c r="C342" s="324"/>
      <c r="D342" s="329"/>
      <c r="E342" s="319" t="s">
        <v>242</v>
      </c>
      <c r="F342" s="319"/>
      <c r="G342" s="318" t="s">
        <v>4327</v>
      </c>
      <c r="H342" s="319" t="s">
        <v>5196</v>
      </c>
      <c r="I342" s="319" t="s">
        <v>188</v>
      </c>
      <c r="J342" s="324" t="s">
        <v>1453</v>
      </c>
      <c r="K342" s="319" t="s">
        <v>191</v>
      </c>
      <c r="L342" s="320">
        <v>4</v>
      </c>
      <c r="M342" s="320">
        <v>4</v>
      </c>
      <c r="N342" s="322" t="s">
        <v>12</v>
      </c>
      <c r="O342" s="151">
        <v>5</v>
      </c>
      <c r="P342" s="151" t="s">
        <v>199</v>
      </c>
    </row>
    <row r="343" spans="1:16" ht="22.5">
      <c r="A343" s="319" t="s">
        <v>5197</v>
      </c>
      <c r="B343" s="319" t="s">
        <v>5198</v>
      </c>
      <c r="C343" s="324"/>
      <c r="D343" s="329"/>
      <c r="E343" s="319" t="s">
        <v>242</v>
      </c>
      <c r="F343" s="319"/>
      <c r="G343" s="318" t="s">
        <v>4327</v>
      </c>
      <c r="H343" s="319" t="s">
        <v>5199</v>
      </c>
      <c r="I343" s="319" t="s">
        <v>188</v>
      </c>
      <c r="J343" s="324" t="s">
        <v>1453</v>
      </c>
      <c r="K343" s="319" t="s">
        <v>191</v>
      </c>
      <c r="L343" s="320">
        <v>4</v>
      </c>
      <c r="M343" s="320">
        <v>4</v>
      </c>
      <c r="N343" s="322" t="s">
        <v>12</v>
      </c>
      <c r="O343" s="151">
        <v>5</v>
      </c>
      <c r="P343" s="151" t="s">
        <v>199</v>
      </c>
    </row>
    <row r="344" spans="1:16" ht="22.5">
      <c r="A344" s="319" t="s">
        <v>5200</v>
      </c>
      <c r="B344" s="319" t="s">
        <v>5201</v>
      </c>
      <c r="C344" s="324"/>
      <c r="D344" s="329"/>
      <c r="E344" s="319" t="s">
        <v>242</v>
      </c>
      <c r="F344" s="319"/>
      <c r="G344" s="318" t="s">
        <v>4327</v>
      </c>
      <c r="H344" s="319" t="s">
        <v>5202</v>
      </c>
      <c r="I344" s="319" t="s">
        <v>188</v>
      </c>
      <c r="J344" s="324" t="s">
        <v>1453</v>
      </c>
      <c r="K344" s="319" t="s">
        <v>191</v>
      </c>
      <c r="L344" s="320">
        <v>4</v>
      </c>
      <c r="M344" s="320">
        <v>4</v>
      </c>
      <c r="N344" s="322" t="s">
        <v>12</v>
      </c>
      <c r="O344" s="151">
        <v>5</v>
      </c>
      <c r="P344" s="151" t="s">
        <v>199</v>
      </c>
    </row>
    <row r="345" spans="1:16" ht="22.5">
      <c r="A345" s="319" t="s">
        <v>5203</v>
      </c>
      <c r="B345" s="319" t="s">
        <v>5204</v>
      </c>
      <c r="C345" s="324"/>
      <c r="D345" s="329"/>
      <c r="E345" s="319" t="s">
        <v>242</v>
      </c>
      <c r="F345" s="319"/>
      <c r="G345" s="318" t="s">
        <v>4327</v>
      </c>
      <c r="H345" s="319" t="s">
        <v>5205</v>
      </c>
      <c r="I345" s="319" t="s">
        <v>188</v>
      </c>
      <c r="J345" s="324" t="s">
        <v>1453</v>
      </c>
      <c r="K345" s="319" t="s">
        <v>191</v>
      </c>
      <c r="L345" s="320">
        <v>4</v>
      </c>
      <c r="M345" s="320">
        <v>4</v>
      </c>
      <c r="N345" s="322" t="s">
        <v>12</v>
      </c>
      <c r="O345" s="151">
        <v>5</v>
      </c>
      <c r="P345" s="151" t="s">
        <v>199</v>
      </c>
    </row>
    <row r="346" spans="1:16" ht="22.5">
      <c r="A346" s="319" t="s">
        <v>5206</v>
      </c>
      <c r="B346" s="319" t="s">
        <v>5207</v>
      </c>
      <c r="C346" s="324"/>
      <c r="D346" s="329"/>
      <c r="E346" s="319" t="s">
        <v>242</v>
      </c>
      <c r="F346" s="319"/>
      <c r="G346" s="318" t="s">
        <v>4327</v>
      </c>
      <c r="H346" s="319" t="s">
        <v>5208</v>
      </c>
      <c r="I346" s="319" t="s">
        <v>188</v>
      </c>
      <c r="J346" s="324" t="s">
        <v>1453</v>
      </c>
      <c r="K346" s="319" t="s">
        <v>191</v>
      </c>
      <c r="L346" s="320">
        <v>4</v>
      </c>
      <c r="M346" s="320">
        <v>4</v>
      </c>
      <c r="N346" s="322" t="s">
        <v>12</v>
      </c>
      <c r="O346" s="151">
        <v>5</v>
      </c>
      <c r="P346" s="151" t="s">
        <v>199</v>
      </c>
    </row>
    <row r="347" spans="1:16" ht="22.5">
      <c r="A347" s="319" t="s">
        <v>5209</v>
      </c>
      <c r="B347" s="319" t="s">
        <v>5210</v>
      </c>
      <c r="C347" s="324"/>
      <c r="D347" s="329"/>
      <c r="E347" s="319" t="s">
        <v>242</v>
      </c>
      <c r="F347" s="319"/>
      <c r="G347" s="318" t="s">
        <v>4327</v>
      </c>
      <c r="H347" s="319" t="s">
        <v>5211</v>
      </c>
      <c r="I347" s="319" t="s">
        <v>188</v>
      </c>
      <c r="J347" s="324" t="s">
        <v>1453</v>
      </c>
      <c r="K347" s="319" t="s">
        <v>191</v>
      </c>
      <c r="L347" s="320">
        <v>4</v>
      </c>
      <c r="M347" s="320">
        <v>4</v>
      </c>
      <c r="N347" s="322" t="s">
        <v>12</v>
      </c>
      <c r="O347" s="151">
        <v>5</v>
      </c>
      <c r="P347" s="151" t="s">
        <v>199</v>
      </c>
    </row>
    <row r="348" spans="1:16" ht="22.5">
      <c r="A348" s="319" t="s">
        <v>5212</v>
      </c>
      <c r="B348" s="319" t="s">
        <v>5213</v>
      </c>
      <c r="C348" s="324"/>
      <c r="D348" s="329"/>
      <c r="E348" s="319" t="s">
        <v>242</v>
      </c>
      <c r="F348" s="319"/>
      <c r="G348" s="318" t="s">
        <v>4327</v>
      </c>
      <c r="H348" s="319" t="s">
        <v>5214</v>
      </c>
      <c r="I348" s="319" t="s">
        <v>188</v>
      </c>
      <c r="J348" s="324" t="s">
        <v>1453</v>
      </c>
      <c r="K348" s="319" t="s">
        <v>191</v>
      </c>
      <c r="L348" s="320">
        <v>4</v>
      </c>
      <c r="M348" s="320">
        <v>4</v>
      </c>
      <c r="N348" s="322" t="s">
        <v>12</v>
      </c>
      <c r="O348" s="151">
        <v>5</v>
      </c>
      <c r="P348" s="151" t="s">
        <v>199</v>
      </c>
    </row>
    <row r="349" spans="1:16" ht="22.5">
      <c r="A349" s="319" t="s">
        <v>5215</v>
      </c>
      <c r="B349" s="319" t="s">
        <v>5216</v>
      </c>
      <c r="C349" s="324"/>
      <c r="D349" s="329"/>
      <c r="E349" s="319" t="s">
        <v>242</v>
      </c>
      <c r="F349" s="319"/>
      <c r="G349" s="318" t="s">
        <v>4327</v>
      </c>
      <c r="H349" s="319" t="s">
        <v>5217</v>
      </c>
      <c r="I349" s="319" t="s">
        <v>188</v>
      </c>
      <c r="J349" s="324" t="s">
        <v>1453</v>
      </c>
      <c r="K349" s="319" t="s">
        <v>191</v>
      </c>
      <c r="L349" s="320">
        <v>4</v>
      </c>
      <c r="M349" s="320">
        <v>4</v>
      </c>
      <c r="N349" s="322" t="s">
        <v>12</v>
      </c>
      <c r="O349" s="151">
        <v>5</v>
      </c>
      <c r="P349" s="151" t="s">
        <v>199</v>
      </c>
    </row>
    <row r="350" spans="1:16" ht="22.5">
      <c r="A350" s="319" t="s">
        <v>5218</v>
      </c>
      <c r="B350" s="319" t="s">
        <v>5219</v>
      </c>
      <c r="C350" s="324"/>
      <c r="D350" s="329"/>
      <c r="E350" s="319" t="s">
        <v>242</v>
      </c>
      <c r="F350" s="319"/>
      <c r="G350" s="318" t="s">
        <v>4327</v>
      </c>
      <c r="H350" s="319" t="s">
        <v>5220</v>
      </c>
      <c r="I350" s="319" t="s">
        <v>188</v>
      </c>
      <c r="J350" s="324" t="s">
        <v>1453</v>
      </c>
      <c r="K350" s="319" t="s">
        <v>191</v>
      </c>
      <c r="L350" s="320">
        <v>4</v>
      </c>
      <c r="M350" s="320">
        <v>4</v>
      </c>
      <c r="N350" s="322" t="s">
        <v>12</v>
      </c>
      <c r="O350" s="151">
        <v>5</v>
      </c>
      <c r="P350" s="151" t="s">
        <v>199</v>
      </c>
    </row>
    <row r="351" spans="1:16" ht="22.5">
      <c r="A351" s="319" t="s">
        <v>5221</v>
      </c>
      <c r="B351" s="319" t="s">
        <v>5222</v>
      </c>
      <c r="C351" s="324"/>
      <c r="D351" s="329"/>
      <c r="E351" s="319" t="s">
        <v>242</v>
      </c>
      <c r="F351" s="319"/>
      <c r="G351" s="318" t="s">
        <v>4327</v>
      </c>
      <c r="H351" s="319" t="s">
        <v>5223</v>
      </c>
      <c r="I351" s="319" t="s">
        <v>188</v>
      </c>
      <c r="J351" s="324" t="s">
        <v>1453</v>
      </c>
      <c r="K351" s="319" t="s">
        <v>191</v>
      </c>
      <c r="L351" s="320">
        <v>4</v>
      </c>
      <c r="M351" s="320">
        <v>4</v>
      </c>
      <c r="N351" s="322" t="s">
        <v>12</v>
      </c>
      <c r="O351" s="151">
        <v>5</v>
      </c>
      <c r="P351" s="151" t="s">
        <v>199</v>
      </c>
    </row>
    <row r="352" spans="1:16">
      <c r="A352" s="319" t="s">
        <v>5224</v>
      </c>
      <c r="B352" s="319" t="s">
        <v>5225</v>
      </c>
      <c r="C352" s="324"/>
      <c r="D352" s="329"/>
      <c r="E352" s="319" t="s">
        <v>242</v>
      </c>
      <c r="F352" s="319"/>
      <c r="G352" s="318" t="s">
        <v>4327</v>
      </c>
      <c r="H352" s="319" t="s">
        <v>5226</v>
      </c>
      <c r="I352" s="319" t="s">
        <v>198</v>
      </c>
      <c r="J352" s="324"/>
      <c r="K352" s="319" t="s">
        <v>191</v>
      </c>
      <c r="L352" s="320">
        <v>4</v>
      </c>
      <c r="M352" s="320">
        <v>4</v>
      </c>
      <c r="N352" s="322" t="s">
        <v>12</v>
      </c>
      <c r="O352" s="151">
        <v>5</v>
      </c>
      <c r="P352" s="151" t="s">
        <v>199</v>
      </c>
    </row>
    <row r="353" spans="1:16">
      <c r="A353" s="319" t="s">
        <v>5227</v>
      </c>
      <c r="B353" s="319" t="s">
        <v>5228</v>
      </c>
      <c r="C353" s="324"/>
      <c r="D353" s="329"/>
      <c r="E353" s="319" t="s">
        <v>242</v>
      </c>
      <c r="F353" s="319"/>
      <c r="G353" s="318" t="s">
        <v>4327</v>
      </c>
      <c r="H353" s="319" t="s">
        <v>5229</v>
      </c>
      <c r="I353" s="319" t="s">
        <v>198</v>
      </c>
      <c r="J353" s="324"/>
      <c r="K353" s="319" t="s">
        <v>191</v>
      </c>
      <c r="L353" s="320">
        <v>4</v>
      </c>
      <c r="M353" s="320">
        <v>4</v>
      </c>
      <c r="N353" s="322" t="s">
        <v>12</v>
      </c>
      <c r="O353" s="151">
        <v>5</v>
      </c>
      <c r="P353" s="151" t="s">
        <v>199</v>
      </c>
    </row>
    <row r="354" spans="1:16">
      <c r="A354" s="319" t="s">
        <v>5230</v>
      </c>
      <c r="B354" s="319" t="s">
        <v>5231</v>
      </c>
      <c r="C354" s="324"/>
      <c r="D354" s="329"/>
      <c r="E354" s="319" t="s">
        <v>242</v>
      </c>
      <c r="F354" s="319"/>
      <c r="G354" s="318" t="s">
        <v>4327</v>
      </c>
      <c r="H354" s="319" t="s">
        <v>5232</v>
      </c>
      <c r="I354" s="319" t="s">
        <v>198</v>
      </c>
      <c r="J354" s="324"/>
      <c r="K354" s="319" t="s">
        <v>191</v>
      </c>
      <c r="L354" s="320">
        <v>4</v>
      </c>
      <c r="M354" s="320">
        <v>4</v>
      </c>
      <c r="N354" s="322" t="s">
        <v>12</v>
      </c>
      <c r="O354" s="151">
        <v>5</v>
      </c>
      <c r="P354" s="151" t="s">
        <v>199</v>
      </c>
    </row>
    <row r="355" spans="1:16">
      <c r="A355" s="319" t="s">
        <v>5233</v>
      </c>
      <c r="B355" s="319" t="s">
        <v>5234</v>
      </c>
      <c r="C355" s="324"/>
      <c r="D355" s="329"/>
      <c r="E355" s="319" t="s">
        <v>242</v>
      </c>
      <c r="F355" s="319"/>
      <c r="G355" s="318" t="s">
        <v>4327</v>
      </c>
      <c r="H355" s="319" t="s">
        <v>5235</v>
      </c>
      <c r="I355" s="319" t="s">
        <v>198</v>
      </c>
      <c r="J355" s="324"/>
      <c r="K355" s="319" t="s">
        <v>191</v>
      </c>
      <c r="L355" s="320">
        <v>4</v>
      </c>
      <c r="M355" s="320">
        <v>4</v>
      </c>
      <c r="N355" s="322" t="s">
        <v>12</v>
      </c>
      <c r="O355" s="151">
        <v>5</v>
      </c>
      <c r="P355" s="151" t="s">
        <v>199</v>
      </c>
    </row>
    <row r="356" spans="1:16">
      <c r="A356" s="319" t="s">
        <v>5236</v>
      </c>
      <c r="B356" s="319" t="s">
        <v>5237</v>
      </c>
      <c r="C356" s="324"/>
      <c r="D356" s="329"/>
      <c r="E356" s="319" t="s">
        <v>242</v>
      </c>
      <c r="F356" s="319"/>
      <c r="G356" s="318" t="s">
        <v>4327</v>
      </c>
      <c r="H356" s="319" t="s">
        <v>5238</v>
      </c>
      <c r="I356" s="319" t="s">
        <v>198</v>
      </c>
      <c r="J356" s="324"/>
      <c r="K356" s="319" t="s">
        <v>191</v>
      </c>
      <c r="L356" s="320">
        <v>4</v>
      </c>
      <c r="M356" s="320">
        <v>4</v>
      </c>
      <c r="N356" s="322" t="s">
        <v>12</v>
      </c>
      <c r="O356" s="151">
        <v>5</v>
      </c>
      <c r="P356" s="151" t="s">
        <v>199</v>
      </c>
    </row>
    <row r="357" spans="1:16">
      <c r="A357" s="319" t="s">
        <v>5239</v>
      </c>
      <c r="B357" s="319" t="s">
        <v>5240</v>
      </c>
      <c r="C357" s="324"/>
      <c r="D357" s="329"/>
      <c r="E357" s="319" t="s">
        <v>242</v>
      </c>
      <c r="F357" s="319"/>
      <c r="G357" s="318" t="s">
        <v>4327</v>
      </c>
      <c r="H357" s="319" t="s">
        <v>5241</v>
      </c>
      <c r="I357" s="319" t="s">
        <v>198</v>
      </c>
      <c r="J357" s="324"/>
      <c r="K357" s="319" t="s">
        <v>191</v>
      </c>
      <c r="L357" s="320">
        <v>4</v>
      </c>
      <c r="M357" s="320">
        <v>4</v>
      </c>
      <c r="N357" s="322" t="s">
        <v>12</v>
      </c>
      <c r="O357" s="151">
        <v>5</v>
      </c>
      <c r="P357" s="151" t="s">
        <v>199</v>
      </c>
    </row>
    <row r="358" spans="1:16">
      <c r="A358" s="319" t="s">
        <v>5242</v>
      </c>
      <c r="B358" s="319" t="s">
        <v>5243</v>
      </c>
      <c r="C358" s="324"/>
      <c r="D358" s="329"/>
      <c r="E358" s="319" t="s">
        <v>242</v>
      </c>
      <c r="F358" s="319"/>
      <c r="G358" s="318" t="s">
        <v>4327</v>
      </c>
      <c r="H358" s="319" t="s">
        <v>5244</v>
      </c>
      <c r="I358" s="319" t="s">
        <v>198</v>
      </c>
      <c r="J358" s="324"/>
      <c r="K358" s="319" t="s">
        <v>191</v>
      </c>
      <c r="L358" s="320">
        <v>4</v>
      </c>
      <c r="M358" s="320">
        <v>4</v>
      </c>
      <c r="N358" s="322" t="s">
        <v>12</v>
      </c>
      <c r="O358" s="151">
        <v>5</v>
      </c>
      <c r="P358" s="151" t="s">
        <v>199</v>
      </c>
    </row>
    <row r="359" spans="1:16">
      <c r="A359" s="319" t="s">
        <v>5245</v>
      </c>
      <c r="B359" s="319" t="s">
        <v>5246</v>
      </c>
      <c r="C359" s="324"/>
      <c r="D359" s="329"/>
      <c r="E359" s="319" t="s">
        <v>242</v>
      </c>
      <c r="F359" s="319"/>
      <c r="G359" s="318" t="s">
        <v>4327</v>
      </c>
      <c r="H359" s="319" t="s">
        <v>5247</v>
      </c>
      <c r="I359" s="319" t="s">
        <v>198</v>
      </c>
      <c r="J359" s="324"/>
      <c r="K359" s="319" t="s">
        <v>191</v>
      </c>
      <c r="L359" s="320">
        <v>4</v>
      </c>
      <c r="M359" s="320">
        <v>4</v>
      </c>
      <c r="N359" s="322" t="s">
        <v>12</v>
      </c>
      <c r="O359" s="151">
        <v>5</v>
      </c>
      <c r="P359" s="151" t="s">
        <v>199</v>
      </c>
    </row>
    <row r="360" spans="1:16">
      <c r="A360" s="319" t="s">
        <v>5248</v>
      </c>
      <c r="B360" s="319" t="s">
        <v>5249</v>
      </c>
      <c r="C360" s="324"/>
      <c r="D360" s="329"/>
      <c r="E360" s="319" t="s">
        <v>242</v>
      </c>
      <c r="F360" s="319"/>
      <c r="G360" s="318" t="s">
        <v>4327</v>
      </c>
      <c r="H360" s="319" t="s">
        <v>5250</v>
      </c>
      <c r="I360" s="319" t="s">
        <v>198</v>
      </c>
      <c r="J360" s="324"/>
      <c r="K360" s="319" t="s">
        <v>191</v>
      </c>
      <c r="L360" s="320">
        <v>4</v>
      </c>
      <c r="M360" s="320">
        <v>4</v>
      </c>
      <c r="N360" s="322" t="s">
        <v>12</v>
      </c>
      <c r="O360" s="151">
        <v>5</v>
      </c>
      <c r="P360" s="151" t="s">
        <v>199</v>
      </c>
    </row>
    <row r="361" spans="1:16" ht="22.5">
      <c r="A361" s="319" t="s">
        <v>5251</v>
      </c>
      <c r="B361" s="319" t="s">
        <v>5252</v>
      </c>
      <c r="C361" s="324" t="s">
        <v>5251</v>
      </c>
      <c r="D361" s="329"/>
      <c r="E361" s="319" t="s">
        <v>242</v>
      </c>
      <c r="F361" s="319"/>
      <c r="G361" s="318" t="s">
        <v>4327</v>
      </c>
      <c r="H361" s="319" t="s">
        <v>5253</v>
      </c>
      <c r="I361" s="319" t="s">
        <v>198</v>
      </c>
      <c r="J361" s="324"/>
      <c r="K361" s="319" t="s">
        <v>191</v>
      </c>
      <c r="L361" s="320">
        <v>4</v>
      </c>
      <c r="M361" s="320">
        <v>4</v>
      </c>
      <c r="N361" s="322" t="s">
        <v>12</v>
      </c>
      <c r="O361" s="151">
        <v>5</v>
      </c>
      <c r="P361" s="151" t="s">
        <v>199</v>
      </c>
    </row>
    <row r="362" spans="1:16" ht="22.5">
      <c r="A362" s="319" t="s">
        <v>5254</v>
      </c>
      <c r="B362" s="319" t="s">
        <v>5255</v>
      </c>
      <c r="C362" s="324"/>
      <c r="D362" s="329"/>
      <c r="E362" s="319" t="s">
        <v>242</v>
      </c>
      <c r="F362" s="319"/>
      <c r="G362" s="318" t="s">
        <v>4327</v>
      </c>
      <c r="H362" s="319" t="s">
        <v>5256</v>
      </c>
      <c r="I362" s="319" t="s">
        <v>198</v>
      </c>
      <c r="J362" s="324"/>
      <c r="K362" s="319" t="s">
        <v>191</v>
      </c>
      <c r="L362" s="320">
        <v>4</v>
      </c>
      <c r="M362" s="320">
        <v>4</v>
      </c>
      <c r="N362" s="322" t="s">
        <v>12</v>
      </c>
      <c r="O362" s="151">
        <v>5</v>
      </c>
      <c r="P362" s="151" t="s">
        <v>199</v>
      </c>
    </row>
    <row r="363" spans="1:16" ht="22.5">
      <c r="A363" s="319" t="s">
        <v>5257</v>
      </c>
      <c r="B363" s="319" t="s">
        <v>5258</v>
      </c>
      <c r="C363" s="324" t="s">
        <v>5257</v>
      </c>
      <c r="D363" s="329"/>
      <c r="E363" s="319" t="s">
        <v>242</v>
      </c>
      <c r="F363" s="319"/>
      <c r="G363" s="318" t="s">
        <v>4327</v>
      </c>
      <c r="H363" s="319" t="s">
        <v>5259</v>
      </c>
      <c r="I363" s="319" t="s">
        <v>198</v>
      </c>
      <c r="J363" s="324"/>
      <c r="K363" s="319" t="s">
        <v>191</v>
      </c>
      <c r="L363" s="320">
        <v>4</v>
      </c>
      <c r="M363" s="320">
        <v>4</v>
      </c>
      <c r="N363" s="322" t="s">
        <v>12</v>
      </c>
      <c r="O363" s="151">
        <v>5</v>
      </c>
      <c r="P363" s="151" t="s">
        <v>199</v>
      </c>
    </row>
    <row r="364" spans="1:16" ht="22.5">
      <c r="A364" s="319" t="s">
        <v>5260</v>
      </c>
      <c r="B364" s="319" t="s">
        <v>5261</v>
      </c>
      <c r="C364" s="324" t="s">
        <v>5260</v>
      </c>
      <c r="D364" s="329"/>
      <c r="E364" s="319" t="s">
        <v>242</v>
      </c>
      <c r="F364" s="319"/>
      <c r="G364" s="318" t="s">
        <v>4327</v>
      </c>
      <c r="H364" s="319" t="s">
        <v>5262</v>
      </c>
      <c r="I364" s="319"/>
      <c r="J364" s="324"/>
      <c r="K364" s="319" t="s">
        <v>191</v>
      </c>
      <c r="L364" s="320">
        <v>4</v>
      </c>
      <c r="M364" s="320">
        <v>4</v>
      </c>
      <c r="N364" s="322" t="s">
        <v>12</v>
      </c>
      <c r="O364" s="151">
        <v>5</v>
      </c>
      <c r="P364" s="151" t="s">
        <v>199</v>
      </c>
    </row>
    <row r="365" spans="1:16" ht="22.5">
      <c r="A365" s="319" t="s">
        <v>5263</v>
      </c>
      <c r="B365" s="319" t="s">
        <v>5264</v>
      </c>
      <c r="C365" s="324" t="s">
        <v>5263</v>
      </c>
      <c r="D365" s="329"/>
      <c r="E365" s="319" t="s">
        <v>242</v>
      </c>
      <c r="F365" s="319"/>
      <c r="G365" s="318" t="s">
        <v>4327</v>
      </c>
      <c r="H365" s="319" t="s">
        <v>5265</v>
      </c>
      <c r="I365" s="319"/>
      <c r="J365" s="324"/>
      <c r="K365" s="319" t="s">
        <v>191</v>
      </c>
      <c r="L365" s="320">
        <v>4</v>
      </c>
      <c r="M365" s="320">
        <v>4</v>
      </c>
      <c r="N365" s="322" t="s">
        <v>12</v>
      </c>
      <c r="O365" s="151">
        <v>5</v>
      </c>
      <c r="P365" s="151" t="s">
        <v>199</v>
      </c>
    </row>
    <row r="366" spans="1:16" ht="22.5">
      <c r="A366" s="319" t="s">
        <v>5266</v>
      </c>
      <c r="B366" s="319" t="s">
        <v>5267</v>
      </c>
      <c r="C366" s="324" t="s">
        <v>5266</v>
      </c>
      <c r="D366" s="329"/>
      <c r="E366" s="319" t="s">
        <v>242</v>
      </c>
      <c r="F366" s="319"/>
      <c r="G366" s="318" t="s">
        <v>4327</v>
      </c>
      <c r="H366" s="319" t="s">
        <v>5268</v>
      </c>
      <c r="I366" s="319"/>
      <c r="J366" s="324"/>
      <c r="K366" s="319" t="s">
        <v>191</v>
      </c>
      <c r="L366" s="320">
        <v>4</v>
      </c>
      <c r="M366" s="320">
        <v>4</v>
      </c>
      <c r="N366" s="322" t="s">
        <v>12</v>
      </c>
      <c r="O366" s="151">
        <v>5</v>
      </c>
      <c r="P366" s="151" t="s">
        <v>199</v>
      </c>
    </row>
    <row r="367" spans="1:16" ht="22.5">
      <c r="A367" s="324" t="s">
        <v>5269</v>
      </c>
      <c r="B367" s="319" t="s">
        <v>5270</v>
      </c>
      <c r="C367" s="319"/>
      <c r="D367" s="329"/>
      <c r="E367" s="319" t="s">
        <v>242</v>
      </c>
      <c r="F367" s="319"/>
      <c r="G367" s="318" t="s">
        <v>1905</v>
      </c>
      <c r="H367" s="319" t="s">
        <v>5271</v>
      </c>
      <c r="I367" s="319"/>
      <c r="J367" s="324"/>
      <c r="K367" s="319" t="s">
        <v>191</v>
      </c>
      <c r="L367" s="320">
        <v>4</v>
      </c>
      <c r="M367" s="320">
        <v>4</v>
      </c>
      <c r="N367" s="322" t="s">
        <v>12</v>
      </c>
      <c r="O367" s="151">
        <v>5</v>
      </c>
      <c r="P367" s="151" t="s">
        <v>199</v>
      </c>
    </row>
    <row r="368" spans="1:16">
      <c r="A368" s="319" t="s">
        <v>5272</v>
      </c>
      <c r="B368" s="319" t="s">
        <v>5273</v>
      </c>
      <c r="C368" s="324"/>
      <c r="D368" s="329"/>
      <c r="E368" s="319" t="s">
        <v>242</v>
      </c>
      <c r="F368" s="319"/>
      <c r="G368" s="318" t="s">
        <v>4327</v>
      </c>
      <c r="H368" s="319" t="s">
        <v>5274</v>
      </c>
      <c r="I368" s="319" t="s">
        <v>198</v>
      </c>
      <c r="J368" s="324"/>
      <c r="K368" s="319" t="s">
        <v>191</v>
      </c>
      <c r="L368" s="320">
        <v>4</v>
      </c>
      <c r="M368" s="320">
        <v>4</v>
      </c>
      <c r="N368" s="322" t="s">
        <v>12</v>
      </c>
      <c r="O368" s="151">
        <v>5</v>
      </c>
      <c r="P368" s="151" t="s">
        <v>199</v>
      </c>
    </row>
    <row r="369" spans="1:16">
      <c r="A369" s="319" t="s">
        <v>5275</v>
      </c>
      <c r="B369" s="319" t="s">
        <v>5276</v>
      </c>
      <c r="C369" s="324"/>
      <c r="D369" s="329"/>
      <c r="E369" s="319" t="s">
        <v>242</v>
      </c>
      <c r="F369" s="319"/>
      <c r="G369" s="318" t="s">
        <v>4327</v>
      </c>
      <c r="H369" s="319" t="s">
        <v>5277</v>
      </c>
      <c r="I369" s="319" t="s">
        <v>198</v>
      </c>
      <c r="J369" s="324"/>
      <c r="K369" s="319" t="s">
        <v>191</v>
      </c>
      <c r="L369" s="320">
        <v>4</v>
      </c>
      <c r="M369" s="320">
        <v>4</v>
      </c>
      <c r="N369" s="322" t="s">
        <v>12</v>
      </c>
      <c r="O369" s="151">
        <v>5</v>
      </c>
      <c r="P369" s="151" t="s">
        <v>199</v>
      </c>
    </row>
    <row r="370" spans="1:16">
      <c r="A370" s="319" t="s">
        <v>5278</v>
      </c>
      <c r="B370" s="319" t="s">
        <v>5279</v>
      </c>
      <c r="C370" s="324"/>
      <c r="D370" s="329"/>
      <c r="E370" s="319" t="s">
        <v>242</v>
      </c>
      <c r="F370" s="319"/>
      <c r="G370" s="318" t="s">
        <v>4327</v>
      </c>
      <c r="H370" s="319" t="s">
        <v>5280</v>
      </c>
      <c r="I370" s="319" t="s">
        <v>198</v>
      </c>
      <c r="J370" s="324"/>
      <c r="K370" s="319" t="s">
        <v>191</v>
      </c>
      <c r="L370" s="320">
        <v>4</v>
      </c>
      <c r="M370" s="320">
        <v>4</v>
      </c>
      <c r="N370" s="322" t="s">
        <v>12</v>
      </c>
      <c r="O370" s="151">
        <v>5</v>
      </c>
      <c r="P370" s="151" t="s">
        <v>199</v>
      </c>
    </row>
    <row r="371" spans="1:16">
      <c r="A371" s="319" t="s">
        <v>5281</v>
      </c>
      <c r="B371" s="319" t="s">
        <v>5282</v>
      </c>
      <c r="C371" s="324"/>
      <c r="D371" s="329"/>
      <c r="E371" s="319" t="s">
        <v>242</v>
      </c>
      <c r="F371" s="319"/>
      <c r="G371" s="318" t="s">
        <v>4327</v>
      </c>
      <c r="H371" s="319" t="s">
        <v>5283</v>
      </c>
      <c r="I371" s="319" t="s">
        <v>198</v>
      </c>
      <c r="J371" s="324"/>
      <c r="K371" s="319" t="s">
        <v>191</v>
      </c>
      <c r="L371" s="320">
        <v>4</v>
      </c>
      <c r="M371" s="320">
        <v>4</v>
      </c>
      <c r="N371" s="322" t="s">
        <v>12</v>
      </c>
      <c r="O371" s="151">
        <v>5</v>
      </c>
      <c r="P371" s="151" t="s">
        <v>199</v>
      </c>
    </row>
    <row r="372" spans="1:16">
      <c r="A372" s="319" t="s">
        <v>5284</v>
      </c>
      <c r="B372" s="319" t="s">
        <v>5285</v>
      </c>
      <c r="C372" s="324"/>
      <c r="D372" s="329"/>
      <c r="E372" s="319" t="s">
        <v>242</v>
      </c>
      <c r="F372" s="319"/>
      <c r="G372" s="318" t="s">
        <v>4327</v>
      </c>
      <c r="H372" s="319" t="s">
        <v>5286</v>
      </c>
      <c r="I372" s="319" t="s">
        <v>198</v>
      </c>
      <c r="J372" s="324"/>
      <c r="K372" s="319" t="s">
        <v>191</v>
      </c>
      <c r="L372" s="320">
        <v>4</v>
      </c>
      <c r="M372" s="320">
        <v>4</v>
      </c>
      <c r="N372" s="322" t="s">
        <v>12</v>
      </c>
      <c r="O372" s="151">
        <v>5</v>
      </c>
      <c r="P372" s="151" t="s">
        <v>199</v>
      </c>
    </row>
    <row r="373" spans="1:16">
      <c r="A373" s="319" t="s">
        <v>5287</v>
      </c>
      <c r="B373" s="319" t="s">
        <v>5288</v>
      </c>
      <c r="C373" s="324"/>
      <c r="D373" s="329"/>
      <c r="E373" s="319" t="s">
        <v>242</v>
      </c>
      <c r="F373" s="319"/>
      <c r="G373" s="318" t="s">
        <v>4327</v>
      </c>
      <c r="H373" s="319" t="s">
        <v>5289</v>
      </c>
      <c r="I373" s="319" t="s">
        <v>198</v>
      </c>
      <c r="J373" s="324"/>
      <c r="K373" s="319" t="s">
        <v>191</v>
      </c>
      <c r="L373" s="320">
        <v>4</v>
      </c>
      <c r="M373" s="320">
        <v>4</v>
      </c>
      <c r="N373" s="322" t="s">
        <v>12</v>
      </c>
      <c r="O373" s="151">
        <v>5</v>
      </c>
      <c r="P373" s="151" t="s">
        <v>199</v>
      </c>
    </row>
    <row r="374" spans="1:16">
      <c r="A374" s="319" t="s">
        <v>5290</v>
      </c>
      <c r="B374" s="319" t="s">
        <v>5291</v>
      </c>
      <c r="C374" s="324"/>
      <c r="D374" s="329"/>
      <c r="E374" s="319" t="s">
        <v>242</v>
      </c>
      <c r="F374" s="319"/>
      <c r="G374" s="318" t="s">
        <v>4327</v>
      </c>
      <c r="H374" s="319" t="s">
        <v>5292</v>
      </c>
      <c r="I374" s="319" t="s">
        <v>198</v>
      </c>
      <c r="J374" s="324"/>
      <c r="K374" s="319" t="s">
        <v>191</v>
      </c>
      <c r="L374" s="320">
        <v>4</v>
      </c>
      <c r="M374" s="320">
        <v>4</v>
      </c>
      <c r="N374" s="322" t="s">
        <v>12</v>
      </c>
      <c r="O374" s="151">
        <v>5</v>
      </c>
      <c r="P374" s="151" t="s">
        <v>199</v>
      </c>
    </row>
    <row r="375" spans="1:16">
      <c r="A375" s="324" t="s">
        <v>5293</v>
      </c>
      <c r="B375" s="319" t="s">
        <v>5294</v>
      </c>
      <c r="C375" s="319"/>
      <c r="D375" s="329"/>
      <c r="E375" s="319" t="s">
        <v>242</v>
      </c>
      <c r="F375" s="319"/>
      <c r="G375" s="318" t="s">
        <v>1905</v>
      </c>
      <c r="H375" s="319" t="s">
        <v>5295</v>
      </c>
      <c r="I375" s="319" t="s">
        <v>198</v>
      </c>
      <c r="J375" s="324"/>
      <c r="K375" s="319" t="s">
        <v>191</v>
      </c>
      <c r="L375" s="320">
        <v>4</v>
      </c>
      <c r="M375" s="320">
        <v>4</v>
      </c>
      <c r="N375" s="322" t="s">
        <v>12</v>
      </c>
      <c r="O375" s="151">
        <v>5</v>
      </c>
      <c r="P375" s="151" t="s">
        <v>199</v>
      </c>
    </row>
    <row r="376" spans="1:16">
      <c r="A376" s="324" t="s">
        <v>5296</v>
      </c>
      <c r="B376" s="319" t="s">
        <v>5297</v>
      </c>
      <c r="C376" s="319"/>
      <c r="D376" s="329"/>
      <c r="E376" s="319" t="s">
        <v>242</v>
      </c>
      <c r="F376" s="319"/>
      <c r="G376" s="318" t="s">
        <v>1905</v>
      </c>
      <c r="H376" s="319" t="s">
        <v>5298</v>
      </c>
      <c r="I376" s="319" t="s">
        <v>198</v>
      </c>
      <c r="J376" s="324"/>
      <c r="K376" s="319" t="s">
        <v>191</v>
      </c>
      <c r="L376" s="320">
        <v>4</v>
      </c>
      <c r="M376" s="320">
        <v>4</v>
      </c>
      <c r="N376" s="322" t="s">
        <v>12</v>
      </c>
      <c r="O376" s="151">
        <v>5</v>
      </c>
      <c r="P376" s="151" t="s">
        <v>199</v>
      </c>
    </row>
    <row r="377" spans="1:16">
      <c r="A377" s="319" t="s">
        <v>5299</v>
      </c>
      <c r="B377" s="319" t="s">
        <v>5300</v>
      </c>
      <c r="C377" s="324"/>
      <c r="D377" s="329"/>
      <c r="E377" s="319" t="s">
        <v>242</v>
      </c>
      <c r="F377" s="319"/>
      <c r="G377" s="318" t="s">
        <v>4327</v>
      </c>
      <c r="H377" s="319" t="s">
        <v>5301</v>
      </c>
      <c r="I377" s="319" t="s">
        <v>198</v>
      </c>
      <c r="J377" s="324"/>
      <c r="K377" s="319" t="s">
        <v>191</v>
      </c>
      <c r="L377" s="320">
        <v>4</v>
      </c>
      <c r="M377" s="320">
        <v>4</v>
      </c>
      <c r="N377" s="322" t="s">
        <v>12</v>
      </c>
      <c r="O377" s="151">
        <v>5</v>
      </c>
      <c r="P377" s="151" t="s">
        <v>199</v>
      </c>
    </row>
    <row r="378" spans="1:16">
      <c r="A378" s="319" t="s">
        <v>5302</v>
      </c>
      <c r="B378" s="319" t="s">
        <v>5303</v>
      </c>
      <c r="C378" s="324"/>
      <c r="D378" s="329"/>
      <c r="E378" s="319" t="s">
        <v>242</v>
      </c>
      <c r="F378" s="319"/>
      <c r="G378" s="318" t="s">
        <v>4327</v>
      </c>
      <c r="H378" s="319" t="s">
        <v>5304</v>
      </c>
      <c r="I378" s="319" t="s">
        <v>198</v>
      </c>
      <c r="J378" s="324"/>
      <c r="K378" s="319" t="s">
        <v>191</v>
      </c>
      <c r="L378" s="320">
        <v>4</v>
      </c>
      <c r="M378" s="320">
        <v>4</v>
      </c>
      <c r="N378" s="322" t="s">
        <v>12</v>
      </c>
      <c r="O378" s="151">
        <v>5</v>
      </c>
      <c r="P378" s="151" t="s">
        <v>199</v>
      </c>
    </row>
    <row r="379" spans="1:16">
      <c r="A379" s="319" t="s">
        <v>5305</v>
      </c>
      <c r="B379" s="319" t="s">
        <v>5306</v>
      </c>
      <c r="C379" s="324"/>
      <c r="D379" s="329"/>
      <c r="E379" s="319" t="s">
        <v>242</v>
      </c>
      <c r="F379" s="319"/>
      <c r="G379" s="318" t="s">
        <v>4327</v>
      </c>
      <c r="H379" s="319" t="s">
        <v>5307</v>
      </c>
      <c r="I379" s="319" t="s">
        <v>198</v>
      </c>
      <c r="J379" s="324"/>
      <c r="K379" s="319" t="s">
        <v>191</v>
      </c>
      <c r="L379" s="320">
        <v>4</v>
      </c>
      <c r="M379" s="320">
        <v>4</v>
      </c>
      <c r="N379" s="322" t="s">
        <v>12</v>
      </c>
      <c r="O379" s="151">
        <v>5</v>
      </c>
      <c r="P379" s="151" t="s">
        <v>199</v>
      </c>
    </row>
    <row r="380" spans="1:16">
      <c r="A380" s="319" t="s">
        <v>5308</v>
      </c>
      <c r="B380" s="319" t="s">
        <v>5309</v>
      </c>
      <c r="C380" s="324"/>
      <c r="D380" s="329"/>
      <c r="E380" s="319" t="s">
        <v>242</v>
      </c>
      <c r="F380" s="319"/>
      <c r="G380" s="318" t="s">
        <v>4327</v>
      </c>
      <c r="H380" s="319" t="s">
        <v>5310</v>
      </c>
      <c r="I380" s="319" t="s">
        <v>198</v>
      </c>
      <c r="J380" s="324"/>
      <c r="K380" s="319" t="s">
        <v>191</v>
      </c>
      <c r="L380" s="320">
        <v>4</v>
      </c>
      <c r="M380" s="320">
        <v>4</v>
      </c>
      <c r="N380" s="322" t="s">
        <v>12</v>
      </c>
      <c r="O380" s="151">
        <v>5</v>
      </c>
      <c r="P380" s="151" t="s">
        <v>199</v>
      </c>
    </row>
    <row r="381" spans="1:16">
      <c r="A381" s="319" t="s">
        <v>5311</v>
      </c>
      <c r="B381" s="319" t="s">
        <v>5312</v>
      </c>
      <c r="C381" s="324"/>
      <c r="D381" s="329"/>
      <c r="E381" s="319" t="s">
        <v>242</v>
      </c>
      <c r="F381" s="319"/>
      <c r="G381" s="318" t="s">
        <v>4327</v>
      </c>
      <c r="H381" s="319" t="s">
        <v>5313</v>
      </c>
      <c r="I381" s="319" t="s">
        <v>198</v>
      </c>
      <c r="J381" s="324"/>
      <c r="K381" s="319" t="s">
        <v>191</v>
      </c>
      <c r="L381" s="320">
        <v>4</v>
      </c>
      <c r="M381" s="320">
        <v>4</v>
      </c>
      <c r="N381" s="322" t="s">
        <v>12</v>
      </c>
      <c r="O381" s="151">
        <v>5</v>
      </c>
      <c r="P381" s="151" t="s">
        <v>199</v>
      </c>
    </row>
    <row r="382" spans="1:16">
      <c r="A382" s="319" t="s">
        <v>5314</v>
      </c>
      <c r="B382" s="319" t="s">
        <v>5315</v>
      </c>
      <c r="C382" s="324"/>
      <c r="D382" s="329"/>
      <c r="E382" s="319" t="s">
        <v>242</v>
      </c>
      <c r="F382" s="319"/>
      <c r="G382" s="318" t="s">
        <v>4327</v>
      </c>
      <c r="H382" s="319" t="s">
        <v>5316</v>
      </c>
      <c r="I382" s="319" t="s">
        <v>198</v>
      </c>
      <c r="J382" s="324"/>
      <c r="K382" s="319" t="s">
        <v>191</v>
      </c>
      <c r="L382" s="320">
        <v>4</v>
      </c>
      <c r="M382" s="320">
        <v>4</v>
      </c>
      <c r="N382" s="322" t="s">
        <v>12</v>
      </c>
      <c r="O382" s="151">
        <v>5</v>
      </c>
      <c r="P382" s="151" t="s">
        <v>199</v>
      </c>
    </row>
    <row r="383" spans="1:16">
      <c r="A383" s="319" t="s">
        <v>5317</v>
      </c>
      <c r="B383" s="319" t="s">
        <v>5318</v>
      </c>
      <c r="C383" s="324"/>
      <c r="D383" s="329"/>
      <c r="E383" s="319" t="s">
        <v>242</v>
      </c>
      <c r="F383" s="319"/>
      <c r="G383" s="318" t="s">
        <v>4327</v>
      </c>
      <c r="H383" s="319" t="s">
        <v>5319</v>
      </c>
      <c r="I383" s="319" t="s">
        <v>198</v>
      </c>
      <c r="J383" s="324"/>
      <c r="K383" s="319" t="s">
        <v>191</v>
      </c>
      <c r="L383" s="320">
        <v>4</v>
      </c>
      <c r="M383" s="320">
        <v>4</v>
      </c>
      <c r="N383" s="322" t="s">
        <v>12</v>
      </c>
      <c r="O383" s="151">
        <v>5</v>
      </c>
      <c r="P383" s="151" t="s">
        <v>199</v>
      </c>
    </row>
    <row r="384" spans="1:16">
      <c r="A384" s="319" t="s">
        <v>5320</v>
      </c>
      <c r="B384" s="319" t="s">
        <v>5321</v>
      </c>
      <c r="C384" s="324"/>
      <c r="D384" s="329"/>
      <c r="E384" s="319" t="s">
        <v>242</v>
      </c>
      <c r="F384" s="319"/>
      <c r="G384" s="318" t="s">
        <v>4327</v>
      </c>
      <c r="H384" s="319" t="s">
        <v>5322</v>
      </c>
      <c r="I384" s="319" t="s">
        <v>198</v>
      </c>
      <c r="J384" s="324"/>
      <c r="K384" s="319" t="s">
        <v>191</v>
      </c>
      <c r="L384" s="320">
        <v>4</v>
      </c>
      <c r="M384" s="320">
        <v>4</v>
      </c>
      <c r="N384" s="322" t="s">
        <v>12</v>
      </c>
      <c r="O384" s="151">
        <v>5</v>
      </c>
      <c r="P384" s="151" t="s">
        <v>199</v>
      </c>
    </row>
    <row r="385" spans="1:16">
      <c r="A385" s="319" t="s">
        <v>5323</v>
      </c>
      <c r="B385" s="319" t="s">
        <v>5324</v>
      </c>
      <c r="C385" s="324"/>
      <c r="D385" s="329"/>
      <c r="E385" s="319" t="s">
        <v>242</v>
      </c>
      <c r="F385" s="319"/>
      <c r="G385" s="318" t="s">
        <v>4327</v>
      </c>
      <c r="H385" s="319" t="s">
        <v>5325</v>
      </c>
      <c r="I385" s="319" t="s">
        <v>198</v>
      </c>
      <c r="J385" s="324"/>
      <c r="K385" s="319" t="s">
        <v>191</v>
      </c>
      <c r="L385" s="320">
        <v>4</v>
      </c>
      <c r="M385" s="320">
        <v>4</v>
      </c>
      <c r="N385" s="322" t="s">
        <v>12</v>
      </c>
      <c r="O385" s="151">
        <v>5</v>
      </c>
      <c r="P385" s="151" t="s">
        <v>199</v>
      </c>
    </row>
    <row r="386" spans="1:16">
      <c r="A386" s="319" t="s">
        <v>5326</v>
      </c>
      <c r="B386" s="319" t="s">
        <v>5327</v>
      </c>
      <c r="C386" s="324"/>
      <c r="D386" s="329"/>
      <c r="E386" s="319" t="s">
        <v>242</v>
      </c>
      <c r="F386" s="319"/>
      <c r="G386" s="318" t="s">
        <v>4327</v>
      </c>
      <c r="H386" s="319" t="s">
        <v>5328</v>
      </c>
      <c r="I386" s="319" t="s">
        <v>198</v>
      </c>
      <c r="J386" s="324"/>
      <c r="K386" s="319" t="s">
        <v>191</v>
      </c>
      <c r="L386" s="320">
        <v>4</v>
      </c>
      <c r="M386" s="320">
        <v>4</v>
      </c>
      <c r="N386" s="322" t="s">
        <v>12</v>
      </c>
      <c r="O386" s="151">
        <v>5</v>
      </c>
      <c r="P386" s="151" t="s">
        <v>199</v>
      </c>
    </row>
    <row r="387" spans="1:16">
      <c r="A387" s="319" t="s">
        <v>5329</v>
      </c>
      <c r="B387" s="319" t="s">
        <v>5330</v>
      </c>
      <c r="C387" s="324"/>
      <c r="D387" s="329"/>
      <c r="E387" s="319" t="s">
        <v>242</v>
      </c>
      <c r="F387" s="319"/>
      <c r="G387" s="318" t="s">
        <v>4327</v>
      </c>
      <c r="H387" s="319" t="s">
        <v>5331</v>
      </c>
      <c r="I387" s="319" t="s">
        <v>204</v>
      </c>
      <c r="J387" s="324" t="s">
        <v>5332</v>
      </c>
      <c r="K387" s="319" t="s">
        <v>191</v>
      </c>
      <c r="L387" s="320">
        <v>4</v>
      </c>
      <c r="M387" s="320">
        <v>4</v>
      </c>
      <c r="N387" s="322" t="s">
        <v>12</v>
      </c>
      <c r="O387" s="151">
        <v>5</v>
      </c>
      <c r="P387" s="151" t="s">
        <v>199</v>
      </c>
    </row>
    <row r="388" spans="1:16" ht="22.5">
      <c r="A388" s="319" t="s">
        <v>5333</v>
      </c>
      <c r="B388" s="319" t="s">
        <v>5334</v>
      </c>
      <c r="C388" s="324" t="s">
        <v>5333</v>
      </c>
      <c r="D388" s="329"/>
      <c r="E388" s="319" t="s">
        <v>242</v>
      </c>
      <c r="F388" s="319"/>
      <c r="G388" s="318" t="s">
        <v>4327</v>
      </c>
      <c r="H388" s="319" t="s">
        <v>5335</v>
      </c>
      <c r="I388" s="319" t="s">
        <v>188</v>
      </c>
      <c r="J388" s="324" t="s">
        <v>1453</v>
      </c>
      <c r="K388" s="319" t="s">
        <v>191</v>
      </c>
      <c r="L388" s="320">
        <v>4</v>
      </c>
      <c r="M388" s="320">
        <v>4</v>
      </c>
      <c r="N388" s="322" t="s">
        <v>12</v>
      </c>
      <c r="O388" s="151">
        <v>5</v>
      </c>
      <c r="P388" s="151" t="s">
        <v>199</v>
      </c>
    </row>
    <row r="389" spans="1:16" ht="22.5">
      <c r="A389" s="319" t="s">
        <v>5336</v>
      </c>
      <c r="B389" s="319" t="s">
        <v>5337</v>
      </c>
      <c r="C389" s="324" t="s">
        <v>5336</v>
      </c>
      <c r="D389" s="329"/>
      <c r="E389" s="319" t="s">
        <v>242</v>
      </c>
      <c r="F389" s="319"/>
      <c r="G389" s="318" t="s">
        <v>4327</v>
      </c>
      <c r="H389" s="319" t="s">
        <v>5338</v>
      </c>
      <c r="I389" s="319" t="s">
        <v>188</v>
      </c>
      <c r="J389" s="324" t="s">
        <v>1453</v>
      </c>
      <c r="K389" s="319" t="s">
        <v>191</v>
      </c>
      <c r="L389" s="320">
        <v>4</v>
      </c>
      <c r="M389" s="320">
        <v>4</v>
      </c>
      <c r="N389" s="322" t="s">
        <v>12</v>
      </c>
      <c r="O389" s="151">
        <v>5</v>
      </c>
      <c r="P389" s="151" t="s">
        <v>199</v>
      </c>
    </row>
    <row r="390" spans="1:16" ht="22.5">
      <c r="A390" s="319" t="s">
        <v>5339</v>
      </c>
      <c r="B390" s="319" t="s">
        <v>5340</v>
      </c>
      <c r="C390" s="324" t="s">
        <v>5339</v>
      </c>
      <c r="D390" s="329"/>
      <c r="E390" s="319" t="s">
        <v>242</v>
      </c>
      <c r="F390" s="319"/>
      <c r="G390" s="318" t="s">
        <v>4327</v>
      </c>
      <c r="H390" s="319" t="s">
        <v>5341</v>
      </c>
      <c r="I390" s="319" t="s">
        <v>188</v>
      </c>
      <c r="J390" s="324" t="s">
        <v>1453</v>
      </c>
      <c r="K390" s="319" t="s">
        <v>191</v>
      </c>
      <c r="L390" s="320">
        <v>4</v>
      </c>
      <c r="M390" s="320">
        <v>4</v>
      </c>
      <c r="N390" s="322" t="s">
        <v>12</v>
      </c>
      <c r="O390" s="151">
        <v>5</v>
      </c>
      <c r="P390" s="151" t="s">
        <v>199</v>
      </c>
    </row>
    <row r="391" spans="1:16" ht="112.5">
      <c r="A391" s="319" t="s">
        <v>5342</v>
      </c>
      <c r="B391" s="319" t="s">
        <v>5343</v>
      </c>
      <c r="C391" s="319" t="s">
        <v>5342</v>
      </c>
      <c r="D391" s="319"/>
      <c r="E391" s="319" t="s">
        <v>242</v>
      </c>
      <c r="F391" s="319"/>
      <c r="G391" s="318" t="s">
        <v>4524</v>
      </c>
      <c r="H391" s="324" t="s">
        <v>5344</v>
      </c>
      <c r="I391" s="324" t="s">
        <v>204</v>
      </c>
      <c r="J391" s="319" t="s">
        <v>5345</v>
      </c>
      <c r="K391" s="319" t="s">
        <v>191</v>
      </c>
      <c r="L391" s="320">
        <v>4</v>
      </c>
      <c r="M391" s="320">
        <v>4</v>
      </c>
      <c r="N391" s="322" t="s">
        <v>12</v>
      </c>
      <c r="O391" s="151">
        <v>5</v>
      </c>
      <c r="P391" s="151" t="s">
        <v>199</v>
      </c>
    </row>
    <row r="392" spans="1:16" ht="22.5">
      <c r="A392" s="319" t="s">
        <v>5346</v>
      </c>
      <c r="B392" s="319" t="s">
        <v>5347</v>
      </c>
      <c r="C392" s="319" t="s">
        <v>5346</v>
      </c>
      <c r="D392" s="319"/>
      <c r="E392" s="319" t="s">
        <v>242</v>
      </c>
      <c r="F392" s="319"/>
      <c r="G392" s="318" t="s">
        <v>4531</v>
      </c>
      <c r="H392" s="324" t="s">
        <v>5348</v>
      </c>
      <c r="I392" s="324" t="s">
        <v>204</v>
      </c>
      <c r="J392" s="319" t="s">
        <v>5349</v>
      </c>
      <c r="K392" s="319" t="s">
        <v>191</v>
      </c>
      <c r="L392" s="320">
        <v>4</v>
      </c>
      <c r="M392" s="320">
        <v>4</v>
      </c>
      <c r="N392" s="322" t="s">
        <v>12</v>
      </c>
      <c r="O392" s="151">
        <v>5</v>
      </c>
      <c r="P392" s="151" t="s">
        <v>199</v>
      </c>
    </row>
    <row r="393" spans="1:16" ht="22.5">
      <c r="A393" s="319" t="s">
        <v>5350</v>
      </c>
      <c r="B393" s="319" t="s">
        <v>5351</v>
      </c>
      <c r="C393" s="319" t="s">
        <v>5350</v>
      </c>
      <c r="D393" s="319"/>
      <c r="E393" s="319" t="s">
        <v>242</v>
      </c>
      <c r="F393" s="319"/>
      <c r="G393" s="318" t="s">
        <v>4524</v>
      </c>
      <c r="H393" s="324" t="s">
        <v>5352</v>
      </c>
      <c r="I393" s="324" t="s">
        <v>204</v>
      </c>
      <c r="J393" s="319" t="s">
        <v>5349</v>
      </c>
      <c r="K393" s="319" t="s">
        <v>191</v>
      </c>
      <c r="L393" s="320">
        <v>4</v>
      </c>
      <c r="M393" s="320">
        <v>4</v>
      </c>
      <c r="N393" s="322" t="s">
        <v>12</v>
      </c>
      <c r="O393" s="151">
        <v>5</v>
      </c>
      <c r="P393" s="151" t="s">
        <v>199</v>
      </c>
    </row>
    <row r="394" spans="1:16" ht="22.5">
      <c r="A394" s="319" t="s">
        <v>5353</v>
      </c>
      <c r="B394" s="319" t="s">
        <v>5354</v>
      </c>
      <c r="C394" s="319" t="s">
        <v>5353</v>
      </c>
      <c r="D394" s="319"/>
      <c r="E394" s="319" t="s">
        <v>242</v>
      </c>
      <c r="F394" s="319"/>
      <c r="G394" s="318" t="s">
        <v>4524</v>
      </c>
      <c r="H394" s="324" t="s">
        <v>5355</v>
      </c>
      <c r="I394" s="324" t="s">
        <v>204</v>
      </c>
      <c r="J394" s="319" t="s">
        <v>5349</v>
      </c>
      <c r="K394" s="319" t="s">
        <v>191</v>
      </c>
      <c r="L394" s="320">
        <v>4</v>
      </c>
      <c r="M394" s="320">
        <v>4</v>
      </c>
      <c r="N394" s="322" t="s">
        <v>12</v>
      </c>
      <c r="O394" s="151">
        <v>5</v>
      </c>
      <c r="P394" s="151" t="s">
        <v>199</v>
      </c>
    </row>
    <row r="395" spans="1:16" ht="22.5">
      <c r="A395" s="319" t="s">
        <v>5356</v>
      </c>
      <c r="B395" s="319" t="s">
        <v>5357</v>
      </c>
      <c r="C395" s="319" t="s">
        <v>5356</v>
      </c>
      <c r="D395" s="319"/>
      <c r="E395" s="319" t="s">
        <v>242</v>
      </c>
      <c r="F395" s="319"/>
      <c r="G395" s="318" t="s">
        <v>4524</v>
      </c>
      <c r="H395" s="324" t="s">
        <v>5358</v>
      </c>
      <c r="I395" s="324" t="s">
        <v>204</v>
      </c>
      <c r="J395" s="319" t="s">
        <v>5349</v>
      </c>
      <c r="K395" s="319" t="s">
        <v>191</v>
      </c>
      <c r="L395" s="320">
        <v>4</v>
      </c>
      <c r="M395" s="320">
        <v>4</v>
      </c>
      <c r="N395" s="322" t="s">
        <v>12</v>
      </c>
      <c r="O395" s="151">
        <v>5</v>
      </c>
      <c r="P395" s="151" t="s">
        <v>199</v>
      </c>
    </row>
    <row r="396" spans="1:16" ht="22.5">
      <c r="A396" s="319" t="s">
        <v>5359</v>
      </c>
      <c r="B396" s="319" t="s">
        <v>5360</v>
      </c>
      <c r="C396" s="319" t="s">
        <v>5359</v>
      </c>
      <c r="D396" s="319"/>
      <c r="E396" s="319" t="s">
        <v>242</v>
      </c>
      <c r="F396" s="319"/>
      <c r="G396" s="318" t="s">
        <v>4531</v>
      </c>
      <c r="H396" s="324" t="s">
        <v>5361</v>
      </c>
      <c r="I396" s="324" t="s">
        <v>204</v>
      </c>
      <c r="J396" s="319" t="s">
        <v>5349</v>
      </c>
      <c r="K396" s="319" t="s">
        <v>191</v>
      </c>
      <c r="L396" s="320">
        <v>4</v>
      </c>
      <c r="M396" s="320">
        <v>4</v>
      </c>
      <c r="N396" s="322" t="s">
        <v>12</v>
      </c>
      <c r="O396" s="151">
        <v>5</v>
      </c>
      <c r="P396" s="151" t="s">
        <v>199</v>
      </c>
    </row>
    <row r="397" spans="1:16" ht="22.5">
      <c r="A397" s="319" t="s">
        <v>5362</v>
      </c>
      <c r="B397" s="319" t="s">
        <v>5363</v>
      </c>
      <c r="C397" s="319" t="s">
        <v>5362</v>
      </c>
      <c r="D397" s="319"/>
      <c r="E397" s="319" t="s">
        <v>242</v>
      </c>
      <c r="F397" s="319"/>
      <c r="G397" s="318" t="s">
        <v>4524</v>
      </c>
      <c r="H397" s="324" t="s">
        <v>5364</v>
      </c>
      <c r="I397" s="324" t="s">
        <v>204</v>
      </c>
      <c r="J397" s="319" t="s">
        <v>5349</v>
      </c>
      <c r="K397" s="319" t="s">
        <v>191</v>
      </c>
      <c r="L397" s="320">
        <v>4</v>
      </c>
      <c r="M397" s="320">
        <v>4</v>
      </c>
      <c r="N397" s="322" t="s">
        <v>12</v>
      </c>
      <c r="O397" s="151">
        <v>5</v>
      </c>
      <c r="P397" s="151" t="s">
        <v>199</v>
      </c>
    </row>
    <row r="398" spans="1:16" ht="22.5">
      <c r="A398" s="319" t="s">
        <v>5365</v>
      </c>
      <c r="B398" s="319" t="s">
        <v>5366</v>
      </c>
      <c r="C398" s="319" t="s">
        <v>5365</v>
      </c>
      <c r="D398" s="319"/>
      <c r="E398" s="319" t="s">
        <v>242</v>
      </c>
      <c r="F398" s="319"/>
      <c r="G398" s="318" t="s">
        <v>4524</v>
      </c>
      <c r="H398" s="324" t="s">
        <v>5367</v>
      </c>
      <c r="I398" s="324" t="s">
        <v>204</v>
      </c>
      <c r="J398" s="319" t="s">
        <v>5349</v>
      </c>
      <c r="K398" s="319" t="s">
        <v>191</v>
      </c>
      <c r="L398" s="320">
        <v>4</v>
      </c>
      <c r="M398" s="320">
        <v>4</v>
      </c>
      <c r="N398" s="322" t="s">
        <v>12</v>
      </c>
      <c r="O398" s="151">
        <v>5</v>
      </c>
      <c r="P398" s="151" t="s">
        <v>199</v>
      </c>
    </row>
    <row r="399" spans="1:16" ht="22.5">
      <c r="A399" s="319" t="s">
        <v>5368</v>
      </c>
      <c r="B399" s="319" t="s">
        <v>5369</v>
      </c>
      <c r="C399" s="319" t="s">
        <v>5368</v>
      </c>
      <c r="D399" s="319"/>
      <c r="E399" s="319" t="s">
        <v>242</v>
      </c>
      <c r="F399" s="319"/>
      <c r="G399" s="318" t="s">
        <v>4524</v>
      </c>
      <c r="H399" s="324" t="s">
        <v>5370</v>
      </c>
      <c r="I399" s="324" t="s">
        <v>204</v>
      </c>
      <c r="J399" s="319" t="s">
        <v>5349</v>
      </c>
      <c r="K399" s="319" t="s">
        <v>191</v>
      </c>
      <c r="L399" s="320">
        <v>4</v>
      </c>
      <c r="M399" s="320">
        <v>4</v>
      </c>
      <c r="N399" s="322" t="s">
        <v>12</v>
      </c>
      <c r="O399" s="151">
        <v>5</v>
      </c>
      <c r="P399" s="151" t="s">
        <v>199</v>
      </c>
    </row>
    <row r="400" spans="1:16" ht="22.5">
      <c r="A400" s="319" t="s">
        <v>5371</v>
      </c>
      <c r="B400" s="319" t="s">
        <v>5372</v>
      </c>
      <c r="C400" s="319" t="s">
        <v>5371</v>
      </c>
      <c r="D400" s="319"/>
      <c r="E400" s="319" t="s">
        <v>242</v>
      </c>
      <c r="F400" s="319"/>
      <c r="G400" s="318" t="s">
        <v>4524</v>
      </c>
      <c r="H400" s="324" t="s">
        <v>5373</v>
      </c>
      <c r="I400" s="324" t="s">
        <v>204</v>
      </c>
      <c r="J400" s="319" t="s">
        <v>5349</v>
      </c>
      <c r="K400" s="319" t="s">
        <v>191</v>
      </c>
      <c r="L400" s="320">
        <v>4</v>
      </c>
      <c r="M400" s="320">
        <v>4</v>
      </c>
      <c r="N400" s="322" t="s">
        <v>12</v>
      </c>
      <c r="O400" s="151">
        <v>5</v>
      </c>
      <c r="P400" s="151" t="s">
        <v>199</v>
      </c>
    </row>
    <row r="401" spans="1:16" ht="22.5">
      <c r="A401" s="319" t="s">
        <v>5374</v>
      </c>
      <c r="B401" s="319" t="s">
        <v>5375</v>
      </c>
      <c r="C401" s="319" t="s">
        <v>5374</v>
      </c>
      <c r="D401" s="319"/>
      <c r="E401" s="319" t="s">
        <v>242</v>
      </c>
      <c r="F401" s="319"/>
      <c r="G401" s="318" t="s">
        <v>4524</v>
      </c>
      <c r="H401" s="324" t="s">
        <v>5376</v>
      </c>
      <c r="I401" s="324" t="s">
        <v>204</v>
      </c>
      <c r="J401" s="319" t="s">
        <v>5349</v>
      </c>
      <c r="K401" s="319" t="s">
        <v>191</v>
      </c>
      <c r="L401" s="320">
        <v>4</v>
      </c>
      <c r="M401" s="320">
        <v>4</v>
      </c>
      <c r="N401" s="322" t="s">
        <v>12</v>
      </c>
      <c r="O401" s="151">
        <v>5</v>
      </c>
      <c r="P401" s="151" t="s">
        <v>199</v>
      </c>
    </row>
    <row r="402" spans="1:16" ht="22.5">
      <c r="A402" s="319" t="s">
        <v>5377</v>
      </c>
      <c r="B402" s="319" t="s">
        <v>5378</v>
      </c>
      <c r="C402" s="319" t="s">
        <v>5377</v>
      </c>
      <c r="D402" s="319"/>
      <c r="E402" s="319" t="s">
        <v>242</v>
      </c>
      <c r="F402" s="319"/>
      <c r="G402" s="318" t="s">
        <v>4524</v>
      </c>
      <c r="H402" s="324" t="s">
        <v>5379</v>
      </c>
      <c r="I402" s="324" t="s">
        <v>204</v>
      </c>
      <c r="J402" s="319" t="s">
        <v>5349</v>
      </c>
      <c r="K402" s="319" t="s">
        <v>191</v>
      </c>
      <c r="L402" s="320">
        <v>4</v>
      </c>
      <c r="M402" s="320">
        <v>4</v>
      </c>
      <c r="N402" s="322" t="s">
        <v>12</v>
      </c>
      <c r="O402" s="151">
        <v>5</v>
      </c>
      <c r="P402" s="151" t="s">
        <v>199</v>
      </c>
    </row>
    <row r="403" spans="1:16" ht="22.5">
      <c r="A403" s="319" t="s">
        <v>5380</v>
      </c>
      <c r="B403" s="319" t="s">
        <v>5381</v>
      </c>
      <c r="C403" s="319" t="s">
        <v>5380</v>
      </c>
      <c r="D403" s="319"/>
      <c r="E403" s="319" t="s">
        <v>242</v>
      </c>
      <c r="F403" s="319"/>
      <c r="G403" s="318" t="s">
        <v>4524</v>
      </c>
      <c r="H403" s="324" t="s">
        <v>5382</v>
      </c>
      <c r="I403" s="324" t="s">
        <v>204</v>
      </c>
      <c r="J403" s="319" t="s">
        <v>5349</v>
      </c>
      <c r="K403" s="319" t="s">
        <v>191</v>
      </c>
      <c r="L403" s="320">
        <v>4</v>
      </c>
      <c r="M403" s="320">
        <v>4</v>
      </c>
      <c r="N403" s="322" t="s">
        <v>12</v>
      </c>
      <c r="O403" s="151">
        <v>5</v>
      </c>
      <c r="P403" s="151" t="s">
        <v>199</v>
      </c>
    </row>
    <row r="404" spans="1:16" ht="22.5">
      <c r="A404" s="319" t="s">
        <v>5383</v>
      </c>
      <c r="B404" s="319" t="s">
        <v>5384</v>
      </c>
      <c r="C404" s="319" t="s">
        <v>5383</v>
      </c>
      <c r="D404" s="319"/>
      <c r="E404" s="319" t="s">
        <v>242</v>
      </c>
      <c r="F404" s="319"/>
      <c r="G404" s="318" t="s">
        <v>4524</v>
      </c>
      <c r="H404" s="324" t="s">
        <v>5385</v>
      </c>
      <c r="I404" s="324" t="s">
        <v>204</v>
      </c>
      <c r="J404" s="319" t="s">
        <v>5349</v>
      </c>
      <c r="K404" s="319" t="s">
        <v>191</v>
      </c>
      <c r="L404" s="320">
        <v>4</v>
      </c>
      <c r="M404" s="320">
        <v>4</v>
      </c>
      <c r="N404" s="322" t="s">
        <v>12</v>
      </c>
      <c r="O404" s="151">
        <v>5</v>
      </c>
      <c r="P404" s="151" t="s">
        <v>199</v>
      </c>
    </row>
    <row r="405" spans="1:16">
      <c r="A405" s="319" t="s">
        <v>5386</v>
      </c>
      <c r="B405" s="319" t="s">
        <v>5387</v>
      </c>
      <c r="C405" s="319" t="s">
        <v>5386</v>
      </c>
      <c r="D405" s="319"/>
      <c r="E405" s="319" t="s">
        <v>242</v>
      </c>
      <c r="F405" s="319"/>
      <c r="G405" s="318" t="s">
        <v>4524</v>
      </c>
      <c r="H405" s="324" t="s">
        <v>5388</v>
      </c>
      <c r="I405" s="324" t="s">
        <v>204</v>
      </c>
      <c r="J405" s="319" t="s">
        <v>5349</v>
      </c>
      <c r="K405" s="319" t="s">
        <v>191</v>
      </c>
      <c r="L405" s="320">
        <v>4</v>
      </c>
      <c r="M405" s="320">
        <v>4</v>
      </c>
      <c r="N405" s="322" t="s">
        <v>12</v>
      </c>
      <c r="O405" s="151">
        <v>5</v>
      </c>
      <c r="P405" s="151" t="s">
        <v>199</v>
      </c>
    </row>
    <row r="406" spans="1:16" ht="22.5">
      <c r="A406" s="319" t="s">
        <v>5389</v>
      </c>
      <c r="B406" s="319" t="s">
        <v>5390</v>
      </c>
      <c r="C406" s="319" t="s">
        <v>5389</v>
      </c>
      <c r="D406" s="319"/>
      <c r="E406" s="319" t="s">
        <v>242</v>
      </c>
      <c r="F406" s="319"/>
      <c r="G406" s="318" t="s">
        <v>4524</v>
      </c>
      <c r="H406" s="324" t="s">
        <v>5391</v>
      </c>
      <c r="I406" s="324" t="s">
        <v>204</v>
      </c>
      <c r="J406" s="319" t="s">
        <v>5349</v>
      </c>
      <c r="K406" s="319" t="s">
        <v>191</v>
      </c>
      <c r="L406" s="320">
        <v>4</v>
      </c>
      <c r="M406" s="320">
        <v>4</v>
      </c>
      <c r="N406" s="322" t="s">
        <v>12</v>
      </c>
      <c r="O406" s="151">
        <v>5</v>
      </c>
      <c r="P406" s="151" t="s">
        <v>199</v>
      </c>
    </row>
    <row r="407" spans="1:16" ht="22.5">
      <c r="A407" s="319" t="s">
        <v>5392</v>
      </c>
      <c r="B407" s="319" t="s">
        <v>5393</v>
      </c>
      <c r="C407" s="319" t="s">
        <v>5392</v>
      </c>
      <c r="D407" s="319"/>
      <c r="E407" s="319" t="s">
        <v>242</v>
      </c>
      <c r="F407" s="319"/>
      <c r="G407" s="318" t="s">
        <v>4524</v>
      </c>
      <c r="H407" s="324" t="s">
        <v>5394</v>
      </c>
      <c r="I407" s="324" t="s">
        <v>204</v>
      </c>
      <c r="J407" s="319" t="s">
        <v>5349</v>
      </c>
      <c r="K407" s="319" t="s">
        <v>191</v>
      </c>
      <c r="L407" s="320">
        <v>4</v>
      </c>
      <c r="M407" s="320">
        <v>4</v>
      </c>
      <c r="N407" s="322" t="s">
        <v>12</v>
      </c>
      <c r="O407" s="151">
        <v>5</v>
      </c>
      <c r="P407" s="151" t="s">
        <v>199</v>
      </c>
    </row>
    <row r="408" spans="1:16" ht="22.5">
      <c r="A408" s="319" t="s">
        <v>5395</v>
      </c>
      <c r="B408" s="319" t="s">
        <v>5396</v>
      </c>
      <c r="C408" s="319" t="s">
        <v>5395</v>
      </c>
      <c r="D408" s="319"/>
      <c r="E408" s="319" t="s">
        <v>242</v>
      </c>
      <c r="F408" s="319"/>
      <c r="G408" s="318" t="s">
        <v>4524</v>
      </c>
      <c r="H408" s="324" t="s">
        <v>5397</v>
      </c>
      <c r="I408" s="324" t="s">
        <v>204</v>
      </c>
      <c r="J408" s="319" t="s">
        <v>5349</v>
      </c>
      <c r="K408" s="319" t="s">
        <v>191</v>
      </c>
      <c r="L408" s="320">
        <v>4</v>
      </c>
      <c r="M408" s="320">
        <v>4</v>
      </c>
      <c r="N408" s="322" t="s">
        <v>12</v>
      </c>
      <c r="O408" s="151">
        <v>5</v>
      </c>
      <c r="P408" s="151" t="s">
        <v>199</v>
      </c>
    </row>
    <row r="409" spans="1:16" ht="22.5">
      <c r="A409" s="319" t="s">
        <v>5398</v>
      </c>
      <c r="B409" s="319" t="s">
        <v>5399</v>
      </c>
      <c r="C409" s="319" t="s">
        <v>5398</v>
      </c>
      <c r="D409" s="319"/>
      <c r="E409" s="319" t="s">
        <v>242</v>
      </c>
      <c r="F409" s="319"/>
      <c r="G409" s="318" t="s">
        <v>4524</v>
      </c>
      <c r="H409" s="324" t="s">
        <v>5400</v>
      </c>
      <c r="I409" s="324" t="s">
        <v>204</v>
      </c>
      <c r="J409" s="319" t="s">
        <v>5349</v>
      </c>
      <c r="K409" s="319" t="s">
        <v>191</v>
      </c>
      <c r="L409" s="320">
        <v>4</v>
      </c>
      <c r="M409" s="320">
        <v>4</v>
      </c>
      <c r="N409" s="322" t="s">
        <v>12</v>
      </c>
      <c r="O409" s="151">
        <v>5</v>
      </c>
      <c r="P409" s="151" t="s">
        <v>199</v>
      </c>
    </row>
    <row r="410" spans="1:16" ht="22.5">
      <c r="A410" s="319" t="s">
        <v>5401</v>
      </c>
      <c r="B410" s="319" t="s">
        <v>5402</v>
      </c>
      <c r="C410" s="319" t="s">
        <v>5401</v>
      </c>
      <c r="D410" s="324"/>
      <c r="E410" s="319" t="s">
        <v>242</v>
      </c>
      <c r="F410" s="319"/>
      <c r="G410" s="318" t="s">
        <v>4327</v>
      </c>
      <c r="H410" s="324" t="s">
        <v>5403</v>
      </c>
      <c r="I410" s="324" t="s">
        <v>204</v>
      </c>
      <c r="J410" s="319" t="s">
        <v>5349</v>
      </c>
      <c r="K410" s="319" t="s">
        <v>191</v>
      </c>
      <c r="L410" s="320">
        <v>4</v>
      </c>
      <c r="M410" s="320">
        <v>4</v>
      </c>
      <c r="N410" s="322" t="s">
        <v>12</v>
      </c>
      <c r="O410" s="151">
        <v>5</v>
      </c>
      <c r="P410" s="151" t="s">
        <v>199</v>
      </c>
    </row>
    <row r="411" spans="1:16" ht="22.5">
      <c r="A411" s="319" t="s">
        <v>5404</v>
      </c>
      <c r="B411" s="319" t="s">
        <v>5405</v>
      </c>
      <c r="C411" s="319" t="s">
        <v>5404</v>
      </c>
      <c r="D411" s="319"/>
      <c r="E411" s="319" t="s">
        <v>242</v>
      </c>
      <c r="F411" s="319"/>
      <c r="G411" s="318" t="s">
        <v>4524</v>
      </c>
      <c r="H411" s="324" t="s">
        <v>5406</v>
      </c>
      <c r="I411" s="324" t="s">
        <v>204</v>
      </c>
      <c r="J411" s="319" t="s">
        <v>5349</v>
      </c>
      <c r="K411" s="319" t="s">
        <v>191</v>
      </c>
      <c r="L411" s="320">
        <v>4</v>
      </c>
      <c r="M411" s="320">
        <v>4</v>
      </c>
      <c r="N411" s="322" t="s">
        <v>12</v>
      </c>
      <c r="O411" s="151">
        <v>5</v>
      </c>
      <c r="P411" s="151" t="s">
        <v>199</v>
      </c>
    </row>
    <row r="412" spans="1:16" ht="22.5">
      <c r="A412" s="319" t="s">
        <v>5407</v>
      </c>
      <c r="B412" s="319" t="s">
        <v>5408</v>
      </c>
      <c r="C412" s="319" t="s">
        <v>5407</v>
      </c>
      <c r="D412" s="319"/>
      <c r="E412" s="319" t="s">
        <v>242</v>
      </c>
      <c r="F412" s="319"/>
      <c r="G412" s="318" t="s">
        <v>4524</v>
      </c>
      <c r="H412" s="324" t="s">
        <v>5409</v>
      </c>
      <c r="I412" s="324" t="s">
        <v>204</v>
      </c>
      <c r="J412" s="319" t="s">
        <v>5349</v>
      </c>
      <c r="K412" s="319" t="s">
        <v>191</v>
      </c>
      <c r="L412" s="320">
        <v>4</v>
      </c>
      <c r="M412" s="320">
        <v>4</v>
      </c>
      <c r="N412" s="322" t="s">
        <v>12</v>
      </c>
      <c r="O412" s="151">
        <v>5</v>
      </c>
      <c r="P412" s="151" t="s">
        <v>199</v>
      </c>
    </row>
    <row r="413" spans="1:16">
      <c r="A413" s="319" t="s">
        <v>5410</v>
      </c>
      <c r="B413" s="319" t="s">
        <v>5411</v>
      </c>
      <c r="C413" s="319" t="s">
        <v>5410</v>
      </c>
      <c r="D413" s="319"/>
      <c r="E413" s="319" t="s">
        <v>242</v>
      </c>
      <c r="F413" s="319"/>
      <c r="G413" s="318" t="s">
        <v>4524</v>
      </c>
      <c r="H413" s="324" t="s">
        <v>5412</v>
      </c>
      <c r="I413" s="324" t="s">
        <v>204</v>
      </c>
      <c r="J413" s="319" t="s">
        <v>5349</v>
      </c>
      <c r="K413" s="319" t="s">
        <v>191</v>
      </c>
      <c r="L413" s="320">
        <v>4</v>
      </c>
      <c r="M413" s="320">
        <v>4</v>
      </c>
      <c r="N413" s="322" t="s">
        <v>12</v>
      </c>
      <c r="O413" s="151">
        <v>5</v>
      </c>
      <c r="P413" s="151" t="s">
        <v>199</v>
      </c>
    </row>
    <row r="414" spans="1:16" ht="22.5">
      <c r="A414" s="319" t="s">
        <v>5413</v>
      </c>
      <c r="B414" s="319" t="s">
        <v>5414</v>
      </c>
      <c r="C414" s="319" t="s">
        <v>5413</v>
      </c>
      <c r="D414" s="319"/>
      <c r="E414" s="319" t="s">
        <v>242</v>
      </c>
      <c r="F414" s="319"/>
      <c r="G414" s="318" t="s">
        <v>4524</v>
      </c>
      <c r="H414" s="324" t="s">
        <v>5415</v>
      </c>
      <c r="I414" s="324" t="s">
        <v>204</v>
      </c>
      <c r="J414" s="319" t="s">
        <v>5349</v>
      </c>
      <c r="K414" s="319" t="s">
        <v>191</v>
      </c>
      <c r="L414" s="320">
        <v>4</v>
      </c>
      <c r="M414" s="320">
        <v>4</v>
      </c>
      <c r="N414" s="322" t="s">
        <v>12</v>
      </c>
      <c r="O414" s="151">
        <v>5</v>
      </c>
      <c r="P414" s="151" t="s">
        <v>199</v>
      </c>
    </row>
    <row r="415" spans="1:16" ht="22.5">
      <c r="A415" s="319" t="s">
        <v>5416</v>
      </c>
      <c r="B415" s="319" t="s">
        <v>5417</v>
      </c>
      <c r="C415" s="319" t="s">
        <v>5416</v>
      </c>
      <c r="D415" s="319"/>
      <c r="E415" s="319" t="s">
        <v>242</v>
      </c>
      <c r="F415" s="319"/>
      <c r="G415" s="318" t="s">
        <v>4524</v>
      </c>
      <c r="H415" s="324" t="s">
        <v>5418</v>
      </c>
      <c r="I415" s="324" t="s">
        <v>204</v>
      </c>
      <c r="J415" s="319" t="s">
        <v>5349</v>
      </c>
      <c r="K415" s="319" t="s">
        <v>191</v>
      </c>
      <c r="L415" s="320">
        <v>4</v>
      </c>
      <c r="M415" s="320">
        <v>4</v>
      </c>
      <c r="N415" s="322" t="s">
        <v>12</v>
      </c>
      <c r="O415" s="151">
        <v>5</v>
      </c>
      <c r="P415" s="151" t="s">
        <v>199</v>
      </c>
    </row>
    <row r="416" spans="1:16" ht="22.5">
      <c r="A416" s="319" t="s">
        <v>5419</v>
      </c>
      <c r="B416" s="319" t="s">
        <v>5420</v>
      </c>
      <c r="C416" s="319" t="s">
        <v>5419</v>
      </c>
      <c r="D416" s="319"/>
      <c r="E416" s="319" t="s">
        <v>242</v>
      </c>
      <c r="F416" s="319"/>
      <c r="G416" s="318" t="s">
        <v>4754</v>
      </c>
      <c r="H416" s="324" t="s">
        <v>5421</v>
      </c>
      <c r="I416" s="324" t="s">
        <v>204</v>
      </c>
      <c r="J416" s="319" t="s">
        <v>5349</v>
      </c>
      <c r="K416" s="319" t="s">
        <v>191</v>
      </c>
      <c r="L416" s="320">
        <v>4</v>
      </c>
      <c r="M416" s="320">
        <v>4</v>
      </c>
      <c r="N416" s="322" t="s">
        <v>12</v>
      </c>
      <c r="O416" s="151">
        <v>5</v>
      </c>
      <c r="P416" s="151" t="s">
        <v>199</v>
      </c>
    </row>
    <row r="417" spans="1:16" ht="33.75">
      <c r="A417" s="319" t="s">
        <v>5422</v>
      </c>
      <c r="B417" s="319" t="s">
        <v>5423</v>
      </c>
      <c r="C417" s="319" t="s">
        <v>5422</v>
      </c>
      <c r="D417" s="319"/>
      <c r="E417" s="319" t="s">
        <v>242</v>
      </c>
      <c r="F417" s="319"/>
      <c r="G417" s="318" t="s">
        <v>4754</v>
      </c>
      <c r="H417" s="324" t="s">
        <v>5424</v>
      </c>
      <c r="I417" s="324" t="s">
        <v>204</v>
      </c>
      <c r="J417" s="319" t="s">
        <v>5349</v>
      </c>
      <c r="K417" s="319" t="s">
        <v>191</v>
      </c>
      <c r="L417" s="320">
        <v>4</v>
      </c>
      <c r="M417" s="320">
        <v>4</v>
      </c>
      <c r="N417" s="322" t="s">
        <v>12</v>
      </c>
      <c r="O417" s="151">
        <v>5</v>
      </c>
      <c r="P417" s="151" t="s">
        <v>199</v>
      </c>
    </row>
    <row r="418" spans="1:16">
      <c r="A418" s="319" t="s">
        <v>5425</v>
      </c>
      <c r="B418" s="319" t="s">
        <v>5426</v>
      </c>
      <c r="C418" s="330" t="s">
        <v>5427</v>
      </c>
      <c r="D418" s="319"/>
      <c r="E418" s="319" t="s">
        <v>242</v>
      </c>
      <c r="F418" s="319"/>
      <c r="G418" s="318" t="s">
        <v>5428</v>
      </c>
      <c r="H418" s="325" t="s">
        <v>5429</v>
      </c>
      <c r="I418" s="324" t="s">
        <v>204</v>
      </c>
      <c r="J418" s="319" t="s">
        <v>5349</v>
      </c>
      <c r="K418" s="319" t="s">
        <v>191</v>
      </c>
      <c r="L418" s="320">
        <v>4</v>
      </c>
      <c r="M418" s="320">
        <v>4</v>
      </c>
      <c r="N418" s="322" t="s">
        <v>12</v>
      </c>
      <c r="O418" s="151">
        <v>5</v>
      </c>
      <c r="P418" s="151" t="s">
        <v>199</v>
      </c>
    </row>
    <row r="419" spans="1:16">
      <c r="A419" s="319" t="s">
        <v>5430</v>
      </c>
      <c r="B419" s="319" t="s">
        <v>5431</v>
      </c>
      <c r="C419" s="330" t="s">
        <v>5432</v>
      </c>
      <c r="D419" s="319"/>
      <c r="E419" s="319" t="s">
        <v>242</v>
      </c>
      <c r="F419" s="319"/>
      <c r="G419" s="318" t="s">
        <v>4754</v>
      </c>
      <c r="H419" s="325" t="s">
        <v>5433</v>
      </c>
      <c r="I419" s="324" t="s">
        <v>204</v>
      </c>
      <c r="J419" s="319" t="s">
        <v>5349</v>
      </c>
      <c r="K419" s="319" t="s">
        <v>191</v>
      </c>
      <c r="L419" s="320">
        <v>4</v>
      </c>
      <c r="M419" s="320">
        <v>4</v>
      </c>
      <c r="N419" s="322" t="s">
        <v>12</v>
      </c>
      <c r="O419" s="151">
        <v>5</v>
      </c>
      <c r="P419" s="151" t="s">
        <v>199</v>
      </c>
    </row>
    <row r="420" spans="1:16" ht="22.5">
      <c r="A420" s="319" t="s">
        <v>5434</v>
      </c>
      <c r="B420" s="319" t="s">
        <v>5435</v>
      </c>
      <c r="C420" s="319" t="s">
        <v>5434</v>
      </c>
      <c r="D420" s="319"/>
      <c r="E420" s="319" t="s">
        <v>242</v>
      </c>
      <c r="F420" s="319"/>
      <c r="G420" s="318" t="s">
        <v>4754</v>
      </c>
      <c r="H420" s="324" t="s">
        <v>5436</v>
      </c>
      <c r="I420" s="324" t="s">
        <v>204</v>
      </c>
      <c r="J420" s="319" t="s">
        <v>5349</v>
      </c>
      <c r="K420" s="319" t="s">
        <v>191</v>
      </c>
      <c r="L420" s="320">
        <v>4</v>
      </c>
      <c r="M420" s="320">
        <v>4</v>
      </c>
      <c r="N420" s="322" t="s">
        <v>12</v>
      </c>
      <c r="O420" s="151">
        <v>5</v>
      </c>
      <c r="P420" s="151" t="s">
        <v>199</v>
      </c>
    </row>
    <row r="421" spans="1:16" ht="22.5">
      <c r="A421" s="319" t="s">
        <v>5437</v>
      </c>
      <c r="B421" s="319" t="s">
        <v>5438</v>
      </c>
      <c r="C421" s="319" t="s">
        <v>5437</v>
      </c>
      <c r="D421" s="319"/>
      <c r="E421" s="319" t="s">
        <v>242</v>
      </c>
      <c r="F421" s="319"/>
      <c r="G421" s="318" t="s">
        <v>4754</v>
      </c>
      <c r="H421" s="324" t="s">
        <v>5439</v>
      </c>
      <c r="I421" s="324" t="s">
        <v>204</v>
      </c>
      <c r="J421" s="319" t="s">
        <v>5349</v>
      </c>
      <c r="K421" s="319" t="s">
        <v>191</v>
      </c>
      <c r="L421" s="320">
        <v>4</v>
      </c>
      <c r="M421" s="320">
        <v>4</v>
      </c>
      <c r="N421" s="322" t="s">
        <v>12</v>
      </c>
      <c r="O421" s="151">
        <v>5</v>
      </c>
      <c r="P421" s="151" t="s">
        <v>199</v>
      </c>
    </row>
    <row r="422" spans="1:16" ht="22.5">
      <c r="A422" s="319" t="s">
        <v>5440</v>
      </c>
      <c r="B422" s="319" t="s">
        <v>5441</v>
      </c>
      <c r="C422" s="319" t="s">
        <v>5440</v>
      </c>
      <c r="D422" s="319"/>
      <c r="E422" s="319" t="s">
        <v>242</v>
      </c>
      <c r="F422" s="319"/>
      <c r="G422" s="318" t="s">
        <v>4754</v>
      </c>
      <c r="H422" s="324" t="s">
        <v>5442</v>
      </c>
      <c r="I422" s="324" t="s">
        <v>204</v>
      </c>
      <c r="J422" s="319" t="s">
        <v>5349</v>
      </c>
      <c r="K422" s="319" t="s">
        <v>191</v>
      </c>
      <c r="L422" s="320">
        <v>4</v>
      </c>
      <c r="M422" s="320">
        <v>4</v>
      </c>
      <c r="N422" s="322" t="s">
        <v>12</v>
      </c>
      <c r="O422" s="151">
        <v>5</v>
      </c>
      <c r="P422" s="151" t="s">
        <v>199</v>
      </c>
    </row>
    <row r="423" spans="1:16" ht="22.5">
      <c r="A423" s="319" t="s">
        <v>5443</v>
      </c>
      <c r="B423" s="319" t="s">
        <v>5444</v>
      </c>
      <c r="C423" s="319" t="s">
        <v>5443</v>
      </c>
      <c r="D423" s="319"/>
      <c r="E423" s="319" t="s">
        <v>242</v>
      </c>
      <c r="F423" s="319"/>
      <c r="G423" s="318" t="s">
        <v>4754</v>
      </c>
      <c r="H423" s="324" t="s">
        <v>5445</v>
      </c>
      <c r="I423" s="324" t="s">
        <v>204</v>
      </c>
      <c r="J423" s="319" t="s">
        <v>5349</v>
      </c>
      <c r="K423" s="319" t="s">
        <v>191</v>
      </c>
      <c r="L423" s="320">
        <v>4</v>
      </c>
      <c r="M423" s="320">
        <v>4</v>
      </c>
      <c r="N423" s="322" t="s">
        <v>12</v>
      </c>
      <c r="O423" s="151">
        <v>5</v>
      </c>
      <c r="P423" s="151" t="s">
        <v>199</v>
      </c>
    </row>
    <row r="424" spans="1:16" ht="22.5">
      <c r="A424" s="319" t="s">
        <v>5446</v>
      </c>
      <c r="B424" s="319" t="s">
        <v>5447</v>
      </c>
      <c r="C424" s="319" t="s">
        <v>5446</v>
      </c>
      <c r="D424" s="319"/>
      <c r="E424" s="319" t="s">
        <v>242</v>
      </c>
      <c r="F424" s="319"/>
      <c r="G424" s="318" t="s">
        <v>4754</v>
      </c>
      <c r="H424" s="324" t="s">
        <v>5448</v>
      </c>
      <c r="I424" s="324" t="s">
        <v>204</v>
      </c>
      <c r="J424" s="319" t="s">
        <v>5349</v>
      </c>
      <c r="K424" s="319" t="s">
        <v>191</v>
      </c>
      <c r="L424" s="320">
        <v>4</v>
      </c>
      <c r="M424" s="320">
        <v>4</v>
      </c>
      <c r="N424" s="322" t="s">
        <v>12</v>
      </c>
      <c r="O424" s="151">
        <v>5</v>
      </c>
      <c r="P424" s="151" t="s">
        <v>199</v>
      </c>
    </row>
    <row r="425" spans="1:16" ht="22.5">
      <c r="A425" s="319" t="s">
        <v>5449</v>
      </c>
      <c r="B425" s="319" t="s">
        <v>5450</v>
      </c>
      <c r="C425" s="330" t="s">
        <v>5451</v>
      </c>
      <c r="D425" s="319"/>
      <c r="E425" s="319" t="s">
        <v>242</v>
      </c>
      <c r="F425" s="319"/>
      <c r="G425" s="318" t="s">
        <v>4754</v>
      </c>
      <c r="H425" s="324" t="s">
        <v>5452</v>
      </c>
      <c r="I425" s="324" t="s">
        <v>204</v>
      </c>
      <c r="J425" s="319" t="s">
        <v>5349</v>
      </c>
      <c r="K425" s="319" t="s">
        <v>191</v>
      </c>
      <c r="L425" s="320">
        <v>4</v>
      </c>
      <c r="M425" s="320">
        <v>4</v>
      </c>
      <c r="N425" s="322" t="s">
        <v>12</v>
      </c>
      <c r="O425" s="151">
        <v>5</v>
      </c>
      <c r="P425" s="151" t="s">
        <v>199</v>
      </c>
    </row>
    <row r="426" spans="1:16" ht="22.5">
      <c r="A426" s="319" t="s">
        <v>5453</v>
      </c>
      <c r="B426" s="319" t="s">
        <v>5454</v>
      </c>
      <c r="C426" s="319" t="s">
        <v>5453</v>
      </c>
      <c r="D426" s="319"/>
      <c r="E426" s="319" t="s">
        <v>242</v>
      </c>
      <c r="F426" s="319"/>
      <c r="G426" s="318" t="s">
        <v>4754</v>
      </c>
      <c r="H426" s="324" t="s">
        <v>5455</v>
      </c>
      <c r="I426" s="324" t="s">
        <v>204</v>
      </c>
      <c r="J426" s="319" t="s">
        <v>5349</v>
      </c>
      <c r="K426" s="319" t="s">
        <v>191</v>
      </c>
      <c r="L426" s="320">
        <v>4</v>
      </c>
      <c r="M426" s="320">
        <v>4</v>
      </c>
      <c r="N426" s="322" t="s">
        <v>12</v>
      </c>
      <c r="O426" s="151">
        <v>5</v>
      </c>
      <c r="P426" s="151" t="s">
        <v>199</v>
      </c>
    </row>
    <row r="427" spans="1:16" ht="22.5">
      <c r="A427" s="319" t="s">
        <v>5456</v>
      </c>
      <c r="B427" s="319" t="s">
        <v>5457</v>
      </c>
      <c r="C427" s="319" t="s">
        <v>5456</v>
      </c>
      <c r="D427" s="319"/>
      <c r="E427" s="319" t="s">
        <v>242</v>
      </c>
      <c r="F427" s="319"/>
      <c r="G427" s="318" t="s">
        <v>4754</v>
      </c>
      <c r="H427" s="324" t="s">
        <v>5458</v>
      </c>
      <c r="I427" s="324" t="s">
        <v>204</v>
      </c>
      <c r="J427" s="319" t="s">
        <v>5349</v>
      </c>
      <c r="K427" s="319" t="s">
        <v>191</v>
      </c>
      <c r="L427" s="320">
        <v>4</v>
      </c>
      <c r="M427" s="320">
        <v>4</v>
      </c>
      <c r="N427" s="322" t="s">
        <v>12</v>
      </c>
      <c r="O427" s="151">
        <v>5</v>
      </c>
      <c r="P427" s="151" t="s">
        <v>199</v>
      </c>
    </row>
    <row r="428" spans="1:16" ht="22.5">
      <c r="A428" s="319" t="s">
        <v>5459</v>
      </c>
      <c r="B428" s="319" t="s">
        <v>5460</v>
      </c>
      <c r="C428" s="319" t="s">
        <v>5459</v>
      </c>
      <c r="D428" s="319"/>
      <c r="E428" s="319" t="s">
        <v>242</v>
      </c>
      <c r="F428" s="319"/>
      <c r="G428" s="318" t="s">
        <v>4754</v>
      </c>
      <c r="H428" s="324" t="s">
        <v>5461</v>
      </c>
      <c r="I428" s="324" t="s">
        <v>204</v>
      </c>
      <c r="J428" s="319" t="s">
        <v>5349</v>
      </c>
      <c r="K428" s="319" t="s">
        <v>191</v>
      </c>
      <c r="L428" s="320">
        <v>4</v>
      </c>
      <c r="M428" s="320">
        <v>4</v>
      </c>
      <c r="N428" s="322" t="s">
        <v>12</v>
      </c>
      <c r="O428" s="151">
        <v>5</v>
      </c>
      <c r="P428" s="151" t="s">
        <v>199</v>
      </c>
    </row>
    <row r="429" spans="1:16" ht="22.5">
      <c r="A429" s="319" t="s">
        <v>5462</v>
      </c>
      <c r="B429" s="319" t="s">
        <v>5463</v>
      </c>
      <c r="C429" s="319" t="s">
        <v>5462</v>
      </c>
      <c r="D429" s="319"/>
      <c r="E429" s="319" t="s">
        <v>242</v>
      </c>
      <c r="F429" s="319"/>
      <c r="G429" s="318" t="s">
        <v>4754</v>
      </c>
      <c r="H429" s="324" t="s">
        <v>5464</v>
      </c>
      <c r="I429" s="324" t="s">
        <v>204</v>
      </c>
      <c r="J429" s="319" t="s">
        <v>5349</v>
      </c>
      <c r="K429" s="319" t="s">
        <v>191</v>
      </c>
      <c r="L429" s="320">
        <v>4</v>
      </c>
      <c r="M429" s="320">
        <v>4</v>
      </c>
      <c r="N429" s="322" t="s">
        <v>12</v>
      </c>
      <c r="O429" s="151">
        <v>5</v>
      </c>
      <c r="P429" s="151" t="s">
        <v>199</v>
      </c>
    </row>
    <row r="430" spans="1:16" ht="22.5">
      <c r="A430" s="319" t="s">
        <v>5465</v>
      </c>
      <c r="B430" s="319" t="s">
        <v>5466</v>
      </c>
      <c r="C430" s="319" t="s">
        <v>5465</v>
      </c>
      <c r="D430" s="319"/>
      <c r="E430" s="319" t="s">
        <v>242</v>
      </c>
      <c r="F430" s="319"/>
      <c r="G430" s="318" t="s">
        <v>4754</v>
      </c>
      <c r="H430" s="324" t="s">
        <v>5467</v>
      </c>
      <c r="I430" s="324" t="s">
        <v>204</v>
      </c>
      <c r="J430" s="319" t="s">
        <v>5349</v>
      </c>
      <c r="K430" s="319" t="s">
        <v>191</v>
      </c>
      <c r="L430" s="320">
        <v>4</v>
      </c>
      <c r="M430" s="320">
        <v>4</v>
      </c>
      <c r="N430" s="322" t="s">
        <v>12</v>
      </c>
      <c r="O430" s="151">
        <v>5</v>
      </c>
      <c r="P430" s="151" t="s">
        <v>199</v>
      </c>
    </row>
    <row r="431" spans="1:16" ht="22.5">
      <c r="A431" s="319" t="s">
        <v>5468</v>
      </c>
      <c r="B431" s="319" t="s">
        <v>5469</v>
      </c>
      <c r="C431" s="319" t="s">
        <v>5468</v>
      </c>
      <c r="D431" s="319"/>
      <c r="E431" s="319" t="s">
        <v>242</v>
      </c>
      <c r="F431" s="319"/>
      <c r="G431" s="318" t="s">
        <v>4754</v>
      </c>
      <c r="H431" s="324" t="s">
        <v>5470</v>
      </c>
      <c r="I431" s="324" t="s">
        <v>204</v>
      </c>
      <c r="J431" s="319" t="s">
        <v>5349</v>
      </c>
      <c r="K431" s="319" t="s">
        <v>191</v>
      </c>
      <c r="L431" s="320">
        <v>4</v>
      </c>
      <c r="M431" s="320">
        <v>4</v>
      </c>
      <c r="N431" s="322" t="s">
        <v>12</v>
      </c>
      <c r="O431" s="151">
        <v>5</v>
      </c>
      <c r="P431" s="151" t="s">
        <v>199</v>
      </c>
    </row>
    <row r="432" spans="1:16" ht="22.5">
      <c r="A432" s="319" t="s">
        <v>5471</v>
      </c>
      <c r="B432" s="319" t="s">
        <v>5472</v>
      </c>
      <c r="C432" s="319" t="s">
        <v>5471</v>
      </c>
      <c r="D432" s="319"/>
      <c r="E432" s="319" t="s">
        <v>242</v>
      </c>
      <c r="F432" s="319"/>
      <c r="G432" s="318" t="s">
        <v>4754</v>
      </c>
      <c r="H432" s="324" t="s">
        <v>5473</v>
      </c>
      <c r="I432" s="324" t="s">
        <v>204</v>
      </c>
      <c r="J432" s="319" t="s">
        <v>5349</v>
      </c>
      <c r="K432" s="319" t="s">
        <v>191</v>
      </c>
      <c r="L432" s="320">
        <v>4</v>
      </c>
      <c r="M432" s="320">
        <v>4</v>
      </c>
      <c r="N432" s="322" t="s">
        <v>12</v>
      </c>
      <c r="O432" s="151">
        <v>5</v>
      </c>
      <c r="P432" s="151" t="s">
        <v>199</v>
      </c>
    </row>
    <row r="433" spans="1:16" ht="22.5">
      <c r="A433" s="319" t="s">
        <v>5474</v>
      </c>
      <c r="B433" s="319" t="s">
        <v>5475</v>
      </c>
      <c r="C433" s="319" t="s">
        <v>5474</v>
      </c>
      <c r="D433" s="319"/>
      <c r="E433" s="319" t="s">
        <v>242</v>
      </c>
      <c r="F433" s="319"/>
      <c r="G433" s="318" t="s">
        <v>4754</v>
      </c>
      <c r="H433" s="324" t="s">
        <v>5476</v>
      </c>
      <c r="I433" s="324" t="s">
        <v>204</v>
      </c>
      <c r="J433" s="319" t="s">
        <v>5349</v>
      </c>
      <c r="K433" s="319" t="s">
        <v>191</v>
      </c>
      <c r="L433" s="320">
        <v>4</v>
      </c>
      <c r="M433" s="320">
        <v>4</v>
      </c>
      <c r="N433" s="322" t="s">
        <v>12</v>
      </c>
      <c r="O433" s="151">
        <v>5</v>
      </c>
      <c r="P433" s="151" t="s">
        <v>199</v>
      </c>
    </row>
    <row r="434" spans="1:16" ht="22.5">
      <c r="A434" s="319" t="s">
        <v>5477</v>
      </c>
      <c r="B434" s="319" t="s">
        <v>5478</v>
      </c>
      <c r="C434" s="330" t="s">
        <v>5479</v>
      </c>
      <c r="D434" s="319"/>
      <c r="E434" s="319" t="s">
        <v>242</v>
      </c>
      <c r="F434" s="319"/>
      <c r="G434" s="318" t="s">
        <v>4754</v>
      </c>
      <c r="H434" s="324" t="s">
        <v>5480</v>
      </c>
      <c r="I434" s="324" t="s">
        <v>204</v>
      </c>
      <c r="J434" s="319" t="s">
        <v>5349</v>
      </c>
      <c r="K434" s="319" t="s">
        <v>191</v>
      </c>
      <c r="L434" s="320">
        <v>4</v>
      </c>
      <c r="M434" s="320">
        <v>4</v>
      </c>
      <c r="N434" s="322" t="s">
        <v>12</v>
      </c>
      <c r="O434" s="151">
        <v>5</v>
      </c>
      <c r="P434" s="151" t="s">
        <v>199</v>
      </c>
    </row>
    <row r="435" spans="1:16" ht="22.5">
      <c r="A435" s="319" t="s">
        <v>5481</v>
      </c>
      <c r="B435" s="319" t="s">
        <v>5482</v>
      </c>
      <c r="C435" s="319" t="s">
        <v>5481</v>
      </c>
      <c r="D435" s="319"/>
      <c r="E435" s="319" t="s">
        <v>242</v>
      </c>
      <c r="F435" s="319"/>
      <c r="G435" s="318" t="s">
        <v>4754</v>
      </c>
      <c r="H435" s="324" t="s">
        <v>5483</v>
      </c>
      <c r="I435" s="324" t="s">
        <v>204</v>
      </c>
      <c r="J435" s="319" t="s">
        <v>5349</v>
      </c>
      <c r="K435" s="319" t="s">
        <v>191</v>
      </c>
      <c r="L435" s="320">
        <v>4</v>
      </c>
      <c r="M435" s="320">
        <v>4</v>
      </c>
      <c r="N435" s="322" t="s">
        <v>12</v>
      </c>
      <c r="O435" s="151">
        <v>5</v>
      </c>
      <c r="P435" s="151" t="s">
        <v>199</v>
      </c>
    </row>
    <row r="436" spans="1:16" ht="22.5">
      <c r="A436" s="319" t="s">
        <v>5484</v>
      </c>
      <c r="B436" s="319" t="s">
        <v>5485</v>
      </c>
      <c r="C436" s="319" t="s">
        <v>5484</v>
      </c>
      <c r="D436" s="319"/>
      <c r="E436" s="319" t="s">
        <v>242</v>
      </c>
      <c r="F436" s="319"/>
      <c r="G436" s="318" t="s">
        <v>4754</v>
      </c>
      <c r="H436" s="324" t="s">
        <v>5486</v>
      </c>
      <c r="I436" s="324" t="s">
        <v>204</v>
      </c>
      <c r="J436" s="319" t="s">
        <v>5349</v>
      </c>
      <c r="K436" s="319" t="s">
        <v>191</v>
      </c>
      <c r="L436" s="320">
        <v>4</v>
      </c>
      <c r="M436" s="320">
        <v>4</v>
      </c>
      <c r="N436" s="322" t="s">
        <v>12</v>
      </c>
      <c r="O436" s="151">
        <v>5</v>
      </c>
      <c r="P436" s="151" t="s">
        <v>199</v>
      </c>
    </row>
    <row r="437" spans="1:16" ht="22.5">
      <c r="A437" s="319" t="s">
        <v>5487</v>
      </c>
      <c r="B437" s="319" t="s">
        <v>5488</v>
      </c>
      <c r="C437" s="319" t="s">
        <v>5487</v>
      </c>
      <c r="D437" s="319"/>
      <c r="E437" s="319" t="s">
        <v>242</v>
      </c>
      <c r="F437" s="319"/>
      <c r="G437" s="318" t="s">
        <v>4754</v>
      </c>
      <c r="H437" s="324" t="s">
        <v>5489</v>
      </c>
      <c r="I437" s="324" t="s">
        <v>204</v>
      </c>
      <c r="J437" s="319" t="s">
        <v>5349</v>
      </c>
      <c r="K437" s="319" t="s">
        <v>191</v>
      </c>
      <c r="L437" s="320">
        <v>4</v>
      </c>
      <c r="M437" s="320">
        <v>4</v>
      </c>
      <c r="N437" s="322" t="s">
        <v>12</v>
      </c>
      <c r="O437" s="151">
        <v>5</v>
      </c>
      <c r="P437" s="151" t="s">
        <v>199</v>
      </c>
    </row>
    <row r="438" spans="1:16" ht="22.5">
      <c r="A438" s="319" t="s">
        <v>5490</v>
      </c>
      <c r="B438" s="319" t="s">
        <v>5491</v>
      </c>
      <c r="C438" s="319" t="s">
        <v>5490</v>
      </c>
      <c r="D438" s="319"/>
      <c r="E438" s="319" t="s">
        <v>242</v>
      </c>
      <c r="F438" s="319"/>
      <c r="G438" s="318" t="s">
        <v>4754</v>
      </c>
      <c r="H438" s="324" t="s">
        <v>5492</v>
      </c>
      <c r="I438" s="324" t="s">
        <v>204</v>
      </c>
      <c r="J438" s="319" t="s">
        <v>5349</v>
      </c>
      <c r="K438" s="319" t="s">
        <v>191</v>
      </c>
      <c r="L438" s="320">
        <v>4</v>
      </c>
      <c r="M438" s="320">
        <v>4</v>
      </c>
      <c r="N438" s="322" t="s">
        <v>12</v>
      </c>
      <c r="O438" s="151">
        <v>5</v>
      </c>
      <c r="P438" s="151" t="s">
        <v>199</v>
      </c>
    </row>
    <row r="439" spans="1:16" ht="22.5">
      <c r="A439" s="319" t="s">
        <v>5493</v>
      </c>
      <c r="B439" s="319" t="s">
        <v>5494</v>
      </c>
      <c r="C439" s="319" t="s">
        <v>5493</v>
      </c>
      <c r="D439" s="319"/>
      <c r="E439" s="319" t="s">
        <v>242</v>
      </c>
      <c r="F439" s="319"/>
      <c r="G439" s="318" t="s">
        <v>4754</v>
      </c>
      <c r="H439" s="324" t="s">
        <v>5495</v>
      </c>
      <c r="I439" s="324" t="s">
        <v>204</v>
      </c>
      <c r="J439" s="319" t="s">
        <v>5349</v>
      </c>
      <c r="K439" s="319" t="s">
        <v>191</v>
      </c>
      <c r="L439" s="320">
        <v>4</v>
      </c>
      <c r="M439" s="320">
        <v>4</v>
      </c>
      <c r="N439" s="322" t="s">
        <v>12</v>
      </c>
      <c r="O439" s="151">
        <v>5</v>
      </c>
      <c r="P439" s="151" t="s">
        <v>199</v>
      </c>
    </row>
    <row r="440" spans="1:16" ht="22.5">
      <c r="A440" s="319" t="s">
        <v>5496</v>
      </c>
      <c r="B440" s="319" t="s">
        <v>5497</v>
      </c>
      <c r="C440" s="319" t="s">
        <v>5496</v>
      </c>
      <c r="D440" s="319"/>
      <c r="E440" s="319" t="s">
        <v>242</v>
      </c>
      <c r="F440" s="319"/>
      <c r="G440" s="318" t="s">
        <v>4754</v>
      </c>
      <c r="H440" s="324" t="s">
        <v>5498</v>
      </c>
      <c r="I440" s="324" t="s">
        <v>204</v>
      </c>
      <c r="J440" s="319" t="s">
        <v>5349</v>
      </c>
      <c r="K440" s="319" t="s">
        <v>191</v>
      </c>
      <c r="L440" s="320">
        <v>4</v>
      </c>
      <c r="M440" s="320">
        <v>4</v>
      </c>
      <c r="N440" s="322" t="s">
        <v>12</v>
      </c>
      <c r="O440" s="151">
        <v>5</v>
      </c>
      <c r="P440" s="151" t="s">
        <v>199</v>
      </c>
    </row>
    <row r="441" spans="1:16" ht="22.5">
      <c r="A441" s="319" t="s">
        <v>5499</v>
      </c>
      <c r="B441" s="319" t="s">
        <v>5500</v>
      </c>
      <c r="C441" s="319" t="s">
        <v>5499</v>
      </c>
      <c r="D441" s="319"/>
      <c r="E441" s="319" t="s">
        <v>242</v>
      </c>
      <c r="F441" s="319"/>
      <c r="G441" s="318" t="s">
        <v>4754</v>
      </c>
      <c r="H441" s="324" t="s">
        <v>5501</v>
      </c>
      <c r="I441" s="324" t="s">
        <v>204</v>
      </c>
      <c r="J441" s="319" t="s">
        <v>5349</v>
      </c>
      <c r="K441" s="319" t="s">
        <v>191</v>
      </c>
      <c r="L441" s="320">
        <v>4</v>
      </c>
      <c r="M441" s="320">
        <v>4</v>
      </c>
      <c r="N441" s="322" t="s">
        <v>12</v>
      </c>
      <c r="O441" s="151">
        <v>5</v>
      </c>
      <c r="P441" s="151" t="s">
        <v>199</v>
      </c>
    </row>
    <row r="442" spans="1:16" ht="22.5">
      <c r="A442" s="319" t="s">
        <v>5502</v>
      </c>
      <c r="B442" s="319" t="s">
        <v>5503</v>
      </c>
      <c r="C442" s="319" t="s">
        <v>5502</v>
      </c>
      <c r="D442" s="319"/>
      <c r="E442" s="319" t="s">
        <v>242</v>
      </c>
      <c r="F442" s="319"/>
      <c r="G442" s="318" t="s">
        <v>4754</v>
      </c>
      <c r="H442" s="324" t="s">
        <v>5504</v>
      </c>
      <c r="I442" s="324" t="s">
        <v>204</v>
      </c>
      <c r="J442" s="319" t="s">
        <v>5349</v>
      </c>
      <c r="K442" s="319" t="s">
        <v>191</v>
      </c>
      <c r="L442" s="320">
        <v>4</v>
      </c>
      <c r="M442" s="320">
        <v>4</v>
      </c>
      <c r="N442" s="322" t="s">
        <v>12</v>
      </c>
      <c r="O442" s="151">
        <v>5</v>
      </c>
      <c r="P442" s="151" t="s">
        <v>199</v>
      </c>
    </row>
    <row r="443" spans="1:16" ht="22.5">
      <c r="A443" s="319" t="s">
        <v>5505</v>
      </c>
      <c r="B443" s="319" t="s">
        <v>5506</v>
      </c>
      <c r="C443" s="319" t="s">
        <v>5505</v>
      </c>
      <c r="D443" s="329"/>
      <c r="E443" s="319" t="s">
        <v>242</v>
      </c>
      <c r="F443" s="319"/>
      <c r="G443" s="318" t="s">
        <v>4327</v>
      </c>
      <c r="H443" s="324" t="s">
        <v>5507</v>
      </c>
      <c r="I443" s="324" t="s">
        <v>204</v>
      </c>
      <c r="J443" s="319" t="s">
        <v>5349</v>
      </c>
      <c r="K443" s="319" t="s">
        <v>191</v>
      </c>
      <c r="L443" s="320">
        <v>4</v>
      </c>
      <c r="M443" s="320">
        <v>4</v>
      </c>
      <c r="N443" s="322" t="s">
        <v>12</v>
      </c>
      <c r="O443" s="151">
        <v>5</v>
      </c>
      <c r="P443" s="151" t="s">
        <v>199</v>
      </c>
    </row>
    <row r="444" spans="1:16" ht="22.5">
      <c r="A444" s="319" t="s">
        <v>5508</v>
      </c>
      <c r="B444" s="319" t="s">
        <v>5509</v>
      </c>
      <c r="C444" s="319" t="s">
        <v>5508</v>
      </c>
      <c r="D444" s="329"/>
      <c r="E444" s="319" t="s">
        <v>242</v>
      </c>
      <c r="F444" s="319"/>
      <c r="G444" s="318" t="s">
        <v>4327</v>
      </c>
      <c r="H444" s="324" t="s">
        <v>5510</v>
      </c>
      <c r="I444" s="324" t="s">
        <v>204</v>
      </c>
      <c r="J444" s="319" t="s">
        <v>5349</v>
      </c>
      <c r="K444" s="319" t="s">
        <v>191</v>
      </c>
      <c r="L444" s="320">
        <v>4</v>
      </c>
      <c r="M444" s="320">
        <v>4</v>
      </c>
      <c r="N444" s="322" t="s">
        <v>12</v>
      </c>
      <c r="O444" s="151">
        <v>5</v>
      </c>
      <c r="P444" s="151" t="s">
        <v>199</v>
      </c>
    </row>
    <row r="445" spans="1:16" ht="22.5">
      <c r="A445" s="319" t="s">
        <v>5511</v>
      </c>
      <c r="B445" s="319" t="s">
        <v>5512</v>
      </c>
      <c r="C445" s="319" t="s">
        <v>5511</v>
      </c>
      <c r="D445" s="329"/>
      <c r="E445" s="319" t="s">
        <v>242</v>
      </c>
      <c r="F445" s="319"/>
      <c r="G445" s="318" t="s">
        <v>4327</v>
      </c>
      <c r="H445" s="324" t="s">
        <v>5513</v>
      </c>
      <c r="I445" s="324" t="s">
        <v>204</v>
      </c>
      <c r="J445" s="319" t="s">
        <v>5349</v>
      </c>
      <c r="K445" s="319" t="s">
        <v>191</v>
      </c>
      <c r="L445" s="320">
        <v>4</v>
      </c>
      <c r="M445" s="320">
        <v>4</v>
      </c>
      <c r="N445" s="322" t="s">
        <v>12</v>
      </c>
      <c r="O445" s="151">
        <v>5</v>
      </c>
      <c r="P445" s="151" t="s">
        <v>199</v>
      </c>
    </row>
    <row r="446" spans="1:16">
      <c r="A446" s="319" t="s">
        <v>5514</v>
      </c>
      <c r="B446" s="319" t="s">
        <v>5515</v>
      </c>
      <c r="C446" s="319" t="s">
        <v>5514</v>
      </c>
      <c r="D446" s="319"/>
      <c r="E446" s="319" t="s">
        <v>242</v>
      </c>
      <c r="F446" s="319"/>
      <c r="G446" s="318" t="s">
        <v>4754</v>
      </c>
      <c r="H446" s="325" t="s">
        <v>5516</v>
      </c>
      <c r="I446" s="324" t="s">
        <v>204</v>
      </c>
      <c r="J446" s="319" t="s">
        <v>5349</v>
      </c>
      <c r="K446" s="319" t="s">
        <v>191</v>
      </c>
      <c r="L446" s="320">
        <v>4</v>
      </c>
      <c r="M446" s="320">
        <v>4</v>
      </c>
      <c r="N446" s="322" t="s">
        <v>12</v>
      </c>
      <c r="O446" s="151">
        <v>5</v>
      </c>
      <c r="P446" s="151" t="s">
        <v>199</v>
      </c>
    </row>
    <row r="447" spans="1:16">
      <c r="A447" s="319" t="s">
        <v>5517</v>
      </c>
      <c r="B447" s="319" t="s">
        <v>5518</v>
      </c>
      <c r="C447" s="319" t="s">
        <v>5517</v>
      </c>
      <c r="D447" s="319"/>
      <c r="E447" s="319" t="s">
        <v>242</v>
      </c>
      <c r="F447" s="319"/>
      <c r="G447" s="318" t="s">
        <v>4524</v>
      </c>
      <c r="H447" s="324" t="s">
        <v>5519</v>
      </c>
      <c r="I447" s="324" t="s">
        <v>204</v>
      </c>
      <c r="J447" s="319" t="s">
        <v>5349</v>
      </c>
      <c r="K447" s="319" t="s">
        <v>191</v>
      </c>
      <c r="L447" s="320">
        <v>4</v>
      </c>
      <c r="M447" s="320">
        <v>4</v>
      </c>
      <c r="N447" s="322" t="s">
        <v>12</v>
      </c>
      <c r="O447" s="151">
        <v>5</v>
      </c>
      <c r="P447" s="151" t="s">
        <v>199</v>
      </c>
    </row>
    <row r="448" spans="1:16" ht="112.5">
      <c r="A448" s="319" t="s">
        <v>5520</v>
      </c>
      <c r="B448" s="319" t="s">
        <v>5521</v>
      </c>
      <c r="C448" s="319" t="s">
        <v>5520</v>
      </c>
      <c r="D448" s="319"/>
      <c r="E448" s="319" t="s">
        <v>242</v>
      </c>
      <c r="F448" s="319"/>
      <c r="G448" s="318" t="s">
        <v>4754</v>
      </c>
      <c r="H448" s="325" t="s">
        <v>5522</v>
      </c>
      <c r="I448" s="324" t="s">
        <v>204</v>
      </c>
      <c r="J448" s="319" t="s">
        <v>5523</v>
      </c>
      <c r="K448" s="319" t="s">
        <v>191</v>
      </c>
      <c r="L448" s="320">
        <v>4</v>
      </c>
      <c r="M448" s="320">
        <v>4</v>
      </c>
      <c r="N448" s="322" t="s">
        <v>12</v>
      </c>
      <c r="O448" s="151">
        <v>5</v>
      </c>
      <c r="P448" s="151" t="s">
        <v>199</v>
      </c>
    </row>
    <row r="449" spans="1:16" ht="22.5">
      <c r="A449" s="319" t="s">
        <v>5524</v>
      </c>
      <c r="B449" s="319" t="s">
        <v>5525</v>
      </c>
      <c r="C449" s="319" t="s">
        <v>5524</v>
      </c>
      <c r="D449" s="319"/>
      <c r="E449" s="319" t="s">
        <v>242</v>
      </c>
      <c r="F449" s="319"/>
      <c r="G449" s="318" t="s">
        <v>4754</v>
      </c>
      <c r="H449" s="324" t="s">
        <v>5526</v>
      </c>
      <c r="I449" s="324" t="s">
        <v>204</v>
      </c>
      <c r="J449" s="319" t="s">
        <v>5527</v>
      </c>
      <c r="K449" s="319" t="s">
        <v>191</v>
      </c>
      <c r="L449" s="320">
        <v>4</v>
      </c>
      <c r="M449" s="320">
        <v>4</v>
      </c>
      <c r="N449" s="322" t="s">
        <v>12</v>
      </c>
      <c r="O449" s="151">
        <v>5</v>
      </c>
      <c r="P449" s="151" t="s">
        <v>199</v>
      </c>
    </row>
    <row r="450" spans="1:16" ht="22.5">
      <c r="A450" s="319" t="s">
        <v>5528</v>
      </c>
      <c r="B450" s="319" t="s">
        <v>5529</v>
      </c>
      <c r="C450" s="319" t="s">
        <v>5528</v>
      </c>
      <c r="D450" s="319"/>
      <c r="E450" s="319" t="s">
        <v>242</v>
      </c>
      <c r="F450" s="319"/>
      <c r="G450" s="318" t="s">
        <v>4754</v>
      </c>
      <c r="H450" s="324" t="s">
        <v>5530</v>
      </c>
      <c r="I450" s="324" t="s">
        <v>204</v>
      </c>
      <c r="J450" s="319" t="s">
        <v>5527</v>
      </c>
      <c r="K450" s="319" t="s">
        <v>191</v>
      </c>
      <c r="L450" s="320">
        <v>4</v>
      </c>
      <c r="M450" s="320">
        <v>4</v>
      </c>
      <c r="N450" s="322" t="s">
        <v>12</v>
      </c>
      <c r="O450" s="151">
        <v>5</v>
      </c>
      <c r="P450" s="151" t="s">
        <v>199</v>
      </c>
    </row>
    <row r="451" spans="1:16">
      <c r="A451" s="319" t="s">
        <v>5531</v>
      </c>
      <c r="B451" s="319" t="s">
        <v>5532</v>
      </c>
      <c r="C451" s="319" t="s">
        <v>5531</v>
      </c>
      <c r="D451" s="319"/>
      <c r="E451" s="319" t="s">
        <v>242</v>
      </c>
      <c r="F451" s="319"/>
      <c r="G451" s="318" t="s">
        <v>4754</v>
      </c>
      <c r="H451" s="324" t="s">
        <v>5533</v>
      </c>
      <c r="I451" s="324" t="s">
        <v>204</v>
      </c>
      <c r="J451" s="319" t="s">
        <v>5527</v>
      </c>
      <c r="K451" s="319" t="s">
        <v>191</v>
      </c>
      <c r="L451" s="320">
        <v>4</v>
      </c>
      <c r="M451" s="320">
        <v>4</v>
      </c>
      <c r="N451" s="322" t="s">
        <v>12</v>
      </c>
      <c r="O451" s="151">
        <v>5</v>
      </c>
      <c r="P451" s="151" t="s">
        <v>199</v>
      </c>
    </row>
    <row r="452" spans="1:16" ht="22.5">
      <c r="A452" s="319" t="s">
        <v>5534</v>
      </c>
      <c r="B452" s="319" t="s">
        <v>5535</v>
      </c>
      <c r="C452" s="319" t="s">
        <v>5534</v>
      </c>
      <c r="D452" s="319"/>
      <c r="E452" s="319" t="s">
        <v>242</v>
      </c>
      <c r="F452" s="319"/>
      <c r="G452" s="318" t="s">
        <v>4291</v>
      </c>
      <c r="H452" s="324" t="s">
        <v>5536</v>
      </c>
      <c r="I452" s="324" t="s">
        <v>204</v>
      </c>
      <c r="J452" s="319" t="s">
        <v>5527</v>
      </c>
      <c r="K452" s="319" t="s">
        <v>191</v>
      </c>
      <c r="L452" s="320">
        <v>4</v>
      </c>
      <c r="M452" s="320">
        <v>4</v>
      </c>
      <c r="N452" s="322" t="s">
        <v>12</v>
      </c>
      <c r="O452" s="151">
        <v>5</v>
      </c>
      <c r="P452" s="151" t="s">
        <v>199</v>
      </c>
    </row>
    <row r="453" spans="1:16">
      <c r="A453" s="319" t="s">
        <v>5537</v>
      </c>
      <c r="B453" s="319" t="s">
        <v>5538</v>
      </c>
      <c r="C453" s="319" t="s">
        <v>5537</v>
      </c>
      <c r="D453" s="319"/>
      <c r="E453" s="319" t="s">
        <v>242</v>
      </c>
      <c r="F453" s="319"/>
      <c r="G453" s="318" t="s">
        <v>4754</v>
      </c>
      <c r="H453" s="324" t="s">
        <v>5539</v>
      </c>
      <c r="I453" s="324" t="s">
        <v>204</v>
      </c>
      <c r="J453" s="319" t="s">
        <v>5527</v>
      </c>
      <c r="K453" s="319" t="s">
        <v>191</v>
      </c>
      <c r="L453" s="320">
        <v>4</v>
      </c>
      <c r="M453" s="320">
        <v>4</v>
      </c>
      <c r="N453" s="322" t="s">
        <v>12</v>
      </c>
      <c r="O453" s="151">
        <v>5</v>
      </c>
      <c r="P453" s="151" t="s">
        <v>199</v>
      </c>
    </row>
    <row r="454" spans="1:16">
      <c r="A454" s="319" t="s">
        <v>5540</v>
      </c>
      <c r="B454" s="319" t="s">
        <v>5541</v>
      </c>
      <c r="C454" s="319" t="s">
        <v>5540</v>
      </c>
      <c r="D454" s="319"/>
      <c r="E454" s="319" t="s">
        <v>242</v>
      </c>
      <c r="F454" s="319"/>
      <c r="G454" s="318" t="s">
        <v>4291</v>
      </c>
      <c r="H454" s="324" t="s">
        <v>5542</v>
      </c>
      <c r="I454" s="324" t="s">
        <v>204</v>
      </c>
      <c r="J454" s="319" t="s">
        <v>5543</v>
      </c>
      <c r="K454" s="319" t="s">
        <v>191</v>
      </c>
      <c r="L454" s="320">
        <v>4</v>
      </c>
      <c r="M454" s="320">
        <v>4</v>
      </c>
      <c r="N454" s="322" t="s">
        <v>12</v>
      </c>
      <c r="O454" s="151">
        <v>5</v>
      </c>
      <c r="P454" s="151" t="s">
        <v>199</v>
      </c>
    </row>
    <row r="455" spans="1:16" ht="22.5">
      <c r="A455" s="319" t="s">
        <v>5544</v>
      </c>
      <c r="B455" s="319" t="s">
        <v>5545</v>
      </c>
      <c r="C455" s="324" t="s">
        <v>5544</v>
      </c>
      <c r="D455" s="319"/>
      <c r="E455" s="319" t="s">
        <v>242</v>
      </c>
      <c r="F455" s="319"/>
      <c r="G455" s="318" t="s">
        <v>4592</v>
      </c>
      <c r="H455" s="324" t="s">
        <v>5546</v>
      </c>
      <c r="I455" s="324" t="s">
        <v>204</v>
      </c>
      <c r="J455" s="324" t="s">
        <v>5547</v>
      </c>
      <c r="K455" s="319" t="s">
        <v>191</v>
      </c>
      <c r="L455" s="320">
        <v>4</v>
      </c>
      <c r="M455" s="320">
        <v>4</v>
      </c>
      <c r="N455" s="322" t="s">
        <v>12</v>
      </c>
      <c r="O455" s="151">
        <v>5</v>
      </c>
      <c r="P455" s="151" t="s">
        <v>199</v>
      </c>
    </row>
    <row r="456" spans="1:16" ht="22.5">
      <c r="A456" s="319" t="s">
        <v>5548</v>
      </c>
      <c r="B456" s="319" t="s">
        <v>5549</v>
      </c>
      <c r="C456" s="324" t="s">
        <v>5548</v>
      </c>
      <c r="D456" s="319"/>
      <c r="E456" s="319" t="s">
        <v>242</v>
      </c>
      <c r="F456" s="319"/>
      <c r="G456" s="318" t="s">
        <v>4592</v>
      </c>
      <c r="H456" s="324" t="s">
        <v>5550</v>
      </c>
      <c r="I456" s="324" t="s">
        <v>204</v>
      </c>
      <c r="J456" s="324" t="s">
        <v>5547</v>
      </c>
      <c r="K456" s="319" t="s">
        <v>191</v>
      </c>
      <c r="L456" s="320">
        <v>4</v>
      </c>
      <c r="M456" s="320">
        <v>4</v>
      </c>
      <c r="N456" s="322" t="s">
        <v>12</v>
      </c>
      <c r="O456" s="151">
        <v>5</v>
      </c>
      <c r="P456" s="151" t="s">
        <v>199</v>
      </c>
    </row>
    <row r="457" spans="1:16" ht="22.5">
      <c r="A457" s="319" t="s">
        <v>5551</v>
      </c>
      <c r="B457" s="319" t="s">
        <v>5552</v>
      </c>
      <c r="C457" s="324" t="s">
        <v>5551</v>
      </c>
      <c r="D457" s="319"/>
      <c r="E457" s="319" t="s">
        <v>242</v>
      </c>
      <c r="F457" s="319"/>
      <c r="G457" s="318" t="s">
        <v>4592</v>
      </c>
      <c r="H457" s="324" t="s">
        <v>5553</v>
      </c>
      <c r="I457" s="324" t="s">
        <v>204</v>
      </c>
      <c r="J457" s="324" t="s">
        <v>5547</v>
      </c>
      <c r="K457" s="319" t="s">
        <v>191</v>
      </c>
      <c r="L457" s="320">
        <v>4</v>
      </c>
      <c r="M457" s="320">
        <v>4</v>
      </c>
      <c r="N457" s="322" t="s">
        <v>12</v>
      </c>
      <c r="O457" s="151">
        <v>5</v>
      </c>
      <c r="P457" s="151" t="s">
        <v>199</v>
      </c>
    </row>
    <row r="458" spans="1:16" ht="22.5">
      <c r="A458" s="319" t="s">
        <v>5554</v>
      </c>
      <c r="B458" s="319" t="s">
        <v>5555</v>
      </c>
      <c r="C458" s="324" t="s">
        <v>5554</v>
      </c>
      <c r="D458" s="319"/>
      <c r="E458" s="319" t="s">
        <v>242</v>
      </c>
      <c r="F458" s="319"/>
      <c r="G458" s="318" t="s">
        <v>4592</v>
      </c>
      <c r="H458" s="324" t="s">
        <v>5556</v>
      </c>
      <c r="I458" s="324" t="s">
        <v>204</v>
      </c>
      <c r="J458" s="324" t="s">
        <v>5547</v>
      </c>
      <c r="K458" s="319" t="s">
        <v>191</v>
      </c>
      <c r="L458" s="320">
        <v>4</v>
      </c>
      <c r="M458" s="320">
        <v>4</v>
      </c>
      <c r="N458" s="322" t="s">
        <v>12</v>
      </c>
      <c r="O458" s="151">
        <v>5</v>
      </c>
      <c r="P458" s="151" t="s">
        <v>199</v>
      </c>
    </row>
    <row r="459" spans="1:16" ht="22.5">
      <c r="A459" s="319" t="s">
        <v>5557</v>
      </c>
      <c r="B459" s="319" t="s">
        <v>5558</v>
      </c>
      <c r="C459" s="324" t="s">
        <v>5557</v>
      </c>
      <c r="D459" s="319"/>
      <c r="E459" s="319" t="s">
        <v>242</v>
      </c>
      <c r="F459" s="319"/>
      <c r="G459" s="318" t="s">
        <v>4592</v>
      </c>
      <c r="H459" s="324" t="s">
        <v>5559</v>
      </c>
      <c r="I459" s="324" t="s">
        <v>204</v>
      </c>
      <c r="J459" s="324" t="s">
        <v>5560</v>
      </c>
      <c r="K459" s="319" t="s">
        <v>191</v>
      </c>
      <c r="L459" s="320">
        <v>4</v>
      </c>
      <c r="M459" s="320">
        <v>4</v>
      </c>
      <c r="N459" s="322" t="s">
        <v>12</v>
      </c>
      <c r="O459" s="151">
        <v>5</v>
      </c>
      <c r="P459" s="151" t="s">
        <v>199</v>
      </c>
    </row>
    <row r="460" spans="1:16" ht="22.5">
      <c r="A460" s="319" t="s">
        <v>5561</v>
      </c>
      <c r="B460" s="319" t="s">
        <v>5562</v>
      </c>
      <c r="C460" s="324" t="s">
        <v>5561</v>
      </c>
      <c r="D460" s="319"/>
      <c r="E460" s="319" t="s">
        <v>242</v>
      </c>
      <c r="F460" s="319"/>
      <c r="G460" s="318" t="s">
        <v>4592</v>
      </c>
      <c r="H460" s="324" t="s">
        <v>5563</v>
      </c>
      <c r="I460" s="324" t="s">
        <v>204</v>
      </c>
      <c r="J460" s="324" t="s">
        <v>5560</v>
      </c>
      <c r="K460" s="319" t="s">
        <v>191</v>
      </c>
      <c r="L460" s="320">
        <v>4</v>
      </c>
      <c r="M460" s="320">
        <v>4</v>
      </c>
      <c r="N460" s="322" t="s">
        <v>12</v>
      </c>
      <c r="O460" s="151">
        <v>5</v>
      </c>
      <c r="P460" s="151" t="s">
        <v>199</v>
      </c>
    </row>
    <row r="461" spans="1:16" ht="22.5">
      <c r="A461" s="319" t="s">
        <v>5564</v>
      </c>
      <c r="B461" s="319" t="s">
        <v>5565</v>
      </c>
      <c r="C461" s="324" t="s">
        <v>5564</v>
      </c>
      <c r="D461" s="319"/>
      <c r="E461" s="319" t="s">
        <v>242</v>
      </c>
      <c r="F461" s="319"/>
      <c r="G461" s="318" t="s">
        <v>4592</v>
      </c>
      <c r="H461" s="324" t="s">
        <v>5566</v>
      </c>
      <c r="I461" s="324" t="s">
        <v>204</v>
      </c>
      <c r="J461" s="324" t="s">
        <v>5567</v>
      </c>
      <c r="K461" s="319" t="s">
        <v>191</v>
      </c>
      <c r="L461" s="320">
        <v>4</v>
      </c>
      <c r="M461" s="320">
        <v>4</v>
      </c>
      <c r="N461" s="322" t="s">
        <v>12</v>
      </c>
      <c r="O461" s="151">
        <v>5</v>
      </c>
      <c r="P461" s="151" t="s">
        <v>199</v>
      </c>
    </row>
    <row r="462" spans="1:16">
      <c r="A462" s="324" t="s">
        <v>5568</v>
      </c>
      <c r="B462" s="319" t="s">
        <v>5569</v>
      </c>
      <c r="C462" s="330"/>
      <c r="D462" s="319"/>
      <c r="E462" s="319" t="s">
        <v>242</v>
      </c>
      <c r="F462" s="319"/>
      <c r="G462" s="318" t="s">
        <v>3371</v>
      </c>
      <c r="H462" s="324" t="s">
        <v>5570</v>
      </c>
      <c r="I462" s="324" t="s">
        <v>204</v>
      </c>
      <c r="J462" s="324" t="s">
        <v>5560</v>
      </c>
      <c r="K462" s="319" t="s">
        <v>191</v>
      </c>
      <c r="L462" s="320">
        <v>4</v>
      </c>
      <c r="M462" s="320">
        <v>4</v>
      </c>
      <c r="N462" s="322" t="s">
        <v>12</v>
      </c>
      <c r="O462" s="151">
        <v>5</v>
      </c>
      <c r="P462" s="151" t="s">
        <v>199</v>
      </c>
    </row>
    <row r="463" spans="1:16">
      <c r="A463" s="319" t="s">
        <v>5571</v>
      </c>
      <c r="B463" s="319" t="s">
        <v>5572</v>
      </c>
      <c r="C463" s="319" t="s">
        <v>5573</v>
      </c>
      <c r="D463" s="319"/>
      <c r="E463" s="319" t="s">
        <v>242</v>
      </c>
      <c r="F463" s="319"/>
      <c r="G463" s="318" t="s">
        <v>1442</v>
      </c>
      <c r="H463" s="319" t="s">
        <v>5574</v>
      </c>
      <c r="I463" s="319" t="s">
        <v>198</v>
      </c>
      <c r="J463" s="319"/>
      <c r="K463" s="319" t="s">
        <v>191</v>
      </c>
      <c r="L463" s="320">
        <v>4</v>
      </c>
      <c r="M463" s="320">
        <v>4</v>
      </c>
      <c r="N463" s="322" t="s">
        <v>12</v>
      </c>
      <c r="O463" s="151">
        <v>5</v>
      </c>
      <c r="P463" s="151" t="s">
        <v>199</v>
      </c>
    </row>
    <row r="464" spans="1:16">
      <c r="A464" s="319" t="s">
        <v>5575</v>
      </c>
      <c r="B464" s="319" t="s">
        <v>5576</v>
      </c>
      <c r="C464" s="319" t="s">
        <v>5577</v>
      </c>
      <c r="D464" s="319"/>
      <c r="E464" s="319" t="s">
        <v>242</v>
      </c>
      <c r="F464" s="319"/>
      <c r="G464" s="318" t="s">
        <v>5578</v>
      </c>
      <c r="H464" s="319" t="s">
        <v>5579</v>
      </c>
      <c r="I464" s="319" t="s">
        <v>198</v>
      </c>
      <c r="J464" s="319"/>
      <c r="K464" s="319" t="s">
        <v>191</v>
      </c>
      <c r="L464" s="320">
        <v>4</v>
      </c>
      <c r="M464" s="320">
        <v>4</v>
      </c>
      <c r="N464" s="322" t="s">
        <v>12</v>
      </c>
      <c r="O464" s="151">
        <v>5</v>
      </c>
      <c r="P464" s="151" t="s">
        <v>199</v>
      </c>
    </row>
    <row r="465" spans="1:16">
      <c r="A465" s="319" t="s">
        <v>5580</v>
      </c>
      <c r="B465" s="319" t="s">
        <v>5581</v>
      </c>
      <c r="C465" s="319" t="s">
        <v>5582</v>
      </c>
      <c r="D465" s="319"/>
      <c r="E465" s="319" t="s">
        <v>242</v>
      </c>
      <c r="F465" s="319"/>
      <c r="G465" s="318" t="s">
        <v>4454</v>
      </c>
      <c r="H465" s="319" t="s">
        <v>5583</v>
      </c>
      <c r="I465" s="319" t="s">
        <v>198</v>
      </c>
      <c r="J465" s="319"/>
      <c r="K465" s="319" t="s">
        <v>191</v>
      </c>
      <c r="L465" s="320">
        <v>4</v>
      </c>
      <c r="M465" s="320">
        <v>4</v>
      </c>
      <c r="N465" s="322" t="s">
        <v>12</v>
      </c>
      <c r="O465" s="151">
        <v>5</v>
      </c>
      <c r="P465" s="151" t="s">
        <v>199</v>
      </c>
    </row>
    <row r="466" spans="1:16">
      <c r="A466" s="319" t="s">
        <v>5584</v>
      </c>
      <c r="B466" s="319" t="s">
        <v>5585</v>
      </c>
      <c r="C466" s="319" t="s">
        <v>5586</v>
      </c>
      <c r="D466" s="319"/>
      <c r="E466" s="319" t="s">
        <v>242</v>
      </c>
      <c r="F466" s="319"/>
      <c r="G466" s="318" t="s">
        <v>4454</v>
      </c>
      <c r="H466" s="319" t="s">
        <v>5587</v>
      </c>
      <c r="I466" s="319" t="s">
        <v>198</v>
      </c>
      <c r="J466" s="319"/>
      <c r="K466" s="319" t="s">
        <v>191</v>
      </c>
      <c r="L466" s="320">
        <v>4</v>
      </c>
      <c r="M466" s="320">
        <v>4</v>
      </c>
      <c r="N466" s="322" t="s">
        <v>12</v>
      </c>
      <c r="O466" s="151">
        <v>5</v>
      </c>
      <c r="P466" s="151" t="s">
        <v>199</v>
      </c>
    </row>
    <row r="467" spans="1:16">
      <c r="A467" s="319" t="s">
        <v>5588</v>
      </c>
      <c r="B467" s="319" t="s">
        <v>5589</v>
      </c>
      <c r="C467" s="319" t="s">
        <v>5590</v>
      </c>
      <c r="D467" s="319"/>
      <c r="E467" s="319" t="s">
        <v>242</v>
      </c>
      <c r="F467" s="319"/>
      <c r="G467" s="318" t="s">
        <v>4454</v>
      </c>
      <c r="H467" s="319" t="s">
        <v>5591</v>
      </c>
      <c r="I467" s="319" t="s">
        <v>198</v>
      </c>
      <c r="J467" s="319"/>
      <c r="K467" s="319" t="s">
        <v>191</v>
      </c>
      <c r="L467" s="320">
        <v>4</v>
      </c>
      <c r="M467" s="320">
        <v>4</v>
      </c>
      <c r="N467" s="322" t="s">
        <v>12</v>
      </c>
      <c r="O467" s="151">
        <v>5</v>
      </c>
      <c r="P467" s="151" t="s">
        <v>199</v>
      </c>
    </row>
    <row r="468" spans="1:16">
      <c r="A468" s="319" t="s">
        <v>5592</v>
      </c>
      <c r="B468" s="319" t="s">
        <v>5593</v>
      </c>
      <c r="C468" s="319" t="s">
        <v>5594</v>
      </c>
      <c r="D468" s="319"/>
      <c r="E468" s="319" t="s">
        <v>242</v>
      </c>
      <c r="F468" s="319"/>
      <c r="G468" s="318" t="s">
        <v>1442</v>
      </c>
      <c r="H468" s="319" t="s">
        <v>5595</v>
      </c>
      <c r="I468" s="319" t="s">
        <v>198</v>
      </c>
      <c r="J468" s="319"/>
      <c r="K468" s="319" t="s">
        <v>191</v>
      </c>
      <c r="L468" s="320">
        <v>4</v>
      </c>
      <c r="M468" s="320">
        <v>4</v>
      </c>
      <c r="N468" s="322" t="s">
        <v>12</v>
      </c>
      <c r="O468" s="151">
        <v>5</v>
      </c>
      <c r="P468" s="151" t="s">
        <v>199</v>
      </c>
    </row>
    <row r="469" spans="1:16">
      <c r="A469" s="319" t="s">
        <v>5596</v>
      </c>
      <c r="B469" s="319" t="s">
        <v>5597</v>
      </c>
      <c r="C469" s="319" t="s">
        <v>5598</v>
      </c>
      <c r="D469" s="319"/>
      <c r="E469" s="319" t="s">
        <v>242</v>
      </c>
      <c r="F469" s="319"/>
      <c r="G469" s="318" t="s">
        <v>1442</v>
      </c>
      <c r="H469" s="319" t="s">
        <v>5599</v>
      </c>
      <c r="I469" s="319" t="s">
        <v>198</v>
      </c>
      <c r="J469" s="319"/>
      <c r="K469" s="319" t="s">
        <v>191</v>
      </c>
      <c r="L469" s="320">
        <v>4</v>
      </c>
      <c r="M469" s="320">
        <v>4</v>
      </c>
      <c r="N469" s="322" t="s">
        <v>12</v>
      </c>
      <c r="O469" s="151">
        <v>5</v>
      </c>
      <c r="P469" s="151" t="s">
        <v>199</v>
      </c>
    </row>
    <row r="470" spans="1:16">
      <c r="A470" s="319" t="s">
        <v>5600</v>
      </c>
      <c r="B470" s="319" t="s">
        <v>5601</v>
      </c>
      <c r="C470" s="319" t="s">
        <v>5602</v>
      </c>
      <c r="D470" s="319"/>
      <c r="E470" s="319" t="s">
        <v>242</v>
      </c>
      <c r="F470" s="319"/>
      <c r="G470" s="318" t="s">
        <v>4454</v>
      </c>
      <c r="H470" s="319" t="s">
        <v>5591</v>
      </c>
      <c r="I470" s="319" t="s">
        <v>198</v>
      </c>
      <c r="J470" s="319"/>
      <c r="K470" s="319" t="s">
        <v>191</v>
      </c>
      <c r="L470" s="320">
        <v>4</v>
      </c>
      <c r="M470" s="320">
        <v>4</v>
      </c>
      <c r="N470" s="322" t="s">
        <v>12</v>
      </c>
      <c r="O470" s="151">
        <v>5</v>
      </c>
      <c r="P470" s="151" t="s">
        <v>199</v>
      </c>
    </row>
    <row r="471" spans="1:16">
      <c r="A471" s="319" t="s">
        <v>5603</v>
      </c>
      <c r="B471" s="319" t="s">
        <v>5604</v>
      </c>
      <c r="C471" s="319" t="s">
        <v>5605</v>
      </c>
      <c r="D471" s="319"/>
      <c r="E471" s="319" t="s">
        <v>242</v>
      </c>
      <c r="F471" s="319"/>
      <c r="G471" s="318" t="s">
        <v>1442</v>
      </c>
      <c r="H471" s="319" t="s">
        <v>5595</v>
      </c>
      <c r="I471" s="319" t="s">
        <v>198</v>
      </c>
      <c r="J471" s="319"/>
      <c r="K471" s="319" t="s">
        <v>191</v>
      </c>
      <c r="L471" s="320">
        <v>4</v>
      </c>
      <c r="M471" s="320">
        <v>4</v>
      </c>
      <c r="N471" s="322" t="s">
        <v>12</v>
      </c>
      <c r="O471" s="151">
        <v>5</v>
      </c>
      <c r="P471" s="151" t="s">
        <v>199</v>
      </c>
    </row>
    <row r="472" spans="1:16">
      <c r="A472" s="319" t="s">
        <v>5606</v>
      </c>
      <c r="B472" s="319" t="s">
        <v>5607</v>
      </c>
      <c r="C472" s="319" t="s">
        <v>5608</v>
      </c>
      <c r="D472" s="319"/>
      <c r="E472" s="319" t="s">
        <v>242</v>
      </c>
      <c r="F472" s="319"/>
      <c r="G472" s="318" t="s">
        <v>5578</v>
      </c>
      <c r="H472" s="319" t="s">
        <v>5599</v>
      </c>
      <c r="I472" s="319" t="s">
        <v>198</v>
      </c>
      <c r="J472" s="319"/>
      <c r="K472" s="319" t="s">
        <v>191</v>
      </c>
      <c r="L472" s="320">
        <v>4</v>
      </c>
      <c r="M472" s="320">
        <v>4</v>
      </c>
      <c r="N472" s="322" t="s">
        <v>12</v>
      </c>
      <c r="O472" s="151">
        <v>5</v>
      </c>
      <c r="P472" s="151" t="s">
        <v>199</v>
      </c>
    </row>
    <row r="473" spans="1:16">
      <c r="A473" s="319" t="s">
        <v>5609</v>
      </c>
      <c r="B473" s="319" t="s">
        <v>5610</v>
      </c>
      <c r="C473" s="319" t="s">
        <v>5611</v>
      </c>
      <c r="D473" s="319"/>
      <c r="E473" s="319" t="s">
        <v>242</v>
      </c>
      <c r="F473" s="319"/>
      <c r="G473" s="318" t="s">
        <v>4454</v>
      </c>
      <c r="H473" s="319" t="s">
        <v>5612</v>
      </c>
      <c r="I473" s="319" t="s">
        <v>198</v>
      </c>
      <c r="J473" s="319"/>
      <c r="K473" s="319" t="s">
        <v>191</v>
      </c>
      <c r="L473" s="320">
        <v>4</v>
      </c>
      <c r="M473" s="320">
        <v>4</v>
      </c>
      <c r="N473" s="322" t="s">
        <v>12</v>
      </c>
      <c r="O473" s="151">
        <v>5</v>
      </c>
      <c r="P473" s="151" t="s">
        <v>199</v>
      </c>
    </row>
    <row r="474" spans="1:16">
      <c r="A474" s="319" t="s">
        <v>5613</v>
      </c>
      <c r="B474" s="319" t="s">
        <v>5614</v>
      </c>
      <c r="C474" s="319" t="s">
        <v>5615</v>
      </c>
      <c r="D474" s="319"/>
      <c r="E474" s="319" t="s">
        <v>242</v>
      </c>
      <c r="F474" s="319"/>
      <c r="G474" s="318" t="s">
        <v>1442</v>
      </c>
      <c r="H474" s="319" t="s">
        <v>5616</v>
      </c>
      <c r="I474" s="319" t="s">
        <v>198</v>
      </c>
      <c r="J474" s="319"/>
      <c r="K474" s="319" t="s">
        <v>191</v>
      </c>
      <c r="L474" s="320">
        <v>4</v>
      </c>
      <c r="M474" s="320">
        <v>4</v>
      </c>
      <c r="N474" s="322" t="s">
        <v>12</v>
      </c>
      <c r="O474" s="151">
        <v>5</v>
      </c>
      <c r="P474" s="151" t="s">
        <v>199</v>
      </c>
    </row>
    <row r="475" spans="1:16">
      <c r="A475" s="319" t="s">
        <v>5617</v>
      </c>
      <c r="B475" s="319" t="s">
        <v>5618</v>
      </c>
      <c r="C475" s="319" t="s">
        <v>5619</v>
      </c>
      <c r="D475" s="319"/>
      <c r="E475" s="319" t="s">
        <v>242</v>
      </c>
      <c r="F475" s="319"/>
      <c r="G475" s="318" t="s">
        <v>1442</v>
      </c>
      <c r="H475" s="319" t="s">
        <v>5620</v>
      </c>
      <c r="I475" s="319" t="s">
        <v>198</v>
      </c>
      <c r="J475" s="319"/>
      <c r="K475" s="319" t="s">
        <v>191</v>
      </c>
      <c r="L475" s="320">
        <v>4</v>
      </c>
      <c r="M475" s="320">
        <v>4</v>
      </c>
      <c r="N475" s="322" t="s">
        <v>12</v>
      </c>
      <c r="O475" s="151">
        <v>5</v>
      </c>
      <c r="P475" s="151" t="s">
        <v>199</v>
      </c>
    </row>
    <row r="476" spans="1:16">
      <c r="A476" s="319" t="s">
        <v>5621</v>
      </c>
      <c r="B476" s="319" t="s">
        <v>5622</v>
      </c>
      <c r="C476" s="319" t="s">
        <v>5623</v>
      </c>
      <c r="D476" s="319"/>
      <c r="E476" s="319" t="s">
        <v>242</v>
      </c>
      <c r="F476" s="319"/>
      <c r="G476" s="318" t="s">
        <v>4454</v>
      </c>
      <c r="H476" s="319" t="s">
        <v>5624</v>
      </c>
      <c r="I476" s="319" t="s">
        <v>198</v>
      </c>
      <c r="J476" s="319"/>
      <c r="K476" s="319" t="s">
        <v>191</v>
      </c>
      <c r="L476" s="320">
        <v>4</v>
      </c>
      <c r="M476" s="320">
        <v>4</v>
      </c>
      <c r="N476" s="322" t="s">
        <v>12</v>
      </c>
      <c r="O476" s="151">
        <v>5</v>
      </c>
      <c r="P476" s="151" t="s">
        <v>199</v>
      </c>
    </row>
    <row r="477" spans="1:16">
      <c r="A477" s="319" t="s">
        <v>5625</v>
      </c>
      <c r="B477" s="319" t="s">
        <v>5626</v>
      </c>
      <c r="C477" s="319" t="s">
        <v>5627</v>
      </c>
      <c r="D477" s="319"/>
      <c r="E477" s="319" t="s">
        <v>242</v>
      </c>
      <c r="F477" s="319"/>
      <c r="G477" s="318" t="s">
        <v>1442</v>
      </c>
      <c r="H477" s="319" t="s">
        <v>5628</v>
      </c>
      <c r="I477" s="319" t="s">
        <v>198</v>
      </c>
      <c r="J477" s="319"/>
      <c r="K477" s="319" t="s">
        <v>191</v>
      </c>
      <c r="L477" s="320">
        <v>4</v>
      </c>
      <c r="M477" s="320">
        <v>4</v>
      </c>
      <c r="N477" s="322" t="s">
        <v>12</v>
      </c>
      <c r="O477" s="151">
        <v>5</v>
      </c>
      <c r="P477" s="151" t="s">
        <v>199</v>
      </c>
    </row>
    <row r="478" spans="1:16">
      <c r="A478" s="319" t="s">
        <v>5629</v>
      </c>
      <c r="B478" s="319" t="s">
        <v>5630</v>
      </c>
      <c r="C478" s="319" t="s">
        <v>5631</v>
      </c>
      <c r="D478" s="319"/>
      <c r="E478" s="319" t="s">
        <v>242</v>
      </c>
      <c r="F478" s="319"/>
      <c r="G478" s="318" t="s">
        <v>5578</v>
      </c>
      <c r="H478" s="319" t="s">
        <v>5632</v>
      </c>
      <c r="I478" s="319" t="s">
        <v>198</v>
      </c>
      <c r="J478" s="319"/>
      <c r="K478" s="319" t="s">
        <v>191</v>
      </c>
      <c r="L478" s="320">
        <v>4</v>
      </c>
      <c r="M478" s="320">
        <v>4</v>
      </c>
      <c r="N478" s="322" t="s">
        <v>12</v>
      </c>
      <c r="O478" s="151">
        <v>5</v>
      </c>
      <c r="P478" s="151" t="s">
        <v>199</v>
      </c>
    </row>
    <row r="479" spans="1:16">
      <c r="A479" s="319" t="s">
        <v>5633</v>
      </c>
      <c r="B479" s="319" t="s">
        <v>5634</v>
      </c>
      <c r="C479" s="319" t="s">
        <v>5635</v>
      </c>
      <c r="D479" s="319"/>
      <c r="E479" s="319" t="s">
        <v>242</v>
      </c>
      <c r="F479" s="319"/>
      <c r="G479" s="318" t="s">
        <v>5636</v>
      </c>
      <c r="H479" s="319" t="s">
        <v>5637</v>
      </c>
      <c r="I479" s="319" t="s">
        <v>198</v>
      </c>
      <c r="J479" s="319"/>
      <c r="K479" s="319" t="s">
        <v>191</v>
      </c>
      <c r="L479" s="320">
        <v>4</v>
      </c>
      <c r="M479" s="320">
        <v>4</v>
      </c>
      <c r="N479" s="322" t="s">
        <v>12</v>
      </c>
      <c r="O479" s="151">
        <v>5</v>
      </c>
      <c r="P479" s="151" t="s">
        <v>199</v>
      </c>
    </row>
    <row r="480" spans="1:16">
      <c r="A480" s="319" t="s">
        <v>5638</v>
      </c>
      <c r="B480" s="319" t="s">
        <v>5639</v>
      </c>
      <c r="C480" s="319" t="s">
        <v>5640</v>
      </c>
      <c r="D480" s="319"/>
      <c r="E480" s="319" t="s">
        <v>242</v>
      </c>
      <c r="F480" s="319"/>
      <c r="G480" s="318" t="s">
        <v>5636</v>
      </c>
      <c r="H480" s="319" t="s">
        <v>5641</v>
      </c>
      <c r="I480" s="319" t="s">
        <v>198</v>
      </c>
      <c r="J480" s="319"/>
      <c r="K480" s="319" t="s">
        <v>191</v>
      </c>
      <c r="L480" s="320">
        <v>4</v>
      </c>
      <c r="M480" s="320">
        <v>4</v>
      </c>
      <c r="N480" s="322" t="s">
        <v>12</v>
      </c>
      <c r="O480" s="151">
        <v>5</v>
      </c>
      <c r="P480" s="151" t="s">
        <v>199</v>
      </c>
    </row>
    <row r="481" spans="1:16">
      <c r="A481" s="319" t="s">
        <v>5642</v>
      </c>
      <c r="B481" s="319" t="s">
        <v>5643</v>
      </c>
      <c r="C481" s="319" t="s">
        <v>5644</v>
      </c>
      <c r="D481" s="319"/>
      <c r="E481" s="319" t="s">
        <v>242</v>
      </c>
      <c r="F481" s="319"/>
      <c r="G481" s="318" t="s">
        <v>5636</v>
      </c>
      <c r="H481" s="319" t="s">
        <v>5645</v>
      </c>
      <c r="I481" s="319" t="s">
        <v>198</v>
      </c>
      <c r="J481" s="319"/>
      <c r="K481" s="319" t="s">
        <v>191</v>
      </c>
      <c r="L481" s="320">
        <v>4</v>
      </c>
      <c r="M481" s="320">
        <v>4</v>
      </c>
      <c r="N481" s="322" t="s">
        <v>12</v>
      </c>
      <c r="O481" s="151">
        <v>5</v>
      </c>
      <c r="P481" s="151" t="s">
        <v>199</v>
      </c>
    </row>
    <row r="482" spans="1:16">
      <c r="A482" s="319" t="s">
        <v>5646</v>
      </c>
      <c r="B482" s="319" t="s">
        <v>5647</v>
      </c>
      <c r="C482" s="319" t="s">
        <v>5648</v>
      </c>
      <c r="D482" s="319"/>
      <c r="E482" s="319" t="s">
        <v>242</v>
      </c>
      <c r="F482" s="319"/>
      <c r="G482" s="318" t="s">
        <v>5636</v>
      </c>
      <c r="H482" s="319" t="s">
        <v>5645</v>
      </c>
      <c r="I482" s="319" t="s">
        <v>198</v>
      </c>
      <c r="J482" s="319"/>
      <c r="K482" s="319" t="s">
        <v>191</v>
      </c>
      <c r="L482" s="320">
        <v>4</v>
      </c>
      <c r="M482" s="320">
        <v>4</v>
      </c>
      <c r="N482" s="322" t="s">
        <v>12</v>
      </c>
      <c r="O482" s="151">
        <v>5</v>
      </c>
      <c r="P482" s="151" t="s">
        <v>199</v>
      </c>
    </row>
    <row r="483" spans="1:16">
      <c r="A483" s="319" t="s">
        <v>5649</v>
      </c>
      <c r="B483" s="319" t="s">
        <v>5650</v>
      </c>
      <c r="C483" s="319" t="s">
        <v>5651</v>
      </c>
      <c r="D483" s="319"/>
      <c r="E483" s="319" t="s">
        <v>242</v>
      </c>
      <c r="F483" s="319"/>
      <c r="G483" s="318" t="s">
        <v>5636</v>
      </c>
      <c r="H483" s="319" t="s">
        <v>5652</v>
      </c>
      <c r="I483" s="319" t="s">
        <v>198</v>
      </c>
      <c r="J483" s="319"/>
      <c r="K483" s="319" t="s">
        <v>191</v>
      </c>
      <c r="L483" s="320">
        <v>4</v>
      </c>
      <c r="M483" s="320">
        <v>4</v>
      </c>
      <c r="N483" s="322" t="s">
        <v>12</v>
      </c>
      <c r="O483" s="151">
        <v>5</v>
      </c>
      <c r="P483" s="151" t="s">
        <v>199</v>
      </c>
    </row>
    <row r="484" spans="1:16">
      <c r="A484" s="319" t="s">
        <v>5653</v>
      </c>
      <c r="B484" s="319" t="s">
        <v>5654</v>
      </c>
      <c r="C484" s="319" t="s">
        <v>5655</v>
      </c>
      <c r="D484" s="319"/>
      <c r="E484" s="319" t="s">
        <v>242</v>
      </c>
      <c r="F484" s="319"/>
      <c r="G484" s="318" t="s">
        <v>5636</v>
      </c>
      <c r="H484" s="319" t="s">
        <v>5656</v>
      </c>
      <c r="I484" s="319" t="s">
        <v>198</v>
      </c>
      <c r="J484" s="319"/>
      <c r="K484" s="319" t="s">
        <v>191</v>
      </c>
      <c r="L484" s="320">
        <v>4</v>
      </c>
      <c r="M484" s="320">
        <v>4</v>
      </c>
      <c r="N484" s="322" t="s">
        <v>12</v>
      </c>
      <c r="O484" s="151">
        <v>5</v>
      </c>
      <c r="P484" s="151" t="s">
        <v>199</v>
      </c>
    </row>
    <row r="485" spans="1:16" ht="22.5">
      <c r="A485" s="319" t="s">
        <v>5657</v>
      </c>
      <c r="B485" s="319" t="s">
        <v>5658</v>
      </c>
      <c r="C485" s="319" t="s">
        <v>5659</v>
      </c>
      <c r="D485" s="319"/>
      <c r="E485" s="319" t="s">
        <v>242</v>
      </c>
      <c r="F485" s="319"/>
      <c r="G485" s="318" t="s">
        <v>5660</v>
      </c>
      <c r="H485" s="319" t="s">
        <v>5661</v>
      </c>
      <c r="I485" s="319" t="s">
        <v>198</v>
      </c>
      <c r="J485" s="319"/>
      <c r="K485" s="319" t="s">
        <v>191</v>
      </c>
      <c r="L485" s="320">
        <v>4</v>
      </c>
      <c r="M485" s="320">
        <v>4</v>
      </c>
      <c r="N485" s="322" t="s">
        <v>12</v>
      </c>
      <c r="O485" s="151">
        <v>5</v>
      </c>
      <c r="P485" s="151" t="s">
        <v>199</v>
      </c>
    </row>
    <row r="486" spans="1:16" ht="22.5">
      <c r="A486" s="319" t="s">
        <v>5662</v>
      </c>
      <c r="B486" s="319" t="s">
        <v>5663</v>
      </c>
      <c r="C486" s="319" t="s">
        <v>5664</v>
      </c>
      <c r="D486" s="319"/>
      <c r="E486" s="319" t="s">
        <v>242</v>
      </c>
      <c r="F486" s="319"/>
      <c r="G486" s="318" t="s">
        <v>5660</v>
      </c>
      <c r="H486" s="319" t="s">
        <v>5665</v>
      </c>
      <c r="I486" s="319" t="s">
        <v>198</v>
      </c>
      <c r="J486" s="319"/>
      <c r="K486" s="319" t="s">
        <v>191</v>
      </c>
      <c r="L486" s="320">
        <v>4</v>
      </c>
      <c r="M486" s="320">
        <v>4</v>
      </c>
      <c r="N486" s="322" t="s">
        <v>12</v>
      </c>
      <c r="O486" s="151">
        <v>5</v>
      </c>
      <c r="P486" s="151" t="s">
        <v>199</v>
      </c>
    </row>
    <row r="487" spans="1:16" ht="22.5">
      <c r="A487" s="319" t="s">
        <v>5666</v>
      </c>
      <c r="B487" s="319" t="s">
        <v>5667</v>
      </c>
      <c r="C487" s="319" t="s">
        <v>5668</v>
      </c>
      <c r="D487" s="319"/>
      <c r="E487" s="319" t="s">
        <v>242</v>
      </c>
      <c r="F487" s="319"/>
      <c r="G487" s="318" t="s">
        <v>5660</v>
      </c>
      <c r="H487" s="319" t="s">
        <v>5669</v>
      </c>
      <c r="I487" s="319" t="s">
        <v>198</v>
      </c>
      <c r="J487" s="319"/>
      <c r="K487" s="319" t="s">
        <v>191</v>
      </c>
      <c r="L487" s="320">
        <v>4</v>
      </c>
      <c r="M487" s="320">
        <v>4</v>
      </c>
      <c r="N487" s="322" t="s">
        <v>12</v>
      </c>
      <c r="O487" s="151">
        <v>5</v>
      </c>
      <c r="P487" s="151" t="s">
        <v>199</v>
      </c>
    </row>
    <row r="488" spans="1:16" ht="22.5">
      <c r="A488" s="319" t="s">
        <v>5670</v>
      </c>
      <c r="B488" s="319" t="s">
        <v>5671</v>
      </c>
      <c r="C488" s="319" t="s">
        <v>5672</v>
      </c>
      <c r="D488" s="319"/>
      <c r="E488" s="319" t="s">
        <v>242</v>
      </c>
      <c r="F488" s="319"/>
      <c r="G488" s="318" t="s">
        <v>3139</v>
      </c>
      <c r="H488" s="319" t="s">
        <v>5673</v>
      </c>
      <c r="I488" s="319" t="s">
        <v>198</v>
      </c>
      <c r="J488" s="319"/>
      <c r="K488" s="319" t="s">
        <v>191</v>
      </c>
      <c r="L488" s="320">
        <v>4</v>
      </c>
      <c r="M488" s="320">
        <v>4</v>
      </c>
      <c r="N488" s="322" t="s">
        <v>12</v>
      </c>
      <c r="O488" s="151">
        <v>5</v>
      </c>
      <c r="P488" s="151" t="s">
        <v>199</v>
      </c>
    </row>
    <row r="489" spans="1:16">
      <c r="A489" s="319" t="s">
        <v>5674</v>
      </c>
      <c r="B489" s="319" t="s">
        <v>5675</v>
      </c>
      <c r="C489" s="319" t="s">
        <v>5676</v>
      </c>
      <c r="D489" s="319"/>
      <c r="E489" s="319" t="s">
        <v>242</v>
      </c>
      <c r="F489" s="319"/>
      <c r="G489" s="318" t="s">
        <v>3034</v>
      </c>
      <c r="H489" s="319" t="s">
        <v>5677</v>
      </c>
      <c r="I489" s="319" t="s">
        <v>198</v>
      </c>
      <c r="J489" s="319"/>
      <c r="K489" s="319" t="s">
        <v>191</v>
      </c>
      <c r="L489" s="320">
        <v>4</v>
      </c>
      <c r="M489" s="320">
        <v>4</v>
      </c>
      <c r="N489" s="322" t="s">
        <v>12</v>
      </c>
      <c r="O489" s="151">
        <v>5</v>
      </c>
      <c r="P489" s="151" t="s">
        <v>199</v>
      </c>
    </row>
    <row r="490" spans="1:16" ht="22.5">
      <c r="A490" s="319" t="s">
        <v>5678</v>
      </c>
      <c r="B490" s="319" t="s">
        <v>5679</v>
      </c>
      <c r="C490" s="319" t="s">
        <v>5680</v>
      </c>
      <c r="D490" s="319"/>
      <c r="E490" s="319" t="s">
        <v>242</v>
      </c>
      <c r="F490" s="319"/>
      <c r="G490" s="318" t="s">
        <v>3034</v>
      </c>
      <c r="H490" s="319" t="s">
        <v>5681</v>
      </c>
      <c r="I490" s="319" t="s">
        <v>198</v>
      </c>
      <c r="J490" s="319"/>
      <c r="K490" s="319" t="s">
        <v>191</v>
      </c>
      <c r="L490" s="320">
        <v>4</v>
      </c>
      <c r="M490" s="320">
        <v>4</v>
      </c>
      <c r="N490" s="322" t="s">
        <v>12</v>
      </c>
      <c r="O490" s="151">
        <v>5</v>
      </c>
      <c r="P490" s="151" t="s">
        <v>199</v>
      </c>
    </row>
    <row r="491" spans="1:16">
      <c r="A491" s="319" t="s">
        <v>5682</v>
      </c>
      <c r="B491" s="319" t="s">
        <v>5683</v>
      </c>
      <c r="C491" s="319" t="s">
        <v>5684</v>
      </c>
      <c r="D491" s="319"/>
      <c r="E491" s="319" t="s">
        <v>242</v>
      </c>
      <c r="F491" s="319"/>
      <c r="G491" s="318" t="s">
        <v>5660</v>
      </c>
      <c r="H491" s="319" t="s">
        <v>5685</v>
      </c>
      <c r="I491" s="319" t="s">
        <v>198</v>
      </c>
      <c r="J491" s="319"/>
      <c r="K491" s="319" t="s">
        <v>191</v>
      </c>
      <c r="L491" s="320">
        <v>4</v>
      </c>
      <c r="M491" s="320">
        <v>4</v>
      </c>
      <c r="N491" s="322" t="s">
        <v>12</v>
      </c>
      <c r="O491" s="151">
        <v>5</v>
      </c>
      <c r="P491" s="151" t="s">
        <v>199</v>
      </c>
    </row>
    <row r="492" spans="1:16">
      <c r="A492" s="319" t="s">
        <v>5686</v>
      </c>
      <c r="B492" s="319" t="s">
        <v>5687</v>
      </c>
      <c r="C492" s="319" t="s">
        <v>5688</v>
      </c>
      <c r="D492" s="319"/>
      <c r="E492" s="319" t="s">
        <v>242</v>
      </c>
      <c r="F492" s="319"/>
      <c r="G492" s="318" t="s">
        <v>3034</v>
      </c>
      <c r="H492" s="319" t="s">
        <v>5689</v>
      </c>
      <c r="I492" s="319" t="s">
        <v>198</v>
      </c>
      <c r="J492" s="319"/>
      <c r="K492" s="319" t="s">
        <v>191</v>
      </c>
      <c r="L492" s="320">
        <v>4</v>
      </c>
      <c r="M492" s="320">
        <v>4</v>
      </c>
      <c r="N492" s="322" t="s">
        <v>12</v>
      </c>
      <c r="O492" s="151">
        <v>5</v>
      </c>
      <c r="P492" s="151" t="s">
        <v>199</v>
      </c>
    </row>
    <row r="493" spans="1:16" ht="22.5">
      <c r="A493" s="319" t="s">
        <v>5690</v>
      </c>
      <c r="B493" s="319" t="s">
        <v>4092</v>
      </c>
      <c r="C493" s="319" t="s">
        <v>5691</v>
      </c>
      <c r="D493" s="319"/>
      <c r="E493" s="319" t="s">
        <v>242</v>
      </c>
      <c r="F493" s="319"/>
      <c r="G493" s="318" t="s">
        <v>3034</v>
      </c>
      <c r="H493" s="319" t="s">
        <v>5692</v>
      </c>
      <c r="I493" s="319" t="s">
        <v>198</v>
      </c>
      <c r="J493" s="319"/>
      <c r="K493" s="319" t="s">
        <v>191</v>
      </c>
      <c r="L493" s="320">
        <v>4</v>
      </c>
      <c r="M493" s="320">
        <v>4</v>
      </c>
      <c r="N493" s="322" t="s">
        <v>12</v>
      </c>
      <c r="O493" s="151">
        <v>5</v>
      </c>
      <c r="P493" s="151" t="s">
        <v>199</v>
      </c>
    </row>
    <row r="494" spans="1:16" ht="22.5">
      <c r="A494" s="319" t="s">
        <v>5693</v>
      </c>
      <c r="B494" s="319" t="s">
        <v>5694</v>
      </c>
      <c r="C494" s="319" t="s">
        <v>5695</v>
      </c>
      <c r="D494" s="319"/>
      <c r="E494" s="319" t="s">
        <v>242</v>
      </c>
      <c r="F494" s="319"/>
      <c r="G494" s="318" t="s">
        <v>3948</v>
      </c>
      <c r="H494" s="319" t="s">
        <v>5696</v>
      </c>
      <c r="I494" s="319" t="s">
        <v>198</v>
      </c>
      <c r="J494" s="319"/>
      <c r="K494" s="319" t="s">
        <v>191</v>
      </c>
      <c r="L494" s="320">
        <v>4</v>
      </c>
      <c r="M494" s="320">
        <v>4</v>
      </c>
      <c r="N494" s="322" t="s">
        <v>12</v>
      </c>
      <c r="O494" s="151">
        <v>5</v>
      </c>
      <c r="P494" s="151" t="s">
        <v>199</v>
      </c>
    </row>
    <row r="495" spans="1:16" ht="22.5">
      <c r="A495" s="319" t="s">
        <v>5697</v>
      </c>
      <c r="B495" s="319" t="s">
        <v>5698</v>
      </c>
      <c r="C495" s="319" t="s">
        <v>5699</v>
      </c>
      <c r="D495" s="319"/>
      <c r="E495" s="319" t="s">
        <v>242</v>
      </c>
      <c r="F495" s="319"/>
      <c r="G495" s="318" t="s">
        <v>3948</v>
      </c>
      <c r="H495" s="319" t="s">
        <v>5700</v>
      </c>
      <c r="I495" s="319" t="s">
        <v>198</v>
      </c>
      <c r="J495" s="319"/>
      <c r="K495" s="319" t="s">
        <v>191</v>
      </c>
      <c r="L495" s="320">
        <v>4</v>
      </c>
      <c r="M495" s="320">
        <v>4</v>
      </c>
      <c r="N495" s="322" t="s">
        <v>12</v>
      </c>
      <c r="O495" s="151">
        <v>5</v>
      </c>
      <c r="P495" s="151" t="s">
        <v>199</v>
      </c>
    </row>
    <row r="496" spans="1:16" ht="22.5">
      <c r="A496" s="319" t="s">
        <v>5701</v>
      </c>
      <c r="B496" s="319" t="s">
        <v>5702</v>
      </c>
      <c r="C496" s="319" t="s">
        <v>5703</v>
      </c>
      <c r="D496" s="319"/>
      <c r="E496" s="319" t="s">
        <v>242</v>
      </c>
      <c r="F496" s="319"/>
      <c r="G496" s="318" t="s">
        <v>3948</v>
      </c>
      <c r="H496" s="319" t="s">
        <v>5704</v>
      </c>
      <c r="I496" s="319" t="s">
        <v>198</v>
      </c>
      <c r="J496" s="319"/>
      <c r="K496" s="319" t="s">
        <v>191</v>
      </c>
      <c r="L496" s="320">
        <v>4</v>
      </c>
      <c r="M496" s="320">
        <v>4</v>
      </c>
      <c r="N496" s="322" t="s">
        <v>12</v>
      </c>
      <c r="O496" s="151">
        <v>5</v>
      </c>
      <c r="P496" s="151" t="s">
        <v>199</v>
      </c>
    </row>
    <row r="497" spans="1:16" ht="22.5">
      <c r="A497" s="319" t="s">
        <v>5705</v>
      </c>
      <c r="B497" s="319" t="s">
        <v>5706</v>
      </c>
      <c r="C497" s="319" t="s">
        <v>5707</v>
      </c>
      <c r="D497" s="319"/>
      <c r="E497" s="319" t="s">
        <v>242</v>
      </c>
      <c r="F497" s="319"/>
      <c r="G497" s="318" t="s">
        <v>4063</v>
      </c>
      <c r="H497" s="319" t="s">
        <v>5708</v>
      </c>
      <c r="I497" s="319" t="s">
        <v>198</v>
      </c>
      <c r="J497" s="319"/>
      <c r="K497" s="319" t="s">
        <v>191</v>
      </c>
      <c r="L497" s="320">
        <v>4</v>
      </c>
      <c r="M497" s="320">
        <v>4</v>
      </c>
      <c r="N497" s="322" t="s">
        <v>12</v>
      </c>
      <c r="O497" s="151">
        <v>5</v>
      </c>
      <c r="P497" s="151" t="s">
        <v>199</v>
      </c>
    </row>
    <row r="498" spans="1:16">
      <c r="A498" s="319" t="s">
        <v>5709</v>
      </c>
      <c r="B498" s="319" t="s">
        <v>5710</v>
      </c>
      <c r="C498" s="319" t="s">
        <v>5711</v>
      </c>
      <c r="D498" s="319"/>
      <c r="E498" s="319" t="s">
        <v>242</v>
      </c>
      <c r="F498" s="319"/>
      <c r="G498" s="318" t="s">
        <v>3733</v>
      </c>
      <c r="H498" s="319" t="s">
        <v>5712</v>
      </c>
      <c r="I498" s="319" t="s">
        <v>198</v>
      </c>
      <c r="J498" s="319"/>
      <c r="K498" s="319" t="s">
        <v>191</v>
      </c>
      <c r="L498" s="320">
        <v>4</v>
      </c>
      <c r="M498" s="320">
        <v>4</v>
      </c>
      <c r="N498" s="322" t="s">
        <v>12</v>
      </c>
      <c r="O498" s="151">
        <v>5</v>
      </c>
      <c r="P498" s="151" t="s">
        <v>199</v>
      </c>
    </row>
    <row r="499" spans="1:16" ht="22.5">
      <c r="A499" s="319" t="s">
        <v>5713</v>
      </c>
      <c r="B499" s="319" t="s">
        <v>5714</v>
      </c>
      <c r="C499" s="319" t="s">
        <v>5715</v>
      </c>
      <c r="D499" s="319"/>
      <c r="E499" s="319" t="s">
        <v>242</v>
      </c>
      <c r="F499" s="319"/>
      <c r="G499" s="318" t="s">
        <v>3733</v>
      </c>
      <c r="H499" s="319" t="s">
        <v>5716</v>
      </c>
      <c r="I499" s="319" t="s">
        <v>198</v>
      </c>
      <c r="J499" s="319"/>
      <c r="K499" s="319" t="s">
        <v>191</v>
      </c>
      <c r="L499" s="320">
        <v>4</v>
      </c>
      <c r="M499" s="320">
        <v>4</v>
      </c>
      <c r="N499" s="322" t="s">
        <v>12</v>
      </c>
      <c r="O499" s="151">
        <v>5</v>
      </c>
      <c r="P499" s="151" t="s">
        <v>199</v>
      </c>
    </row>
    <row r="500" spans="1:16">
      <c r="A500" s="319" t="s">
        <v>5717</v>
      </c>
      <c r="B500" s="319" t="s">
        <v>5718</v>
      </c>
      <c r="C500" s="319" t="s">
        <v>5719</v>
      </c>
      <c r="D500" s="319"/>
      <c r="E500" s="319" t="s">
        <v>242</v>
      </c>
      <c r="F500" s="319"/>
      <c r="G500" s="318" t="s">
        <v>3948</v>
      </c>
      <c r="H500" s="319" t="s">
        <v>5720</v>
      </c>
      <c r="I500" s="319" t="s">
        <v>198</v>
      </c>
      <c r="J500" s="319"/>
      <c r="K500" s="319" t="s">
        <v>191</v>
      </c>
      <c r="L500" s="320">
        <v>4</v>
      </c>
      <c r="M500" s="320">
        <v>4</v>
      </c>
      <c r="N500" s="322" t="s">
        <v>12</v>
      </c>
      <c r="O500" s="151">
        <v>5</v>
      </c>
      <c r="P500" s="151" t="s">
        <v>199</v>
      </c>
    </row>
    <row r="501" spans="1:16">
      <c r="A501" s="319" t="s">
        <v>5721</v>
      </c>
      <c r="B501" s="319" t="s">
        <v>5722</v>
      </c>
      <c r="C501" s="319" t="s">
        <v>5723</v>
      </c>
      <c r="D501" s="319"/>
      <c r="E501" s="319" t="s">
        <v>242</v>
      </c>
      <c r="F501" s="319"/>
      <c r="G501" s="318" t="s">
        <v>3733</v>
      </c>
      <c r="H501" s="319" t="s">
        <v>5724</v>
      </c>
      <c r="I501" s="319" t="s">
        <v>198</v>
      </c>
      <c r="J501" s="319"/>
      <c r="K501" s="319" t="s">
        <v>191</v>
      </c>
      <c r="L501" s="320">
        <v>4</v>
      </c>
      <c r="M501" s="320">
        <v>4</v>
      </c>
      <c r="N501" s="322" t="s">
        <v>12</v>
      </c>
      <c r="O501" s="151">
        <v>5</v>
      </c>
      <c r="P501" s="151" t="s">
        <v>199</v>
      </c>
    </row>
    <row r="502" spans="1:16" ht="22.5">
      <c r="A502" s="319" t="s">
        <v>5725</v>
      </c>
      <c r="B502" s="319" t="s">
        <v>5726</v>
      </c>
      <c r="C502" s="319" t="s">
        <v>5727</v>
      </c>
      <c r="D502" s="319"/>
      <c r="E502" s="319" t="s">
        <v>242</v>
      </c>
      <c r="F502" s="319"/>
      <c r="G502" s="318" t="s">
        <v>3733</v>
      </c>
      <c r="H502" s="319" t="s">
        <v>5728</v>
      </c>
      <c r="I502" s="319" t="s">
        <v>198</v>
      </c>
      <c r="J502" s="319"/>
      <c r="K502" s="319" t="s">
        <v>191</v>
      </c>
      <c r="L502" s="320">
        <v>4</v>
      </c>
      <c r="M502" s="320">
        <v>4</v>
      </c>
      <c r="N502" s="322" t="s">
        <v>12</v>
      </c>
      <c r="O502" s="151">
        <v>5</v>
      </c>
      <c r="P502" s="151" t="s">
        <v>199</v>
      </c>
    </row>
    <row r="503" spans="1:16" ht="22.5">
      <c r="A503" s="319" t="s">
        <v>5729</v>
      </c>
      <c r="B503" s="319" t="s">
        <v>5730</v>
      </c>
      <c r="C503" s="319" t="s">
        <v>5729</v>
      </c>
      <c r="D503" s="319"/>
      <c r="E503" s="319" t="s">
        <v>242</v>
      </c>
      <c r="F503" s="319"/>
      <c r="G503" s="318" t="s">
        <v>4231</v>
      </c>
      <c r="H503" s="319" t="s">
        <v>5731</v>
      </c>
      <c r="I503" s="319" t="s">
        <v>198</v>
      </c>
      <c r="J503" s="319" t="s">
        <v>5732</v>
      </c>
      <c r="K503" s="319" t="s">
        <v>191</v>
      </c>
      <c r="L503" s="320">
        <v>4</v>
      </c>
      <c r="M503" s="320">
        <v>4</v>
      </c>
      <c r="N503" s="322" t="s">
        <v>12</v>
      </c>
      <c r="O503" s="151">
        <v>5</v>
      </c>
      <c r="P503" s="151" t="s">
        <v>199</v>
      </c>
    </row>
    <row r="504" spans="1:16" ht="22.5">
      <c r="A504" s="319" t="s">
        <v>5733</v>
      </c>
      <c r="B504" s="319" t="s">
        <v>5734</v>
      </c>
      <c r="C504" s="319" t="s">
        <v>5733</v>
      </c>
      <c r="D504" s="319"/>
      <c r="E504" s="319" t="s">
        <v>242</v>
      </c>
      <c r="F504" s="319"/>
      <c r="G504" s="318" t="s">
        <v>4231</v>
      </c>
      <c r="H504" s="319" t="s">
        <v>5735</v>
      </c>
      <c r="I504" s="319" t="s">
        <v>198</v>
      </c>
      <c r="J504" s="319" t="s">
        <v>5732</v>
      </c>
      <c r="K504" s="319" t="s">
        <v>191</v>
      </c>
      <c r="L504" s="320">
        <v>4</v>
      </c>
      <c r="M504" s="320">
        <v>4</v>
      </c>
      <c r="N504" s="322" t="s">
        <v>12</v>
      </c>
      <c r="O504" s="151">
        <v>5</v>
      </c>
      <c r="P504" s="151" t="s">
        <v>199</v>
      </c>
    </row>
    <row r="505" spans="1:16" ht="90">
      <c r="A505" s="319" t="s">
        <v>5736</v>
      </c>
      <c r="B505" s="319" t="s">
        <v>5737</v>
      </c>
      <c r="C505" s="319" t="s">
        <v>5738</v>
      </c>
      <c r="D505" s="319"/>
      <c r="E505" s="319" t="s">
        <v>242</v>
      </c>
      <c r="F505" s="319"/>
      <c r="G505" s="318" t="s">
        <v>3733</v>
      </c>
      <c r="H505" s="319" t="s">
        <v>5739</v>
      </c>
      <c r="I505" s="319" t="s">
        <v>204</v>
      </c>
      <c r="J505" s="319" t="s">
        <v>5740</v>
      </c>
      <c r="K505" s="319" t="s">
        <v>191</v>
      </c>
      <c r="L505" s="320">
        <v>4</v>
      </c>
      <c r="M505" s="320">
        <v>4</v>
      </c>
      <c r="N505" s="322" t="s">
        <v>12</v>
      </c>
      <c r="O505" s="151">
        <v>5</v>
      </c>
      <c r="P505" s="151" t="s">
        <v>199</v>
      </c>
    </row>
    <row r="506" spans="1:16" ht="90">
      <c r="A506" s="319" t="s">
        <v>5741</v>
      </c>
      <c r="B506" s="319" t="s">
        <v>5742</v>
      </c>
      <c r="C506" s="319" t="s">
        <v>5743</v>
      </c>
      <c r="D506" s="319"/>
      <c r="E506" s="319" t="s">
        <v>242</v>
      </c>
      <c r="F506" s="319"/>
      <c r="G506" s="318" t="s">
        <v>3733</v>
      </c>
      <c r="H506" s="319" t="s">
        <v>5744</v>
      </c>
      <c r="I506" s="319" t="s">
        <v>204</v>
      </c>
      <c r="J506" s="319" t="s">
        <v>5740</v>
      </c>
      <c r="K506" s="319" t="s">
        <v>191</v>
      </c>
      <c r="L506" s="320">
        <v>4</v>
      </c>
      <c r="M506" s="320">
        <v>4</v>
      </c>
      <c r="N506" s="322" t="s">
        <v>12</v>
      </c>
      <c r="O506" s="151">
        <v>5</v>
      </c>
      <c r="P506" s="151" t="s">
        <v>199</v>
      </c>
    </row>
    <row r="507" spans="1:16">
      <c r="A507" s="319" t="s">
        <v>5745</v>
      </c>
      <c r="B507" s="319" t="s">
        <v>5746</v>
      </c>
      <c r="C507" s="319" t="s">
        <v>5747</v>
      </c>
      <c r="D507" s="319"/>
      <c r="E507" s="319" t="s">
        <v>242</v>
      </c>
      <c r="F507" s="319"/>
      <c r="G507" s="318" t="s">
        <v>4231</v>
      </c>
      <c r="H507" s="319" t="s">
        <v>5748</v>
      </c>
      <c r="I507" s="319"/>
      <c r="J507" s="319"/>
      <c r="K507" s="319" t="s">
        <v>191</v>
      </c>
      <c r="L507" s="320">
        <v>4</v>
      </c>
      <c r="M507" s="320">
        <v>4</v>
      </c>
      <c r="N507" s="322" t="s">
        <v>12</v>
      </c>
      <c r="O507" s="151">
        <v>5</v>
      </c>
      <c r="P507" s="151" t="s">
        <v>199</v>
      </c>
    </row>
    <row r="508" spans="1:16">
      <c r="A508" s="319" t="s">
        <v>5749</v>
      </c>
      <c r="B508" s="319" t="s">
        <v>5750</v>
      </c>
      <c r="C508" s="319" t="s">
        <v>5751</v>
      </c>
      <c r="D508" s="319"/>
      <c r="E508" s="319" t="s">
        <v>242</v>
      </c>
      <c r="F508" s="319"/>
      <c r="G508" s="318" t="s">
        <v>4231</v>
      </c>
      <c r="H508" s="319" t="s">
        <v>5752</v>
      </c>
      <c r="I508" s="319"/>
      <c r="J508" s="319"/>
      <c r="K508" s="319" t="s">
        <v>191</v>
      </c>
      <c r="L508" s="320">
        <v>4</v>
      </c>
      <c r="M508" s="320">
        <v>4</v>
      </c>
      <c r="N508" s="322" t="s">
        <v>12</v>
      </c>
      <c r="O508" s="151">
        <v>5</v>
      </c>
      <c r="P508" s="151" t="s">
        <v>199</v>
      </c>
    </row>
    <row r="509" spans="1:16" ht="22.5">
      <c r="A509" s="319" t="s">
        <v>5753</v>
      </c>
      <c r="B509" s="319" t="s">
        <v>5754</v>
      </c>
      <c r="C509" s="319" t="s">
        <v>5755</v>
      </c>
      <c r="D509" s="319"/>
      <c r="E509" s="319" t="s">
        <v>242</v>
      </c>
      <c r="F509" s="319"/>
      <c r="G509" s="318" t="s">
        <v>4231</v>
      </c>
      <c r="H509" s="319" t="s">
        <v>5756</v>
      </c>
      <c r="I509" s="319" t="s">
        <v>198</v>
      </c>
      <c r="J509" s="319"/>
      <c r="K509" s="319" t="s">
        <v>191</v>
      </c>
      <c r="L509" s="320">
        <v>4</v>
      </c>
      <c r="M509" s="320">
        <v>4</v>
      </c>
      <c r="N509" s="322" t="s">
        <v>12</v>
      </c>
      <c r="O509" s="151">
        <v>5</v>
      </c>
      <c r="P509" s="151" t="s">
        <v>199</v>
      </c>
    </row>
    <row r="510" spans="1:16">
      <c r="A510" s="319" t="s">
        <v>5757</v>
      </c>
      <c r="B510" s="319" t="s">
        <v>5758</v>
      </c>
      <c r="C510" s="319" t="s">
        <v>5757</v>
      </c>
      <c r="D510" s="319"/>
      <c r="E510" s="319" t="s">
        <v>242</v>
      </c>
      <c r="F510" s="319"/>
      <c r="G510" s="318" t="s">
        <v>4231</v>
      </c>
      <c r="H510" s="319" t="s">
        <v>5759</v>
      </c>
      <c r="I510" s="319" t="s">
        <v>198</v>
      </c>
      <c r="J510" s="319"/>
      <c r="K510" s="319" t="s">
        <v>191</v>
      </c>
      <c r="L510" s="320">
        <v>4</v>
      </c>
      <c r="M510" s="320">
        <v>4</v>
      </c>
      <c r="N510" s="322" t="s">
        <v>12</v>
      </c>
      <c r="O510" s="151">
        <v>5</v>
      </c>
      <c r="P510" s="151" t="s">
        <v>199</v>
      </c>
    </row>
    <row r="511" spans="1:16">
      <c r="A511" s="319" t="s">
        <v>5760</v>
      </c>
      <c r="B511" s="319" t="s">
        <v>5761</v>
      </c>
      <c r="C511" s="319" t="s">
        <v>5762</v>
      </c>
      <c r="D511" s="319"/>
      <c r="E511" s="319" t="s">
        <v>242</v>
      </c>
      <c r="F511" s="319"/>
      <c r="G511" s="318" t="s">
        <v>3034</v>
      </c>
      <c r="H511" s="319" t="s">
        <v>5763</v>
      </c>
      <c r="I511" s="319" t="s">
        <v>198</v>
      </c>
      <c r="J511" s="319"/>
      <c r="K511" s="319" t="s">
        <v>191</v>
      </c>
      <c r="L511" s="320">
        <v>4</v>
      </c>
      <c r="M511" s="320">
        <v>4</v>
      </c>
      <c r="N511" s="322" t="s">
        <v>12</v>
      </c>
      <c r="O511" s="151">
        <v>5</v>
      </c>
      <c r="P511" s="151" t="s">
        <v>199</v>
      </c>
    </row>
    <row r="512" spans="1:16" ht="22.5">
      <c r="A512" s="319" t="s">
        <v>5764</v>
      </c>
      <c r="B512" s="319" t="s">
        <v>5765</v>
      </c>
      <c r="C512" s="319" t="s">
        <v>5764</v>
      </c>
      <c r="D512" s="319"/>
      <c r="E512" s="319" t="s">
        <v>242</v>
      </c>
      <c r="F512" s="319"/>
      <c r="G512" s="318" t="s">
        <v>4231</v>
      </c>
      <c r="H512" s="319" t="s">
        <v>5766</v>
      </c>
      <c r="I512" s="319" t="s">
        <v>198</v>
      </c>
      <c r="J512" s="319"/>
      <c r="K512" s="319" t="s">
        <v>191</v>
      </c>
      <c r="L512" s="320">
        <v>4</v>
      </c>
      <c r="M512" s="320">
        <v>4</v>
      </c>
      <c r="N512" s="322" t="s">
        <v>12</v>
      </c>
      <c r="O512" s="151">
        <v>5</v>
      </c>
      <c r="P512" s="151" t="s">
        <v>199</v>
      </c>
    </row>
    <row r="513" spans="1:16">
      <c r="A513" s="319" t="s">
        <v>5767</v>
      </c>
      <c r="B513" s="319" t="s">
        <v>5768</v>
      </c>
      <c r="C513" s="319" t="s">
        <v>5769</v>
      </c>
      <c r="D513" s="319"/>
      <c r="E513" s="319" t="s">
        <v>242</v>
      </c>
      <c r="F513" s="319"/>
      <c r="G513" s="318" t="s">
        <v>3034</v>
      </c>
      <c r="H513" s="319" t="s">
        <v>5770</v>
      </c>
      <c r="I513" s="319" t="s">
        <v>198</v>
      </c>
      <c r="J513" s="319"/>
      <c r="K513" s="319" t="s">
        <v>191</v>
      </c>
      <c r="L513" s="320">
        <v>4</v>
      </c>
      <c r="M513" s="320">
        <v>4</v>
      </c>
      <c r="N513" s="322" t="s">
        <v>12</v>
      </c>
      <c r="O513" s="151">
        <v>5</v>
      </c>
      <c r="P513" s="151" t="s">
        <v>199</v>
      </c>
    </row>
    <row r="514" spans="1:16" ht="33.75">
      <c r="A514" s="319" t="s">
        <v>5771</v>
      </c>
      <c r="B514" s="319" t="s">
        <v>5772</v>
      </c>
      <c r="C514" s="319" t="s">
        <v>5773</v>
      </c>
      <c r="D514" s="319"/>
      <c r="E514" s="319" t="s">
        <v>242</v>
      </c>
      <c r="F514" s="319"/>
      <c r="G514" s="318" t="s">
        <v>3733</v>
      </c>
      <c r="H514" s="324" t="s">
        <v>5774</v>
      </c>
      <c r="I514" s="324" t="s">
        <v>188</v>
      </c>
      <c r="J514" s="324" t="s">
        <v>5775</v>
      </c>
      <c r="K514" s="319" t="s">
        <v>191</v>
      </c>
      <c r="L514" s="320">
        <v>4</v>
      </c>
      <c r="M514" s="320">
        <v>4</v>
      </c>
      <c r="N514" s="322" t="s">
        <v>12</v>
      </c>
      <c r="O514" s="151">
        <v>5</v>
      </c>
      <c r="P514" s="151" t="s">
        <v>199</v>
      </c>
    </row>
    <row r="515" spans="1:16" ht="33.75">
      <c r="A515" s="319" t="s">
        <v>5776</v>
      </c>
      <c r="B515" s="319" t="s">
        <v>5777</v>
      </c>
      <c r="C515" s="319" t="s">
        <v>5778</v>
      </c>
      <c r="D515" s="319"/>
      <c r="E515" s="319" t="s">
        <v>242</v>
      </c>
      <c r="F515" s="319"/>
      <c r="G515" s="318" t="s">
        <v>3034</v>
      </c>
      <c r="H515" s="324" t="s">
        <v>5779</v>
      </c>
      <c r="I515" s="324" t="s">
        <v>188</v>
      </c>
      <c r="J515" s="324" t="s">
        <v>5775</v>
      </c>
      <c r="K515" s="319" t="s">
        <v>191</v>
      </c>
      <c r="L515" s="320">
        <v>4</v>
      </c>
      <c r="M515" s="320">
        <v>4</v>
      </c>
      <c r="N515" s="322" t="s">
        <v>12</v>
      </c>
      <c r="O515" s="151">
        <v>5</v>
      </c>
      <c r="P515" s="151" t="s">
        <v>199</v>
      </c>
    </row>
    <row r="516" spans="1:16" ht="33.75">
      <c r="A516" s="319" t="s">
        <v>5780</v>
      </c>
      <c r="B516" s="319" t="s">
        <v>5781</v>
      </c>
      <c r="C516" s="319" t="s">
        <v>5782</v>
      </c>
      <c r="D516" s="319"/>
      <c r="E516" s="319" t="s">
        <v>242</v>
      </c>
      <c r="F516" s="319"/>
      <c r="G516" s="318" t="s">
        <v>3733</v>
      </c>
      <c r="H516" s="324" t="s">
        <v>5783</v>
      </c>
      <c r="I516" s="324" t="s">
        <v>188</v>
      </c>
      <c r="J516" s="324" t="s">
        <v>5775</v>
      </c>
      <c r="K516" s="319" t="s">
        <v>191</v>
      </c>
      <c r="L516" s="320">
        <v>4</v>
      </c>
      <c r="M516" s="320">
        <v>4</v>
      </c>
      <c r="N516" s="322" t="s">
        <v>12</v>
      </c>
      <c r="O516" s="151">
        <v>5</v>
      </c>
      <c r="P516" s="151" t="s">
        <v>199</v>
      </c>
    </row>
    <row r="517" spans="1:16" ht="33.75">
      <c r="A517" s="319" t="s">
        <v>5784</v>
      </c>
      <c r="B517" s="319" t="s">
        <v>5785</v>
      </c>
      <c r="C517" s="319" t="s">
        <v>5786</v>
      </c>
      <c r="D517" s="319"/>
      <c r="E517" s="319" t="s">
        <v>242</v>
      </c>
      <c r="F517" s="319"/>
      <c r="G517" s="318" t="s">
        <v>3733</v>
      </c>
      <c r="H517" s="324" t="s">
        <v>5787</v>
      </c>
      <c r="I517" s="324" t="s">
        <v>188</v>
      </c>
      <c r="J517" s="324" t="s">
        <v>5775</v>
      </c>
      <c r="K517" s="319" t="s">
        <v>191</v>
      </c>
      <c r="L517" s="320">
        <v>4</v>
      </c>
      <c r="M517" s="320">
        <v>4</v>
      </c>
      <c r="N517" s="322" t="s">
        <v>12</v>
      </c>
      <c r="O517" s="151">
        <v>5</v>
      </c>
      <c r="P517" s="151" t="s">
        <v>199</v>
      </c>
    </row>
    <row r="518" spans="1:16" ht="33.75">
      <c r="A518" s="319" t="s">
        <v>5788</v>
      </c>
      <c r="B518" s="319" t="s">
        <v>5789</v>
      </c>
      <c r="C518" s="319" t="s">
        <v>5790</v>
      </c>
      <c r="D518" s="319"/>
      <c r="E518" s="319" t="s">
        <v>242</v>
      </c>
      <c r="F518" s="319"/>
      <c r="G518" s="318" t="s">
        <v>3034</v>
      </c>
      <c r="H518" s="324" t="s">
        <v>5791</v>
      </c>
      <c r="I518" s="324" t="s">
        <v>188</v>
      </c>
      <c r="J518" s="324" t="s">
        <v>5775</v>
      </c>
      <c r="K518" s="319" t="s">
        <v>191</v>
      </c>
      <c r="L518" s="320">
        <v>4</v>
      </c>
      <c r="M518" s="320">
        <v>4</v>
      </c>
      <c r="N518" s="322" t="s">
        <v>12</v>
      </c>
      <c r="O518" s="151">
        <v>5</v>
      </c>
      <c r="P518" s="151" t="s">
        <v>199</v>
      </c>
    </row>
    <row r="519" spans="1:16" ht="33.75">
      <c r="A519" s="319" t="s">
        <v>5792</v>
      </c>
      <c r="B519" s="319" t="s">
        <v>5793</v>
      </c>
      <c r="C519" s="319" t="s">
        <v>5794</v>
      </c>
      <c r="D519" s="319"/>
      <c r="E519" s="319" t="s">
        <v>242</v>
      </c>
      <c r="F519" s="319"/>
      <c r="G519" s="318" t="s">
        <v>3733</v>
      </c>
      <c r="H519" s="324" t="s">
        <v>5795</v>
      </c>
      <c r="I519" s="324" t="s">
        <v>188</v>
      </c>
      <c r="J519" s="324" t="s">
        <v>5775</v>
      </c>
      <c r="K519" s="319" t="s">
        <v>191</v>
      </c>
      <c r="L519" s="320">
        <v>4</v>
      </c>
      <c r="M519" s="320">
        <v>4</v>
      </c>
      <c r="N519" s="322" t="s">
        <v>12</v>
      </c>
      <c r="O519" s="151">
        <v>5</v>
      </c>
      <c r="P519" s="151" t="s">
        <v>199</v>
      </c>
    </row>
    <row r="520" spans="1:16" ht="22.5">
      <c r="A520" s="319" t="s">
        <v>5796</v>
      </c>
      <c r="B520" s="319" t="s">
        <v>5797</v>
      </c>
      <c r="C520" s="319" t="s">
        <v>5796</v>
      </c>
      <c r="D520" s="319"/>
      <c r="E520" s="319" t="s">
        <v>242</v>
      </c>
      <c r="F520" s="319"/>
      <c r="G520" s="318" t="s">
        <v>4327</v>
      </c>
      <c r="H520" s="324" t="s">
        <v>5798</v>
      </c>
      <c r="I520" s="324" t="s">
        <v>204</v>
      </c>
      <c r="J520" s="324" t="s">
        <v>5799</v>
      </c>
      <c r="K520" s="319" t="s">
        <v>191</v>
      </c>
      <c r="L520" s="320">
        <v>4</v>
      </c>
      <c r="M520" s="320">
        <v>4</v>
      </c>
      <c r="N520" s="322" t="s">
        <v>12</v>
      </c>
      <c r="O520" s="151">
        <v>5</v>
      </c>
      <c r="P520" s="151" t="s">
        <v>199</v>
      </c>
    </row>
    <row r="521" spans="1:16" ht="22.5">
      <c r="A521" s="319" t="s">
        <v>5800</v>
      </c>
      <c r="B521" s="319" t="s">
        <v>5801</v>
      </c>
      <c r="C521" s="319" t="s">
        <v>5800</v>
      </c>
      <c r="D521" s="319"/>
      <c r="E521" s="319" t="s">
        <v>242</v>
      </c>
      <c r="F521" s="319"/>
      <c r="G521" s="318" t="s">
        <v>4327</v>
      </c>
      <c r="H521" s="324" t="s">
        <v>5802</v>
      </c>
      <c r="I521" s="324" t="s">
        <v>204</v>
      </c>
      <c r="J521" s="324" t="s">
        <v>5799</v>
      </c>
      <c r="K521" s="319" t="s">
        <v>191</v>
      </c>
      <c r="L521" s="320">
        <v>4</v>
      </c>
      <c r="M521" s="320">
        <v>4</v>
      </c>
      <c r="N521" s="322" t="s">
        <v>12</v>
      </c>
      <c r="O521" s="151">
        <v>5</v>
      </c>
      <c r="P521" s="151" t="s">
        <v>199</v>
      </c>
    </row>
    <row r="522" spans="1:16" ht="33.75">
      <c r="A522" s="319" t="s">
        <v>5803</v>
      </c>
      <c r="B522" s="319" t="s">
        <v>5804</v>
      </c>
      <c r="C522" s="319" t="s">
        <v>5803</v>
      </c>
      <c r="D522" s="319"/>
      <c r="E522" s="319" t="s">
        <v>242</v>
      </c>
      <c r="F522" s="319"/>
      <c r="G522" s="318" t="s">
        <v>4327</v>
      </c>
      <c r="H522" s="324" t="s">
        <v>5805</v>
      </c>
      <c r="I522" s="324" t="s">
        <v>188</v>
      </c>
      <c r="J522" s="324" t="s">
        <v>5775</v>
      </c>
      <c r="K522" s="319" t="s">
        <v>191</v>
      </c>
      <c r="L522" s="320">
        <v>4</v>
      </c>
      <c r="M522" s="320">
        <v>4</v>
      </c>
      <c r="N522" s="322" t="s">
        <v>12</v>
      </c>
      <c r="O522" s="151">
        <v>5</v>
      </c>
      <c r="P522" s="151" t="s">
        <v>199</v>
      </c>
    </row>
    <row r="523" spans="1:16" ht="33.75">
      <c r="A523" s="319" t="s">
        <v>5806</v>
      </c>
      <c r="B523" s="319" t="s">
        <v>5807</v>
      </c>
      <c r="C523" s="319" t="s">
        <v>5806</v>
      </c>
      <c r="D523" s="319"/>
      <c r="E523" s="319" t="s">
        <v>242</v>
      </c>
      <c r="F523" s="319"/>
      <c r="G523" s="318" t="s">
        <v>4327</v>
      </c>
      <c r="H523" s="324" t="s">
        <v>5808</v>
      </c>
      <c r="I523" s="324" t="s">
        <v>188</v>
      </c>
      <c r="J523" s="324" t="s">
        <v>5775</v>
      </c>
      <c r="K523" s="319" t="s">
        <v>191</v>
      </c>
      <c r="L523" s="320">
        <v>4</v>
      </c>
      <c r="M523" s="320">
        <v>4</v>
      </c>
      <c r="N523" s="322" t="s">
        <v>12</v>
      </c>
      <c r="O523" s="151">
        <v>5</v>
      </c>
      <c r="P523" s="151" t="s">
        <v>199</v>
      </c>
    </row>
    <row r="524" spans="1:16">
      <c r="A524" s="319" t="s">
        <v>5809</v>
      </c>
      <c r="B524" s="319" t="s">
        <v>5810</v>
      </c>
      <c r="C524" s="319" t="s">
        <v>5811</v>
      </c>
      <c r="D524" s="319"/>
      <c r="E524" s="319" t="s">
        <v>242</v>
      </c>
      <c r="F524" s="319"/>
      <c r="G524" s="318" t="s">
        <v>1882</v>
      </c>
      <c r="H524" s="319" t="s">
        <v>5812</v>
      </c>
      <c r="I524" s="319" t="s">
        <v>198</v>
      </c>
      <c r="J524" s="319"/>
      <c r="K524" s="319" t="s">
        <v>191</v>
      </c>
      <c r="L524" s="320">
        <v>4</v>
      </c>
      <c r="M524" s="320">
        <v>4</v>
      </c>
      <c r="N524" s="322" t="s">
        <v>12</v>
      </c>
      <c r="O524" s="151">
        <v>5</v>
      </c>
      <c r="P524" s="151" t="s">
        <v>199</v>
      </c>
    </row>
    <row r="525" spans="1:16">
      <c r="A525" s="319" t="s">
        <v>5813</v>
      </c>
      <c r="B525" s="319" t="s">
        <v>5814</v>
      </c>
      <c r="C525" s="319" t="s">
        <v>5815</v>
      </c>
      <c r="D525" s="319"/>
      <c r="E525" s="319" t="s">
        <v>242</v>
      </c>
      <c r="F525" s="319"/>
      <c r="G525" s="318" t="s">
        <v>1882</v>
      </c>
      <c r="H525" s="319" t="s">
        <v>5816</v>
      </c>
      <c r="I525" s="319" t="s">
        <v>198</v>
      </c>
      <c r="J525" s="319"/>
      <c r="K525" s="319" t="s">
        <v>191</v>
      </c>
      <c r="L525" s="320">
        <v>4</v>
      </c>
      <c r="M525" s="320">
        <v>4</v>
      </c>
      <c r="N525" s="322" t="s">
        <v>12</v>
      </c>
      <c r="O525" s="151">
        <v>5</v>
      </c>
      <c r="P525" s="151" t="s">
        <v>199</v>
      </c>
    </row>
    <row r="526" spans="1:16">
      <c r="A526" s="319" t="s">
        <v>5817</v>
      </c>
      <c r="B526" s="319" t="s">
        <v>5818</v>
      </c>
      <c r="C526" s="319" t="s">
        <v>5819</v>
      </c>
      <c r="D526" s="319"/>
      <c r="E526" s="319" t="s">
        <v>242</v>
      </c>
      <c r="F526" s="319"/>
      <c r="G526" s="318" t="s">
        <v>1882</v>
      </c>
      <c r="H526" s="319" t="s">
        <v>5820</v>
      </c>
      <c r="I526" s="319" t="s">
        <v>198</v>
      </c>
      <c r="J526" s="319"/>
      <c r="K526" s="319" t="s">
        <v>191</v>
      </c>
      <c r="L526" s="320">
        <v>4</v>
      </c>
      <c r="M526" s="320">
        <v>4</v>
      </c>
      <c r="N526" s="322" t="s">
        <v>12</v>
      </c>
      <c r="O526" s="151">
        <v>5</v>
      </c>
      <c r="P526" s="151" t="s">
        <v>199</v>
      </c>
    </row>
    <row r="527" spans="1:16">
      <c r="A527" s="319" t="s">
        <v>5821</v>
      </c>
      <c r="B527" s="319" t="s">
        <v>5822</v>
      </c>
      <c r="C527" s="319" t="s">
        <v>5823</v>
      </c>
      <c r="D527" s="319"/>
      <c r="E527" s="319" t="s">
        <v>242</v>
      </c>
      <c r="F527" s="319"/>
      <c r="G527" s="318" t="s">
        <v>1882</v>
      </c>
      <c r="H527" s="319" t="s">
        <v>5824</v>
      </c>
      <c r="I527" s="319" t="s">
        <v>204</v>
      </c>
      <c r="J527" s="319"/>
      <c r="K527" s="319" t="s">
        <v>191</v>
      </c>
      <c r="L527" s="320">
        <v>4</v>
      </c>
      <c r="M527" s="320">
        <v>4</v>
      </c>
      <c r="N527" s="322" t="s">
        <v>12</v>
      </c>
      <c r="O527" s="151">
        <v>5</v>
      </c>
      <c r="P527" s="151" t="s">
        <v>199</v>
      </c>
    </row>
    <row r="528" spans="1:16">
      <c r="A528" s="319" t="s">
        <v>5825</v>
      </c>
      <c r="B528" s="319" t="s">
        <v>5826</v>
      </c>
      <c r="C528" s="319" t="s">
        <v>5827</v>
      </c>
      <c r="D528" s="319"/>
      <c r="E528" s="319" t="s">
        <v>242</v>
      </c>
      <c r="F528" s="319"/>
      <c r="G528" s="318" t="s">
        <v>1882</v>
      </c>
      <c r="H528" s="319" t="s">
        <v>5828</v>
      </c>
      <c r="I528" s="319" t="s">
        <v>204</v>
      </c>
      <c r="J528" s="319"/>
      <c r="K528" s="319" t="s">
        <v>191</v>
      </c>
      <c r="L528" s="320">
        <v>4</v>
      </c>
      <c r="M528" s="320">
        <v>4</v>
      </c>
      <c r="N528" s="322" t="s">
        <v>12</v>
      </c>
      <c r="O528" s="151">
        <v>5</v>
      </c>
      <c r="P528" s="151" t="s">
        <v>199</v>
      </c>
    </row>
    <row r="529" spans="1:16">
      <c r="A529" s="319" t="s">
        <v>5829</v>
      </c>
      <c r="B529" s="319" t="s">
        <v>5830</v>
      </c>
      <c r="C529" s="319" t="s">
        <v>5831</v>
      </c>
      <c r="D529" s="319"/>
      <c r="E529" s="319" t="s">
        <v>242</v>
      </c>
      <c r="F529" s="319"/>
      <c r="G529" s="318" t="s">
        <v>5832</v>
      </c>
      <c r="H529" s="319" t="s">
        <v>5833</v>
      </c>
      <c r="I529" s="319" t="s">
        <v>198</v>
      </c>
      <c r="J529" s="319"/>
      <c r="K529" s="319" t="s">
        <v>191</v>
      </c>
      <c r="L529" s="320">
        <v>4</v>
      </c>
      <c r="M529" s="320">
        <v>4</v>
      </c>
      <c r="N529" s="322" t="s">
        <v>12</v>
      </c>
      <c r="O529" s="151">
        <v>5</v>
      </c>
      <c r="P529" s="151" t="s">
        <v>199</v>
      </c>
    </row>
    <row r="530" spans="1:16">
      <c r="A530" s="319" t="s">
        <v>5834</v>
      </c>
      <c r="B530" s="319" t="s">
        <v>5835</v>
      </c>
      <c r="C530" s="319" t="s">
        <v>5836</v>
      </c>
      <c r="D530" s="319"/>
      <c r="E530" s="319" t="s">
        <v>242</v>
      </c>
      <c r="F530" s="319"/>
      <c r="G530" s="318" t="s">
        <v>5832</v>
      </c>
      <c r="H530" s="319" t="s">
        <v>5837</v>
      </c>
      <c r="I530" s="319" t="s">
        <v>198</v>
      </c>
      <c r="J530" s="319"/>
      <c r="K530" s="319" t="s">
        <v>191</v>
      </c>
      <c r="L530" s="320">
        <v>4</v>
      </c>
      <c r="M530" s="320">
        <v>4</v>
      </c>
      <c r="N530" s="322" t="s">
        <v>12</v>
      </c>
      <c r="O530" s="151">
        <v>5</v>
      </c>
      <c r="P530" s="151" t="s">
        <v>199</v>
      </c>
    </row>
    <row r="531" spans="1:16">
      <c r="A531" s="319" t="s">
        <v>5838</v>
      </c>
      <c r="B531" s="319" t="s">
        <v>5839</v>
      </c>
      <c r="C531" s="319" t="s">
        <v>5840</v>
      </c>
      <c r="D531" s="319"/>
      <c r="E531" s="319" t="s">
        <v>242</v>
      </c>
      <c r="F531" s="319"/>
      <c r="G531" s="318" t="s">
        <v>5832</v>
      </c>
      <c r="H531" s="319" t="s">
        <v>5841</v>
      </c>
      <c r="I531" s="319" t="s">
        <v>198</v>
      </c>
      <c r="J531" s="319"/>
      <c r="K531" s="319" t="s">
        <v>191</v>
      </c>
      <c r="L531" s="320">
        <v>4</v>
      </c>
      <c r="M531" s="320">
        <v>4</v>
      </c>
      <c r="N531" s="322" t="s">
        <v>12</v>
      </c>
      <c r="O531" s="151">
        <v>5</v>
      </c>
      <c r="P531" s="151" t="s">
        <v>199</v>
      </c>
    </row>
    <row r="532" spans="1:16">
      <c r="A532" s="319" t="s">
        <v>5842</v>
      </c>
      <c r="B532" s="319" t="s">
        <v>5843</v>
      </c>
      <c r="C532" s="319" t="s">
        <v>5844</v>
      </c>
      <c r="D532" s="319"/>
      <c r="E532" s="319" t="s">
        <v>242</v>
      </c>
      <c r="F532" s="319"/>
      <c r="G532" s="318" t="s">
        <v>5832</v>
      </c>
      <c r="H532" s="319" t="s">
        <v>5845</v>
      </c>
      <c r="I532" s="319" t="s">
        <v>204</v>
      </c>
      <c r="J532" s="319"/>
      <c r="K532" s="319" t="s">
        <v>191</v>
      </c>
      <c r="L532" s="320">
        <v>4</v>
      </c>
      <c r="M532" s="320">
        <v>4</v>
      </c>
      <c r="N532" s="322" t="s">
        <v>12</v>
      </c>
      <c r="O532" s="151">
        <v>5</v>
      </c>
      <c r="P532" s="151" t="s">
        <v>199</v>
      </c>
    </row>
    <row r="533" spans="1:16">
      <c r="A533" s="319" t="s">
        <v>5846</v>
      </c>
      <c r="B533" s="319" t="s">
        <v>5847</v>
      </c>
      <c r="C533" s="319" t="s">
        <v>5848</v>
      </c>
      <c r="D533" s="319"/>
      <c r="E533" s="319" t="s">
        <v>242</v>
      </c>
      <c r="F533" s="319"/>
      <c r="G533" s="318" t="s">
        <v>5832</v>
      </c>
      <c r="H533" s="319" t="s">
        <v>5849</v>
      </c>
      <c r="I533" s="319" t="s">
        <v>204</v>
      </c>
      <c r="J533" s="319"/>
      <c r="K533" s="319" t="s">
        <v>191</v>
      </c>
      <c r="L533" s="320">
        <v>4</v>
      </c>
      <c r="M533" s="320">
        <v>4</v>
      </c>
      <c r="N533" s="322" t="s">
        <v>12</v>
      </c>
      <c r="O533" s="151">
        <v>5</v>
      </c>
      <c r="P533" s="151" t="s">
        <v>199</v>
      </c>
    </row>
    <row r="534" spans="1:16" ht="22.5">
      <c r="A534" s="319" t="s">
        <v>5850</v>
      </c>
      <c r="B534" s="319" t="s">
        <v>5851</v>
      </c>
      <c r="C534" s="319"/>
      <c r="D534" s="319"/>
      <c r="E534" s="319" t="s">
        <v>242</v>
      </c>
      <c r="F534" s="319"/>
      <c r="G534" s="318" t="s">
        <v>1946</v>
      </c>
      <c r="H534" s="319" t="s">
        <v>5852</v>
      </c>
      <c r="I534" s="319" t="s">
        <v>188</v>
      </c>
      <c r="J534" s="319" t="s">
        <v>1453</v>
      </c>
      <c r="K534" s="319" t="s">
        <v>191</v>
      </c>
      <c r="L534" s="320">
        <v>4</v>
      </c>
      <c r="M534" s="320">
        <v>4</v>
      </c>
      <c r="N534" s="322" t="s">
        <v>14</v>
      </c>
      <c r="O534" s="151">
        <v>5</v>
      </c>
      <c r="P534" s="151" t="s">
        <v>199</v>
      </c>
    </row>
    <row r="535" spans="1:16" ht="22.5">
      <c r="A535" s="319" t="s">
        <v>5853</v>
      </c>
      <c r="B535" s="319" t="s">
        <v>5854</v>
      </c>
      <c r="C535" s="319"/>
      <c r="D535" s="319"/>
      <c r="E535" s="319" t="s">
        <v>242</v>
      </c>
      <c r="F535" s="319"/>
      <c r="G535" s="318" t="s">
        <v>1946</v>
      </c>
      <c r="H535" s="319" t="s">
        <v>5855</v>
      </c>
      <c r="I535" s="319" t="s">
        <v>188</v>
      </c>
      <c r="J535" s="319" t="s">
        <v>1453</v>
      </c>
      <c r="K535" s="319" t="s">
        <v>191</v>
      </c>
      <c r="L535" s="320">
        <v>4</v>
      </c>
      <c r="M535" s="320">
        <v>4</v>
      </c>
      <c r="N535" s="322" t="s">
        <v>14</v>
      </c>
      <c r="O535" s="151">
        <v>5</v>
      </c>
      <c r="P535" s="151" t="s">
        <v>199</v>
      </c>
    </row>
    <row r="536" spans="1:16">
      <c r="A536" s="319" t="s">
        <v>5856</v>
      </c>
      <c r="B536" s="319" t="s">
        <v>5857</v>
      </c>
      <c r="C536" s="319"/>
      <c r="D536" s="319"/>
      <c r="E536" s="319" t="s">
        <v>242</v>
      </c>
      <c r="F536" s="319"/>
      <c r="G536" s="318" t="s">
        <v>1890</v>
      </c>
      <c r="H536" s="319" t="s">
        <v>5858</v>
      </c>
      <c r="I536" s="319" t="s">
        <v>198</v>
      </c>
      <c r="J536" s="319"/>
      <c r="K536" s="319" t="s">
        <v>191</v>
      </c>
      <c r="L536" s="320">
        <v>4</v>
      </c>
      <c r="M536" s="320">
        <v>4</v>
      </c>
      <c r="N536" s="322" t="s">
        <v>12</v>
      </c>
      <c r="O536" s="151">
        <v>5</v>
      </c>
      <c r="P536" s="151" t="s">
        <v>199</v>
      </c>
    </row>
    <row r="537" spans="1:16">
      <c r="A537" s="319" t="s">
        <v>5859</v>
      </c>
      <c r="B537" s="319" t="s">
        <v>1467</v>
      </c>
      <c r="C537" s="319" t="s">
        <v>5860</v>
      </c>
      <c r="D537" s="319"/>
      <c r="E537" s="319" t="s">
        <v>242</v>
      </c>
      <c r="F537" s="319"/>
      <c r="G537" s="318" t="s">
        <v>4291</v>
      </c>
      <c r="H537" s="319" t="s">
        <v>5861</v>
      </c>
      <c r="I537" s="319" t="s">
        <v>188</v>
      </c>
      <c r="J537" s="319" t="s">
        <v>3350</v>
      </c>
      <c r="K537" s="319" t="s">
        <v>191</v>
      </c>
      <c r="L537" s="320">
        <v>4</v>
      </c>
      <c r="M537" s="320">
        <v>4</v>
      </c>
      <c r="N537" s="322" t="s">
        <v>12</v>
      </c>
      <c r="O537" s="151">
        <v>5</v>
      </c>
      <c r="P537" s="151" t="s">
        <v>199</v>
      </c>
    </row>
    <row r="538" spans="1:16">
      <c r="A538" s="319" t="s">
        <v>5862</v>
      </c>
      <c r="B538" s="319" t="s">
        <v>1471</v>
      </c>
      <c r="C538" s="319" t="s">
        <v>5863</v>
      </c>
      <c r="D538" s="319"/>
      <c r="E538" s="319" t="s">
        <v>242</v>
      </c>
      <c r="F538" s="319"/>
      <c r="G538" s="318" t="s">
        <v>4291</v>
      </c>
      <c r="H538" s="319" t="s">
        <v>5864</v>
      </c>
      <c r="I538" s="319" t="s">
        <v>188</v>
      </c>
      <c r="J538" s="319" t="s">
        <v>3350</v>
      </c>
      <c r="K538" s="319" t="s">
        <v>191</v>
      </c>
      <c r="L538" s="320">
        <v>4</v>
      </c>
      <c r="M538" s="320">
        <v>4</v>
      </c>
      <c r="N538" s="322" t="s">
        <v>12</v>
      </c>
      <c r="O538" s="151">
        <v>5</v>
      </c>
      <c r="P538" s="151" t="s">
        <v>199</v>
      </c>
    </row>
    <row r="539" spans="1:16" ht="22.5">
      <c r="A539" s="319" t="s">
        <v>5865</v>
      </c>
      <c r="B539" s="319" t="s">
        <v>3367</v>
      </c>
      <c r="C539" s="319"/>
      <c r="D539" s="319"/>
      <c r="E539" s="319" t="s">
        <v>242</v>
      </c>
      <c r="F539" s="319"/>
      <c r="G539" s="318" t="s">
        <v>2254</v>
      </c>
      <c r="H539" s="327" t="s">
        <v>5866</v>
      </c>
      <c r="I539" s="327" t="s">
        <v>188</v>
      </c>
      <c r="J539" s="319" t="s">
        <v>3350</v>
      </c>
      <c r="K539" s="319" t="s">
        <v>191</v>
      </c>
      <c r="L539" s="320">
        <v>4</v>
      </c>
      <c r="M539" s="320">
        <v>4</v>
      </c>
      <c r="N539" s="322" t="s">
        <v>12</v>
      </c>
      <c r="O539" s="151">
        <v>5</v>
      </c>
      <c r="P539" s="151" t="s">
        <v>199</v>
      </c>
    </row>
    <row r="540" spans="1:16">
      <c r="A540" s="142" t="s">
        <v>5867</v>
      </c>
      <c r="B540" s="142" t="s">
        <v>5868</v>
      </c>
      <c r="C540" s="142"/>
      <c r="D540" s="142"/>
      <c r="E540" s="319" t="s">
        <v>242</v>
      </c>
      <c r="F540" s="319"/>
      <c r="G540" s="141" t="s">
        <v>4332</v>
      </c>
      <c r="H540" s="142" t="s">
        <v>4525</v>
      </c>
      <c r="I540" s="142" t="s">
        <v>198</v>
      </c>
      <c r="J540" s="145"/>
      <c r="K540" s="319" t="s">
        <v>191</v>
      </c>
      <c r="L540" s="331">
        <v>4</v>
      </c>
      <c r="M540" s="331">
        <v>4</v>
      </c>
      <c r="N540" s="322" t="s">
        <v>14</v>
      </c>
      <c r="O540" s="151">
        <v>5</v>
      </c>
      <c r="P540" s="151" t="s">
        <v>199</v>
      </c>
    </row>
    <row r="541" spans="1:16">
      <c r="A541" s="142" t="s">
        <v>5869</v>
      </c>
      <c r="B541" s="142" t="s">
        <v>5870</v>
      </c>
      <c r="C541" s="142"/>
      <c r="D541" s="142"/>
      <c r="E541" s="319" t="s">
        <v>242</v>
      </c>
      <c r="F541" s="319"/>
      <c r="G541" s="141" t="s">
        <v>4332</v>
      </c>
      <c r="H541" s="142" t="s">
        <v>4532</v>
      </c>
      <c r="I541" s="142" t="s">
        <v>198</v>
      </c>
      <c r="J541" s="145"/>
      <c r="K541" s="319" t="s">
        <v>191</v>
      </c>
      <c r="L541" s="331">
        <v>4</v>
      </c>
      <c r="M541" s="331">
        <v>4</v>
      </c>
      <c r="N541" s="322" t="s">
        <v>14</v>
      </c>
      <c r="O541" s="151">
        <v>5</v>
      </c>
      <c r="P541" s="151" t="s">
        <v>199</v>
      </c>
    </row>
    <row r="542" spans="1:16" ht="33.75">
      <c r="A542" s="142" t="s">
        <v>5871</v>
      </c>
      <c r="B542" s="142" t="s">
        <v>5872</v>
      </c>
      <c r="C542" s="142"/>
      <c r="D542" s="142"/>
      <c r="E542" s="319" t="s">
        <v>242</v>
      </c>
      <c r="F542" s="319"/>
      <c r="G542" s="141" t="s">
        <v>4332</v>
      </c>
      <c r="H542" s="142" t="s">
        <v>5873</v>
      </c>
      <c r="I542" s="142" t="s">
        <v>188</v>
      </c>
      <c r="J542" s="145" t="s">
        <v>1453</v>
      </c>
      <c r="K542" s="319" t="s">
        <v>191</v>
      </c>
      <c r="L542" s="331">
        <v>4</v>
      </c>
      <c r="M542" s="331">
        <v>4</v>
      </c>
      <c r="N542" s="322" t="s">
        <v>14</v>
      </c>
      <c r="O542" s="151">
        <v>5</v>
      </c>
      <c r="P542" s="151" t="s">
        <v>199</v>
      </c>
    </row>
    <row r="543" spans="1:16" ht="22.5">
      <c r="A543" s="142" t="s">
        <v>5874</v>
      </c>
      <c r="B543" s="142" t="s">
        <v>5875</v>
      </c>
      <c r="C543" s="142"/>
      <c r="D543" s="142"/>
      <c r="E543" s="319" t="s">
        <v>242</v>
      </c>
      <c r="F543" s="319"/>
      <c r="G543" s="141" t="s">
        <v>4332</v>
      </c>
      <c r="H543" s="142" t="s">
        <v>4572</v>
      </c>
      <c r="I543" s="142" t="s">
        <v>188</v>
      </c>
      <c r="J543" s="145" t="s">
        <v>1453</v>
      </c>
      <c r="K543" s="319" t="s">
        <v>191</v>
      </c>
      <c r="L543" s="331">
        <v>4</v>
      </c>
      <c r="M543" s="331">
        <v>4</v>
      </c>
      <c r="N543" s="322" t="s">
        <v>14</v>
      </c>
      <c r="O543" s="151">
        <v>5</v>
      </c>
      <c r="P543" s="151" t="s">
        <v>199</v>
      </c>
    </row>
    <row r="544" spans="1:16" ht="22.5">
      <c r="A544" s="142" t="s">
        <v>5876</v>
      </c>
      <c r="B544" s="142" t="s">
        <v>5877</v>
      </c>
      <c r="C544" s="142"/>
      <c r="D544" s="142"/>
      <c r="E544" s="319" t="s">
        <v>242</v>
      </c>
      <c r="F544" s="319"/>
      <c r="G544" s="141" t="s">
        <v>4332</v>
      </c>
      <c r="H544" s="142" t="s">
        <v>4575</v>
      </c>
      <c r="I544" s="142" t="s">
        <v>188</v>
      </c>
      <c r="J544" s="145" t="s">
        <v>1453</v>
      </c>
      <c r="K544" s="319" t="s">
        <v>191</v>
      </c>
      <c r="L544" s="331">
        <v>4</v>
      </c>
      <c r="M544" s="331">
        <v>4</v>
      </c>
      <c r="N544" s="322" t="s">
        <v>14</v>
      </c>
      <c r="O544" s="151">
        <v>5</v>
      </c>
      <c r="P544" s="151" t="s">
        <v>199</v>
      </c>
    </row>
    <row r="545" spans="1:16">
      <c r="A545" s="142" t="s">
        <v>5878</v>
      </c>
      <c r="B545" s="142" t="s">
        <v>5879</v>
      </c>
      <c r="C545" s="142"/>
      <c r="D545" s="142"/>
      <c r="E545" s="319" t="s">
        <v>242</v>
      </c>
      <c r="F545" s="319"/>
      <c r="G545" s="141" t="s">
        <v>4332</v>
      </c>
      <c r="H545" s="142" t="s">
        <v>5880</v>
      </c>
      <c r="I545" s="142" t="s">
        <v>198</v>
      </c>
      <c r="J545" s="145"/>
      <c r="K545" s="319" t="s">
        <v>191</v>
      </c>
      <c r="L545" s="331">
        <v>4</v>
      </c>
      <c r="M545" s="331">
        <v>4</v>
      </c>
      <c r="N545" s="322" t="s">
        <v>14</v>
      </c>
      <c r="O545" s="151">
        <v>5</v>
      </c>
      <c r="P545" s="151" t="s">
        <v>199</v>
      </c>
    </row>
    <row r="546" spans="1:16" ht="22.5">
      <c r="A546" s="142" t="s">
        <v>5881</v>
      </c>
      <c r="B546" s="142" t="s">
        <v>5882</v>
      </c>
      <c r="C546" s="142"/>
      <c r="D546" s="142"/>
      <c r="E546" s="319" t="s">
        <v>242</v>
      </c>
      <c r="F546" s="319"/>
      <c r="G546" s="141" t="s">
        <v>4332</v>
      </c>
      <c r="H546" s="142" t="s">
        <v>5883</v>
      </c>
      <c r="I546" s="142" t="s">
        <v>198</v>
      </c>
      <c r="J546" s="145"/>
      <c r="K546" s="319" t="s">
        <v>191</v>
      </c>
      <c r="L546" s="331">
        <v>4</v>
      </c>
      <c r="M546" s="331">
        <v>4</v>
      </c>
      <c r="N546" s="322" t="s">
        <v>14</v>
      </c>
      <c r="O546" s="151">
        <v>5</v>
      </c>
      <c r="P546" s="151" t="s">
        <v>199</v>
      </c>
    </row>
    <row r="547" spans="1:16">
      <c r="A547" s="142" t="s">
        <v>5884</v>
      </c>
      <c r="B547" s="145" t="s">
        <v>5885</v>
      </c>
      <c r="C547" s="142"/>
      <c r="D547" s="142"/>
      <c r="E547" s="319" t="s">
        <v>242</v>
      </c>
      <c r="F547" s="319"/>
      <c r="G547" s="141" t="s">
        <v>4332</v>
      </c>
      <c r="H547" s="142" t="s">
        <v>4586</v>
      </c>
      <c r="I547" s="142" t="s">
        <v>198</v>
      </c>
      <c r="J547" s="145"/>
      <c r="K547" s="319" t="s">
        <v>191</v>
      </c>
      <c r="L547" s="331">
        <v>4</v>
      </c>
      <c r="M547" s="331">
        <v>4</v>
      </c>
      <c r="N547" s="322" t="s">
        <v>14</v>
      </c>
      <c r="O547" s="151">
        <v>5</v>
      </c>
      <c r="P547" s="151" t="s">
        <v>199</v>
      </c>
    </row>
    <row r="548" spans="1:16">
      <c r="A548" s="142" t="s">
        <v>5886</v>
      </c>
      <c r="B548" s="145" t="s">
        <v>5887</v>
      </c>
      <c r="C548" s="142"/>
      <c r="D548" s="142"/>
      <c r="E548" s="319" t="s">
        <v>242</v>
      </c>
      <c r="F548" s="319"/>
      <c r="G548" s="141" t="s">
        <v>5888</v>
      </c>
      <c r="H548" s="142" t="s">
        <v>4589</v>
      </c>
      <c r="I548" s="142" t="s">
        <v>198</v>
      </c>
      <c r="J548" s="145"/>
      <c r="K548" s="319" t="s">
        <v>191</v>
      </c>
      <c r="L548" s="331">
        <v>4</v>
      </c>
      <c r="M548" s="331">
        <v>4</v>
      </c>
      <c r="N548" s="322" t="s">
        <v>14</v>
      </c>
      <c r="O548" s="151">
        <v>5</v>
      </c>
      <c r="P548" s="151" t="s">
        <v>199</v>
      </c>
    </row>
    <row r="549" spans="1:16" ht="22.5">
      <c r="A549" s="142" t="s">
        <v>5889</v>
      </c>
      <c r="B549" s="142" t="s">
        <v>5890</v>
      </c>
      <c r="C549" s="142"/>
      <c r="D549" s="142"/>
      <c r="E549" s="319" t="s">
        <v>242</v>
      </c>
      <c r="F549" s="319"/>
      <c r="G549" s="141" t="s">
        <v>4332</v>
      </c>
      <c r="H549" s="142" t="s">
        <v>4593</v>
      </c>
      <c r="I549" s="142" t="s">
        <v>188</v>
      </c>
      <c r="J549" s="145" t="s">
        <v>1453</v>
      </c>
      <c r="K549" s="319" t="s">
        <v>191</v>
      </c>
      <c r="L549" s="331">
        <v>4</v>
      </c>
      <c r="M549" s="331">
        <v>4</v>
      </c>
      <c r="N549" s="322" t="s">
        <v>14</v>
      </c>
      <c r="O549" s="151">
        <v>5</v>
      </c>
      <c r="P549" s="151" t="s">
        <v>199</v>
      </c>
    </row>
    <row r="550" spans="1:16" ht="22.5">
      <c r="A550" s="142" t="s">
        <v>5891</v>
      </c>
      <c r="B550" s="142" t="s">
        <v>5892</v>
      </c>
      <c r="C550" s="142"/>
      <c r="D550" s="142"/>
      <c r="E550" s="319" t="s">
        <v>242</v>
      </c>
      <c r="F550" s="319"/>
      <c r="G550" s="141" t="s">
        <v>4332</v>
      </c>
      <c r="H550" s="142" t="s">
        <v>5893</v>
      </c>
      <c r="I550" s="142" t="s">
        <v>188</v>
      </c>
      <c r="J550" s="145" t="s">
        <v>1453</v>
      </c>
      <c r="K550" s="319" t="s">
        <v>191</v>
      </c>
      <c r="L550" s="331">
        <v>4</v>
      </c>
      <c r="M550" s="331">
        <v>4</v>
      </c>
      <c r="N550" s="322" t="s">
        <v>14</v>
      </c>
      <c r="O550" s="151">
        <v>5</v>
      </c>
      <c r="P550" s="151" t="s">
        <v>199</v>
      </c>
    </row>
    <row r="551" spans="1:16" ht="78.75">
      <c r="A551" s="142" t="s">
        <v>5894</v>
      </c>
      <c r="B551" s="142" t="s">
        <v>5895</v>
      </c>
      <c r="C551" s="142"/>
      <c r="D551" s="142"/>
      <c r="E551" s="319" t="s">
        <v>242</v>
      </c>
      <c r="F551" s="319"/>
      <c r="G551" s="141" t="s">
        <v>4332</v>
      </c>
      <c r="H551" s="142" t="s">
        <v>4600</v>
      </c>
      <c r="I551" s="142" t="s">
        <v>204</v>
      </c>
      <c r="J551" s="332" t="s">
        <v>5896</v>
      </c>
      <c r="K551" s="319" t="s">
        <v>191</v>
      </c>
      <c r="L551" s="331">
        <v>4</v>
      </c>
      <c r="M551" s="331">
        <v>4</v>
      </c>
      <c r="N551" s="322" t="s">
        <v>14</v>
      </c>
      <c r="O551" s="151">
        <v>5</v>
      </c>
      <c r="P551" s="151" t="s">
        <v>199</v>
      </c>
    </row>
    <row r="552" spans="1:16" ht="22.5">
      <c r="A552" s="142" t="s">
        <v>5897</v>
      </c>
      <c r="B552" s="142" t="s">
        <v>5898</v>
      </c>
      <c r="C552" s="142"/>
      <c r="D552" s="142"/>
      <c r="E552" s="319" t="s">
        <v>242</v>
      </c>
      <c r="F552" s="319"/>
      <c r="G552" s="141" t="s">
        <v>4332</v>
      </c>
      <c r="H552" s="145" t="s">
        <v>4604</v>
      </c>
      <c r="I552" s="145" t="s">
        <v>198</v>
      </c>
      <c r="J552" s="145"/>
      <c r="K552" s="319" t="s">
        <v>191</v>
      </c>
      <c r="L552" s="331">
        <v>4</v>
      </c>
      <c r="M552" s="331">
        <v>4</v>
      </c>
      <c r="N552" s="322" t="s">
        <v>14</v>
      </c>
      <c r="O552" s="151">
        <v>5</v>
      </c>
      <c r="P552" s="151" t="s">
        <v>199</v>
      </c>
    </row>
    <row r="553" spans="1:16">
      <c r="A553" s="142" t="s">
        <v>5899</v>
      </c>
      <c r="B553" s="142" t="s">
        <v>5900</v>
      </c>
      <c r="C553" s="142"/>
      <c r="D553" s="142"/>
      <c r="E553" s="319" t="s">
        <v>242</v>
      </c>
      <c r="F553" s="319"/>
      <c r="G553" s="141" t="s">
        <v>4332</v>
      </c>
      <c r="H553" s="145" t="s">
        <v>4607</v>
      </c>
      <c r="I553" s="145" t="s">
        <v>198</v>
      </c>
      <c r="J553" s="145"/>
      <c r="K553" s="319" t="s">
        <v>191</v>
      </c>
      <c r="L553" s="331">
        <v>4</v>
      </c>
      <c r="M553" s="331">
        <v>4</v>
      </c>
      <c r="N553" s="322" t="s">
        <v>14</v>
      </c>
      <c r="O553" s="151">
        <v>5</v>
      </c>
      <c r="P553" s="151" t="s">
        <v>199</v>
      </c>
    </row>
    <row r="554" spans="1:16">
      <c r="A554" s="142" t="s">
        <v>5901</v>
      </c>
      <c r="B554" s="142" t="s">
        <v>5902</v>
      </c>
      <c r="C554" s="142"/>
      <c r="D554" s="142"/>
      <c r="E554" s="319" t="s">
        <v>242</v>
      </c>
      <c r="F554" s="319"/>
      <c r="G554" s="141" t="s">
        <v>4332</v>
      </c>
      <c r="H554" s="145" t="s">
        <v>4610</v>
      </c>
      <c r="I554" s="145" t="s">
        <v>198</v>
      </c>
      <c r="J554" s="145"/>
      <c r="K554" s="319" t="s">
        <v>191</v>
      </c>
      <c r="L554" s="331">
        <v>4</v>
      </c>
      <c r="M554" s="331">
        <v>4</v>
      </c>
      <c r="N554" s="322" t="s">
        <v>14</v>
      </c>
      <c r="O554" s="151">
        <v>5</v>
      </c>
      <c r="P554" s="151" t="s">
        <v>199</v>
      </c>
    </row>
    <row r="555" spans="1:16">
      <c r="A555" s="142" t="s">
        <v>5903</v>
      </c>
      <c r="B555" s="142" t="s">
        <v>5904</v>
      </c>
      <c r="C555" s="142"/>
      <c r="D555" s="142"/>
      <c r="E555" s="319" t="s">
        <v>242</v>
      </c>
      <c r="F555" s="319"/>
      <c r="G555" s="141" t="s">
        <v>4332</v>
      </c>
      <c r="H555" s="145" t="s">
        <v>4613</v>
      </c>
      <c r="I555" s="145" t="s">
        <v>198</v>
      </c>
      <c r="J555" s="145"/>
      <c r="K555" s="319" t="s">
        <v>191</v>
      </c>
      <c r="L555" s="331">
        <v>4</v>
      </c>
      <c r="M555" s="331">
        <v>4</v>
      </c>
      <c r="N555" s="322" t="s">
        <v>14</v>
      </c>
      <c r="O555" s="151">
        <v>5</v>
      </c>
      <c r="P555" s="151" t="s">
        <v>199</v>
      </c>
    </row>
    <row r="556" spans="1:16">
      <c r="A556" s="142" t="s">
        <v>5905</v>
      </c>
      <c r="B556" s="142" t="s">
        <v>5906</v>
      </c>
      <c r="C556" s="142"/>
      <c r="D556" s="142"/>
      <c r="E556" s="319" t="s">
        <v>242</v>
      </c>
      <c r="F556" s="319"/>
      <c r="G556" s="141" t="s">
        <v>4332</v>
      </c>
      <c r="H556" s="145" t="s">
        <v>4616</v>
      </c>
      <c r="I556" s="145" t="s">
        <v>198</v>
      </c>
      <c r="J556" s="145"/>
      <c r="K556" s="319" t="s">
        <v>191</v>
      </c>
      <c r="L556" s="331">
        <v>4</v>
      </c>
      <c r="M556" s="331">
        <v>4</v>
      </c>
      <c r="N556" s="322" t="s">
        <v>14</v>
      </c>
      <c r="O556" s="151">
        <v>5</v>
      </c>
      <c r="P556" s="151" t="s">
        <v>199</v>
      </c>
    </row>
    <row r="557" spans="1:16">
      <c r="A557" s="142" t="s">
        <v>5907</v>
      </c>
      <c r="B557" s="142" t="s">
        <v>5908</v>
      </c>
      <c r="C557" s="142"/>
      <c r="D557" s="142"/>
      <c r="E557" s="319" t="s">
        <v>242</v>
      </c>
      <c r="F557" s="319"/>
      <c r="G557" s="141" t="s">
        <v>4332</v>
      </c>
      <c r="H557" s="145" t="s">
        <v>4619</v>
      </c>
      <c r="I557" s="145" t="s">
        <v>198</v>
      </c>
      <c r="J557" s="145"/>
      <c r="K557" s="319" t="s">
        <v>191</v>
      </c>
      <c r="L557" s="331">
        <v>4</v>
      </c>
      <c r="M557" s="331">
        <v>4</v>
      </c>
      <c r="N557" s="322" t="s">
        <v>14</v>
      </c>
      <c r="O557" s="151">
        <v>5</v>
      </c>
      <c r="P557" s="151" t="s">
        <v>199</v>
      </c>
    </row>
    <row r="558" spans="1:16">
      <c r="A558" s="142" t="s">
        <v>5909</v>
      </c>
      <c r="B558" s="142" t="s">
        <v>5910</v>
      </c>
      <c r="C558" s="142"/>
      <c r="D558" s="142"/>
      <c r="E558" s="319" t="s">
        <v>242</v>
      </c>
      <c r="F558" s="319"/>
      <c r="G558" s="141" t="s">
        <v>4332</v>
      </c>
      <c r="H558" s="145" t="s">
        <v>4622</v>
      </c>
      <c r="I558" s="145" t="s">
        <v>198</v>
      </c>
      <c r="J558" s="145"/>
      <c r="K558" s="319" t="s">
        <v>191</v>
      </c>
      <c r="L558" s="331">
        <v>4</v>
      </c>
      <c r="M558" s="331">
        <v>4</v>
      </c>
      <c r="N558" s="322" t="s">
        <v>14</v>
      </c>
      <c r="O558" s="151">
        <v>5</v>
      </c>
      <c r="P558" s="151" t="s">
        <v>199</v>
      </c>
    </row>
    <row r="559" spans="1:16">
      <c r="A559" s="142" t="s">
        <v>5911</v>
      </c>
      <c r="B559" s="142" t="s">
        <v>5912</v>
      </c>
      <c r="C559" s="142"/>
      <c r="D559" s="142"/>
      <c r="E559" s="319" t="s">
        <v>242</v>
      </c>
      <c r="F559" s="319"/>
      <c r="G559" s="141" t="s">
        <v>4332</v>
      </c>
      <c r="H559" s="145" t="s">
        <v>4625</v>
      </c>
      <c r="I559" s="145" t="s">
        <v>198</v>
      </c>
      <c r="J559" s="145"/>
      <c r="K559" s="319" t="s">
        <v>191</v>
      </c>
      <c r="L559" s="331">
        <v>4</v>
      </c>
      <c r="M559" s="331">
        <v>4</v>
      </c>
      <c r="N559" s="322" t="s">
        <v>14</v>
      </c>
      <c r="O559" s="151">
        <v>5</v>
      </c>
      <c r="P559" s="151" t="s">
        <v>199</v>
      </c>
    </row>
    <row r="560" spans="1:16" ht="22.5">
      <c r="A560" s="142" t="s">
        <v>5913</v>
      </c>
      <c r="B560" s="142" t="s">
        <v>5914</v>
      </c>
      <c r="C560" s="142"/>
      <c r="D560" s="142"/>
      <c r="E560" s="319" t="s">
        <v>242</v>
      </c>
      <c r="F560" s="319"/>
      <c r="G560" s="141" t="s">
        <v>4332</v>
      </c>
      <c r="H560" s="145" t="s">
        <v>4631</v>
      </c>
      <c r="I560" s="145" t="s">
        <v>198</v>
      </c>
      <c r="J560" s="145"/>
      <c r="K560" s="319" t="s">
        <v>191</v>
      </c>
      <c r="L560" s="331">
        <v>4</v>
      </c>
      <c r="M560" s="331">
        <v>4</v>
      </c>
      <c r="N560" s="322" t="s">
        <v>14</v>
      </c>
      <c r="O560" s="151">
        <v>5</v>
      </c>
      <c r="P560" s="151" t="s">
        <v>199</v>
      </c>
    </row>
    <row r="561" spans="1:16" ht="22.5">
      <c r="A561" s="142" t="s">
        <v>5915</v>
      </c>
      <c r="B561" s="142" t="s">
        <v>5916</v>
      </c>
      <c r="C561" s="142"/>
      <c r="D561" s="142"/>
      <c r="E561" s="319" t="s">
        <v>242</v>
      </c>
      <c r="F561" s="319"/>
      <c r="G561" s="141" t="s">
        <v>4332</v>
      </c>
      <c r="H561" s="145" t="s">
        <v>4634</v>
      </c>
      <c r="I561" s="145" t="s">
        <v>198</v>
      </c>
      <c r="J561" s="145"/>
      <c r="K561" s="319" t="s">
        <v>191</v>
      </c>
      <c r="L561" s="331">
        <v>4</v>
      </c>
      <c r="M561" s="331">
        <v>4</v>
      </c>
      <c r="N561" s="322" t="s">
        <v>14</v>
      </c>
      <c r="O561" s="151">
        <v>5</v>
      </c>
      <c r="P561" s="151" t="s">
        <v>199</v>
      </c>
    </row>
    <row r="562" spans="1:16" ht="22.5">
      <c r="A562" s="142" t="s">
        <v>5917</v>
      </c>
      <c r="B562" s="142" t="s">
        <v>5918</v>
      </c>
      <c r="C562" s="142"/>
      <c r="D562" s="142"/>
      <c r="E562" s="319" t="s">
        <v>242</v>
      </c>
      <c r="F562" s="319"/>
      <c r="G562" s="141" t="s">
        <v>4332</v>
      </c>
      <c r="H562" s="145" t="s">
        <v>4637</v>
      </c>
      <c r="I562" s="145" t="s">
        <v>198</v>
      </c>
      <c r="J562" s="145"/>
      <c r="K562" s="319" t="s">
        <v>191</v>
      </c>
      <c r="L562" s="331">
        <v>4</v>
      </c>
      <c r="M562" s="331">
        <v>4</v>
      </c>
      <c r="N562" s="322" t="s">
        <v>14</v>
      </c>
      <c r="O562" s="151">
        <v>5</v>
      </c>
      <c r="P562" s="151" t="s">
        <v>199</v>
      </c>
    </row>
    <row r="563" spans="1:16" ht="22.5">
      <c r="A563" s="142" t="s">
        <v>5919</v>
      </c>
      <c r="B563" s="142" t="s">
        <v>5920</v>
      </c>
      <c r="C563" s="142"/>
      <c r="D563" s="142"/>
      <c r="E563" s="319" t="s">
        <v>242</v>
      </c>
      <c r="F563" s="319"/>
      <c r="G563" s="141" t="s">
        <v>4332</v>
      </c>
      <c r="H563" s="145" t="s">
        <v>4640</v>
      </c>
      <c r="I563" s="145" t="s">
        <v>198</v>
      </c>
      <c r="J563" s="145"/>
      <c r="K563" s="319" t="s">
        <v>191</v>
      </c>
      <c r="L563" s="331">
        <v>4</v>
      </c>
      <c r="M563" s="331">
        <v>4</v>
      </c>
      <c r="N563" s="322" t="s">
        <v>14</v>
      </c>
      <c r="O563" s="151">
        <v>5</v>
      </c>
      <c r="P563" s="151" t="s">
        <v>199</v>
      </c>
    </row>
    <row r="564" spans="1:16" ht="22.5">
      <c r="A564" s="142" t="s">
        <v>5921</v>
      </c>
      <c r="B564" s="142" t="s">
        <v>5922</v>
      </c>
      <c r="C564" s="142"/>
      <c r="D564" s="142"/>
      <c r="E564" s="319" t="s">
        <v>242</v>
      </c>
      <c r="F564" s="319"/>
      <c r="G564" s="141" t="s">
        <v>4332</v>
      </c>
      <c r="H564" s="142" t="s">
        <v>5923</v>
      </c>
      <c r="I564" s="145" t="s">
        <v>198</v>
      </c>
      <c r="J564" s="145"/>
      <c r="K564" s="319" t="s">
        <v>191</v>
      </c>
      <c r="L564" s="331">
        <v>4</v>
      </c>
      <c r="M564" s="331">
        <v>4</v>
      </c>
      <c r="N564" s="322" t="s">
        <v>14</v>
      </c>
      <c r="O564" s="151">
        <v>5</v>
      </c>
      <c r="P564" s="151" t="s">
        <v>199</v>
      </c>
    </row>
    <row r="565" spans="1:16" ht="22.5">
      <c r="A565" s="142" t="s">
        <v>5924</v>
      </c>
      <c r="B565" s="142" t="s">
        <v>5925</v>
      </c>
      <c r="C565" s="142"/>
      <c r="D565" s="142"/>
      <c r="E565" s="319" t="s">
        <v>242</v>
      </c>
      <c r="F565" s="319"/>
      <c r="G565" s="141" t="s">
        <v>4332</v>
      </c>
      <c r="H565" s="142" t="s">
        <v>5926</v>
      </c>
      <c r="I565" s="145" t="s">
        <v>198</v>
      </c>
      <c r="J565" s="145"/>
      <c r="K565" s="319" t="s">
        <v>191</v>
      </c>
      <c r="L565" s="331">
        <v>4</v>
      </c>
      <c r="M565" s="331">
        <v>4</v>
      </c>
      <c r="N565" s="322" t="s">
        <v>14</v>
      </c>
      <c r="O565" s="151">
        <v>5</v>
      </c>
      <c r="P565" s="151" t="s">
        <v>199</v>
      </c>
    </row>
    <row r="566" spans="1:16" ht="22.5">
      <c r="A566" s="142" t="s">
        <v>5927</v>
      </c>
      <c r="B566" s="142" t="s">
        <v>5928</v>
      </c>
      <c r="C566" s="142"/>
      <c r="D566" s="142"/>
      <c r="E566" s="319" t="s">
        <v>242</v>
      </c>
      <c r="F566" s="319"/>
      <c r="G566" s="141" t="s">
        <v>4332</v>
      </c>
      <c r="H566" s="142" t="s">
        <v>5929</v>
      </c>
      <c r="I566" s="145" t="s">
        <v>198</v>
      </c>
      <c r="J566" s="145"/>
      <c r="K566" s="319" t="s">
        <v>191</v>
      </c>
      <c r="L566" s="331">
        <v>4</v>
      </c>
      <c r="M566" s="331">
        <v>4</v>
      </c>
      <c r="N566" s="322" t="s">
        <v>14</v>
      </c>
      <c r="O566" s="151">
        <v>5</v>
      </c>
      <c r="P566" s="151" t="s">
        <v>199</v>
      </c>
    </row>
    <row r="567" spans="1:16" ht="22.5">
      <c r="A567" s="142" t="s">
        <v>5930</v>
      </c>
      <c r="B567" s="142" t="s">
        <v>5931</v>
      </c>
      <c r="C567" s="142"/>
      <c r="D567" s="142"/>
      <c r="E567" s="319" t="s">
        <v>242</v>
      </c>
      <c r="F567" s="319"/>
      <c r="G567" s="141" t="s">
        <v>4332</v>
      </c>
      <c r="H567" s="142" t="s">
        <v>5932</v>
      </c>
      <c r="I567" s="145" t="s">
        <v>198</v>
      </c>
      <c r="J567" s="145"/>
      <c r="K567" s="319" t="s">
        <v>191</v>
      </c>
      <c r="L567" s="331">
        <v>4</v>
      </c>
      <c r="M567" s="331">
        <v>4</v>
      </c>
      <c r="N567" s="322" t="s">
        <v>14</v>
      </c>
      <c r="O567" s="151">
        <v>5</v>
      </c>
      <c r="P567" s="151" t="s">
        <v>199</v>
      </c>
    </row>
    <row r="568" spans="1:16" ht="22.5">
      <c r="A568" s="142" t="s">
        <v>5933</v>
      </c>
      <c r="B568" s="142" t="s">
        <v>5934</v>
      </c>
      <c r="C568" s="142"/>
      <c r="D568" s="142"/>
      <c r="E568" s="319" t="s">
        <v>242</v>
      </c>
      <c r="F568" s="319"/>
      <c r="G568" s="141" t="s">
        <v>4332</v>
      </c>
      <c r="H568" s="142" t="s">
        <v>5935</v>
      </c>
      <c r="I568" s="145" t="s">
        <v>198</v>
      </c>
      <c r="J568" s="145"/>
      <c r="K568" s="319" t="s">
        <v>191</v>
      </c>
      <c r="L568" s="331">
        <v>4</v>
      </c>
      <c r="M568" s="331">
        <v>4</v>
      </c>
      <c r="N568" s="322" t="s">
        <v>14</v>
      </c>
      <c r="O568" s="151">
        <v>5</v>
      </c>
      <c r="P568" s="151" t="s">
        <v>199</v>
      </c>
    </row>
    <row r="569" spans="1:16" ht="22.5">
      <c r="A569" s="142" t="s">
        <v>5936</v>
      </c>
      <c r="B569" s="142" t="s">
        <v>5937</v>
      </c>
      <c r="C569" s="142"/>
      <c r="D569" s="142"/>
      <c r="E569" s="319" t="s">
        <v>242</v>
      </c>
      <c r="F569" s="319"/>
      <c r="G569" s="141" t="s">
        <v>4332</v>
      </c>
      <c r="H569" s="142" t="s">
        <v>5938</v>
      </c>
      <c r="I569" s="145" t="s">
        <v>198</v>
      </c>
      <c r="J569" s="145"/>
      <c r="K569" s="319" t="s">
        <v>191</v>
      </c>
      <c r="L569" s="331">
        <v>4</v>
      </c>
      <c r="M569" s="331">
        <v>4</v>
      </c>
      <c r="N569" s="322" t="s">
        <v>14</v>
      </c>
      <c r="O569" s="151">
        <v>5</v>
      </c>
      <c r="P569" s="151" t="s">
        <v>199</v>
      </c>
    </row>
    <row r="570" spans="1:16" ht="22.5">
      <c r="A570" s="142" t="s">
        <v>5939</v>
      </c>
      <c r="B570" s="142" t="s">
        <v>5940</v>
      </c>
      <c r="C570" s="142"/>
      <c r="D570" s="142"/>
      <c r="E570" s="319" t="s">
        <v>242</v>
      </c>
      <c r="F570" s="319"/>
      <c r="G570" s="141" t="s">
        <v>4332</v>
      </c>
      <c r="H570" s="142" t="s">
        <v>5941</v>
      </c>
      <c r="I570" s="145" t="s">
        <v>198</v>
      </c>
      <c r="J570" s="145"/>
      <c r="K570" s="319" t="s">
        <v>191</v>
      </c>
      <c r="L570" s="331">
        <v>4</v>
      </c>
      <c r="M570" s="331">
        <v>4</v>
      </c>
      <c r="N570" s="322" t="s">
        <v>14</v>
      </c>
      <c r="O570" s="151">
        <v>5</v>
      </c>
      <c r="P570" s="151" t="s">
        <v>199</v>
      </c>
    </row>
    <row r="571" spans="1:16" ht="22.5">
      <c r="A571" s="142" t="s">
        <v>5942</v>
      </c>
      <c r="B571" s="142" t="s">
        <v>5943</v>
      </c>
      <c r="C571" s="142"/>
      <c r="D571" s="142"/>
      <c r="E571" s="319" t="s">
        <v>242</v>
      </c>
      <c r="F571" s="319"/>
      <c r="G571" s="141" t="s">
        <v>4332</v>
      </c>
      <c r="H571" s="142" t="s">
        <v>5944</v>
      </c>
      <c r="I571" s="145" t="s">
        <v>198</v>
      </c>
      <c r="J571" s="145"/>
      <c r="K571" s="319" t="s">
        <v>191</v>
      </c>
      <c r="L571" s="331">
        <v>4</v>
      </c>
      <c r="M571" s="331">
        <v>4</v>
      </c>
      <c r="N571" s="322" t="s">
        <v>14</v>
      </c>
      <c r="O571" s="151">
        <v>5</v>
      </c>
      <c r="P571" s="151" t="s">
        <v>199</v>
      </c>
    </row>
    <row r="572" spans="1:16" ht="22.5">
      <c r="A572" s="142" t="s">
        <v>5945</v>
      </c>
      <c r="B572" s="142" t="s">
        <v>5946</v>
      </c>
      <c r="C572" s="142"/>
      <c r="D572" s="142"/>
      <c r="E572" s="319" t="s">
        <v>242</v>
      </c>
      <c r="F572" s="319"/>
      <c r="G572" s="141" t="s">
        <v>4332</v>
      </c>
      <c r="H572" s="142" t="s">
        <v>5947</v>
      </c>
      <c r="I572" s="145" t="s">
        <v>198</v>
      </c>
      <c r="J572" s="145"/>
      <c r="K572" s="319" t="s">
        <v>191</v>
      </c>
      <c r="L572" s="331">
        <v>4</v>
      </c>
      <c r="M572" s="331">
        <v>4</v>
      </c>
      <c r="N572" s="322" t="s">
        <v>14</v>
      </c>
      <c r="O572" s="151">
        <v>5</v>
      </c>
      <c r="P572" s="151" t="s">
        <v>199</v>
      </c>
    </row>
    <row r="573" spans="1:16" ht="22.5">
      <c r="A573" s="142" t="s">
        <v>5948</v>
      </c>
      <c r="B573" s="142" t="s">
        <v>5949</v>
      </c>
      <c r="C573" s="142"/>
      <c r="D573" s="142"/>
      <c r="E573" s="319" t="s">
        <v>242</v>
      </c>
      <c r="F573" s="319"/>
      <c r="G573" s="141" t="s">
        <v>4332</v>
      </c>
      <c r="H573" s="142" t="s">
        <v>5950</v>
      </c>
      <c r="I573" s="145" t="s">
        <v>198</v>
      </c>
      <c r="J573" s="145"/>
      <c r="K573" s="319" t="s">
        <v>191</v>
      </c>
      <c r="L573" s="331">
        <v>4</v>
      </c>
      <c r="M573" s="331">
        <v>4</v>
      </c>
      <c r="N573" s="322" t="s">
        <v>14</v>
      </c>
      <c r="O573" s="151">
        <v>5</v>
      </c>
      <c r="P573" s="151" t="s">
        <v>199</v>
      </c>
    </row>
    <row r="574" spans="1:16" ht="22.5">
      <c r="A574" s="142" t="s">
        <v>5951</v>
      </c>
      <c r="B574" s="142" t="s">
        <v>5952</v>
      </c>
      <c r="C574" s="142"/>
      <c r="D574" s="142"/>
      <c r="E574" s="319" t="s">
        <v>242</v>
      </c>
      <c r="F574" s="319"/>
      <c r="G574" s="141" t="s">
        <v>4332</v>
      </c>
      <c r="H574" s="142" t="s">
        <v>5953</v>
      </c>
      <c r="I574" s="145" t="s">
        <v>198</v>
      </c>
      <c r="J574" s="145"/>
      <c r="K574" s="319" t="s">
        <v>191</v>
      </c>
      <c r="L574" s="331">
        <v>4</v>
      </c>
      <c r="M574" s="331">
        <v>4</v>
      </c>
      <c r="N574" s="322" t="s">
        <v>14</v>
      </c>
      <c r="O574" s="151">
        <v>5</v>
      </c>
      <c r="P574" s="151" t="s">
        <v>199</v>
      </c>
    </row>
    <row r="575" spans="1:16" ht="22.5">
      <c r="A575" s="142" t="s">
        <v>5954</v>
      </c>
      <c r="B575" s="142" t="s">
        <v>5955</v>
      </c>
      <c r="C575" s="142"/>
      <c r="D575" s="142"/>
      <c r="E575" s="319" t="s">
        <v>242</v>
      </c>
      <c r="F575" s="319"/>
      <c r="G575" s="141" t="s">
        <v>4332</v>
      </c>
      <c r="H575" s="142" t="s">
        <v>5956</v>
      </c>
      <c r="I575" s="145" t="s">
        <v>198</v>
      </c>
      <c r="J575" s="145"/>
      <c r="K575" s="319" t="s">
        <v>191</v>
      </c>
      <c r="L575" s="331">
        <v>4</v>
      </c>
      <c r="M575" s="331">
        <v>4</v>
      </c>
      <c r="N575" s="322" t="s">
        <v>14</v>
      </c>
      <c r="O575" s="151">
        <v>5</v>
      </c>
      <c r="P575" s="151" t="s">
        <v>199</v>
      </c>
    </row>
    <row r="576" spans="1:16" ht="22.5">
      <c r="A576" s="142" t="s">
        <v>5957</v>
      </c>
      <c r="B576" s="142" t="s">
        <v>5958</v>
      </c>
      <c r="C576" s="142"/>
      <c r="D576" s="142"/>
      <c r="E576" s="319" t="s">
        <v>242</v>
      </c>
      <c r="F576" s="319"/>
      <c r="G576" s="141" t="s">
        <v>4332</v>
      </c>
      <c r="H576" s="142" t="s">
        <v>4740</v>
      </c>
      <c r="I576" s="145" t="s">
        <v>198</v>
      </c>
      <c r="J576" s="145"/>
      <c r="K576" s="319" t="s">
        <v>191</v>
      </c>
      <c r="L576" s="331">
        <v>4</v>
      </c>
      <c r="M576" s="331">
        <v>4</v>
      </c>
      <c r="N576" s="322" t="s">
        <v>14</v>
      </c>
      <c r="O576" s="151">
        <v>5</v>
      </c>
      <c r="P576" s="151" t="s">
        <v>199</v>
      </c>
    </row>
    <row r="577" spans="1:16" ht="22.5">
      <c r="A577" s="142" t="s">
        <v>5959</v>
      </c>
      <c r="B577" s="142" t="s">
        <v>5960</v>
      </c>
      <c r="C577" s="142"/>
      <c r="D577" s="142"/>
      <c r="E577" s="319" t="s">
        <v>242</v>
      </c>
      <c r="F577" s="319"/>
      <c r="G577" s="141" t="s">
        <v>4332</v>
      </c>
      <c r="H577" s="142" t="s">
        <v>4744</v>
      </c>
      <c r="I577" s="145" t="s">
        <v>198</v>
      </c>
      <c r="J577" s="145"/>
      <c r="K577" s="319" t="s">
        <v>191</v>
      </c>
      <c r="L577" s="331">
        <v>4</v>
      </c>
      <c r="M577" s="331">
        <v>4</v>
      </c>
      <c r="N577" s="322" t="s">
        <v>14</v>
      </c>
      <c r="O577" s="151">
        <v>5</v>
      </c>
      <c r="P577" s="151" t="s">
        <v>199</v>
      </c>
    </row>
    <row r="578" spans="1:16" ht="22.5">
      <c r="A578" s="142" t="s">
        <v>5961</v>
      </c>
      <c r="B578" s="142" t="s">
        <v>5962</v>
      </c>
      <c r="C578" s="142"/>
      <c r="D578" s="142"/>
      <c r="E578" s="319" t="s">
        <v>242</v>
      </c>
      <c r="F578" s="319"/>
      <c r="G578" s="141" t="s">
        <v>4332</v>
      </c>
      <c r="H578" s="142" t="s">
        <v>5963</v>
      </c>
      <c r="I578" s="145" t="s">
        <v>198</v>
      </c>
      <c r="J578" s="145"/>
      <c r="K578" s="319" t="s">
        <v>191</v>
      </c>
      <c r="L578" s="331">
        <v>4</v>
      </c>
      <c r="M578" s="331">
        <v>4</v>
      </c>
      <c r="N578" s="322" t="s">
        <v>14</v>
      </c>
      <c r="O578" s="151">
        <v>5</v>
      </c>
      <c r="P578" s="151" t="s">
        <v>199</v>
      </c>
    </row>
    <row r="579" spans="1:16" ht="22.5">
      <c r="A579" s="142" t="s">
        <v>5964</v>
      </c>
      <c r="B579" s="142" t="s">
        <v>5965</v>
      </c>
      <c r="C579" s="142"/>
      <c r="D579" s="142"/>
      <c r="E579" s="319" t="s">
        <v>242</v>
      </c>
      <c r="F579" s="319"/>
      <c r="G579" s="141" t="s">
        <v>4332</v>
      </c>
      <c r="H579" s="142" t="s">
        <v>4751</v>
      </c>
      <c r="I579" s="145" t="s">
        <v>198</v>
      </c>
      <c r="J579" s="145" t="s">
        <v>1453</v>
      </c>
      <c r="K579" s="319" t="s">
        <v>191</v>
      </c>
      <c r="L579" s="331">
        <v>4</v>
      </c>
      <c r="M579" s="331">
        <v>4</v>
      </c>
      <c r="N579" s="322" t="s">
        <v>14</v>
      </c>
      <c r="O579" s="151">
        <v>5</v>
      </c>
      <c r="P579" s="151" t="s">
        <v>199</v>
      </c>
    </row>
    <row r="580" spans="1:16" ht="22.5">
      <c r="A580" s="142" t="s">
        <v>5966</v>
      </c>
      <c r="B580" s="142" t="s">
        <v>5967</v>
      </c>
      <c r="C580" s="142"/>
      <c r="D580" s="142"/>
      <c r="E580" s="319" t="s">
        <v>242</v>
      </c>
      <c r="F580" s="319"/>
      <c r="G580" s="141" t="s">
        <v>4332</v>
      </c>
      <c r="H580" s="142" t="s">
        <v>4755</v>
      </c>
      <c r="I580" s="145" t="s">
        <v>198</v>
      </c>
      <c r="J580" s="145"/>
      <c r="K580" s="319" t="s">
        <v>191</v>
      </c>
      <c r="L580" s="331">
        <v>4</v>
      </c>
      <c r="M580" s="331">
        <v>4</v>
      </c>
      <c r="N580" s="322" t="s">
        <v>14</v>
      </c>
      <c r="O580" s="151">
        <v>5</v>
      </c>
      <c r="P580" s="151" t="s">
        <v>199</v>
      </c>
    </row>
    <row r="581" spans="1:16" ht="33.75">
      <c r="A581" s="142" t="s">
        <v>5968</v>
      </c>
      <c r="B581" s="142" t="s">
        <v>5969</v>
      </c>
      <c r="C581" s="142"/>
      <c r="D581" s="142"/>
      <c r="E581" s="319" t="s">
        <v>242</v>
      </c>
      <c r="F581" s="319"/>
      <c r="G581" s="141" t="s">
        <v>4332</v>
      </c>
      <c r="H581" s="142" t="s">
        <v>5970</v>
      </c>
      <c r="I581" s="145" t="s">
        <v>198</v>
      </c>
      <c r="J581" s="145"/>
      <c r="K581" s="319" t="s">
        <v>191</v>
      </c>
      <c r="L581" s="331">
        <v>4</v>
      </c>
      <c r="M581" s="331">
        <v>4</v>
      </c>
      <c r="N581" s="322" t="s">
        <v>14</v>
      </c>
      <c r="O581" s="151">
        <v>5</v>
      </c>
      <c r="P581" s="151" t="s">
        <v>199</v>
      </c>
    </row>
    <row r="582" spans="1:16" ht="22.5">
      <c r="A582" s="142" t="s">
        <v>5971</v>
      </c>
      <c r="B582" s="142" t="s">
        <v>5972</v>
      </c>
      <c r="C582" s="142"/>
      <c r="D582" s="142"/>
      <c r="E582" s="319" t="s">
        <v>242</v>
      </c>
      <c r="F582" s="319"/>
      <c r="G582" s="141" t="s">
        <v>4332</v>
      </c>
      <c r="H582" s="142" t="s">
        <v>4761</v>
      </c>
      <c r="I582" s="145" t="s">
        <v>198</v>
      </c>
      <c r="J582" s="145"/>
      <c r="K582" s="319" t="s">
        <v>191</v>
      </c>
      <c r="L582" s="331">
        <v>4</v>
      </c>
      <c r="M582" s="331">
        <v>4</v>
      </c>
      <c r="N582" s="322" t="s">
        <v>14</v>
      </c>
      <c r="O582" s="151">
        <v>5</v>
      </c>
      <c r="P582" s="151" t="s">
        <v>199</v>
      </c>
    </row>
    <row r="583" spans="1:16" ht="22.5">
      <c r="A583" s="142" t="s">
        <v>5973</v>
      </c>
      <c r="B583" s="142" t="s">
        <v>5974</v>
      </c>
      <c r="C583" s="142"/>
      <c r="D583" s="142"/>
      <c r="E583" s="319" t="s">
        <v>242</v>
      </c>
      <c r="F583" s="319"/>
      <c r="G583" s="141" t="s">
        <v>4332</v>
      </c>
      <c r="H583" s="142" t="s">
        <v>4765</v>
      </c>
      <c r="I583" s="145" t="s">
        <v>198</v>
      </c>
      <c r="J583" s="145"/>
      <c r="K583" s="319" t="s">
        <v>191</v>
      </c>
      <c r="L583" s="331">
        <v>4</v>
      </c>
      <c r="M583" s="331">
        <v>4</v>
      </c>
      <c r="N583" s="322" t="s">
        <v>14</v>
      </c>
      <c r="O583" s="151">
        <v>5</v>
      </c>
      <c r="P583" s="151" t="s">
        <v>199</v>
      </c>
    </row>
    <row r="584" spans="1:16" ht="33.75">
      <c r="A584" s="142" t="s">
        <v>5975</v>
      </c>
      <c r="B584" s="142" t="s">
        <v>5976</v>
      </c>
      <c r="C584" s="142"/>
      <c r="D584" s="142"/>
      <c r="E584" s="319" t="s">
        <v>242</v>
      </c>
      <c r="F584" s="319"/>
      <c r="G584" s="141" t="s">
        <v>4332</v>
      </c>
      <c r="H584" s="142" t="s">
        <v>5977</v>
      </c>
      <c r="I584" s="145" t="s">
        <v>198</v>
      </c>
      <c r="J584" s="145"/>
      <c r="K584" s="319" t="s">
        <v>191</v>
      </c>
      <c r="L584" s="331">
        <v>4</v>
      </c>
      <c r="M584" s="331">
        <v>4</v>
      </c>
      <c r="N584" s="322" t="s">
        <v>14</v>
      </c>
      <c r="O584" s="151">
        <v>5</v>
      </c>
      <c r="P584" s="151" t="s">
        <v>199</v>
      </c>
    </row>
    <row r="585" spans="1:16">
      <c r="A585" s="142" t="s">
        <v>5978</v>
      </c>
      <c r="B585" s="145" t="s">
        <v>5979</v>
      </c>
      <c r="C585" s="142"/>
      <c r="D585" s="142"/>
      <c r="E585" s="319" t="s">
        <v>242</v>
      </c>
      <c r="F585" s="319"/>
      <c r="G585" s="141" t="s">
        <v>4332</v>
      </c>
      <c r="H585" s="333" t="s">
        <v>4788</v>
      </c>
      <c r="I585" s="145" t="s">
        <v>198</v>
      </c>
      <c r="J585" s="145"/>
      <c r="K585" s="319" t="s">
        <v>191</v>
      </c>
      <c r="L585" s="331">
        <v>4</v>
      </c>
      <c r="M585" s="331">
        <v>4</v>
      </c>
      <c r="N585" s="322" t="s">
        <v>14</v>
      </c>
      <c r="O585" s="151">
        <v>5</v>
      </c>
      <c r="P585" s="151" t="s">
        <v>199</v>
      </c>
    </row>
    <row r="586" spans="1:16" ht="22.5">
      <c r="A586" s="142" t="s">
        <v>5980</v>
      </c>
      <c r="B586" s="145" t="s">
        <v>5981</v>
      </c>
      <c r="C586" s="142"/>
      <c r="D586" s="142"/>
      <c r="E586" s="319" t="s">
        <v>242</v>
      </c>
      <c r="F586" s="319"/>
      <c r="G586" s="141" t="s">
        <v>4332</v>
      </c>
      <c r="H586" s="145" t="s">
        <v>4791</v>
      </c>
      <c r="I586" s="145" t="s">
        <v>198</v>
      </c>
      <c r="J586" s="145"/>
      <c r="K586" s="319" t="s">
        <v>191</v>
      </c>
      <c r="L586" s="331">
        <v>4</v>
      </c>
      <c r="M586" s="331">
        <v>4</v>
      </c>
      <c r="N586" s="322" t="s">
        <v>14</v>
      </c>
      <c r="O586" s="151">
        <v>5</v>
      </c>
      <c r="P586" s="151" t="s">
        <v>199</v>
      </c>
    </row>
    <row r="587" spans="1:16">
      <c r="A587" s="142" t="s">
        <v>5982</v>
      </c>
      <c r="B587" s="142" t="s">
        <v>5983</v>
      </c>
      <c r="C587" s="142"/>
      <c r="D587" s="142"/>
      <c r="E587" s="319" t="s">
        <v>242</v>
      </c>
      <c r="F587" s="319"/>
      <c r="G587" s="141" t="s">
        <v>4332</v>
      </c>
      <c r="H587" s="142" t="s">
        <v>4794</v>
      </c>
      <c r="I587" s="145" t="s">
        <v>198</v>
      </c>
      <c r="J587" s="145"/>
      <c r="K587" s="319" t="s">
        <v>191</v>
      </c>
      <c r="L587" s="331">
        <v>4</v>
      </c>
      <c r="M587" s="331">
        <v>4</v>
      </c>
      <c r="N587" s="322" t="s">
        <v>14</v>
      </c>
      <c r="O587" s="151">
        <v>5</v>
      </c>
      <c r="P587" s="151" t="s">
        <v>199</v>
      </c>
    </row>
    <row r="588" spans="1:16">
      <c r="A588" s="142" t="s">
        <v>5984</v>
      </c>
      <c r="B588" s="142" t="s">
        <v>5985</v>
      </c>
      <c r="C588" s="142"/>
      <c r="D588" s="142"/>
      <c r="E588" s="319" t="s">
        <v>242</v>
      </c>
      <c r="F588" s="319"/>
      <c r="G588" s="141" t="s">
        <v>4332</v>
      </c>
      <c r="H588" s="142" t="s">
        <v>4801</v>
      </c>
      <c r="I588" s="145" t="s">
        <v>198</v>
      </c>
      <c r="J588" s="145"/>
      <c r="K588" s="319" t="s">
        <v>191</v>
      </c>
      <c r="L588" s="331">
        <v>4</v>
      </c>
      <c r="M588" s="331">
        <v>4</v>
      </c>
      <c r="N588" s="322" t="s">
        <v>14</v>
      </c>
      <c r="O588" s="151">
        <v>5</v>
      </c>
      <c r="P588" s="151" t="s">
        <v>199</v>
      </c>
    </row>
    <row r="589" spans="1:16">
      <c r="A589" s="142" t="s">
        <v>5986</v>
      </c>
      <c r="B589" s="142" t="s">
        <v>5987</v>
      </c>
      <c r="C589" s="142"/>
      <c r="D589" s="142"/>
      <c r="E589" s="319" t="s">
        <v>242</v>
      </c>
      <c r="F589" s="319"/>
      <c r="G589" s="141" t="s">
        <v>4332</v>
      </c>
      <c r="H589" s="142" t="s">
        <v>5988</v>
      </c>
      <c r="I589" s="145" t="s">
        <v>198</v>
      </c>
      <c r="J589" s="145"/>
      <c r="K589" s="319" t="s">
        <v>191</v>
      </c>
      <c r="L589" s="331">
        <v>4</v>
      </c>
      <c r="M589" s="331">
        <v>4</v>
      </c>
      <c r="N589" s="322" t="s">
        <v>14</v>
      </c>
      <c r="O589" s="151">
        <v>5</v>
      </c>
      <c r="P589" s="151" t="s">
        <v>199</v>
      </c>
    </row>
    <row r="590" spans="1:16">
      <c r="A590" s="142" t="s">
        <v>5989</v>
      </c>
      <c r="B590" s="142" t="s">
        <v>5990</v>
      </c>
      <c r="C590" s="142"/>
      <c r="D590" s="142"/>
      <c r="E590" s="319" t="s">
        <v>242</v>
      </c>
      <c r="F590" s="319"/>
      <c r="G590" s="141" t="s">
        <v>4332</v>
      </c>
      <c r="H590" s="142" t="s">
        <v>5991</v>
      </c>
      <c r="I590" s="145" t="s">
        <v>198</v>
      </c>
      <c r="J590" s="145"/>
      <c r="K590" s="319" t="s">
        <v>191</v>
      </c>
      <c r="L590" s="331">
        <v>4</v>
      </c>
      <c r="M590" s="331">
        <v>4</v>
      </c>
      <c r="N590" s="322" t="s">
        <v>14</v>
      </c>
      <c r="O590" s="151">
        <v>5</v>
      </c>
      <c r="P590" s="151" t="s">
        <v>199</v>
      </c>
    </row>
    <row r="591" spans="1:16" ht="22.5">
      <c r="A591" s="142" t="s">
        <v>5992</v>
      </c>
      <c r="B591" s="142" t="s">
        <v>5993</v>
      </c>
      <c r="C591" s="142"/>
      <c r="D591" s="142"/>
      <c r="E591" s="319" t="s">
        <v>242</v>
      </c>
      <c r="F591" s="319"/>
      <c r="G591" s="141" t="s">
        <v>4332</v>
      </c>
      <c r="H591" s="142" t="s">
        <v>5994</v>
      </c>
      <c r="I591" s="142" t="s">
        <v>188</v>
      </c>
      <c r="J591" s="145" t="s">
        <v>1453</v>
      </c>
      <c r="K591" s="319" t="s">
        <v>191</v>
      </c>
      <c r="L591" s="331">
        <v>4</v>
      </c>
      <c r="M591" s="331">
        <v>4</v>
      </c>
      <c r="N591" s="322" t="s">
        <v>14</v>
      </c>
      <c r="O591" s="151">
        <v>5</v>
      </c>
      <c r="P591" s="151" t="s">
        <v>199</v>
      </c>
    </row>
    <row r="592" spans="1:16" ht="22.5">
      <c r="A592" s="142" t="s">
        <v>5995</v>
      </c>
      <c r="B592" s="142" t="s">
        <v>5996</v>
      </c>
      <c r="C592" s="142"/>
      <c r="D592" s="142"/>
      <c r="E592" s="319" t="s">
        <v>242</v>
      </c>
      <c r="F592" s="319"/>
      <c r="G592" s="141" t="s">
        <v>4332</v>
      </c>
      <c r="H592" s="142" t="s">
        <v>5997</v>
      </c>
      <c r="I592" s="142" t="s">
        <v>188</v>
      </c>
      <c r="J592" s="145" t="s">
        <v>1453</v>
      </c>
      <c r="K592" s="319" t="s">
        <v>191</v>
      </c>
      <c r="L592" s="331">
        <v>4</v>
      </c>
      <c r="M592" s="331">
        <v>4</v>
      </c>
      <c r="N592" s="322" t="s">
        <v>14</v>
      </c>
      <c r="O592" s="151">
        <v>5</v>
      </c>
      <c r="P592" s="151" t="s">
        <v>199</v>
      </c>
    </row>
    <row r="593" spans="1:16" ht="33.75">
      <c r="A593" s="142" t="s">
        <v>5998</v>
      </c>
      <c r="B593" s="142" t="s">
        <v>5999</v>
      </c>
      <c r="C593" s="142"/>
      <c r="D593" s="142"/>
      <c r="E593" s="319" t="s">
        <v>242</v>
      </c>
      <c r="F593" s="319"/>
      <c r="G593" s="141" t="s">
        <v>4332</v>
      </c>
      <c r="H593" s="142" t="s">
        <v>6000</v>
      </c>
      <c r="I593" s="142" t="s">
        <v>188</v>
      </c>
      <c r="J593" s="145" t="s">
        <v>1453</v>
      </c>
      <c r="K593" s="319" t="s">
        <v>191</v>
      </c>
      <c r="L593" s="331">
        <v>4</v>
      </c>
      <c r="M593" s="331">
        <v>4</v>
      </c>
      <c r="N593" s="322" t="s">
        <v>14</v>
      </c>
      <c r="O593" s="151">
        <v>5</v>
      </c>
      <c r="P593" s="151" t="s">
        <v>199</v>
      </c>
    </row>
    <row r="594" spans="1:16" ht="22.5">
      <c r="A594" s="142" t="s">
        <v>6001</v>
      </c>
      <c r="B594" s="142" t="s">
        <v>6002</v>
      </c>
      <c r="C594" s="142"/>
      <c r="D594" s="142"/>
      <c r="E594" s="319" t="s">
        <v>242</v>
      </c>
      <c r="F594" s="319"/>
      <c r="G594" s="141" t="s">
        <v>4332</v>
      </c>
      <c r="H594" s="142" t="s">
        <v>6003</v>
      </c>
      <c r="I594" s="142" t="s">
        <v>188</v>
      </c>
      <c r="J594" s="145" t="s">
        <v>1453</v>
      </c>
      <c r="K594" s="319" t="s">
        <v>191</v>
      </c>
      <c r="L594" s="331">
        <v>4</v>
      </c>
      <c r="M594" s="331">
        <v>4</v>
      </c>
      <c r="N594" s="322" t="s">
        <v>14</v>
      </c>
      <c r="O594" s="151">
        <v>5</v>
      </c>
      <c r="P594" s="151" t="s">
        <v>199</v>
      </c>
    </row>
    <row r="595" spans="1:16" ht="22.5">
      <c r="A595" s="142" t="s">
        <v>6004</v>
      </c>
      <c r="B595" s="142" t="s">
        <v>6005</v>
      </c>
      <c r="C595" s="142"/>
      <c r="D595" s="142"/>
      <c r="E595" s="319" t="s">
        <v>242</v>
      </c>
      <c r="F595" s="319"/>
      <c r="G595" s="141" t="s">
        <v>4332</v>
      </c>
      <c r="H595" s="142" t="s">
        <v>6006</v>
      </c>
      <c r="I595" s="142" t="s">
        <v>188</v>
      </c>
      <c r="J595" s="145" t="s">
        <v>1453</v>
      </c>
      <c r="K595" s="319" t="s">
        <v>191</v>
      </c>
      <c r="L595" s="331">
        <v>4</v>
      </c>
      <c r="M595" s="331">
        <v>4</v>
      </c>
      <c r="N595" s="322" t="s">
        <v>14</v>
      </c>
      <c r="O595" s="151">
        <v>5</v>
      </c>
      <c r="P595" s="151" t="s">
        <v>199</v>
      </c>
    </row>
    <row r="596" spans="1:16" ht="22.5">
      <c r="A596" s="142" t="s">
        <v>6007</v>
      </c>
      <c r="B596" s="142" t="s">
        <v>6008</v>
      </c>
      <c r="C596" s="142"/>
      <c r="D596" s="142"/>
      <c r="E596" s="319" t="s">
        <v>242</v>
      </c>
      <c r="F596" s="319"/>
      <c r="G596" s="141" t="s">
        <v>4332</v>
      </c>
      <c r="H596" s="142" t="s">
        <v>4884</v>
      </c>
      <c r="I596" s="142" t="s">
        <v>188</v>
      </c>
      <c r="J596" s="145" t="s">
        <v>1453</v>
      </c>
      <c r="K596" s="319" t="s">
        <v>191</v>
      </c>
      <c r="L596" s="331">
        <v>4</v>
      </c>
      <c r="M596" s="331">
        <v>4</v>
      </c>
      <c r="N596" s="322" t="s">
        <v>14</v>
      </c>
      <c r="O596" s="151">
        <v>5</v>
      </c>
      <c r="P596" s="151" t="s">
        <v>199</v>
      </c>
    </row>
    <row r="597" spans="1:16" ht="33.75">
      <c r="A597" s="142" t="s">
        <v>6009</v>
      </c>
      <c r="B597" s="142" t="s">
        <v>6010</v>
      </c>
      <c r="C597" s="142"/>
      <c r="D597" s="142"/>
      <c r="E597" s="319" t="s">
        <v>242</v>
      </c>
      <c r="F597" s="319"/>
      <c r="G597" s="141" t="s">
        <v>4332</v>
      </c>
      <c r="H597" s="142" t="s">
        <v>6011</v>
      </c>
      <c r="I597" s="142" t="s">
        <v>188</v>
      </c>
      <c r="J597" s="145" t="s">
        <v>1453</v>
      </c>
      <c r="K597" s="319" t="s">
        <v>191</v>
      </c>
      <c r="L597" s="331">
        <v>4</v>
      </c>
      <c r="M597" s="331">
        <v>4</v>
      </c>
      <c r="N597" s="322" t="s">
        <v>14</v>
      </c>
      <c r="O597" s="151">
        <v>5</v>
      </c>
      <c r="P597" s="151" t="s">
        <v>199</v>
      </c>
    </row>
    <row r="598" spans="1:16" ht="22.5">
      <c r="A598" s="142" t="s">
        <v>6012</v>
      </c>
      <c r="B598" s="142" t="s">
        <v>6013</v>
      </c>
      <c r="C598" s="142"/>
      <c r="D598" s="142"/>
      <c r="E598" s="319" t="s">
        <v>242</v>
      </c>
      <c r="F598" s="319"/>
      <c r="G598" s="141" t="s">
        <v>4332</v>
      </c>
      <c r="H598" s="167" t="s">
        <v>6014</v>
      </c>
      <c r="I598" s="142" t="s">
        <v>188</v>
      </c>
      <c r="J598" s="145" t="s">
        <v>1453</v>
      </c>
      <c r="K598" s="319" t="s">
        <v>191</v>
      </c>
      <c r="L598" s="331">
        <v>4</v>
      </c>
      <c r="M598" s="331">
        <v>4</v>
      </c>
      <c r="N598" s="322" t="s">
        <v>14</v>
      </c>
      <c r="O598" s="151">
        <v>5</v>
      </c>
      <c r="P598" s="151" t="s">
        <v>199</v>
      </c>
    </row>
    <row r="599" spans="1:16" ht="22.5">
      <c r="A599" s="142" t="s">
        <v>6015</v>
      </c>
      <c r="B599" s="142" t="s">
        <v>6016</v>
      </c>
      <c r="C599" s="142"/>
      <c r="D599" s="142"/>
      <c r="E599" s="319" t="s">
        <v>242</v>
      </c>
      <c r="F599" s="319"/>
      <c r="G599" s="141" t="s">
        <v>4332</v>
      </c>
      <c r="H599" s="142" t="s">
        <v>4894</v>
      </c>
      <c r="I599" s="142" t="s">
        <v>188</v>
      </c>
      <c r="J599" s="145" t="s">
        <v>1453</v>
      </c>
      <c r="K599" s="319" t="s">
        <v>191</v>
      </c>
      <c r="L599" s="331">
        <v>4</v>
      </c>
      <c r="M599" s="331">
        <v>4</v>
      </c>
      <c r="N599" s="322" t="s">
        <v>14</v>
      </c>
      <c r="O599" s="151">
        <v>5</v>
      </c>
      <c r="P599" s="151" t="s">
        <v>199</v>
      </c>
    </row>
    <row r="600" spans="1:16" ht="22.5">
      <c r="A600" s="142" t="s">
        <v>6017</v>
      </c>
      <c r="B600" s="142" t="s">
        <v>6018</v>
      </c>
      <c r="C600" s="142"/>
      <c r="D600" s="142"/>
      <c r="E600" s="319" t="s">
        <v>242</v>
      </c>
      <c r="F600" s="319"/>
      <c r="G600" s="141" t="s">
        <v>4332</v>
      </c>
      <c r="H600" s="142" t="s">
        <v>6019</v>
      </c>
      <c r="I600" s="142" t="s">
        <v>188</v>
      </c>
      <c r="J600" s="145" t="s">
        <v>1453</v>
      </c>
      <c r="K600" s="319" t="s">
        <v>191</v>
      </c>
      <c r="L600" s="331">
        <v>4</v>
      </c>
      <c r="M600" s="331">
        <v>4</v>
      </c>
      <c r="N600" s="322" t="s">
        <v>14</v>
      </c>
      <c r="O600" s="151">
        <v>5</v>
      </c>
      <c r="P600" s="151" t="s">
        <v>199</v>
      </c>
    </row>
    <row r="601" spans="1:16" ht="22.5">
      <c r="A601" s="142" t="s">
        <v>6020</v>
      </c>
      <c r="B601" s="145" t="s">
        <v>6021</v>
      </c>
      <c r="C601" s="142"/>
      <c r="D601" s="142"/>
      <c r="E601" s="319" t="s">
        <v>242</v>
      </c>
      <c r="F601" s="319"/>
      <c r="G601" s="141" t="s">
        <v>4332</v>
      </c>
      <c r="H601" s="142" t="s">
        <v>6022</v>
      </c>
      <c r="I601" s="142" t="s">
        <v>188</v>
      </c>
      <c r="J601" s="145" t="s">
        <v>1453</v>
      </c>
      <c r="K601" s="319" t="s">
        <v>191</v>
      </c>
      <c r="L601" s="331">
        <v>4</v>
      </c>
      <c r="M601" s="331">
        <v>4</v>
      </c>
      <c r="N601" s="322" t="s">
        <v>14</v>
      </c>
      <c r="O601" s="151">
        <v>5</v>
      </c>
      <c r="P601" s="151" t="s">
        <v>199</v>
      </c>
    </row>
    <row r="602" spans="1:16" ht="22.5">
      <c r="A602" s="142" t="s">
        <v>6023</v>
      </c>
      <c r="B602" s="145" t="s">
        <v>6024</v>
      </c>
      <c r="C602" s="142"/>
      <c r="D602" s="142"/>
      <c r="E602" s="319" t="s">
        <v>242</v>
      </c>
      <c r="F602" s="319"/>
      <c r="G602" s="141" t="s">
        <v>4332</v>
      </c>
      <c r="H602" s="173" t="s">
        <v>4903</v>
      </c>
      <c r="I602" s="142" t="s">
        <v>188</v>
      </c>
      <c r="J602" s="145" t="s">
        <v>1453</v>
      </c>
      <c r="K602" s="319" t="s">
        <v>191</v>
      </c>
      <c r="L602" s="331">
        <v>4</v>
      </c>
      <c r="M602" s="331">
        <v>4</v>
      </c>
      <c r="N602" s="322" t="s">
        <v>14</v>
      </c>
      <c r="O602" s="151">
        <v>5</v>
      </c>
      <c r="P602" s="151" t="s">
        <v>199</v>
      </c>
    </row>
    <row r="603" spans="1:16" ht="112.5">
      <c r="A603" s="142" t="s">
        <v>6025</v>
      </c>
      <c r="B603" s="142" t="s">
        <v>6026</v>
      </c>
      <c r="C603" s="142"/>
      <c r="D603" s="142"/>
      <c r="E603" s="319" t="s">
        <v>242</v>
      </c>
      <c r="F603" s="319"/>
      <c r="G603" s="141" t="s">
        <v>4332</v>
      </c>
      <c r="H603" s="145" t="s">
        <v>4906</v>
      </c>
      <c r="I603" s="145" t="s">
        <v>204</v>
      </c>
      <c r="J603" s="145" t="s">
        <v>5345</v>
      </c>
      <c r="K603" s="319" t="s">
        <v>191</v>
      </c>
      <c r="L603" s="331">
        <v>4</v>
      </c>
      <c r="M603" s="331">
        <v>4</v>
      </c>
      <c r="N603" s="322" t="s">
        <v>14</v>
      </c>
      <c r="O603" s="151">
        <v>5</v>
      </c>
      <c r="P603" s="151" t="s">
        <v>199</v>
      </c>
    </row>
    <row r="604" spans="1:16" ht="22.5">
      <c r="A604" s="142" t="s">
        <v>6027</v>
      </c>
      <c r="B604" s="142" t="s">
        <v>6028</v>
      </c>
      <c r="C604" s="142"/>
      <c r="D604" s="142"/>
      <c r="E604" s="319" t="s">
        <v>242</v>
      </c>
      <c r="F604" s="319"/>
      <c r="G604" s="141" t="s">
        <v>4332</v>
      </c>
      <c r="H604" s="142" t="s">
        <v>4930</v>
      </c>
      <c r="I604" s="142" t="s">
        <v>198</v>
      </c>
      <c r="J604" s="145"/>
      <c r="K604" s="319" t="s">
        <v>191</v>
      </c>
      <c r="L604" s="331">
        <v>4</v>
      </c>
      <c r="M604" s="331">
        <v>4</v>
      </c>
      <c r="N604" s="322" t="s">
        <v>14</v>
      </c>
      <c r="O604" s="151">
        <v>5</v>
      </c>
      <c r="P604" s="151" t="s">
        <v>199</v>
      </c>
    </row>
    <row r="605" spans="1:16" ht="22.5">
      <c r="A605" s="142" t="s">
        <v>6029</v>
      </c>
      <c r="B605" s="142" t="s">
        <v>6030</v>
      </c>
      <c r="C605" s="142"/>
      <c r="D605" s="142"/>
      <c r="E605" s="319" t="s">
        <v>242</v>
      </c>
      <c r="F605" s="319"/>
      <c r="G605" s="141" t="s">
        <v>4332</v>
      </c>
      <c r="H605" s="142" t="s">
        <v>6031</v>
      </c>
      <c r="I605" s="142" t="s">
        <v>188</v>
      </c>
      <c r="J605" s="145" t="s">
        <v>1453</v>
      </c>
      <c r="K605" s="319" t="s">
        <v>191</v>
      </c>
      <c r="L605" s="331">
        <v>4</v>
      </c>
      <c r="M605" s="331">
        <v>4</v>
      </c>
      <c r="N605" s="322" t="s">
        <v>14</v>
      </c>
      <c r="O605" s="151">
        <v>5</v>
      </c>
      <c r="P605" s="151" t="s">
        <v>199</v>
      </c>
    </row>
    <row r="606" spans="1:16" ht="22.5">
      <c r="A606" s="142" t="s">
        <v>6032</v>
      </c>
      <c r="B606" s="142" t="s">
        <v>6033</v>
      </c>
      <c r="C606" s="142"/>
      <c r="D606" s="142"/>
      <c r="E606" s="319" t="s">
        <v>242</v>
      </c>
      <c r="F606" s="319"/>
      <c r="G606" s="141" t="s">
        <v>4332</v>
      </c>
      <c r="H606" s="142" t="s">
        <v>4940</v>
      </c>
      <c r="I606" s="142" t="s">
        <v>188</v>
      </c>
      <c r="J606" s="145" t="s">
        <v>1453</v>
      </c>
      <c r="K606" s="319" t="s">
        <v>191</v>
      </c>
      <c r="L606" s="331">
        <v>4</v>
      </c>
      <c r="M606" s="331">
        <v>4</v>
      </c>
      <c r="N606" s="322" t="s">
        <v>14</v>
      </c>
      <c r="O606" s="151">
        <v>5</v>
      </c>
      <c r="P606" s="151" t="s">
        <v>199</v>
      </c>
    </row>
    <row r="607" spans="1:16" ht="22.5">
      <c r="A607" s="142" t="s">
        <v>6034</v>
      </c>
      <c r="B607" s="142" t="s">
        <v>6035</v>
      </c>
      <c r="C607" s="142"/>
      <c r="D607" s="142"/>
      <c r="E607" s="319" t="s">
        <v>242</v>
      </c>
      <c r="F607" s="319"/>
      <c r="G607" s="141" t="s">
        <v>4332</v>
      </c>
      <c r="H607" s="142" t="s">
        <v>6036</v>
      </c>
      <c r="I607" s="142" t="s">
        <v>188</v>
      </c>
      <c r="J607" s="145" t="s">
        <v>1453</v>
      </c>
      <c r="K607" s="319" t="s">
        <v>191</v>
      </c>
      <c r="L607" s="331">
        <v>4</v>
      </c>
      <c r="M607" s="331">
        <v>4</v>
      </c>
      <c r="N607" s="322" t="s">
        <v>14</v>
      </c>
      <c r="O607" s="151">
        <v>5</v>
      </c>
      <c r="P607" s="151" t="s">
        <v>199</v>
      </c>
    </row>
    <row r="608" spans="1:16" ht="22.5">
      <c r="A608" s="142" t="s">
        <v>6037</v>
      </c>
      <c r="B608" s="142" t="s">
        <v>6038</v>
      </c>
      <c r="C608" s="142"/>
      <c r="D608" s="142"/>
      <c r="E608" s="319" t="s">
        <v>242</v>
      </c>
      <c r="F608" s="319"/>
      <c r="G608" s="141" t="s">
        <v>4332</v>
      </c>
      <c r="H608" s="142" t="s">
        <v>6039</v>
      </c>
      <c r="I608" s="142" t="s">
        <v>188</v>
      </c>
      <c r="J608" s="145" t="s">
        <v>1453</v>
      </c>
      <c r="K608" s="319" t="s">
        <v>191</v>
      </c>
      <c r="L608" s="331">
        <v>4</v>
      </c>
      <c r="M608" s="331">
        <v>4</v>
      </c>
      <c r="N608" s="322" t="s">
        <v>14</v>
      </c>
      <c r="O608" s="151">
        <v>5</v>
      </c>
      <c r="P608" s="151" t="s">
        <v>199</v>
      </c>
    </row>
    <row r="609" spans="1:16" ht="22.5">
      <c r="A609" s="142" t="s">
        <v>6040</v>
      </c>
      <c r="B609" s="142" t="s">
        <v>6041</v>
      </c>
      <c r="C609" s="142"/>
      <c r="D609" s="142"/>
      <c r="E609" s="319" t="s">
        <v>242</v>
      </c>
      <c r="F609" s="319"/>
      <c r="G609" s="141" t="s">
        <v>4332</v>
      </c>
      <c r="H609" s="142" t="s">
        <v>6042</v>
      </c>
      <c r="I609" s="142" t="s">
        <v>188</v>
      </c>
      <c r="J609" s="145" t="s">
        <v>1453</v>
      </c>
      <c r="K609" s="319" t="s">
        <v>191</v>
      </c>
      <c r="L609" s="331">
        <v>4</v>
      </c>
      <c r="M609" s="331">
        <v>4</v>
      </c>
      <c r="N609" s="322" t="s">
        <v>14</v>
      </c>
      <c r="O609" s="151">
        <v>5</v>
      </c>
      <c r="P609" s="151" t="s">
        <v>199</v>
      </c>
    </row>
    <row r="610" spans="1:16" ht="22.5">
      <c r="A610" s="142" t="s">
        <v>6043</v>
      </c>
      <c r="B610" s="142" t="s">
        <v>6044</v>
      </c>
      <c r="C610" s="142"/>
      <c r="D610" s="142"/>
      <c r="E610" s="319" t="s">
        <v>242</v>
      </c>
      <c r="F610" s="319"/>
      <c r="G610" s="141" t="s">
        <v>4332</v>
      </c>
      <c r="H610" s="142" t="s">
        <v>6045</v>
      </c>
      <c r="I610" s="142" t="s">
        <v>188</v>
      </c>
      <c r="J610" s="145" t="s">
        <v>1453</v>
      </c>
      <c r="K610" s="319" t="s">
        <v>191</v>
      </c>
      <c r="L610" s="331">
        <v>4</v>
      </c>
      <c r="M610" s="331">
        <v>4</v>
      </c>
      <c r="N610" s="322" t="s">
        <v>14</v>
      </c>
      <c r="O610" s="151">
        <v>5</v>
      </c>
      <c r="P610" s="151" t="s">
        <v>199</v>
      </c>
    </row>
    <row r="611" spans="1:16" ht="22.5">
      <c r="A611" s="142" t="s">
        <v>6046</v>
      </c>
      <c r="B611" s="142" t="s">
        <v>6047</v>
      </c>
      <c r="C611" s="142"/>
      <c r="D611" s="142"/>
      <c r="E611" s="319" t="s">
        <v>242</v>
      </c>
      <c r="F611" s="319"/>
      <c r="G611" s="141" t="s">
        <v>4332</v>
      </c>
      <c r="H611" s="142" t="s">
        <v>6048</v>
      </c>
      <c r="I611" s="142" t="s">
        <v>188</v>
      </c>
      <c r="J611" s="145" t="s">
        <v>1453</v>
      </c>
      <c r="K611" s="319" t="s">
        <v>191</v>
      </c>
      <c r="L611" s="331">
        <v>4</v>
      </c>
      <c r="M611" s="331">
        <v>4</v>
      </c>
      <c r="N611" s="322" t="s">
        <v>14</v>
      </c>
      <c r="O611" s="151">
        <v>5</v>
      </c>
      <c r="P611" s="151" t="s">
        <v>199</v>
      </c>
    </row>
    <row r="612" spans="1:16" ht="22.5">
      <c r="A612" s="142" t="s">
        <v>6049</v>
      </c>
      <c r="B612" s="142" t="s">
        <v>6050</v>
      </c>
      <c r="C612" s="142"/>
      <c r="D612" s="142"/>
      <c r="E612" s="319" t="s">
        <v>242</v>
      </c>
      <c r="F612" s="319"/>
      <c r="G612" s="141" t="s">
        <v>4332</v>
      </c>
      <c r="H612" s="142" t="s">
        <v>6051</v>
      </c>
      <c r="I612" s="142" t="s">
        <v>188</v>
      </c>
      <c r="J612" s="145" t="s">
        <v>1453</v>
      </c>
      <c r="K612" s="319" t="s">
        <v>191</v>
      </c>
      <c r="L612" s="331">
        <v>4</v>
      </c>
      <c r="M612" s="331">
        <v>4</v>
      </c>
      <c r="N612" s="322" t="s">
        <v>14</v>
      </c>
      <c r="O612" s="151">
        <v>5</v>
      </c>
      <c r="P612" s="151" t="s">
        <v>199</v>
      </c>
    </row>
    <row r="613" spans="1:16" ht="22.5">
      <c r="A613" s="142" t="s">
        <v>6052</v>
      </c>
      <c r="B613" s="142" t="s">
        <v>6053</v>
      </c>
      <c r="C613" s="142"/>
      <c r="D613" s="142"/>
      <c r="E613" s="319" t="s">
        <v>242</v>
      </c>
      <c r="F613" s="319"/>
      <c r="G613" s="141" t="s">
        <v>4332</v>
      </c>
      <c r="H613" s="142" t="s">
        <v>5006</v>
      </c>
      <c r="I613" s="142" t="s">
        <v>188</v>
      </c>
      <c r="J613" s="145" t="s">
        <v>1453</v>
      </c>
      <c r="K613" s="319" t="s">
        <v>191</v>
      </c>
      <c r="L613" s="331">
        <v>4</v>
      </c>
      <c r="M613" s="331">
        <v>4</v>
      </c>
      <c r="N613" s="322" t="s">
        <v>14</v>
      </c>
      <c r="O613" s="151">
        <v>5</v>
      </c>
      <c r="P613" s="151" t="s">
        <v>199</v>
      </c>
    </row>
    <row r="614" spans="1:16" ht="22.5">
      <c r="A614" s="142" t="s">
        <v>6054</v>
      </c>
      <c r="B614" s="142" t="s">
        <v>6055</v>
      </c>
      <c r="C614" s="142"/>
      <c r="D614" s="142"/>
      <c r="E614" s="319" t="s">
        <v>242</v>
      </c>
      <c r="F614" s="319"/>
      <c r="G614" s="141" t="s">
        <v>4332</v>
      </c>
      <c r="H614" s="142" t="s">
        <v>5012</v>
      </c>
      <c r="I614" s="142" t="s">
        <v>188</v>
      </c>
      <c r="J614" s="145" t="s">
        <v>1453</v>
      </c>
      <c r="K614" s="319" t="s">
        <v>191</v>
      </c>
      <c r="L614" s="331">
        <v>4</v>
      </c>
      <c r="M614" s="331">
        <v>4</v>
      </c>
      <c r="N614" s="322" t="s">
        <v>14</v>
      </c>
      <c r="O614" s="151">
        <v>5</v>
      </c>
      <c r="P614" s="151" t="s">
        <v>199</v>
      </c>
    </row>
    <row r="615" spans="1:16" ht="22.5">
      <c r="A615" s="142" t="s">
        <v>6056</v>
      </c>
      <c r="B615" s="142" t="s">
        <v>6057</v>
      </c>
      <c r="C615" s="142"/>
      <c r="D615" s="142"/>
      <c r="E615" s="319" t="s">
        <v>242</v>
      </c>
      <c r="F615" s="319"/>
      <c r="G615" s="141" t="s">
        <v>4332</v>
      </c>
      <c r="H615" s="142" t="s">
        <v>5015</v>
      </c>
      <c r="I615" s="142" t="s">
        <v>188</v>
      </c>
      <c r="J615" s="145" t="s">
        <v>1453</v>
      </c>
      <c r="K615" s="319" t="s">
        <v>191</v>
      </c>
      <c r="L615" s="331">
        <v>4</v>
      </c>
      <c r="M615" s="331">
        <v>4</v>
      </c>
      <c r="N615" s="322" t="s">
        <v>14</v>
      </c>
      <c r="O615" s="151">
        <v>5</v>
      </c>
      <c r="P615" s="151" t="s">
        <v>199</v>
      </c>
    </row>
    <row r="616" spans="1:16" ht="33.75">
      <c r="A616" s="142" t="s">
        <v>6058</v>
      </c>
      <c r="B616" s="142" t="s">
        <v>6059</v>
      </c>
      <c r="C616" s="142"/>
      <c r="D616" s="142"/>
      <c r="E616" s="319" t="s">
        <v>242</v>
      </c>
      <c r="F616" s="319"/>
      <c r="G616" s="141" t="s">
        <v>4332</v>
      </c>
      <c r="H616" s="142" t="s">
        <v>6060</v>
      </c>
      <c r="I616" s="142" t="s">
        <v>188</v>
      </c>
      <c r="J616" s="145" t="s">
        <v>1453</v>
      </c>
      <c r="K616" s="319" t="s">
        <v>191</v>
      </c>
      <c r="L616" s="331">
        <v>4</v>
      </c>
      <c r="M616" s="331">
        <v>4</v>
      </c>
      <c r="N616" s="322" t="s">
        <v>14</v>
      </c>
      <c r="O616" s="151">
        <v>5</v>
      </c>
      <c r="P616" s="151" t="s">
        <v>199</v>
      </c>
    </row>
    <row r="617" spans="1:16" ht="22.5">
      <c r="A617" s="142" t="s">
        <v>6061</v>
      </c>
      <c r="B617" s="142" t="s">
        <v>6062</v>
      </c>
      <c r="C617" s="142"/>
      <c r="D617" s="142"/>
      <c r="E617" s="319" t="s">
        <v>242</v>
      </c>
      <c r="F617" s="319"/>
      <c r="G617" s="141" t="s">
        <v>4332</v>
      </c>
      <c r="H617" s="142" t="s">
        <v>5021</v>
      </c>
      <c r="I617" s="142" t="s">
        <v>188</v>
      </c>
      <c r="J617" s="145" t="s">
        <v>1453</v>
      </c>
      <c r="K617" s="319" t="s">
        <v>191</v>
      </c>
      <c r="L617" s="331">
        <v>4</v>
      </c>
      <c r="M617" s="331">
        <v>4</v>
      </c>
      <c r="N617" s="322" t="s">
        <v>14</v>
      </c>
      <c r="O617" s="151">
        <v>5</v>
      </c>
      <c r="P617" s="151" t="s">
        <v>199</v>
      </c>
    </row>
    <row r="618" spans="1:16" ht="22.5">
      <c r="A618" s="142" t="s">
        <v>6063</v>
      </c>
      <c r="B618" s="142" t="s">
        <v>6064</v>
      </c>
      <c r="C618" s="142"/>
      <c r="D618" s="142"/>
      <c r="E618" s="319" t="s">
        <v>242</v>
      </c>
      <c r="F618" s="319"/>
      <c r="G618" s="141" t="s">
        <v>4332</v>
      </c>
      <c r="H618" s="142" t="s">
        <v>6065</v>
      </c>
      <c r="I618" s="142" t="s">
        <v>188</v>
      </c>
      <c r="J618" s="145" t="s">
        <v>1453</v>
      </c>
      <c r="K618" s="319" t="s">
        <v>191</v>
      </c>
      <c r="L618" s="331">
        <v>4</v>
      </c>
      <c r="M618" s="331">
        <v>4</v>
      </c>
      <c r="N618" s="322" t="s">
        <v>14</v>
      </c>
      <c r="O618" s="151">
        <v>5</v>
      </c>
      <c r="P618" s="151" t="s">
        <v>199</v>
      </c>
    </row>
    <row r="619" spans="1:16" ht="22.5">
      <c r="A619" s="142" t="s">
        <v>6066</v>
      </c>
      <c r="B619" s="142" t="s">
        <v>6067</v>
      </c>
      <c r="C619" s="142"/>
      <c r="D619" s="142"/>
      <c r="E619" s="319" t="s">
        <v>242</v>
      </c>
      <c r="F619" s="319"/>
      <c r="G619" s="141" t="s">
        <v>4332</v>
      </c>
      <c r="H619" s="142" t="s">
        <v>6068</v>
      </c>
      <c r="I619" s="142" t="s">
        <v>188</v>
      </c>
      <c r="J619" s="145" t="s">
        <v>1453</v>
      </c>
      <c r="K619" s="319" t="s">
        <v>191</v>
      </c>
      <c r="L619" s="331">
        <v>4</v>
      </c>
      <c r="M619" s="331">
        <v>4</v>
      </c>
      <c r="N619" s="322" t="s">
        <v>14</v>
      </c>
      <c r="O619" s="151">
        <v>5</v>
      </c>
      <c r="P619" s="151" t="s">
        <v>199</v>
      </c>
    </row>
    <row r="620" spans="1:16" ht="22.5">
      <c r="A620" s="142" t="s">
        <v>6069</v>
      </c>
      <c r="B620" s="142" t="s">
        <v>6070</v>
      </c>
      <c r="C620" s="142"/>
      <c r="D620" s="142"/>
      <c r="E620" s="319" t="s">
        <v>242</v>
      </c>
      <c r="F620" s="319"/>
      <c r="G620" s="141" t="s">
        <v>4332</v>
      </c>
      <c r="H620" s="142" t="s">
        <v>5030</v>
      </c>
      <c r="I620" s="142" t="s">
        <v>188</v>
      </c>
      <c r="J620" s="145" t="s">
        <v>1453</v>
      </c>
      <c r="K620" s="319" t="s">
        <v>191</v>
      </c>
      <c r="L620" s="331">
        <v>4</v>
      </c>
      <c r="M620" s="331">
        <v>4</v>
      </c>
      <c r="N620" s="322" t="s">
        <v>14</v>
      </c>
      <c r="O620" s="151">
        <v>5</v>
      </c>
      <c r="P620" s="151" t="s">
        <v>199</v>
      </c>
    </row>
    <row r="621" spans="1:16" ht="22.5">
      <c r="A621" s="142" t="s">
        <v>6071</v>
      </c>
      <c r="B621" s="142" t="s">
        <v>6072</v>
      </c>
      <c r="C621" s="142"/>
      <c r="D621" s="142"/>
      <c r="E621" s="319" t="s">
        <v>242</v>
      </c>
      <c r="F621" s="319"/>
      <c r="G621" s="141" t="s">
        <v>4332</v>
      </c>
      <c r="H621" s="142" t="s">
        <v>5033</v>
      </c>
      <c r="I621" s="142" t="s">
        <v>188</v>
      </c>
      <c r="J621" s="145" t="s">
        <v>1453</v>
      </c>
      <c r="K621" s="319" t="s">
        <v>191</v>
      </c>
      <c r="L621" s="331">
        <v>4</v>
      </c>
      <c r="M621" s="331">
        <v>4</v>
      </c>
      <c r="N621" s="322" t="s">
        <v>14</v>
      </c>
      <c r="O621" s="151">
        <v>5</v>
      </c>
      <c r="P621" s="151" t="s">
        <v>199</v>
      </c>
    </row>
    <row r="622" spans="1:16" ht="22.5">
      <c r="A622" s="142" t="s">
        <v>6073</v>
      </c>
      <c r="B622" s="142" t="s">
        <v>6074</v>
      </c>
      <c r="C622" s="142"/>
      <c r="D622" s="142"/>
      <c r="E622" s="319" t="s">
        <v>242</v>
      </c>
      <c r="F622" s="319"/>
      <c r="G622" s="141" t="s">
        <v>4332</v>
      </c>
      <c r="H622" s="142" t="s">
        <v>5036</v>
      </c>
      <c r="I622" s="142" t="s">
        <v>188</v>
      </c>
      <c r="J622" s="145" t="s">
        <v>1453</v>
      </c>
      <c r="K622" s="319" t="s">
        <v>191</v>
      </c>
      <c r="L622" s="331">
        <v>4</v>
      </c>
      <c r="M622" s="331">
        <v>4</v>
      </c>
      <c r="N622" s="322" t="s">
        <v>14</v>
      </c>
      <c r="O622" s="151">
        <v>5</v>
      </c>
      <c r="P622" s="151" t="s">
        <v>199</v>
      </c>
    </row>
    <row r="623" spans="1:16" ht="22.5">
      <c r="A623" s="142" t="s">
        <v>6075</v>
      </c>
      <c r="B623" s="145" t="s">
        <v>6076</v>
      </c>
      <c r="C623" s="142"/>
      <c r="D623" s="142"/>
      <c r="E623" s="319" t="s">
        <v>242</v>
      </c>
      <c r="F623" s="319"/>
      <c r="G623" s="141" t="s">
        <v>4332</v>
      </c>
      <c r="H623" s="142" t="s">
        <v>5039</v>
      </c>
      <c r="I623" s="142" t="s">
        <v>188</v>
      </c>
      <c r="J623" s="145" t="s">
        <v>1453</v>
      </c>
      <c r="K623" s="319" t="s">
        <v>191</v>
      </c>
      <c r="L623" s="331">
        <v>4</v>
      </c>
      <c r="M623" s="331">
        <v>4</v>
      </c>
      <c r="N623" s="322" t="s">
        <v>14</v>
      </c>
      <c r="O623" s="151">
        <v>5</v>
      </c>
      <c r="P623" s="151" t="s">
        <v>199</v>
      </c>
    </row>
    <row r="624" spans="1:16" ht="22.5">
      <c r="A624" s="142" t="s">
        <v>6077</v>
      </c>
      <c r="B624" s="145" t="s">
        <v>6078</v>
      </c>
      <c r="C624" s="142"/>
      <c r="D624" s="142"/>
      <c r="E624" s="319" t="s">
        <v>242</v>
      </c>
      <c r="F624" s="319"/>
      <c r="G624" s="141" t="s">
        <v>4332</v>
      </c>
      <c r="H624" s="142" t="s">
        <v>5042</v>
      </c>
      <c r="I624" s="142" t="s">
        <v>188</v>
      </c>
      <c r="J624" s="145" t="s">
        <v>1453</v>
      </c>
      <c r="K624" s="319" t="s">
        <v>191</v>
      </c>
      <c r="L624" s="331">
        <v>4</v>
      </c>
      <c r="M624" s="331">
        <v>4</v>
      </c>
      <c r="N624" s="322" t="s">
        <v>14</v>
      </c>
      <c r="O624" s="151">
        <v>5</v>
      </c>
      <c r="P624" s="151" t="s">
        <v>199</v>
      </c>
    </row>
    <row r="625" spans="1:16" ht="33.75">
      <c r="A625" s="142" t="s">
        <v>6079</v>
      </c>
      <c r="B625" s="145" t="s">
        <v>6080</v>
      </c>
      <c r="C625" s="142"/>
      <c r="D625" s="142"/>
      <c r="E625" s="319" t="s">
        <v>242</v>
      </c>
      <c r="F625" s="319"/>
      <c r="G625" s="141" t="s">
        <v>4332</v>
      </c>
      <c r="H625" s="142" t="s">
        <v>5045</v>
      </c>
      <c r="I625" s="142" t="s">
        <v>188</v>
      </c>
      <c r="J625" s="145" t="s">
        <v>1453</v>
      </c>
      <c r="K625" s="319" t="s">
        <v>191</v>
      </c>
      <c r="L625" s="331">
        <v>4</v>
      </c>
      <c r="M625" s="331">
        <v>4</v>
      </c>
      <c r="N625" s="322" t="s">
        <v>14</v>
      </c>
      <c r="O625" s="151">
        <v>5</v>
      </c>
      <c r="P625" s="151" t="s">
        <v>199</v>
      </c>
    </row>
    <row r="626" spans="1:16" ht="22.5">
      <c r="A626" s="142" t="s">
        <v>6081</v>
      </c>
      <c r="B626" s="145" t="s">
        <v>6082</v>
      </c>
      <c r="C626" s="142"/>
      <c r="D626" s="142"/>
      <c r="E626" s="319" t="s">
        <v>242</v>
      </c>
      <c r="F626" s="319"/>
      <c r="G626" s="141" t="s">
        <v>4332</v>
      </c>
      <c r="H626" s="142" t="s">
        <v>5048</v>
      </c>
      <c r="I626" s="142" t="s">
        <v>188</v>
      </c>
      <c r="J626" s="145" t="s">
        <v>1453</v>
      </c>
      <c r="K626" s="319" t="s">
        <v>191</v>
      </c>
      <c r="L626" s="331">
        <v>4</v>
      </c>
      <c r="M626" s="331">
        <v>4</v>
      </c>
      <c r="N626" s="322" t="s">
        <v>14</v>
      </c>
      <c r="O626" s="151">
        <v>5</v>
      </c>
      <c r="P626" s="151" t="s">
        <v>199</v>
      </c>
    </row>
    <row r="627" spans="1:16" ht="22.5">
      <c r="A627" s="142" t="s">
        <v>6083</v>
      </c>
      <c r="B627" s="145" t="s">
        <v>6084</v>
      </c>
      <c r="C627" s="142"/>
      <c r="D627" s="142"/>
      <c r="E627" s="319" t="s">
        <v>242</v>
      </c>
      <c r="F627" s="319"/>
      <c r="G627" s="141" t="s">
        <v>4332</v>
      </c>
      <c r="H627" s="142" t="s">
        <v>5051</v>
      </c>
      <c r="I627" s="142" t="s">
        <v>188</v>
      </c>
      <c r="J627" s="145" t="s">
        <v>1453</v>
      </c>
      <c r="K627" s="319" t="s">
        <v>191</v>
      </c>
      <c r="L627" s="331">
        <v>4</v>
      </c>
      <c r="M627" s="331">
        <v>4</v>
      </c>
      <c r="N627" s="322" t="s">
        <v>14</v>
      </c>
      <c r="O627" s="151">
        <v>5</v>
      </c>
      <c r="P627" s="151" t="s">
        <v>199</v>
      </c>
    </row>
    <row r="628" spans="1:16" ht="22.5">
      <c r="A628" s="142" t="s">
        <v>6085</v>
      </c>
      <c r="B628" s="145" t="s">
        <v>6086</v>
      </c>
      <c r="C628" s="142"/>
      <c r="D628" s="142"/>
      <c r="E628" s="319" t="s">
        <v>242</v>
      </c>
      <c r="F628" s="319"/>
      <c r="G628" s="141" t="s">
        <v>4332</v>
      </c>
      <c r="H628" s="142" t="s">
        <v>6087</v>
      </c>
      <c r="I628" s="142" t="s">
        <v>188</v>
      </c>
      <c r="J628" s="145" t="s">
        <v>1453</v>
      </c>
      <c r="K628" s="319" t="s">
        <v>191</v>
      </c>
      <c r="L628" s="331">
        <v>4</v>
      </c>
      <c r="M628" s="331">
        <v>4</v>
      </c>
      <c r="N628" s="322" t="s">
        <v>14</v>
      </c>
      <c r="O628" s="151">
        <v>5</v>
      </c>
      <c r="P628" s="151" t="s">
        <v>199</v>
      </c>
    </row>
    <row r="629" spans="1:16" ht="22.5">
      <c r="A629" s="142" t="s">
        <v>6088</v>
      </c>
      <c r="B629" s="145" t="s">
        <v>6089</v>
      </c>
      <c r="C629" s="142"/>
      <c r="D629" s="142"/>
      <c r="E629" s="319" t="s">
        <v>242</v>
      </c>
      <c r="F629" s="319"/>
      <c r="G629" s="141" t="s">
        <v>4332</v>
      </c>
      <c r="H629" s="142" t="s">
        <v>5060</v>
      </c>
      <c r="I629" s="142" t="s">
        <v>188</v>
      </c>
      <c r="J629" s="145" t="s">
        <v>1453</v>
      </c>
      <c r="K629" s="319" t="s">
        <v>191</v>
      </c>
      <c r="L629" s="331">
        <v>4</v>
      </c>
      <c r="M629" s="331">
        <v>4</v>
      </c>
      <c r="N629" s="322" t="s">
        <v>14</v>
      </c>
      <c r="O629" s="151">
        <v>5</v>
      </c>
      <c r="P629" s="151" t="s">
        <v>199</v>
      </c>
    </row>
    <row r="630" spans="1:16" ht="22.5">
      <c r="A630" s="142" t="s">
        <v>6090</v>
      </c>
      <c r="B630" s="145" t="s">
        <v>6091</v>
      </c>
      <c r="C630" s="142"/>
      <c r="D630" s="142"/>
      <c r="E630" s="319" t="s">
        <v>242</v>
      </c>
      <c r="F630" s="319"/>
      <c r="G630" s="141" t="s">
        <v>4332</v>
      </c>
      <c r="H630" s="142" t="s">
        <v>5063</v>
      </c>
      <c r="I630" s="142" t="s">
        <v>188</v>
      </c>
      <c r="J630" s="145" t="s">
        <v>1453</v>
      </c>
      <c r="K630" s="319" t="s">
        <v>191</v>
      </c>
      <c r="L630" s="331">
        <v>4</v>
      </c>
      <c r="M630" s="331">
        <v>4</v>
      </c>
      <c r="N630" s="322" t="s">
        <v>14</v>
      </c>
      <c r="O630" s="151">
        <v>5</v>
      </c>
      <c r="P630" s="151" t="s">
        <v>199</v>
      </c>
    </row>
    <row r="631" spans="1:16" ht="22.5">
      <c r="A631" s="142" t="s">
        <v>6092</v>
      </c>
      <c r="B631" s="145" t="s">
        <v>6093</v>
      </c>
      <c r="C631" s="142"/>
      <c r="D631" s="142"/>
      <c r="E631" s="319" t="s">
        <v>242</v>
      </c>
      <c r="F631" s="319"/>
      <c r="G631" s="141" t="s">
        <v>4332</v>
      </c>
      <c r="H631" s="142" t="s">
        <v>5066</v>
      </c>
      <c r="I631" s="142" t="s">
        <v>188</v>
      </c>
      <c r="J631" s="145" t="s">
        <v>1453</v>
      </c>
      <c r="K631" s="319" t="s">
        <v>191</v>
      </c>
      <c r="L631" s="331">
        <v>4</v>
      </c>
      <c r="M631" s="331">
        <v>4</v>
      </c>
      <c r="N631" s="322" t="s">
        <v>14</v>
      </c>
      <c r="O631" s="151">
        <v>5</v>
      </c>
      <c r="P631" s="151" t="s">
        <v>199</v>
      </c>
    </row>
    <row r="632" spans="1:16" ht="22.5">
      <c r="A632" s="142" t="s">
        <v>6094</v>
      </c>
      <c r="B632" s="145" t="s">
        <v>6095</v>
      </c>
      <c r="C632" s="142"/>
      <c r="D632" s="142"/>
      <c r="E632" s="319" t="s">
        <v>242</v>
      </c>
      <c r="F632" s="319"/>
      <c r="G632" s="141" t="s">
        <v>4332</v>
      </c>
      <c r="H632" s="142" t="s">
        <v>5069</v>
      </c>
      <c r="I632" s="142" t="s">
        <v>188</v>
      </c>
      <c r="J632" s="145" t="s">
        <v>1453</v>
      </c>
      <c r="K632" s="319" t="s">
        <v>191</v>
      </c>
      <c r="L632" s="331">
        <v>4</v>
      </c>
      <c r="M632" s="331">
        <v>4</v>
      </c>
      <c r="N632" s="322" t="s">
        <v>14</v>
      </c>
      <c r="O632" s="151">
        <v>5</v>
      </c>
      <c r="P632" s="151" t="s">
        <v>199</v>
      </c>
    </row>
    <row r="633" spans="1:16" ht="22.5">
      <c r="A633" s="142" t="s">
        <v>6096</v>
      </c>
      <c r="B633" s="145" t="s">
        <v>6097</v>
      </c>
      <c r="C633" s="142"/>
      <c r="D633" s="142"/>
      <c r="E633" s="319" t="s">
        <v>242</v>
      </c>
      <c r="F633" s="319"/>
      <c r="G633" s="141" t="s">
        <v>4332</v>
      </c>
      <c r="H633" s="142" t="s">
        <v>6098</v>
      </c>
      <c r="I633" s="142" t="s">
        <v>188</v>
      </c>
      <c r="J633" s="145" t="s">
        <v>1453</v>
      </c>
      <c r="K633" s="319" t="s">
        <v>191</v>
      </c>
      <c r="L633" s="331">
        <v>4</v>
      </c>
      <c r="M633" s="331">
        <v>4</v>
      </c>
      <c r="N633" s="322" t="s">
        <v>14</v>
      </c>
      <c r="O633" s="151">
        <v>5</v>
      </c>
      <c r="P633" s="151" t="s">
        <v>199</v>
      </c>
    </row>
    <row r="634" spans="1:16" ht="22.5">
      <c r="A634" s="142" t="s">
        <v>6099</v>
      </c>
      <c r="B634" s="145" t="s">
        <v>6100</v>
      </c>
      <c r="C634" s="142"/>
      <c r="D634" s="142"/>
      <c r="E634" s="319" t="s">
        <v>242</v>
      </c>
      <c r="F634" s="319"/>
      <c r="G634" s="141" t="s">
        <v>4332</v>
      </c>
      <c r="H634" s="142" t="s">
        <v>5075</v>
      </c>
      <c r="I634" s="142" t="s">
        <v>188</v>
      </c>
      <c r="J634" s="145" t="s">
        <v>1453</v>
      </c>
      <c r="K634" s="319" t="s">
        <v>191</v>
      </c>
      <c r="L634" s="331">
        <v>4</v>
      </c>
      <c r="M634" s="331">
        <v>4</v>
      </c>
      <c r="N634" s="322" t="s">
        <v>14</v>
      </c>
      <c r="O634" s="151">
        <v>5</v>
      </c>
      <c r="P634" s="151" t="s">
        <v>199</v>
      </c>
    </row>
    <row r="635" spans="1:16" ht="22.5">
      <c r="A635" s="142" t="s">
        <v>6101</v>
      </c>
      <c r="B635" s="145" t="s">
        <v>6102</v>
      </c>
      <c r="C635" s="142"/>
      <c r="D635" s="142"/>
      <c r="E635" s="319" t="s">
        <v>242</v>
      </c>
      <c r="F635" s="319"/>
      <c r="G635" s="141" t="s">
        <v>4332</v>
      </c>
      <c r="H635" s="142" t="s">
        <v>6103</v>
      </c>
      <c r="I635" s="142" t="s">
        <v>188</v>
      </c>
      <c r="J635" s="145" t="s">
        <v>1453</v>
      </c>
      <c r="K635" s="319" t="s">
        <v>191</v>
      </c>
      <c r="L635" s="331">
        <v>4</v>
      </c>
      <c r="M635" s="331">
        <v>4</v>
      </c>
      <c r="N635" s="322" t="s">
        <v>14</v>
      </c>
      <c r="O635" s="151">
        <v>5</v>
      </c>
      <c r="P635" s="151" t="s">
        <v>199</v>
      </c>
    </row>
    <row r="636" spans="1:16" ht="22.5">
      <c r="A636" s="142" t="s">
        <v>6104</v>
      </c>
      <c r="B636" s="145" t="s">
        <v>6105</v>
      </c>
      <c r="C636" s="142"/>
      <c r="D636" s="142"/>
      <c r="E636" s="319" t="s">
        <v>242</v>
      </c>
      <c r="F636" s="319"/>
      <c r="G636" s="141" t="s">
        <v>4332</v>
      </c>
      <c r="H636" s="142" t="s">
        <v>6106</v>
      </c>
      <c r="I636" s="142" t="s">
        <v>188</v>
      </c>
      <c r="J636" s="145" t="s">
        <v>1453</v>
      </c>
      <c r="K636" s="319" t="s">
        <v>191</v>
      </c>
      <c r="L636" s="331">
        <v>4</v>
      </c>
      <c r="M636" s="331">
        <v>4</v>
      </c>
      <c r="N636" s="322" t="s">
        <v>14</v>
      </c>
      <c r="O636" s="151">
        <v>5</v>
      </c>
      <c r="P636" s="151" t="s">
        <v>199</v>
      </c>
    </row>
    <row r="637" spans="1:16" ht="22.5">
      <c r="A637" s="142" t="s">
        <v>6107</v>
      </c>
      <c r="B637" s="145" t="s">
        <v>6108</v>
      </c>
      <c r="C637" s="142"/>
      <c r="D637" s="142"/>
      <c r="E637" s="319" t="s">
        <v>242</v>
      </c>
      <c r="F637" s="319"/>
      <c r="G637" s="141" t="s">
        <v>4332</v>
      </c>
      <c r="H637" s="142" t="s">
        <v>6109</v>
      </c>
      <c r="I637" s="142" t="s">
        <v>188</v>
      </c>
      <c r="J637" s="145" t="s">
        <v>1453</v>
      </c>
      <c r="K637" s="319" t="s">
        <v>191</v>
      </c>
      <c r="L637" s="331">
        <v>4</v>
      </c>
      <c r="M637" s="331">
        <v>4</v>
      </c>
      <c r="N637" s="322" t="s">
        <v>14</v>
      </c>
      <c r="O637" s="151">
        <v>5</v>
      </c>
      <c r="P637" s="151" t="s">
        <v>199</v>
      </c>
    </row>
    <row r="638" spans="1:16" ht="22.5">
      <c r="A638" s="142" t="s">
        <v>6110</v>
      </c>
      <c r="B638" s="145" t="s">
        <v>6111</v>
      </c>
      <c r="C638" s="142"/>
      <c r="D638" s="142"/>
      <c r="E638" s="319" t="s">
        <v>242</v>
      </c>
      <c r="F638" s="319"/>
      <c r="G638" s="141" t="s">
        <v>4332</v>
      </c>
      <c r="H638" s="142" t="s">
        <v>6112</v>
      </c>
      <c r="I638" s="142" t="s">
        <v>188</v>
      </c>
      <c r="J638" s="145" t="s">
        <v>1453</v>
      </c>
      <c r="K638" s="319" t="s">
        <v>191</v>
      </c>
      <c r="L638" s="331">
        <v>4</v>
      </c>
      <c r="M638" s="331">
        <v>4</v>
      </c>
      <c r="N638" s="322" t="s">
        <v>14</v>
      </c>
      <c r="O638" s="151">
        <v>5</v>
      </c>
      <c r="P638" s="151" t="s">
        <v>199</v>
      </c>
    </row>
    <row r="639" spans="1:16" ht="22.5">
      <c r="A639" s="142" t="s">
        <v>6113</v>
      </c>
      <c r="B639" s="145" t="s">
        <v>6114</v>
      </c>
      <c r="C639" s="142"/>
      <c r="D639" s="142"/>
      <c r="E639" s="319" t="s">
        <v>242</v>
      </c>
      <c r="F639" s="319"/>
      <c r="G639" s="141" t="s">
        <v>4332</v>
      </c>
      <c r="H639" s="142" t="s">
        <v>6115</v>
      </c>
      <c r="I639" s="142" t="s">
        <v>188</v>
      </c>
      <c r="J639" s="145" t="s">
        <v>1453</v>
      </c>
      <c r="K639" s="319" t="s">
        <v>191</v>
      </c>
      <c r="L639" s="331">
        <v>4</v>
      </c>
      <c r="M639" s="331">
        <v>4</v>
      </c>
      <c r="N639" s="322" t="s">
        <v>14</v>
      </c>
      <c r="O639" s="151">
        <v>5</v>
      </c>
      <c r="P639" s="151" t="s">
        <v>199</v>
      </c>
    </row>
    <row r="640" spans="1:16" ht="22.5">
      <c r="A640" s="142" t="s">
        <v>6116</v>
      </c>
      <c r="B640" s="145" t="s">
        <v>6117</v>
      </c>
      <c r="C640" s="142"/>
      <c r="D640" s="142"/>
      <c r="E640" s="319" t="s">
        <v>242</v>
      </c>
      <c r="F640" s="319"/>
      <c r="G640" s="141" t="s">
        <v>4332</v>
      </c>
      <c r="H640" s="142" t="s">
        <v>6118</v>
      </c>
      <c r="I640" s="142" t="s">
        <v>188</v>
      </c>
      <c r="J640" s="145" t="s">
        <v>1453</v>
      </c>
      <c r="K640" s="319" t="s">
        <v>191</v>
      </c>
      <c r="L640" s="331">
        <v>4</v>
      </c>
      <c r="M640" s="331">
        <v>4</v>
      </c>
      <c r="N640" s="322" t="s">
        <v>14</v>
      </c>
      <c r="O640" s="151">
        <v>5</v>
      </c>
      <c r="P640" s="151" t="s">
        <v>199</v>
      </c>
    </row>
    <row r="641" spans="1:16" ht="22.5">
      <c r="A641" s="142" t="s">
        <v>6119</v>
      </c>
      <c r="B641" s="145" t="s">
        <v>6120</v>
      </c>
      <c r="C641" s="142"/>
      <c r="D641" s="142"/>
      <c r="E641" s="319" t="s">
        <v>242</v>
      </c>
      <c r="F641" s="319"/>
      <c r="G641" s="141" t="s">
        <v>4332</v>
      </c>
      <c r="H641" s="142" t="s">
        <v>6121</v>
      </c>
      <c r="I641" s="142" t="s">
        <v>188</v>
      </c>
      <c r="J641" s="145" t="s">
        <v>1453</v>
      </c>
      <c r="K641" s="319" t="s">
        <v>191</v>
      </c>
      <c r="L641" s="331">
        <v>4</v>
      </c>
      <c r="M641" s="331">
        <v>4</v>
      </c>
      <c r="N641" s="322" t="s">
        <v>14</v>
      </c>
      <c r="O641" s="151">
        <v>5</v>
      </c>
      <c r="P641" s="151" t="s">
        <v>199</v>
      </c>
    </row>
    <row r="642" spans="1:16" ht="22.5">
      <c r="A642" s="142" t="s">
        <v>6122</v>
      </c>
      <c r="B642" s="145" t="s">
        <v>6123</v>
      </c>
      <c r="C642" s="142"/>
      <c r="D642" s="142"/>
      <c r="E642" s="319" t="s">
        <v>242</v>
      </c>
      <c r="F642" s="319"/>
      <c r="G642" s="141" t="s">
        <v>4332</v>
      </c>
      <c r="H642" s="142" t="s">
        <v>6124</v>
      </c>
      <c r="I642" s="142" t="s">
        <v>188</v>
      </c>
      <c r="J642" s="145" t="s">
        <v>1453</v>
      </c>
      <c r="K642" s="319" t="s">
        <v>191</v>
      </c>
      <c r="L642" s="331">
        <v>4</v>
      </c>
      <c r="M642" s="331">
        <v>4</v>
      </c>
      <c r="N642" s="322" t="s">
        <v>14</v>
      </c>
      <c r="O642" s="151">
        <v>5</v>
      </c>
      <c r="P642" s="151" t="s">
        <v>199</v>
      </c>
    </row>
    <row r="643" spans="1:16" ht="22.5">
      <c r="A643" s="142" t="s">
        <v>6125</v>
      </c>
      <c r="B643" s="145" t="s">
        <v>6126</v>
      </c>
      <c r="C643" s="142"/>
      <c r="D643" s="142"/>
      <c r="E643" s="319" t="s">
        <v>242</v>
      </c>
      <c r="F643" s="319"/>
      <c r="G643" s="141" t="s">
        <v>4332</v>
      </c>
      <c r="H643" s="142" t="s">
        <v>6127</v>
      </c>
      <c r="I643" s="142" t="s">
        <v>188</v>
      </c>
      <c r="J643" s="145" t="s">
        <v>1453</v>
      </c>
      <c r="K643" s="319" t="s">
        <v>191</v>
      </c>
      <c r="L643" s="331">
        <v>4</v>
      </c>
      <c r="M643" s="331">
        <v>4</v>
      </c>
      <c r="N643" s="322" t="s">
        <v>14</v>
      </c>
      <c r="O643" s="151">
        <v>5</v>
      </c>
      <c r="P643" s="151" t="s">
        <v>199</v>
      </c>
    </row>
    <row r="644" spans="1:16" ht="22.5">
      <c r="A644" s="142" t="s">
        <v>6128</v>
      </c>
      <c r="B644" s="145" t="s">
        <v>6129</v>
      </c>
      <c r="C644" s="142"/>
      <c r="D644" s="142"/>
      <c r="E644" s="319" t="s">
        <v>242</v>
      </c>
      <c r="F644" s="319"/>
      <c r="G644" s="141" t="s">
        <v>4332</v>
      </c>
      <c r="H644" s="145" t="s">
        <v>5106</v>
      </c>
      <c r="I644" s="142" t="s">
        <v>188</v>
      </c>
      <c r="J644" s="145" t="s">
        <v>1453</v>
      </c>
      <c r="K644" s="319" t="s">
        <v>191</v>
      </c>
      <c r="L644" s="331">
        <v>4</v>
      </c>
      <c r="M644" s="331">
        <v>4</v>
      </c>
      <c r="N644" s="322" t="s">
        <v>14</v>
      </c>
      <c r="O644" s="151">
        <v>5</v>
      </c>
      <c r="P644" s="151" t="s">
        <v>199</v>
      </c>
    </row>
    <row r="645" spans="1:16" ht="33.75">
      <c r="A645" s="142" t="s">
        <v>6130</v>
      </c>
      <c r="B645" s="145" t="s">
        <v>6131</v>
      </c>
      <c r="C645" s="142"/>
      <c r="D645" s="142"/>
      <c r="E645" s="319" t="s">
        <v>242</v>
      </c>
      <c r="F645" s="319"/>
      <c r="G645" s="141" t="s">
        <v>4332</v>
      </c>
      <c r="H645" s="145" t="s">
        <v>5109</v>
      </c>
      <c r="I645" s="142" t="s">
        <v>188</v>
      </c>
      <c r="J645" s="145" t="s">
        <v>1453</v>
      </c>
      <c r="K645" s="319" t="s">
        <v>191</v>
      </c>
      <c r="L645" s="331">
        <v>4</v>
      </c>
      <c r="M645" s="331">
        <v>4</v>
      </c>
      <c r="N645" s="322" t="s">
        <v>14</v>
      </c>
      <c r="O645" s="151">
        <v>5</v>
      </c>
      <c r="P645" s="151" t="s">
        <v>199</v>
      </c>
    </row>
    <row r="646" spans="1:16" ht="22.5">
      <c r="A646" s="142" t="s">
        <v>6132</v>
      </c>
      <c r="B646" s="145" t="s">
        <v>6133</v>
      </c>
      <c r="C646" s="142"/>
      <c r="D646" s="142"/>
      <c r="E646" s="319" t="s">
        <v>242</v>
      </c>
      <c r="F646" s="319"/>
      <c r="G646" s="141" t="s">
        <v>4332</v>
      </c>
      <c r="H646" s="142" t="s">
        <v>6134</v>
      </c>
      <c r="I646" s="142" t="s">
        <v>188</v>
      </c>
      <c r="J646" s="145" t="s">
        <v>1453</v>
      </c>
      <c r="K646" s="319" t="s">
        <v>191</v>
      </c>
      <c r="L646" s="331">
        <v>4</v>
      </c>
      <c r="M646" s="331">
        <v>4</v>
      </c>
      <c r="N646" s="322" t="s">
        <v>14</v>
      </c>
      <c r="O646" s="151">
        <v>5</v>
      </c>
      <c r="P646" s="151" t="s">
        <v>199</v>
      </c>
    </row>
    <row r="647" spans="1:16" ht="22.5">
      <c r="A647" s="142" t="s">
        <v>6135</v>
      </c>
      <c r="B647" s="145" t="s">
        <v>6136</v>
      </c>
      <c r="C647" s="142"/>
      <c r="D647" s="142"/>
      <c r="E647" s="319" t="s">
        <v>242</v>
      </c>
      <c r="F647" s="319"/>
      <c r="G647" s="141" t="s">
        <v>4332</v>
      </c>
      <c r="H647" s="142" t="s">
        <v>6137</v>
      </c>
      <c r="I647" s="142" t="s">
        <v>188</v>
      </c>
      <c r="J647" s="145" t="s">
        <v>1453</v>
      </c>
      <c r="K647" s="319" t="s">
        <v>191</v>
      </c>
      <c r="L647" s="331">
        <v>4</v>
      </c>
      <c r="M647" s="331">
        <v>4</v>
      </c>
      <c r="N647" s="322" t="s">
        <v>14</v>
      </c>
      <c r="O647" s="151">
        <v>5</v>
      </c>
      <c r="P647" s="151" t="s">
        <v>199</v>
      </c>
    </row>
    <row r="648" spans="1:16" ht="22.5">
      <c r="A648" s="142" t="s">
        <v>6138</v>
      </c>
      <c r="B648" s="145" t="s">
        <v>6139</v>
      </c>
      <c r="C648" s="142"/>
      <c r="D648" s="142"/>
      <c r="E648" s="319" t="s">
        <v>242</v>
      </c>
      <c r="F648" s="319"/>
      <c r="G648" s="141" t="s">
        <v>4332</v>
      </c>
      <c r="H648" s="142" t="s">
        <v>6140</v>
      </c>
      <c r="I648" s="142" t="s">
        <v>188</v>
      </c>
      <c r="J648" s="145" t="s">
        <v>1453</v>
      </c>
      <c r="K648" s="319" t="s">
        <v>191</v>
      </c>
      <c r="L648" s="331">
        <v>4</v>
      </c>
      <c r="M648" s="331">
        <v>4</v>
      </c>
      <c r="N648" s="322" t="s">
        <v>14</v>
      </c>
      <c r="O648" s="151">
        <v>5</v>
      </c>
      <c r="P648" s="151" t="s">
        <v>199</v>
      </c>
    </row>
    <row r="649" spans="1:16" ht="22.5">
      <c r="A649" s="142" t="s">
        <v>6141</v>
      </c>
      <c r="B649" s="145" t="s">
        <v>6142</v>
      </c>
      <c r="C649" s="142"/>
      <c r="D649" s="142"/>
      <c r="E649" s="319" t="s">
        <v>242</v>
      </c>
      <c r="F649" s="319"/>
      <c r="G649" s="141" t="s">
        <v>4332</v>
      </c>
      <c r="H649" s="142" t="s">
        <v>6143</v>
      </c>
      <c r="I649" s="142" t="s">
        <v>188</v>
      </c>
      <c r="J649" s="145" t="s">
        <v>1453</v>
      </c>
      <c r="K649" s="319" t="s">
        <v>191</v>
      </c>
      <c r="L649" s="331">
        <v>4</v>
      </c>
      <c r="M649" s="331">
        <v>4</v>
      </c>
      <c r="N649" s="322" t="s">
        <v>14</v>
      </c>
      <c r="O649" s="151">
        <v>5</v>
      </c>
      <c r="P649" s="151" t="s">
        <v>199</v>
      </c>
    </row>
    <row r="650" spans="1:16" ht="22.5">
      <c r="A650" s="142" t="s">
        <v>6144</v>
      </c>
      <c r="B650" s="145" t="s">
        <v>6145</v>
      </c>
      <c r="C650" s="142"/>
      <c r="D650" s="142"/>
      <c r="E650" s="319" t="s">
        <v>242</v>
      </c>
      <c r="F650" s="319"/>
      <c r="G650" s="141" t="s">
        <v>4332</v>
      </c>
      <c r="H650" s="142" t="s">
        <v>6146</v>
      </c>
      <c r="I650" s="142" t="s">
        <v>188</v>
      </c>
      <c r="J650" s="145" t="s">
        <v>1453</v>
      </c>
      <c r="K650" s="319" t="s">
        <v>191</v>
      </c>
      <c r="L650" s="331">
        <v>4</v>
      </c>
      <c r="M650" s="331">
        <v>4</v>
      </c>
      <c r="N650" s="322" t="s">
        <v>14</v>
      </c>
      <c r="O650" s="151">
        <v>5</v>
      </c>
      <c r="P650" s="151" t="s">
        <v>199</v>
      </c>
    </row>
    <row r="651" spans="1:16" ht="22.5">
      <c r="A651" s="142" t="s">
        <v>6147</v>
      </c>
      <c r="B651" s="145" t="s">
        <v>6148</v>
      </c>
      <c r="C651" s="142"/>
      <c r="D651" s="142"/>
      <c r="E651" s="319" t="s">
        <v>242</v>
      </c>
      <c r="F651" s="319"/>
      <c r="G651" s="141" t="s">
        <v>4332</v>
      </c>
      <c r="H651" s="142" t="s">
        <v>6149</v>
      </c>
      <c r="I651" s="142" t="s">
        <v>188</v>
      </c>
      <c r="J651" s="145" t="s">
        <v>1453</v>
      </c>
      <c r="K651" s="319" t="s">
        <v>191</v>
      </c>
      <c r="L651" s="331">
        <v>4</v>
      </c>
      <c r="M651" s="331">
        <v>4</v>
      </c>
      <c r="N651" s="322" t="s">
        <v>14</v>
      </c>
      <c r="O651" s="151">
        <v>5</v>
      </c>
      <c r="P651" s="151" t="s">
        <v>199</v>
      </c>
    </row>
    <row r="652" spans="1:16" ht="22.5">
      <c r="A652" s="142" t="s">
        <v>6150</v>
      </c>
      <c r="B652" s="145" t="s">
        <v>6151</v>
      </c>
      <c r="C652" s="142"/>
      <c r="D652" s="142"/>
      <c r="E652" s="319" t="s">
        <v>242</v>
      </c>
      <c r="F652" s="319"/>
      <c r="G652" s="141" t="s">
        <v>4332</v>
      </c>
      <c r="H652" s="142" t="s">
        <v>6152</v>
      </c>
      <c r="I652" s="142" t="s">
        <v>188</v>
      </c>
      <c r="J652" s="145" t="s">
        <v>1453</v>
      </c>
      <c r="K652" s="319" t="s">
        <v>191</v>
      </c>
      <c r="L652" s="331">
        <v>4</v>
      </c>
      <c r="M652" s="331">
        <v>4</v>
      </c>
      <c r="N652" s="322" t="s">
        <v>14</v>
      </c>
      <c r="O652" s="151">
        <v>5</v>
      </c>
      <c r="P652" s="151" t="s">
        <v>199</v>
      </c>
    </row>
    <row r="653" spans="1:16" ht="22.5">
      <c r="A653" s="142" t="s">
        <v>6153</v>
      </c>
      <c r="B653" s="145" t="s">
        <v>6154</v>
      </c>
      <c r="C653" s="142"/>
      <c r="D653" s="142"/>
      <c r="E653" s="319" t="s">
        <v>242</v>
      </c>
      <c r="F653" s="319"/>
      <c r="G653" s="141" t="s">
        <v>4332</v>
      </c>
      <c r="H653" s="142" t="s">
        <v>6155</v>
      </c>
      <c r="I653" s="142" t="s">
        <v>188</v>
      </c>
      <c r="J653" s="145" t="s">
        <v>1453</v>
      </c>
      <c r="K653" s="319" t="s">
        <v>191</v>
      </c>
      <c r="L653" s="331">
        <v>4</v>
      </c>
      <c r="M653" s="331">
        <v>4</v>
      </c>
      <c r="N653" s="322" t="s">
        <v>14</v>
      </c>
      <c r="O653" s="151">
        <v>5</v>
      </c>
      <c r="P653" s="151" t="s">
        <v>199</v>
      </c>
    </row>
    <row r="654" spans="1:16" ht="22.5">
      <c r="A654" s="142" t="s">
        <v>6156</v>
      </c>
      <c r="B654" s="145" t="s">
        <v>6157</v>
      </c>
      <c r="C654" s="142"/>
      <c r="D654" s="142"/>
      <c r="E654" s="319" t="s">
        <v>242</v>
      </c>
      <c r="F654" s="319"/>
      <c r="G654" s="141" t="s">
        <v>4332</v>
      </c>
      <c r="H654" s="142" t="s">
        <v>6158</v>
      </c>
      <c r="I654" s="142" t="s">
        <v>188</v>
      </c>
      <c r="J654" s="145" t="s">
        <v>1453</v>
      </c>
      <c r="K654" s="319" t="s">
        <v>191</v>
      </c>
      <c r="L654" s="331">
        <v>4</v>
      </c>
      <c r="M654" s="331">
        <v>4</v>
      </c>
      <c r="N654" s="322" t="s">
        <v>14</v>
      </c>
      <c r="O654" s="151">
        <v>5</v>
      </c>
      <c r="P654" s="151" t="s">
        <v>199</v>
      </c>
    </row>
    <row r="655" spans="1:16" ht="22.5">
      <c r="A655" s="142" t="s">
        <v>6159</v>
      </c>
      <c r="B655" s="145" t="s">
        <v>6160</v>
      </c>
      <c r="C655" s="142"/>
      <c r="D655" s="142"/>
      <c r="E655" s="319" t="s">
        <v>242</v>
      </c>
      <c r="F655" s="319"/>
      <c r="G655" s="141" t="s">
        <v>4332</v>
      </c>
      <c r="H655" s="173" t="s">
        <v>6161</v>
      </c>
      <c r="I655" s="142" t="s">
        <v>188</v>
      </c>
      <c r="J655" s="145" t="s">
        <v>1453</v>
      </c>
      <c r="K655" s="319" t="s">
        <v>191</v>
      </c>
      <c r="L655" s="331">
        <v>4</v>
      </c>
      <c r="M655" s="331">
        <v>4</v>
      </c>
      <c r="N655" s="322" t="s">
        <v>14</v>
      </c>
      <c r="O655" s="151">
        <v>5</v>
      </c>
      <c r="P655" s="151" t="s">
        <v>199</v>
      </c>
    </row>
    <row r="656" spans="1:16" ht="22.5">
      <c r="A656" s="142" t="s">
        <v>6162</v>
      </c>
      <c r="B656" s="145" t="s">
        <v>6163</v>
      </c>
      <c r="C656" s="142"/>
      <c r="D656" s="142"/>
      <c r="E656" s="319" t="s">
        <v>242</v>
      </c>
      <c r="F656" s="319"/>
      <c r="G656" s="141" t="s">
        <v>4332</v>
      </c>
      <c r="H656" s="142" t="s">
        <v>6164</v>
      </c>
      <c r="I656" s="142" t="s">
        <v>188</v>
      </c>
      <c r="J656" s="145" t="s">
        <v>1453</v>
      </c>
      <c r="K656" s="319" t="s">
        <v>191</v>
      </c>
      <c r="L656" s="331">
        <v>4</v>
      </c>
      <c r="M656" s="331">
        <v>4</v>
      </c>
      <c r="N656" s="322" t="s">
        <v>14</v>
      </c>
      <c r="O656" s="151">
        <v>5</v>
      </c>
      <c r="P656" s="151" t="s">
        <v>199</v>
      </c>
    </row>
    <row r="657" spans="1:16" ht="22.5">
      <c r="A657" s="142" t="s">
        <v>6165</v>
      </c>
      <c r="B657" s="145" t="s">
        <v>6166</v>
      </c>
      <c r="C657" s="142"/>
      <c r="D657" s="142"/>
      <c r="E657" s="319" t="s">
        <v>242</v>
      </c>
      <c r="F657" s="319"/>
      <c r="G657" s="141" t="s">
        <v>4332</v>
      </c>
      <c r="H657" s="142" t="s">
        <v>6167</v>
      </c>
      <c r="I657" s="142" t="s">
        <v>188</v>
      </c>
      <c r="J657" s="145" t="s">
        <v>1453</v>
      </c>
      <c r="K657" s="319" t="s">
        <v>191</v>
      </c>
      <c r="L657" s="331">
        <v>4</v>
      </c>
      <c r="M657" s="331">
        <v>4</v>
      </c>
      <c r="N657" s="322" t="s">
        <v>14</v>
      </c>
      <c r="O657" s="151">
        <v>5</v>
      </c>
      <c r="P657" s="151" t="s">
        <v>199</v>
      </c>
    </row>
    <row r="658" spans="1:16" ht="22.5">
      <c r="A658" s="142" t="s">
        <v>6168</v>
      </c>
      <c r="B658" s="145" t="s">
        <v>6169</v>
      </c>
      <c r="C658" s="142"/>
      <c r="D658" s="142"/>
      <c r="E658" s="319" t="s">
        <v>242</v>
      </c>
      <c r="F658" s="319"/>
      <c r="G658" s="141" t="s">
        <v>4332</v>
      </c>
      <c r="H658" s="142" t="s">
        <v>6170</v>
      </c>
      <c r="I658" s="142" t="s">
        <v>188</v>
      </c>
      <c r="J658" s="145" t="s">
        <v>1453</v>
      </c>
      <c r="K658" s="319" t="s">
        <v>191</v>
      </c>
      <c r="L658" s="331">
        <v>4</v>
      </c>
      <c r="M658" s="331">
        <v>4</v>
      </c>
      <c r="N658" s="322" t="s">
        <v>14</v>
      </c>
      <c r="O658" s="151">
        <v>5</v>
      </c>
      <c r="P658" s="151" t="s">
        <v>199</v>
      </c>
    </row>
    <row r="659" spans="1:16" ht="22.5">
      <c r="A659" s="142" t="s">
        <v>6171</v>
      </c>
      <c r="B659" s="145" t="s">
        <v>6172</v>
      </c>
      <c r="C659" s="142"/>
      <c r="D659" s="142"/>
      <c r="E659" s="319" t="s">
        <v>242</v>
      </c>
      <c r="F659" s="319"/>
      <c r="G659" s="141" t="s">
        <v>4332</v>
      </c>
      <c r="H659" s="142" t="s">
        <v>6173</v>
      </c>
      <c r="I659" s="142" t="s">
        <v>188</v>
      </c>
      <c r="J659" s="145" t="s">
        <v>1453</v>
      </c>
      <c r="K659" s="319" t="s">
        <v>191</v>
      </c>
      <c r="L659" s="331">
        <v>4</v>
      </c>
      <c r="M659" s="331">
        <v>4</v>
      </c>
      <c r="N659" s="322" t="s">
        <v>14</v>
      </c>
      <c r="O659" s="151">
        <v>5</v>
      </c>
      <c r="P659" s="151" t="s">
        <v>199</v>
      </c>
    </row>
    <row r="660" spans="1:16" ht="22.5">
      <c r="A660" s="142" t="s">
        <v>6174</v>
      </c>
      <c r="B660" s="145" t="s">
        <v>6175</v>
      </c>
      <c r="C660" s="142"/>
      <c r="D660" s="142"/>
      <c r="E660" s="319" t="s">
        <v>242</v>
      </c>
      <c r="F660" s="319"/>
      <c r="G660" s="141" t="s">
        <v>4332</v>
      </c>
      <c r="H660" s="142" t="s">
        <v>6176</v>
      </c>
      <c r="I660" s="142" t="s">
        <v>188</v>
      </c>
      <c r="J660" s="145" t="s">
        <v>1453</v>
      </c>
      <c r="K660" s="319" t="s">
        <v>191</v>
      </c>
      <c r="L660" s="331">
        <v>4</v>
      </c>
      <c r="M660" s="331">
        <v>4</v>
      </c>
      <c r="N660" s="322" t="s">
        <v>14</v>
      </c>
      <c r="O660" s="151">
        <v>5</v>
      </c>
      <c r="P660" s="151" t="s">
        <v>199</v>
      </c>
    </row>
    <row r="661" spans="1:16" ht="22.5">
      <c r="A661" s="142" t="s">
        <v>6177</v>
      </c>
      <c r="B661" s="145" t="s">
        <v>6178</v>
      </c>
      <c r="C661" s="142"/>
      <c r="D661" s="142"/>
      <c r="E661" s="319" t="s">
        <v>242</v>
      </c>
      <c r="F661" s="319"/>
      <c r="G661" s="141" t="s">
        <v>4332</v>
      </c>
      <c r="H661" s="142" t="s">
        <v>6179</v>
      </c>
      <c r="I661" s="142" t="s">
        <v>188</v>
      </c>
      <c r="J661" s="145" t="s">
        <v>1453</v>
      </c>
      <c r="K661" s="319" t="s">
        <v>191</v>
      </c>
      <c r="L661" s="331">
        <v>4</v>
      </c>
      <c r="M661" s="331">
        <v>4</v>
      </c>
      <c r="N661" s="322" t="s">
        <v>14</v>
      </c>
      <c r="O661" s="151">
        <v>5</v>
      </c>
      <c r="P661" s="151" t="s">
        <v>199</v>
      </c>
    </row>
    <row r="662" spans="1:16" ht="22.5">
      <c r="A662" s="142" t="s">
        <v>6180</v>
      </c>
      <c r="B662" s="145" t="s">
        <v>6181</v>
      </c>
      <c r="C662" s="142"/>
      <c r="D662" s="142"/>
      <c r="E662" s="319" t="s">
        <v>242</v>
      </c>
      <c r="F662" s="319"/>
      <c r="G662" s="141" t="s">
        <v>4332</v>
      </c>
      <c r="H662" s="142" t="s">
        <v>6182</v>
      </c>
      <c r="I662" s="142" t="s">
        <v>188</v>
      </c>
      <c r="J662" s="145" t="s">
        <v>1453</v>
      </c>
      <c r="K662" s="319" t="s">
        <v>191</v>
      </c>
      <c r="L662" s="331">
        <v>4</v>
      </c>
      <c r="M662" s="331">
        <v>4</v>
      </c>
      <c r="N662" s="322" t="s">
        <v>14</v>
      </c>
      <c r="O662" s="151">
        <v>5</v>
      </c>
      <c r="P662" s="151" t="s">
        <v>199</v>
      </c>
    </row>
    <row r="663" spans="1:16" ht="22.5">
      <c r="A663" s="142" t="s">
        <v>6183</v>
      </c>
      <c r="B663" s="145" t="s">
        <v>6184</v>
      </c>
      <c r="C663" s="142"/>
      <c r="D663" s="142"/>
      <c r="E663" s="319" t="s">
        <v>242</v>
      </c>
      <c r="F663" s="319"/>
      <c r="G663" s="141" t="s">
        <v>4332</v>
      </c>
      <c r="H663" s="142" t="s">
        <v>6185</v>
      </c>
      <c r="I663" s="142" t="s">
        <v>188</v>
      </c>
      <c r="J663" s="145" t="s">
        <v>1453</v>
      </c>
      <c r="K663" s="319" t="s">
        <v>191</v>
      </c>
      <c r="L663" s="331">
        <v>4</v>
      </c>
      <c r="M663" s="331">
        <v>4</v>
      </c>
      <c r="N663" s="322" t="s">
        <v>14</v>
      </c>
      <c r="O663" s="151">
        <v>5</v>
      </c>
      <c r="P663" s="151" t="s">
        <v>199</v>
      </c>
    </row>
    <row r="664" spans="1:16" ht="22.5">
      <c r="A664" s="142" t="s">
        <v>6186</v>
      </c>
      <c r="B664" s="145" t="s">
        <v>6187</v>
      </c>
      <c r="C664" s="142"/>
      <c r="D664" s="142"/>
      <c r="E664" s="319" t="s">
        <v>242</v>
      </c>
      <c r="F664" s="319"/>
      <c r="G664" s="141" t="s">
        <v>4332</v>
      </c>
      <c r="H664" s="142" t="s">
        <v>6188</v>
      </c>
      <c r="I664" s="142" t="s">
        <v>188</v>
      </c>
      <c r="J664" s="145" t="s">
        <v>1453</v>
      </c>
      <c r="K664" s="319" t="s">
        <v>191</v>
      </c>
      <c r="L664" s="331">
        <v>4</v>
      </c>
      <c r="M664" s="331">
        <v>4</v>
      </c>
      <c r="N664" s="322" t="s">
        <v>14</v>
      </c>
      <c r="O664" s="151">
        <v>5</v>
      </c>
      <c r="P664" s="151" t="s">
        <v>199</v>
      </c>
    </row>
    <row r="665" spans="1:16" ht="22.5">
      <c r="A665" s="142" t="s">
        <v>6189</v>
      </c>
      <c r="B665" s="145" t="s">
        <v>6190</v>
      </c>
      <c r="C665" s="142"/>
      <c r="D665" s="142"/>
      <c r="E665" s="319" t="s">
        <v>242</v>
      </c>
      <c r="F665" s="319"/>
      <c r="G665" s="141" t="s">
        <v>4332</v>
      </c>
      <c r="H665" s="142" t="s">
        <v>6191</v>
      </c>
      <c r="I665" s="142" t="s">
        <v>188</v>
      </c>
      <c r="J665" s="145" t="s">
        <v>1453</v>
      </c>
      <c r="K665" s="319" t="s">
        <v>191</v>
      </c>
      <c r="L665" s="331">
        <v>4</v>
      </c>
      <c r="M665" s="331">
        <v>4</v>
      </c>
      <c r="N665" s="322" t="s">
        <v>14</v>
      </c>
      <c r="O665" s="151">
        <v>5</v>
      </c>
      <c r="P665" s="151" t="s">
        <v>199</v>
      </c>
    </row>
    <row r="666" spans="1:16" ht="22.5">
      <c r="A666" s="142" t="s">
        <v>6192</v>
      </c>
      <c r="B666" s="145" t="s">
        <v>6193</v>
      </c>
      <c r="C666" s="142"/>
      <c r="D666" s="142"/>
      <c r="E666" s="319" t="s">
        <v>242</v>
      </c>
      <c r="F666" s="319"/>
      <c r="G666" s="141" t="s">
        <v>4332</v>
      </c>
      <c r="H666" s="142" t="s">
        <v>5172</v>
      </c>
      <c r="I666" s="142" t="s">
        <v>188</v>
      </c>
      <c r="J666" s="145" t="s">
        <v>1453</v>
      </c>
      <c r="K666" s="319" t="s">
        <v>191</v>
      </c>
      <c r="L666" s="331">
        <v>4</v>
      </c>
      <c r="M666" s="331">
        <v>4</v>
      </c>
      <c r="N666" s="322" t="s">
        <v>14</v>
      </c>
      <c r="O666" s="151">
        <v>5</v>
      </c>
      <c r="P666" s="151" t="s">
        <v>199</v>
      </c>
    </row>
    <row r="667" spans="1:16" ht="33.75">
      <c r="A667" s="142" t="s">
        <v>6194</v>
      </c>
      <c r="B667" s="145" t="s">
        <v>6195</v>
      </c>
      <c r="C667" s="142"/>
      <c r="D667" s="142"/>
      <c r="E667" s="319" t="s">
        <v>242</v>
      </c>
      <c r="F667" s="319"/>
      <c r="G667" s="141" t="s">
        <v>4332</v>
      </c>
      <c r="H667" s="142" t="s">
        <v>6196</v>
      </c>
      <c r="I667" s="142" t="s">
        <v>188</v>
      </c>
      <c r="J667" s="145" t="s">
        <v>1453</v>
      </c>
      <c r="K667" s="319" t="s">
        <v>191</v>
      </c>
      <c r="L667" s="331">
        <v>4</v>
      </c>
      <c r="M667" s="331">
        <v>4</v>
      </c>
      <c r="N667" s="322" t="s">
        <v>14</v>
      </c>
      <c r="O667" s="151">
        <v>5</v>
      </c>
      <c r="P667" s="151" t="s">
        <v>199</v>
      </c>
    </row>
    <row r="668" spans="1:16" ht="22.5">
      <c r="A668" s="142" t="s">
        <v>6197</v>
      </c>
      <c r="B668" s="145" t="s">
        <v>6198</v>
      </c>
      <c r="C668" s="142"/>
      <c r="D668" s="142"/>
      <c r="E668" s="319" t="s">
        <v>242</v>
      </c>
      <c r="F668" s="319"/>
      <c r="G668" s="141" t="s">
        <v>4332</v>
      </c>
      <c r="H668" s="142" t="s">
        <v>5178</v>
      </c>
      <c r="I668" s="142" t="s">
        <v>188</v>
      </c>
      <c r="J668" s="145" t="s">
        <v>1453</v>
      </c>
      <c r="K668" s="319" t="s">
        <v>191</v>
      </c>
      <c r="L668" s="331">
        <v>4</v>
      </c>
      <c r="M668" s="331">
        <v>4</v>
      </c>
      <c r="N668" s="322" t="s">
        <v>14</v>
      </c>
      <c r="O668" s="151">
        <v>5</v>
      </c>
      <c r="P668" s="151" t="s">
        <v>199</v>
      </c>
    </row>
    <row r="669" spans="1:16" ht="22.5">
      <c r="A669" s="142" t="s">
        <v>6199</v>
      </c>
      <c r="B669" s="145" t="s">
        <v>6200</v>
      </c>
      <c r="C669" s="142"/>
      <c r="D669" s="142"/>
      <c r="E669" s="319" t="s">
        <v>242</v>
      </c>
      <c r="F669" s="319"/>
      <c r="G669" s="141" t="s">
        <v>4332</v>
      </c>
      <c r="H669" s="142" t="s">
        <v>5181</v>
      </c>
      <c r="I669" s="142" t="s">
        <v>188</v>
      </c>
      <c r="J669" s="145" t="s">
        <v>1453</v>
      </c>
      <c r="K669" s="319" t="s">
        <v>191</v>
      </c>
      <c r="L669" s="331">
        <v>4</v>
      </c>
      <c r="M669" s="331">
        <v>4</v>
      </c>
      <c r="N669" s="322" t="s">
        <v>14</v>
      </c>
      <c r="O669" s="151">
        <v>5</v>
      </c>
      <c r="P669" s="151" t="s">
        <v>199</v>
      </c>
    </row>
    <row r="670" spans="1:16" ht="22.5">
      <c r="A670" s="142" t="s">
        <v>6201</v>
      </c>
      <c r="B670" s="145" t="s">
        <v>6202</v>
      </c>
      <c r="C670" s="142"/>
      <c r="D670" s="142"/>
      <c r="E670" s="319" t="s">
        <v>242</v>
      </c>
      <c r="F670" s="319"/>
      <c r="G670" s="141" t="s">
        <v>4332</v>
      </c>
      <c r="H670" s="142" t="s">
        <v>5184</v>
      </c>
      <c r="I670" s="142" t="s">
        <v>188</v>
      </c>
      <c r="J670" s="145" t="s">
        <v>1453</v>
      </c>
      <c r="K670" s="319" t="s">
        <v>191</v>
      </c>
      <c r="L670" s="331">
        <v>4</v>
      </c>
      <c r="M670" s="331">
        <v>4</v>
      </c>
      <c r="N670" s="322" t="s">
        <v>14</v>
      </c>
      <c r="O670" s="151">
        <v>5</v>
      </c>
      <c r="P670" s="151" t="s">
        <v>199</v>
      </c>
    </row>
    <row r="671" spans="1:16" ht="22.5">
      <c r="A671" s="142" t="s">
        <v>6203</v>
      </c>
      <c r="B671" s="145" t="s">
        <v>6204</v>
      </c>
      <c r="C671" s="142"/>
      <c r="D671" s="142"/>
      <c r="E671" s="319" t="s">
        <v>242</v>
      </c>
      <c r="F671" s="319"/>
      <c r="G671" s="141" t="s">
        <v>4332</v>
      </c>
      <c r="H671" s="142" t="s">
        <v>5187</v>
      </c>
      <c r="I671" s="142" t="s">
        <v>188</v>
      </c>
      <c r="J671" s="145" t="s">
        <v>1453</v>
      </c>
      <c r="K671" s="319" t="s">
        <v>191</v>
      </c>
      <c r="L671" s="331">
        <v>4</v>
      </c>
      <c r="M671" s="331">
        <v>4</v>
      </c>
      <c r="N671" s="322" t="s">
        <v>14</v>
      </c>
      <c r="O671" s="151">
        <v>5</v>
      </c>
      <c r="P671" s="151" t="s">
        <v>199</v>
      </c>
    </row>
    <row r="672" spans="1:16" ht="22.5">
      <c r="A672" s="142" t="s">
        <v>6205</v>
      </c>
      <c r="B672" s="145" t="s">
        <v>6206</v>
      </c>
      <c r="C672" s="142"/>
      <c r="D672" s="142"/>
      <c r="E672" s="319" t="s">
        <v>242</v>
      </c>
      <c r="F672" s="319"/>
      <c r="G672" s="141" t="s">
        <v>4332</v>
      </c>
      <c r="H672" s="142" t="s">
        <v>5190</v>
      </c>
      <c r="I672" s="142" t="s">
        <v>188</v>
      </c>
      <c r="J672" s="145" t="s">
        <v>1453</v>
      </c>
      <c r="K672" s="319" t="s">
        <v>191</v>
      </c>
      <c r="L672" s="331">
        <v>4</v>
      </c>
      <c r="M672" s="331">
        <v>4</v>
      </c>
      <c r="N672" s="322" t="s">
        <v>14</v>
      </c>
      <c r="O672" s="151">
        <v>5</v>
      </c>
      <c r="P672" s="151" t="s">
        <v>199</v>
      </c>
    </row>
    <row r="673" spans="1:16" ht="22.5">
      <c r="A673" s="142" t="s">
        <v>6207</v>
      </c>
      <c r="B673" s="145" t="s">
        <v>6208</v>
      </c>
      <c r="C673" s="142"/>
      <c r="D673" s="142"/>
      <c r="E673" s="319" t="s">
        <v>242</v>
      </c>
      <c r="F673" s="319"/>
      <c r="G673" s="141" t="s">
        <v>4332</v>
      </c>
      <c r="H673" s="142" t="s">
        <v>6209</v>
      </c>
      <c r="I673" s="142" t="s">
        <v>188</v>
      </c>
      <c r="J673" s="145" t="s">
        <v>1453</v>
      </c>
      <c r="K673" s="319" t="s">
        <v>191</v>
      </c>
      <c r="L673" s="331">
        <v>4</v>
      </c>
      <c r="M673" s="331">
        <v>4</v>
      </c>
      <c r="N673" s="322" t="s">
        <v>14</v>
      </c>
      <c r="O673" s="151">
        <v>5</v>
      </c>
      <c r="P673" s="151" t="s">
        <v>199</v>
      </c>
    </row>
    <row r="674" spans="1:16" ht="22.5">
      <c r="A674" s="142" t="s">
        <v>6210</v>
      </c>
      <c r="B674" s="145" t="s">
        <v>6211</v>
      </c>
      <c r="C674" s="142"/>
      <c r="D674" s="142"/>
      <c r="E674" s="319" t="s">
        <v>242</v>
      </c>
      <c r="F674" s="319"/>
      <c r="G674" s="141" t="s">
        <v>4332</v>
      </c>
      <c r="H674" s="142" t="s">
        <v>5196</v>
      </c>
      <c r="I674" s="142" t="s">
        <v>188</v>
      </c>
      <c r="J674" s="145" t="s">
        <v>1453</v>
      </c>
      <c r="K674" s="319" t="s">
        <v>191</v>
      </c>
      <c r="L674" s="331">
        <v>4</v>
      </c>
      <c r="M674" s="331">
        <v>4</v>
      </c>
      <c r="N674" s="322" t="s">
        <v>14</v>
      </c>
      <c r="O674" s="151">
        <v>5</v>
      </c>
      <c r="P674" s="151" t="s">
        <v>199</v>
      </c>
    </row>
    <row r="675" spans="1:16" ht="22.5">
      <c r="A675" s="142" t="s">
        <v>6212</v>
      </c>
      <c r="B675" s="145" t="s">
        <v>6213</v>
      </c>
      <c r="C675" s="142"/>
      <c r="D675" s="142"/>
      <c r="E675" s="319" t="s">
        <v>242</v>
      </c>
      <c r="F675" s="319"/>
      <c r="G675" s="141" t="s">
        <v>4332</v>
      </c>
      <c r="H675" s="142" t="s">
        <v>5199</v>
      </c>
      <c r="I675" s="142" t="s">
        <v>188</v>
      </c>
      <c r="J675" s="145" t="s">
        <v>1453</v>
      </c>
      <c r="K675" s="319" t="s">
        <v>191</v>
      </c>
      <c r="L675" s="331">
        <v>4</v>
      </c>
      <c r="M675" s="331">
        <v>4</v>
      </c>
      <c r="N675" s="322" t="s">
        <v>14</v>
      </c>
      <c r="O675" s="151">
        <v>5</v>
      </c>
      <c r="P675" s="151" t="s">
        <v>199</v>
      </c>
    </row>
    <row r="676" spans="1:16" ht="22.5">
      <c r="A676" s="142" t="s">
        <v>6214</v>
      </c>
      <c r="B676" s="145" t="s">
        <v>6215</v>
      </c>
      <c r="C676" s="142"/>
      <c r="D676" s="142"/>
      <c r="E676" s="319" t="s">
        <v>242</v>
      </c>
      <c r="F676" s="319"/>
      <c r="G676" s="141" t="s">
        <v>4332</v>
      </c>
      <c r="H676" s="142" t="s">
        <v>5202</v>
      </c>
      <c r="I676" s="142" t="s">
        <v>188</v>
      </c>
      <c r="J676" s="145" t="s">
        <v>1453</v>
      </c>
      <c r="K676" s="319" t="s">
        <v>191</v>
      </c>
      <c r="L676" s="331">
        <v>4</v>
      </c>
      <c r="M676" s="331">
        <v>4</v>
      </c>
      <c r="N676" s="322" t="s">
        <v>14</v>
      </c>
      <c r="O676" s="151">
        <v>5</v>
      </c>
      <c r="P676" s="151" t="s">
        <v>199</v>
      </c>
    </row>
    <row r="677" spans="1:16" ht="22.5">
      <c r="A677" s="142" t="s">
        <v>6216</v>
      </c>
      <c r="B677" s="145" t="s">
        <v>6217</v>
      </c>
      <c r="C677" s="142"/>
      <c r="D677" s="142"/>
      <c r="E677" s="319" t="s">
        <v>242</v>
      </c>
      <c r="F677" s="319"/>
      <c r="G677" s="141" t="s">
        <v>4332</v>
      </c>
      <c r="H677" s="142" t="s">
        <v>5205</v>
      </c>
      <c r="I677" s="142" t="s">
        <v>188</v>
      </c>
      <c r="J677" s="145" t="s">
        <v>1453</v>
      </c>
      <c r="K677" s="319" t="s">
        <v>191</v>
      </c>
      <c r="L677" s="331">
        <v>4</v>
      </c>
      <c r="M677" s="331">
        <v>4</v>
      </c>
      <c r="N677" s="322" t="s">
        <v>14</v>
      </c>
      <c r="O677" s="151">
        <v>5</v>
      </c>
      <c r="P677" s="151" t="s">
        <v>199</v>
      </c>
    </row>
    <row r="678" spans="1:16" ht="22.5">
      <c r="A678" s="142" t="s">
        <v>6218</v>
      </c>
      <c r="B678" s="145" t="s">
        <v>6219</v>
      </c>
      <c r="C678" s="142"/>
      <c r="D678" s="142"/>
      <c r="E678" s="319" t="s">
        <v>242</v>
      </c>
      <c r="F678" s="319"/>
      <c r="G678" s="141" t="s">
        <v>4332</v>
      </c>
      <c r="H678" s="142" t="s">
        <v>5208</v>
      </c>
      <c r="I678" s="142" t="s">
        <v>188</v>
      </c>
      <c r="J678" s="145" t="s">
        <v>1453</v>
      </c>
      <c r="K678" s="319" t="s">
        <v>191</v>
      </c>
      <c r="L678" s="331">
        <v>4</v>
      </c>
      <c r="M678" s="331">
        <v>4</v>
      </c>
      <c r="N678" s="322" t="s">
        <v>14</v>
      </c>
      <c r="O678" s="151">
        <v>5</v>
      </c>
      <c r="P678" s="151" t="s">
        <v>199</v>
      </c>
    </row>
    <row r="679" spans="1:16" ht="22.5">
      <c r="A679" s="142" t="s">
        <v>6220</v>
      </c>
      <c r="B679" s="145" t="s">
        <v>6221</v>
      </c>
      <c r="C679" s="142"/>
      <c r="D679" s="142"/>
      <c r="E679" s="319" t="s">
        <v>242</v>
      </c>
      <c r="F679" s="319"/>
      <c r="G679" s="141" t="s">
        <v>4332</v>
      </c>
      <c r="H679" s="142" t="s">
        <v>5211</v>
      </c>
      <c r="I679" s="142" t="s">
        <v>188</v>
      </c>
      <c r="J679" s="145" t="s">
        <v>1453</v>
      </c>
      <c r="K679" s="319" t="s">
        <v>191</v>
      </c>
      <c r="L679" s="331">
        <v>4</v>
      </c>
      <c r="M679" s="331">
        <v>4</v>
      </c>
      <c r="N679" s="322" t="s">
        <v>14</v>
      </c>
      <c r="O679" s="151">
        <v>5</v>
      </c>
      <c r="P679" s="151" t="s">
        <v>199</v>
      </c>
    </row>
    <row r="680" spans="1:16" ht="22.5">
      <c r="A680" s="142" t="s">
        <v>6222</v>
      </c>
      <c r="B680" s="145" t="s">
        <v>6223</v>
      </c>
      <c r="C680" s="142"/>
      <c r="D680" s="142"/>
      <c r="E680" s="319" t="s">
        <v>242</v>
      </c>
      <c r="F680" s="319"/>
      <c r="G680" s="141" t="s">
        <v>4332</v>
      </c>
      <c r="H680" s="142" t="s">
        <v>5214</v>
      </c>
      <c r="I680" s="142" t="s">
        <v>188</v>
      </c>
      <c r="J680" s="145" t="s">
        <v>1453</v>
      </c>
      <c r="K680" s="319" t="s">
        <v>191</v>
      </c>
      <c r="L680" s="331">
        <v>4</v>
      </c>
      <c r="M680" s="331">
        <v>4</v>
      </c>
      <c r="N680" s="322" t="s">
        <v>14</v>
      </c>
      <c r="O680" s="151">
        <v>5</v>
      </c>
      <c r="P680" s="151" t="s">
        <v>199</v>
      </c>
    </row>
    <row r="681" spans="1:16" ht="22.5">
      <c r="A681" s="142" t="s">
        <v>6224</v>
      </c>
      <c r="B681" s="145" t="s">
        <v>6225</v>
      </c>
      <c r="C681" s="142"/>
      <c r="D681" s="142"/>
      <c r="E681" s="319" t="s">
        <v>242</v>
      </c>
      <c r="F681" s="319"/>
      <c r="G681" s="141" t="s">
        <v>4332</v>
      </c>
      <c r="H681" s="142" t="s">
        <v>5217</v>
      </c>
      <c r="I681" s="142" t="s">
        <v>188</v>
      </c>
      <c r="J681" s="145" t="s">
        <v>1453</v>
      </c>
      <c r="K681" s="319" t="s">
        <v>191</v>
      </c>
      <c r="L681" s="331">
        <v>4</v>
      </c>
      <c r="M681" s="331">
        <v>4</v>
      </c>
      <c r="N681" s="322" t="s">
        <v>14</v>
      </c>
      <c r="O681" s="151">
        <v>5</v>
      </c>
      <c r="P681" s="151" t="s">
        <v>199</v>
      </c>
    </row>
    <row r="682" spans="1:16" ht="22.5">
      <c r="A682" s="142" t="s">
        <v>6226</v>
      </c>
      <c r="B682" s="145" t="s">
        <v>6227</v>
      </c>
      <c r="C682" s="142"/>
      <c r="D682" s="142"/>
      <c r="E682" s="319" t="s">
        <v>242</v>
      </c>
      <c r="F682" s="319"/>
      <c r="G682" s="141" t="s">
        <v>4332</v>
      </c>
      <c r="H682" s="142" t="s">
        <v>5220</v>
      </c>
      <c r="I682" s="142" t="s">
        <v>188</v>
      </c>
      <c r="J682" s="145" t="s">
        <v>1453</v>
      </c>
      <c r="K682" s="319" t="s">
        <v>191</v>
      </c>
      <c r="L682" s="331">
        <v>4</v>
      </c>
      <c r="M682" s="331">
        <v>4</v>
      </c>
      <c r="N682" s="322" t="s">
        <v>14</v>
      </c>
      <c r="O682" s="151">
        <v>5</v>
      </c>
      <c r="P682" s="151" t="s">
        <v>199</v>
      </c>
    </row>
    <row r="683" spans="1:16" ht="22.5">
      <c r="A683" s="142" t="s">
        <v>6228</v>
      </c>
      <c r="B683" s="145" t="s">
        <v>6229</v>
      </c>
      <c r="C683" s="142"/>
      <c r="D683" s="142"/>
      <c r="E683" s="319" t="s">
        <v>242</v>
      </c>
      <c r="F683" s="319"/>
      <c r="G683" s="141" t="s">
        <v>4332</v>
      </c>
      <c r="H683" s="142" t="s">
        <v>5223</v>
      </c>
      <c r="I683" s="142" t="s">
        <v>188</v>
      </c>
      <c r="J683" s="145" t="s">
        <v>1453</v>
      </c>
      <c r="K683" s="319" t="s">
        <v>191</v>
      </c>
      <c r="L683" s="331">
        <v>4</v>
      </c>
      <c r="M683" s="331">
        <v>4</v>
      </c>
      <c r="N683" s="322" t="s">
        <v>14</v>
      </c>
      <c r="O683" s="151">
        <v>5</v>
      </c>
      <c r="P683" s="151" t="s">
        <v>199</v>
      </c>
    </row>
    <row r="684" spans="1:16">
      <c r="A684" s="142" t="s">
        <v>6230</v>
      </c>
      <c r="B684" s="145" t="s">
        <v>6231</v>
      </c>
      <c r="C684" s="142"/>
      <c r="D684" s="142"/>
      <c r="E684" s="319" t="s">
        <v>242</v>
      </c>
      <c r="F684" s="319"/>
      <c r="G684" s="141" t="s">
        <v>4332</v>
      </c>
      <c r="H684" s="142" t="s">
        <v>5226</v>
      </c>
      <c r="I684" s="142" t="s">
        <v>198</v>
      </c>
      <c r="J684" s="145"/>
      <c r="K684" s="319" t="s">
        <v>191</v>
      </c>
      <c r="L684" s="331">
        <v>4</v>
      </c>
      <c r="M684" s="331">
        <v>4</v>
      </c>
      <c r="N684" s="322" t="s">
        <v>14</v>
      </c>
      <c r="O684" s="151">
        <v>5</v>
      </c>
      <c r="P684" s="151" t="s">
        <v>199</v>
      </c>
    </row>
    <row r="685" spans="1:16">
      <c r="A685" s="142" t="s">
        <v>6232</v>
      </c>
      <c r="B685" s="145" t="s">
        <v>6233</v>
      </c>
      <c r="C685" s="142"/>
      <c r="D685" s="142"/>
      <c r="E685" s="319" t="s">
        <v>242</v>
      </c>
      <c r="F685" s="319"/>
      <c r="G685" s="141" t="s">
        <v>4332</v>
      </c>
      <c r="H685" s="142" t="s">
        <v>5229</v>
      </c>
      <c r="I685" s="142" t="s">
        <v>198</v>
      </c>
      <c r="J685" s="145"/>
      <c r="K685" s="319" t="s">
        <v>191</v>
      </c>
      <c r="L685" s="331">
        <v>4</v>
      </c>
      <c r="M685" s="331">
        <v>4</v>
      </c>
      <c r="N685" s="322" t="s">
        <v>14</v>
      </c>
      <c r="O685" s="151">
        <v>5</v>
      </c>
      <c r="P685" s="151" t="s">
        <v>199</v>
      </c>
    </row>
    <row r="686" spans="1:16">
      <c r="A686" s="142" t="s">
        <v>6234</v>
      </c>
      <c r="B686" s="145" t="s">
        <v>6235</v>
      </c>
      <c r="C686" s="142"/>
      <c r="D686" s="142"/>
      <c r="E686" s="319" t="s">
        <v>242</v>
      </c>
      <c r="F686" s="319"/>
      <c r="G686" s="141" t="s">
        <v>4332</v>
      </c>
      <c r="H686" s="142" t="s">
        <v>5232</v>
      </c>
      <c r="I686" s="142" t="s">
        <v>198</v>
      </c>
      <c r="J686" s="145"/>
      <c r="K686" s="319" t="s">
        <v>191</v>
      </c>
      <c r="L686" s="331">
        <v>4</v>
      </c>
      <c r="M686" s="331">
        <v>4</v>
      </c>
      <c r="N686" s="322" t="s">
        <v>14</v>
      </c>
      <c r="O686" s="151">
        <v>5</v>
      </c>
      <c r="P686" s="151" t="s">
        <v>199</v>
      </c>
    </row>
    <row r="687" spans="1:16">
      <c r="A687" s="142" t="s">
        <v>6236</v>
      </c>
      <c r="B687" s="145" t="s">
        <v>6237</v>
      </c>
      <c r="C687" s="142"/>
      <c r="D687" s="142"/>
      <c r="E687" s="319" t="s">
        <v>242</v>
      </c>
      <c r="F687" s="319"/>
      <c r="G687" s="141" t="s">
        <v>4332</v>
      </c>
      <c r="H687" s="142" t="s">
        <v>5235</v>
      </c>
      <c r="I687" s="142" t="s">
        <v>198</v>
      </c>
      <c r="J687" s="145"/>
      <c r="K687" s="319" t="s">
        <v>191</v>
      </c>
      <c r="L687" s="331">
        <v>4</v>
      </c>
      <c r="M687" s="331">
        <v>4</v>
      </c>
      <c r="N687" s="322" t="s">
        <v>14</v>
      </c>
      <c r="O687" s="151">
        <v>5</v>
      </c>
      <c r="P687" s="151" t="s">
        <v>199</v>
      </c>
    </row>
    <row r="688" spans="1:16" ht="22.5">
      <c r="A688" s="142" t="s">
        <v>6238</v>
      </c>
      <c r="B688" s="145" t="s">
        <v>6239</v>
      </c>
      <c r="C688" s="142"/>
      <c r="D688" s="142"/>
      <c r="E688" s="319" t="s">
        <v>242</v>
      </c>
      <c r="F688" s="319"/>
      <c r="G688" s="141" t="s">
        <v>4332</v>
      </c>
      <c r="H688" s="142" t="s">
        <v>5238</v>
      </c>
      <c r="I688" s="142" t="s">
        <v>198</v>
      </c>
      <c r="J688" s="145"/>
      <c r="K688" s="319" t="s">
        <v>191</v>
      </c>
      <c r="L688" s="331">
        <v>4</v>
      </c>
      <c r="M688" s="331">
        <v>4</v>
      </c>
      <c r="N688" s="322" t="s">
        <v>14</v>
      </c>
      <c r="O688" s="151">
        <v>5</v>
      </c>
      <c r="P688" s="151" t="s">
        <v>199</v>
      </c>
    </row>
    <row r="689" spans="1:16" ht="22.5">
      <c r="A689" s="142" t="s">
        <v>6240</v>
      </c>
      <c r="B689" s="145" t="s">
        <v>6241</v>
      </c>
      <c r="C689" s="142"/>
      <c r="D689" s="142"/>
      <c r="E689" s="319" t="s">
        <v>242</v>
      </c>
      <c r="F689" s="319"/>
      <c r="G689" s="141" t="s">
        <v>4332</v>
      </c>
      <c r="H689" s="142" t="s">
        <v>5241</v>
      </c>
      <c r="I689" s="142" t="s">
        <v>198</v>
      </c>
      <c r="J689" s="145"/>
      <c r="K689" s="319" t="s">
        <v>191</v>
      </c>
      <c r="L689" s="331">
        <v>4</v>
      </c>
      <c r="M689" s="331">
        <v>4</v>
      </c>
      <c r="N689" s="322" t="s">
        <v>14</v>
      </c>
      <c r="O689" s="151">
        <v>5</v>
      </c>
      <c r="P689" s="151" t="s">
        <v>199</v>
      </c>
    </row>
    <row r="690" spans="1:16">
      <c r="A690" s="142" t="s">
        <v>6242</v>
      </c>
      <c r="B690" s="145" t="s">
        <v>6243</v>
      </c>
      <c r="C690" s="142"/>
      <c r="D690" s="142"/>
      <c r="E690" s="319" t="s">
        <v>242</v>
      </c>
      <c r="F690" s="319"/>
      <c r="G690" s="141" t="s">
        <v>4332</v>
      </c>
      <c r="H690" s="142" t="s">
        <v>5244</v>
      </c>
      <c r="I690" s="142" t="s">
        <v>198</v>
      </c>
      <c r="J690" s="145"/>
      <c r="K690" s="319" t="s">
        <v>191</v>
      </c>
      <c r="L690" s="331">
        <v>4</v>
      </c>
      <c r="M690" s="331">
        <v>4</v>
      </c>
      <c r="N690" s="322" t="s">
        <v>14</v>
      </c>
      <c r="O690" s="151">
        <v>5</v>
      </c>
      <c r="P690" s="151" t="s">
        <v>199</v>
      </c>
    </row>
    <row r="691" spans="1:16">
      <c r="A691" s="142" t="s">
        <v>6244</v>
      </c>
      <c r="B691" s="145" t="s">
        <v>6245</v>
      </c>
      <c r="C691" s="142"/>
      <c r="D691" s="142"/>
      <c r="E691" s="319" t="s">
        <v>242</v>
      </c>
      <c r="F691" s="319"/>
      <c r="G691" s="141" t="s">
        <v>4332</v>
      </c>
      <c r="H691" s="142" t="s">
        <v>5247</v>
      </c>
      <c r="I691" s="142" t="s">
        <v>198</v>
      </c>
      <c r="J691" s="145"/>
      <c r="K691" s="319" t="s">
        <v>191</v>
      </c>
      <c r="L691" s="331">
        <v>4</v>
      </c>
      <c r="M691" s="331">
        <v>4</v>
      </c>
      <c r="N691" s="322" t="s">
        <v>14</v>
      </c>
      <c r="O691" s="151">
        <v>5</v>
      </c>
      <c r="P691" s="151" t="s">
        <v>199</v>
      </c>
    </row>
    <row r="692" spans="1:16">
      <c r="A692" s="142" t="s">
        <v>6246</v>
      </c>
      <c r="B692" s="145" t="s">
        <v>6247</v>
      </c>
      <c r="C692" s="142"/>
      <c r="D692" s="142"/>
      <c r="E692" s="319" t="s">
        <v>242</v>
      </c>
      <c r="F692" s="319"/>
      <c r="G692" s="141" t="s">
        <v>4332</v>
      </c>
      <c r="H692" s="142" t="s">
        <v>5250</v>
      </c>
      <c r="I692" s="142" t="s">
        <v>198</v>
      </c>
      <c r="J692" s="145"/>
      <c r="K692" s="319" t="s">
        <v>191</v>
      </c>
      <c r="L692" s="331">
        <v>4</v>
      </c>
      <c r="M692" s="331">
        <v>4</v>
      </c>
      <c r="N692" s="322" t="s">
        <v>14</v>
      </c>
      <c r="O692" s="151">
        <v>5</v>
      </c>
      <c r="P692" s="151" t="s">
        <v>199</v>
      </c>
    </row>
    <row r="693" spans="1:16">
      <c r="A693" s="142" t="s">
        <v>6248</v>
      </c>
      <c r="B693" s="145" t="s">
        <v>6249</v>
      </c>
      <c r="C693" s="142"/>
      <c r="D693" s="142"/>
      <c r="E693" s="319" t="s">
        <v>242</v>
      </c>
      <c r="F693" s="319"/>
      <c r="G693" s="141" t="s">
        <v>4332</v>
      </c>
      <c r="H693" s="142" t="s">
        <v>5253</v>
      </c>
      <c r="I693" s="142" t="s">
        <v>198</v>
      </c>
      <c r="J693" s="145"/>
      <c r="K693" s="319" t="s">
        <v>191</v>
      </c>
      <c r="L693" s="331">
        <v>4</v>
      </c>
      <c r="M693" s="331">
        <v>4</v>
      </c>
      <c r="N693" s="322" t="s">
        <v>14</v>
      </c>
      <c r="O693" s="151">
        <v>5</v>
      </c>
      <c r="P693" s="151" t="s">
        <v>199</v>
      </c>
    </row>
    <row r="694" spans="1:16" ht="22.5">
      <c r="A694" s="142" t="s">
        <v>6250</v>
      </c>
      <c r="B694" s="145" t="s">
        <v>6251</v>
      </c>
      <c r="C694" s="142"/>
      <c r="D694" s="142"/>
      <c r="E694" s="319" t="s">
        <v>242</v>
      </c>
      <c r="F694" s="319"/>
      <c r="G694" s="141" t="s">
        <v>4332</v>
      </c>
      <c r="H694" s="142" t="s">
        <v>5256</v>
      </c>
      <c r="I694" s="142" t="s">
        <v>198</v>
      </c>
      <c r="J694" s="145"/>
      <c r="K694" s="319" t="s">
        <v>191</v>
      </c>
      <c r="L694" s="331">
        <v>4</v>
      </c>
      <c r="M694" s="331">
        <v>4</v>
      </c>
      <c r="N694" s="322" t="s">
        <v>14</v>
      </c>
      <c r="O694" s="151">
        <v>5</v>
      </c>
      <c r="P694" s="151" t="s">
        <v>199</v>
      </c>
    </row>
    <row r="695" spans="1:16">
      <c r="A695" s="142" t="s">
        <v>6252</v>
      </c>
      <c r="B695" s="145" t="s">
        <v>6253</v>
      </c>
      <c r="C695" s="142"/>
      <c r="D695" s="142"/>
      <c r="E695" s="319" t="s">
        <v>242</v>
      </c>
      <c r="F695" s="319"/>
      <c r="G695" s="141" t="s">
        <v>4332</v>
      </c>
      <c r="H695" s="142" t="s">
        <v>5259</v>
      </c>
      <c r="I695" s="142" t="s">
        <v>198</v>
      </c>
      <c r="J695" s="145"/>
      <c r="K695" s="319" t="s">
        <v>191</v>
      </c>
      <c r="L695" s="331">
        <v>4</v>
      </c>
      <c r="M695" s="331">
        <v>4</v>
      </c>
      <c r="N695" s="322" t="s">
        <v>14</v>
      </c>
      <c r="O695" s="151">
        <v>5</v>
      </c>
      <c r="P695" s="151" t="s">
        <v>199</v>
      </c>
    </row>
    <row r="696" spans="1:16" ht="22.5">
      <c r="A696" s="142" t="s">
        <v>6254</v>
      </c>
      <c r="B696" s="145" t="s">
        <v>6255</v>
      </c>
      <c r="C696" s="142"/>
      <c r="D696" s="142"/>
      <c r="E696" s="319" t="s">
        <v>242</v>
      </c>
      <c r="F696" s="319"/>
      <c r="G696" s="141" t="s">
        <v>4332</v>
      </c>
      <c r="H696" s="142" t="s">
        <v>5262</v>
      </c>
      <c r="I696" s="142"/>
      <c r="J696" s="145"/>
      <c r="K696" s="319" t="s">
        <v>191</v>
      </c>
      <c r="L696" s="331">
        <v>4</v>
      </c>
      <c r="M696" s="331">
        <v>4</v>
      </c>
      <c r="N696" s="322" t="s">
        <v>14</v>
      </c>
      <c r="O696" s="151">
        <v>5</v>
      </c>
      <c r="P696" s="151" t="s">
        <v>199</v>
      </c>
    </row>
    <row r="697" spans="1:16" ht="22.5">
      <c r="A697" s="142" t="s">
        <v>6256</v>
      </c>
      <c r="B697" s="145" t="s">
        <v>6257</v>
      </c>
      <c r="C697" s="142"/>
      <c r="D697" s="142"/>
      <c r="E697" s="319" t="s">
        <v>242</v>
      </c>
      <c r="F697" s="319"/>
      <c r="G697" s="141" t="s">
        <v>4332</v>
      </c>
      <c r="H697" s="142" t="s">
        <v>5265</v>
      </c>
      <c r="I697" s="142"/>
      <c r="J697" s="145"/>
      <c r="K697" s="319" t="s">
        <v>191</v>
      </c>
      <c r="L697" s="331">
        <v>4</v>
      </c>
      <c r="M697" s="331">
        <v>4</v>
      </c>
      <c r="N697" s="322" t="s">
        <v>14</v>
      </c>
      <c r="O697" s="151">
        <v>5</v>
      </c>
      <c r="P697" s="151" t="s">
        <v>199</v>
      </c>
    </row>
    <row r="698" spans="1:16" ht="22.5">
      <c r="A698" s="142" t="s">
        <v>6258</v>
      </c>
      <c r="B698" s="145" t="s">
        <v>6259</v>
      </c>
      <c r="C698" s="142"/>
      <c r="D698" s="142"/>
      <c r="E698" s="319" t="s">
        <v>242</v>
      </c>
      <c r="F698" s="319"/>
      <c r="G698" s="141" t="s">
        <v>4332</v>
      </c>
      <c r="H698" s="142" t="s">
        <v>5268</v>
      </c>
      <c r="I698" s="142"/>
      <c r="J698" s="145"/>
      <c r="K698" s="319" t="s">
        <v>191</v>
      </c>
      <c r="L698" s="331">
        <v>4</v>
      </c>
      <c r="M698" s="331">
        <v>4</v>
      </c>
      <c r="N698" s="322" t="s">
        <v>14</v>
      </c>
      <c r="O698" s="151">
        <v>5</v>
      </c>
      <c r="P698" s="151" t="s">
        <v>199</v>
      </c>
    </row>
    <row r="699" spans="1:16">
      <c r="A699" s="142" t="s">
        <v>6260</v>
      </c>
      <c r="B699" s="145" t="s">
        <v>6261</v>
      </c>
      <c r="C699" s="142"/>
      <c r="D699" s="142"/>
      <c r="E699" s="319" t="s">
        <v>242</v>
      </c>
      <c r="F699" s="319"/>
      <c r="G699" s="141" t="s">
        <v>4332</v>
      </c>
      <c r="H699" s="142" t="s">
        <v>5274</v>
      </c>
      <c r="I699" s="142" t="s">
        <v>198</v>
      </c>
      <c r="J699" s="145"/>
      <c r="K699" s="319" t="s">
        <v>191</v>
      </c>
      <c r="L699" s="331">
        <v>4</v>
      </c>
      <c r="M699" s="331">
        <v>4</v>
      </c>
      <c r="N699" s="322" t="s">
        <v>14</v>
      </c>
      <c r="O699" s="151">
        <v>5</v>
      </c>
      <c r="P699" s="151" t="s">
        <v>199</v>
      </c>
    </row>
    <row r="700" spans="1:16">
      <c r="A700" s="142" t="s">
        <v>6262</v>
      </c>
      <c r="B700" s="145" t="s">
        <v>6263</v>
      </c>
      <c r="C700" s="142"/>
      <c r="D700" s="142"/>
      <c r="E700" s="319" t="s">
        <v>242</v>
      </c>
      <c r="F700" s="319"/>
      <c r="G700" s="141" t="s">
        <v>4332</v>
      </c>
      <c r="H700" s="142" t="s">
        <v>5277</v>
      </c>
      <c r="I700" s="142" t="s">
        <v>198</v>
      </c>
      <c r="J700" s="145"/>
      <c r="K700" s="319" t="s">
        <v>191</v>
      </c>
      <c r="L700" s="331">
        <v>4</v>
      </c>
      <c r="M700" s="331">
        <v>4</v>
      </c>
      <c r="N700" s="322" t="s">
        <v>14</v>
      </c>
      <c r="O700" s="151">
        <v>5</v>
      </c>
      <c r="P700" s="151" t="s">
        <v>199</v>
      </c>
    </row>
    <row r="701" spans="1:16">
      <c r="A701" s="142" t="s">
        <v>6264</v>
      </c>
      <c r="B701" s="145" t="s">
        <v>6265</v>
      </c>
      <c r="C701" s="142"/>
      <c r="D701" s="142"/>
      <c r="E701" s="319" t="s">
        <v>242</v>
      </c>
      <c r="F701" s="319"/>
      <c r="G701" s="141" t="s">
        <v>4332</v>
      </c>
      <c r="H701" s="142" t="s">
        <v>6266</v>
      </c>
      <c r="I701" s="142" t="s">
        <v>198</v>
      </c>
      <c r="J701" s="145"/>
      <c r="K701" s="319" t="s">
        <v>191</v>
      </c>
      <c r="L701" s="331">
        <v>4</v>
      </c>
      <c r="M701" s="331">
        <v>4</v>
      </c>
      <c r="N701" s="322" t="s">
        <v>14</v>
      </c>
      <c r="O701" s="151">
        <v>5</v>
      </c>
      <c r="P701" s="151" t="s">
        <v>199</v>
      </c>
    </row>
    <row r="702" spans="1:16">
      <c r="A702" s="142" t="s">
        <v>6267</v>
      </c>
      <c r="B702" s="145" t="s">
        <v>6268</v>
      </c>
      <c r="C702" s="142"/>
      <c r="D702" s="142"/>
      <c r="E702" s="319" t="s">
        <v>242</v>
      </c>
      <c r="F702" s="319"/>
      <c r="G702" s="141" t="s">
        <v>4332</v>
      </c>
      <c r="H702" s="142" t="s">
        <v>6269</v>
      </c>
      <c r="I702" s="142" t="s">
        <v>198</v>
      </c>
      <c r="J702" s="145"/>
      <c r="K702" s="319" t="s">
        <v>191</v>
      </c>
      <c r="L702" s="331">
        <v>4</v>
      </c>
      <c r="M702" s="331">
        <v>4</v>
      </c>
      <c r="N702" s="322" t="s">
        <v>14</v>
      </c>
      <c r="O702" s="151">
        <v>5</v>
      </c>
      <c r="P702" s="151" t="s">
        <v>199</v>
      </c>
    </row>
    <row r="703" spans="1:16">
      <c r="A703" s="142" t="s">
        <v>6270</v>
      </c>
      <c r="B703" s="145" t="s">
        <v>6271</v>
      </c>
      <c r="C703" s="142"/>
      <c r="D703" s="142"/>
      <c r="E703" s="319" t="s">
        <v>242</v>
      </c>
      <c r="F703" s="319"/>
      <c r="G703" s="141" t="s">
        <v>4332</v>
      </c>
      <c r="H703" s="142" t="s">
        <v>6272</v>
      </c>
      <c r="I703" s="142" t="s">
        <v>198</v>
      </c>
      <c r="J703" s="145"/>
      <c r="K703" s="319" t="s">
        <v>191</v>
      </c>
      <c r="L703" s="331">
        <v>4</v>
      </c>
      <c r="M703" s="331">
        <v>4</v>
      </c>
      <c r="N703" s="322" t="s">
        <v>14</v>
      </c>
      <c r="O703" s="151">
        <v>5</v>
      </c>
      <c r="P703" s="151" t="s">
        <v>199</v>
      </c>
    </row>
    <row r="704" spans="1:16">
      <c r="A704" s="142" t="s">
        <v>6273</v>
      </c>
      <c r="B704" s="145" t="s">
        <v>6274</v>
      </c>
      <c r="C704" s="142"/>
      <c r="D704" s="142"/>
      <c r="E704" s="319" t="s">
        <v>242</v>
      </c>
      <c r="F704" s="319"/>
      <c r="G704" s="141" t="s">
        <v>4332</v>
      </c>
      <c r="H704" s="142" t="s">
        <v>5289</v>
      </c>
      <c r="I704" s="142"/>
      <c r="J704" s="145"/>
      <c r="K704" s="319" t="s">
        <v>191</v>
      </c>
      <c r="L704" s="331">
        <v>4</v>
      </c>
      <c r="M704" s="331">
        <v>4</v>
      </c>
      <c r="N704" s="322" t="s">
        <v>14</v>
      </c>
      <c r="O704" s="151">
        <v>5</v>
      </c>
      <c r="P704" s="151" t="s">
        <v>199</v>
      </c>
    </row>
    <row r="705" spans="1:16">
      <c r="A705" s="142" t="s">
        <v>6275</v>
      </c>
      <c r="B705" s="145" t="s">
        <v>6276</v>
      </c>
      <c r="C705" s="142"/>
      <c r="D705" s="142"/>
      <c r="E705" s="319" t="s">
        <v>242</v>
      </c>
      <c r="F705" s="319"/>
      <c r="G705" s="141" t="s">
        <v>4332</v>
      </c>
      <c r="H705" s="142" t="s">
        <v>5292</v>
      </c>
      <c r="I705" s="142"/>
      <c r="J705" s="145"/>
      <c r="K705" s="319" t="s">
        <v>191</v>
      </c>
      <c r="L705" s="331">
        <v>4</v>
      </c>
      <c r="M705" s="331">
        <v>4</v>
      </c>
      <c r="N705" s="322" t="s">
        <v>14</v>
      </c>
      <c r="O705" s="151">
        <v>5</v>
      </c>
      <c r="P705" s="151" t="s">
        <v>199</v>
      </c>
    </row>
    <row r="706" spans="1:16">
      <c r="A706" s="142" t="s">
        <v>6277</v>
      </c>
      <c r="B706" s="145" t="s">
        <v>6278</v>
      </c>
      <c r="C706" s="142"/>
      <c r="D706" s="142"/>
      <c r="E706" s="319" t="s">
        <v>242</v>
      </c>
      <c r="F706" s="319"/>
      <c r="G706" s="141" t="s">
        <v>4332</v>
      </c>
      <c r="H706" s="142" t="s">
        <v>5301</v>
      </c>
      <c r="I706" s="142" t="s">
        <v>198</v>
      </c>
      <c r="J706" s="145"/>
      <c r="K706" s="319" t="s">
        <v>191</v>
      </c>
      <c r="L706" s="331">
        <v>4</v>
      </c>
      <c r="M706" s="331">
        <v>4</v>
      </c>
      <c r="N706" s="322" t="s">
        <v>14</v>
      </c>
      <c r="O706" s="151">
        <v>5</v>
      </c>
      <c r="P706" s="151" t="s">
        <v>199</v>
      </c>
    </row>
    <row r="707" spans="1:16">
      <c r="A707" s="142" t="s">
        <v>6279</v>
      </c>
      <c r="B707" s="145" t="s">
        <v>6280</v>
      </c>
      <c r="C707" s="142"/>
      <c r="D707" s="142"/>
      <c r="E707" s="319" t="s">
        <v>242</v>
      </c>
      <c r="F707" s="319"/>
      <c r="G707" s="141" t="s">
        <v>4332</v>
      </c>
      <c r="H707" s="142" t="s">
        <v>5304</v>
      </c>
      <c r="I707" s="142" t="s">
        <v>198</v>
      </c>
      <c r="J707" s="145"/>
      <c r="K707" s="319" t="s">
        <v>191</v>
      </c>
      <c r="L707" s="331">
        <v>4</v>
      </c>
      <c r="M707" s="331">
        <v>4</v>
      </c>
      <c r="N707" s="322" t="s">
        <v>14</v>
      </c>
      <c r="O707" s="151">
        <v>5</v>
      </c>
      <c r="P707" s="151" t="s">
        <v>199</v>
      </c>
    </row>
    <row r="708" spans="1:16">
      <c r="A708" s="142" t="s">
        <v>6281</v>
      </c>
      <c r="B708" s="145" t="s">
        <v>6282</v>
      </c>
      <c r="C708" s="142"/>
      <c r="D708" s="142"/>
      <c r="E708" s="319" t="s">
        <v>242</v>
      </c>
      <c r="F708" s="319"/>
      <c r="G708" s="141" t="s">
        <v>4332</v>
      </c>
      <c r="H708" s="142" t="s">
        <v>5307</v>
      </c>
      <c r="I708" s="142" t="s">
        <v>198</v>
      </c>
      <c r="J708" s="145"/>
      <c r="K708" s="319" t="s">
        <v>191</v>
      </c>
      <c r="L708" s="331">
        <v>4</v>
      </c>
      <c r="M708" s="331">
        <v>4</v>
      </c>
      <c r="N708" s="322" t="s">
        <v>14</v>
      </c>
      <c r="O708" s="151">
        <v>5</v>
      </c>
      <c r="P708" s="151" t="s">
        <v>199</v>
      </c>
    </row>
    <row r="709" spans="1:16">
      <c r="A709" s="142" t="s">
        <v>6283</v>
      </c>
      <c r="B709" s="145" t="s">
        <v>6284</v>
      </c>
      <c r="C709" s="142"/>
      <c r="D709" s="142"/>
      <c r="E709" s="319" t="s">
        <v>242</v>
      </c>
      <c r="F709" s="319"/>
      <c r="G709" s="141" t="s">
        <v>4332</v>
      </c>
      <c r="H709" s="142" t="s">
        <v>5310</v>
      </c>
      <c r="I709" s="142" t="s">
        <v>198</v>
      </c>
      <c r="J709" s="145"/>
      <c r="K709" s="319" t="s">
        <v>191</v>
      </c>
      <c r="L709" s="331">
        <v>4</v>
      </c>
      <c r="M709" s="331">
        <v>4</v>
      </c>
      <c r="N709" s="322" t="s">
        <v>14</v>
      </c>
      <c r="O709" s="151">
        <v>5</v>
      </c>
      <c r="P709" s="151" t="s">
        <v>199</v>
      </c>
    </row>
    <row r="710" spans="1:16">
      <c r="A710" s="142" t="s">
        <v>6285</v>
      </c>
      <c r="B710" s="145" t="s">
        <v>6286</v>
      </c>
      <c r="C710" s="142"/>
      <c r="D710" s="142"/>
      <c r="E710" s="319" t="s">
        <v>242</v>
      </c>
      <c r="F710" s="319"/>
      <c r="G710" s="141" t="s">
        <v>4332</v>
      </c>
      <c r="H710" s="142" t="s">
        <v>5313</v>
      </c>
      <c r="I710" s="142" t="s">
        <v>198</v>
      </c>
      <c r="J710" s="145"/>
      <c r="K710" s="319" t="s">
        <v>191</v>
      </c>
      <c r="L710" s="331">
        <v>4</v>
      </c>
      <c r="M710" s="331">
        <v>4</v>
      </c>
      <c r="N710" s="322" t="s">
        <v>14</v>
      </c>
      <c r="O710" s="151">
        <v>5</v>
      </c>
      <c r="P710" s="151" t="s">
        <v>199</v>
      </c>
    </row>
    <row r="711" spans="1:16">
      <c r="A711" s="142" t="s">
        <v>6287</v>
      </c>
      <c r="B711" s="145" t="s">
        <v>6288</v>
      </c>
      <c r="C711" s="142"/>
      <c r="D711" s="142"/>
      <c r="E711" s="319" t="s">
        <v>242</v>
      </c>
      <c r="F711" s="319"/>
      <c r="G711" s="141" t="s">
        <v>4332</v>
      </c>
      <c r="H711" s="142" t="s">
        <v>5316</v>
      </c>
      <c r="I711" s="142" t="s">
        <v>198</v>
      </c>
      <c r="J711" s="145"/>
      <c r="K711" s="319" t="s">
        <v>191</v>
      </c>
      <c r="L711" s="331">
        <v>4</v>
      </c>
      <c r="M711" s="331">
        <v>4</v>
      </c>
      <c r="N711" s="322" t="s">
        <v>14</v>
      </c>
      <c r="O711" s="151">
        <v>5</v>
      </c>
      <c r="P711" s="151" t="s">
        <v>199</v>
      </c>
    </row>
    <row r="712" spans="1:16">
      <c r="A712" s="142" t="s">
        <v>6289</v>
      </c>
      <c r="B712" s="145" t="s">
        <v>6290</v>
      </c>
      <c r="C712" s="142"/>
      <c r="D712" s="142"/>
      <c r="E712" s="319" t="s">
        <v>242</v>
      </c>
      <c r="F712" s="319"/>
      <c r="G712" s="141" t="s">
        <v>4332</v>
      </c>
      <c r="H712" s="142" t="s">
        <v>5319</v>
      </c>
      <c r="I712" s="142" t="s">
        <v>198</v>
      </c>
      <c r="J712" s="145"/>
      <c r="K712" s="319" t="s">
        <v>191</v>
      </c>
      <c r="L712" s="331">
        <v>4</v>
      </c>
      <c r="M712" s="331">
        <v>4</v>
      </c>
      <c r="N712" s="322" t="s">
        <v>14</v>
      </c>
      <c r="O712" s="151">
        <v>5</v>
      </c>
      <c r="P712" s="151" t="s">
        <v>199</v>
      </c>
    </row>
    <row r="713" spans="1:16">
      <c r="A713" s="142" t="s">
        <v>6291</v>
      </c>
      <c r="B713" s="145" t="s">
        <v>6292</v>
      </c>
      <c r="C713" s="142"/>
      <c r="D713" s="142"/>
      <c r="E713" s="319" t="s">
        <v>242</v>
      </c>
      <c r="F713" s="319"/>
      <c r="G713" s="141" t="s">
        <v>4332</v>
      </c>
      <c r="H713" s="142" t="s">
        <v>5322</v>
      </c>
      <c r="I713" s="142" t="s">
        <v>198</v>
      </c>
      <c r="J713" s="145"/>
      <c r="K713" s="319" t="s">
        <v>191</v>
      </c>
      <c r="L713" s="331">
        <v>4</v>
      </c>
      <c r="M713" s="331">
        <v>4</v>
      </c>
      <c r="N713" s="322" t="s">
        <v>14</v>
      </c>
      <c r="O713" s="151">
        <v>5</v>
      </c>
      <c r="P713" s="151" t="s">
        <v>199</v>
      </c>
    </row>
    <row r="714" spans="1:16">
      <c r="A714" s="142" t="s">
        <v>6293</v>
      </c>
      <c r="B714" s="145" t="s">
        <v>6294</v>
      </c>
      <c r="C714" s="142"/>
      <c r="D714" s="142"/>
      <c r="E714" s="319" t="s">
        <v>242</v>
      </c>
      <c r="F714" s="319"/>
      <c r="G714" s="141" t="s">
        <v>4332</v>
      </c>
      <c r="H714" s="142" t="s">
        <v>5325</v>
      </c>
      <c r="I714" s="142" t="s">
        <v>198</v>
      </c>
      <c r="J714" s="145"/>
      <c r="K714" s="319" t="s">
        <v>191</v>
      </c>
      <c r="L714" s="331">
        <v>4</v>
      </c>
      <c r="M714" s="331">
        <v>4</v>
      </c>
      <c r="N714" s="322" t="s">
        <v>14</v>
      </c>
      <c r="O714" s="151">
        <v>5</v>
      </c>
      <c r="P714" s="151" t="s">
        <v>199</v>
      </c>
    </row>
    <row r="715" spans="1:16">
      <c r="A715" s="142" t="s">
        <v>6295</v>
      </c>
      <c r="B715" s="145" t="s">
        <v>6296</v>
      </c>
      <c r="C715" s="142"/>
      <c r="D715" s="142"/>
      <c r="E715" s="319" t="s">
        <v>242</v>
      </c>
      <c r="F715" s="319"/>
      <c r="G715" s="141" t="s">
        <v>4332</v>
      </c>
      <c r="H715" s="142" t="s">
        <v>5328</v>
      </c>
      <c r="I715" s="142" t="s">
        <v>198</v>
      </c>
      <c r="J715" s="145"/>
      <c r="K715" s="319" t="s">
        <v>191</v>
      </c>
      <c r="L715" s="331">
        <v>4</v>
      </c>
      <c r="M715" s="331">
        <v>4</v>
      </c>
      <c r="N715" s="322" t="s">
        <v>14</v>
      </c>
      <c r="O715" s="151">
        <v>5</v>
      </c>
      <c r="P715" s="151" t="s">
        <v>199</v>
      </c>
    </row>
    <row r="716" spans="1:16">
      <c r="A716" s="142" t="s">
        <v>6297</v>
      </c>
      <c r="B716" s="145" t="s">
        <v>6298</v>
      </c>
      <c r="C716" s="142"/>
      <c r="D716" s="142"/>
      <c r="E716" s="319" t="s">
        <v>242</v>
      </c>
      <c r="F716" s="319"/>
      <c r="G716" s="141" t="s">
        <v>4332</v>
      </c>
      <c r="H716" s="142" t="s">
        <v>5331</v>
      </c>
      <c r="I716" s="142" t="s">
        <v>204</v>
      </c>
      <c r="J716" s="145" t="s">
        <v>5332</v>
      </c>
      <c r="K716" s="319" t="s">
        <v>191</v>
      </c>
      <c r="L716" s="331">
        <v>4</v>
      </c>
      <c r="M716" s="331">
        <v>4</v>
      </c>
      <c r="N716" s="322" t="s">
        <v>14</v>
      </c>
      <c r="O716" s="151">
        <v>5</v>
      </c>
      <c r="P716" s="151" t="s">
        <v>199</v>
      </c>
    </row>
    <row r="717" spans="1:16" ht="22.5">
      <c r="A717" s="142" t="s">
        <v>6299</v>
      </c>
      <c r="B717" s="145" t="s">
        <v>6300</v>
      </c>
      <c r="C717" s="142"/>
      <c r="D717" s="142"/>
      <c r="E717" s="319" t="s">
        <v>242</v>
      </c>
      <c r="F717" s="319"/>
      <c r="G717" s="141" t="s">
        <v>4332</v>
      </c>
      <c r="H717" s="142" t="s">
        <v>5335</v>
      </c>
      <c r="I717" s="142" t="s">
        <v>188</v>
      </c>
      <c r="J717" s="145" t="s">
        <v>1453</v>
      </c>
      <c r="K717" s="319" t="s">
        <v>191</v>
      </c>
      <c r="L717" s="331">
        <v>4</v>
      </c>
      <c r="M717" s="331">
        <v>4</v>
      </c>
      <c r="N717" s="322" t="s">
        <v>14</v>
      </c>
      <c r="O717" s="151">
        <v>5</v>
      </c>
      <c r="P717" s="151" t="s">
        <v>199</v>
      </c>
    </row>
    <row r="718" spans="1:16" ht="22.5">
      <c r="A718" s="142" t="s">
        <v>6301</v>
      </c>
      <c r="B718" s="145" t="s">
        <v>6302</v>
      </c>
      <c r="C718" s="142"/>
      <c r="D718" s="142"/>
      <c r="E718" s="319" t="s">
        <v>242</v>
      </c>
      <c r="F718" s="319"/>
      <c r="G718" s="141" t="s">
        <v>4332</v>
      </c>
      <c r="H718" s="142" t="s">
        <v>5338</v>
      </c>
      <c r="I718" s="142" t="s">
        <v>188</v>
      </c>
      <c r="J718" s="145" t="s">
        <v>1453</v>
      </c>
      <c r="K718" s="319" t="s">
        <v>191</v>
      </c>
      <c r="L718" s="331">
        <v>4</v>
      </c>
      <c r="M718" s="331">
        <v>4</v>
      </c>
      <c r="N718" s="322" t="s">
        <v>14</v>
      </c>
      <c r="O718" s="151">
        <v>5</v>
      </c>
      <c r="P718" s="151" t="s">
        <v>199</v>
      </c>
    </row>
    <row r="719" spans="1:16" ht="22.5">
      <c r="A719" s="142" t="s">
        <v>6303</v>
      </c>
      <c r="B719" s="145" t="s">
        <v>6304</v>
      </c>
      <c r="C719" s="142"/>
      <c r="D719" s="142"/>
      <c r="E719" s="319" t="s">
        <v>242</v>
      </c>
      <c r="F719" s="319"/>
      <c r="G719" s="141" t="s">
        <v>4332</v>
      </c>
      <c r="H719" s="142" t="s">
        <v>5341</v>
      </c>
      <c r="I719" s="142" t="s">
        <v>188</v>
      </c>
      <c r="J719" s="145" t="s">
        <v>1453</v>
      </c>
      <c r="K719" s="319" t="s">
        <v>191</v>
      </c>
      <c r="L719" s="331">
        <v>4</v>
      </c>
      <c r="M719" s="331">
        <v>4</v>
      </c>
      <c r="N719" s="322" t="s">
        <v>14</v>
      </c>
      <c r="O719" s="151">
        <v>5</v>
      </c>
      <c r="P719" s="151" t="s">
        <v>199</v>
      </c>
    </row>
    <row r="720" spans="1:16">
      <c r="A720" s="142" t="s">
        <v>6305</v>
      </c>
      <c r="B720" s="145" t="s">
        <v>6306</v>
      </c>
      <c r="C720" s="142"/>
      <c r="D720" s="142"/>
      <c r="E720" s="319" t="s">
        <v>242</v>
      </c>
      <c r="F720" s="319"/>
      <c r="G720" s="141" t="s">
        <v>4332</v>
      </c>
      <c r="H720" s="142" t="s">
        <v>6307</v>
      </c>
      <c r="I720" s="142" t="s">
        <v>198</v>
      </c>
      <c r="J720" s="145"/>
      <c r="K720" s="319" t="s">
        <v>191</v>
      </c>
      <c r="L720" s="331">
        <v>4</v>
      </c>
      <c r="M720" s="331">
        <v>4</v>
      </c>
      <c r="N720" s="322" t="s">
        <v>14</v>
      </c>
      <c r="O720" s="151">
        <v>5</v>
      </c>
      <c r="P720" s="151" t="s">
        <v>199</v>
      </c>
    </row>
    <row r="721" spans="1:16" ht="22.5">
      <c r="A721" s="142" t="s">
        <v>6308</v>
      </c>
      <c r="B721" s="145" t="s">
        <v>6309</v>
      </c>
      <c r="C721" s="142"/>
      <c r="D721" s="142"/>
      <c r="E721" s="319" t="s">
        <v>242</v>
      </c>
      <c r="F721" s="319"/>
      <c r="G721" s="141" t="s">
        <v>4332</v>
      </c>
      <c r="H721" s="142" t="s">
        <v>6310</v>
      </c>
      <c r="I721" s="142" t="s">
        <v>204</v>
      </c>
      <c r="J721" s="145"/>
      <c r="K721" s="319" t="s">
        <v>191</v>
      </c>
      <c r="L721" s="331">
        <v>4</v>
      </c>
      <c r="M721" s="331">
        <v>4</v>
      </c>
      <c r="N721" s="322" t="s">
        <v>14</v>
      </c>
      <c r="O721" s="151">
        <v>5</v>
      </c>
      <c r="P721" s="151" t="s">
        <v>199</v>
      </c>
    </row>
    <row r="722" spans="1:16" ht="67.5">
      <c r="A722" s="142" t="s">
        <v>6311</v>
      </c>
      <c r="B722" s="142" t="s">
        <v>6312</v>
      </c>
      <c r="C722" s="142"/>
      <c r="D722" s="142"/>
      <c r="E722" s="319" t="s">
        <v>242</v>
      </c>
      <c r="F722" s="319"/>
      <c r="G722" s="141" t="s">
        <v>4332</v>
      </c>
      <c r="H722" s="145" t="s">
        <v>5344</v>
      </c>
      <c r="I722" s="334" t="s">
        <v>204</v>
      </c>
      <c r="J722" s="145" t="s">
        <v>6313</v>
      </c>
      <c r="K722" s="319" t="s">
        <v>191</v>
      </c>
      <c r="L722" s="331">
        <v>4</v>
      </c>
      <c r="M722" s="331">
        <v>4</v>
      </c>
      <c r="N722" s="322" t="s">
        <v>14</v>
      </c>
      <c r="O722" s="151">
        <v>5</v>
      </c>
      <c r="P722" s="151" t="s">
        <v>199</v>
      </c>
    </row>
    <row r="723" spans="1:16" ht="22.5">
      <c r="A723" s="142" t="s">
        <v>6314</v>
      </c>
      <c r="B723" s="142" t="s">
        <v>6315</v>
      </c>
      <c r="C723" s="142"/>
      <c r="D723" s="142"/>
      <c r="E723" s="319" t="s">
        <v>242</v>
      </c>
      <c r="F723" s="319"/>
      <c r="G723" s="141" t="s">
        <v>4332</v>
      </c>
      <c r="H723" s="335" t="s">
        <v>5348</v>
      </c>
      <c r="I723" s="227" t="s">
        <v>204</v>
      </c>
      <c r="J723" s="336" t="s">
        <v>6316</v>
      </c>
      <c r="K723" s="319" t="s">
        <v>191</v>
      </c>
      <c r="L723" s="331">
        <v>4</v>
      </c>
      <c r="M723" s="331">
        <v>4</v>
      </c>
      <c r="N723" s="322" t="s">
        <v>14</v>
      </c>
      <c r="O723" s="151">
        <v>5</v>
      </c>
      <c r="P723" s="151" t="s">
        <v>199</v>
      </c>
    </row>
    <row r="724" spans="1:16" ht="22.5">
      <c r="A724" s="142" t="s">
        <v>6317</v>
      </c>
      <c r="B724" s="142" t="s">
        <v>6318</v>
      </c>
      <c r="C724" s="142"/>
      <c r="D724" s="142"/>
      <c r="E724" s="319" t="s">
        <v>242</v>
      </c>
      <c r="F724" s="319"/>
      <c r="G724" s="141" t="s">
        <v>4332</v>
      </c>
      <c r="H724" s="155" t="s">
        <v>5352</v>
      </c>
      <c r="I724" s="227" t="s">
        <v>204</v>
      </c>
      <c r="J724" s="336" t="s">
        <v>6316</v>
      </c>
      <c r="K724" s="319" t="s">
        <v>191</v>
      </c>
      <c r="L724" s="331">
        <v>4</v>
      </c>
      <c r="M724" s="331">
        <v>4</v>
      </c>
      <c r="N724" s="322" t="s">
        <v>14</v>
      </c>
      <c r="O724" s="151">
        <v>5</v>
      </c>
      <c r="P724" s="151" t="s">
        <v>199</v>
      </c>
    </row>
    <row r="725" spans="1:16" ht="22.5">
      <c r="A725" s="142" t="s">
        <v>6319</v>
      </c>
      <c r="B725" s="142" t="s">
        <v>6320</v>
      </c>
      <c r="C725" s="142"/>
      <c r="D725" s="142"/>
      <c r="E725" s="319" t="s">
        <v>242</v>
      </c>
      <c r="F725" s="319"/>
      <c r="G725" s="141" t="s">
        <v>4332</v>
      </c>
      <c r="H725" s="155" t="s">
        <v>5355</v>
      </c>
      <c r="I725" s="227" t="s">
        <v>204</v>
      </c>
      <c r="J725" s="336" t="s">
        <v>6316</v>
      </c>
      <c r="K725" s="319" t="s">
        <v>191</v>
      </c>
      <c r="L725" s="331">
        <v>4</v>
      </c>
      <c r="M725" s="331">
        <v>4</v>
      </c>
      <c r="N725" s="322" t="s">
        <v>14</v>
      </c>
      <c r="O725" s="151">
        <v>5</v>
      </c>
      <c r="P725" s="151" t="s">
        <v>199</v>
      </c>
    </row>
    <row r="726" spans="1:16" ht="22.5">
      <c r="A726" s="142" t="s">
        <v>6321</v>
      </c>
      <c r="B726" s="142" t="s">
        <v>6322</v>
      </c>
      <c r="C726" s="142"/>
      <c r="D726" s="142"/>
      <c r="E726" s="319" t="s">
        <v>242</v>
      </c>
      <c r="F726" s="319"/>
      <c r="G726" s="141" t="s">
        <v>4332</v>
      </c>
      <c r="H726" s="155" t="s">
        <v>5358</v>
      </c>
      <c r="I726" s="227" t="s">
        <v>204</v>
      </c>
      <c r="J726" s="336" t="s">
        <v>6316</v>
      </c>
      <c r="K726" s="319" t="s">
        <v>191</v>
      </c>
      <c r="L726" s="331">
        <v>4</v>
      </c>
      <c r="M726" s="331">
        <v>4</v>
      </c>
      <c r="N726" s="322" t="s">
        <v>14</v>
      </c>
      <c r="O726" s="151">
        <v>5</v>
      </c>
      <c r="P726" s="151" t="s">
        <v>199</v>
      </c>
    </row>
    <row r="727" spans="1:16" ht="22.5">
      <c r="A727" s="142" t="s">
        <v>6323</v>
      </c>
      <c r="B727" s="142" t="s">
        <v>6324</v>
      </c>
      <c r="C727" s="142"/>
      <c r="D727" s="142"/>
      <c r="E727" s="319" t="s">
        <v>242</v>
      </c>
      <c r="F727" s="319"/>
      <c r="G727" s="141" t="s">
        <v>4332</v>
      </c>
      <c r="H727" s="155" t="s">
        <v>5361</v>
      </c>
      <c r="I727" s="227" t="s">
        <v>204</v>
      </c>
      <c r="J727" s="336" t="s">
        <v>6316</v>
      </c>
      <c r="K727" s="319" t="s">
        <v>191</v>
      </c>
      <c r="L727" s="331">
        <v>4</v>
      </c>
      <c r="M727" s="331">
        <v>4</v>
      </c>
      <c r="N727" s="322" t="s">
        <v>14</v>
      </c>
      <c r="O727" s="151">
        <v>5</v>
      </c>
      <c r="P727" s="151" t="s">
        <v>199</v>
      </c>
    </row>
    <row r="728" spans="1:16" ht="22.5">
      <c r="A728" s="142" t="s">
        <v>6325</v>
      </c>
      <c r="B728" s="142" t="s">
        <v>6326</v>
      </c>
      <c r="C728" s="142"/>
      <c r="D728" s="142"/>
      <c r="E728" s="319" t="s">
        <v>242</v>
      </c>
      <c r="F728" s="319"/>
      <c r="G728" s="141" t="s">
        <v>4332</v>
      </c>
      <c r="H728" s="175" t="s">
        <v>5364</v>
      </c>
      <c r="I728" s="227" t="s">
        <v>204</v>
      </c>
      <c r="J728" s="336" t="s">
        <v>6316</v>
      </c>
      <c r="K728" s="319" t="s">
        <v>191</v>
      </c>
      <c r="L728" s="331">
        <v>4</v>
      </c>
      <c r="M728" s="331">
        <v>4</v>
      </c>
      <c r="N728" s="322" t="s">
        <v>14</v>
      </c>
      <c r="O728" s="151">
        <v>5</v>
      </c>
      <c r="P728" s="151" t="s">
        <v>199</v>
      </c>
    </row>
    <row r="729" spans="1:16" ht="22.5">
      <c r="A729" s="142" t="s">
        <v>6327</v>
      </c>
      <c r="B729" s="142" t="s">
        <v>6328</v>
      </c>
      <c r="C729" s="142"/>
      <c r="D729" s="142"/>
      <c r="E729" s="319" t="s">
        <v>242</v>
      </c>
      <c r="F729" s="319"/>
      <c r="G729" s="141" t="s">
        <v>4332</v>
      </c>
      <c r="H729" s="155" t="s">
        <v>5367</v>
      </c>
      <c r="I729" s="227" t="s">
        <v>204</v>
      </c>
      <c r="J729" s="336" t="s">
        <v>6316</v>
      </c>
      <c r="K729" s="319" t="s">
        <v>191</v>
      </c>
      <c r="L729" s="331">
        <v>4</v>
      </c>
      <c r="M729" s="331">
        <v>4</v>
      </c>
      <c r="N729" s="322" t="s">
        <v>14</v>
      </c>
      <c r="O729" s="151">
        <v>5</v>
      </c>
      <c r="P729" s="151" t="s">
        <v>199</v>
      </c>
    </row>
    <row r="730" spans="1:16" ht="22.5">
      <c r="A730" s="142" t="s">
        <v>6329</v>
      </c>
      <c r="B730" s="142" t="s">
        <v>6330</v>
      </c>
      <c r="C730" s="142"/>
      <c r="D730" s="142"/>
      <c r="E730" s="319" t="s">
        <v>242</v>
      </c>
      <c r="F730" s="319"/>
      <c r="G730" s="141" t="s">
        <v>4332</v>
      </c>
      <c r="H730" s="155" t="s">
        <v>5370</v>
      </c>
      <c r="I730" s="227" t="s">
        <v>204</v>
      </c>
      <c r="J730" s="336" t="s">
        <v>6316</v>
      </c>
      <c r="K730" s="319" t="s">
        <v>191</v>
      </c>
      <c r="L730" s="331">
        <v>4</v>
      </c>
      <c r="M730" s="331">
        <v>4</v>
      </c>
      <c r="N730" s="322" t="s">
        <v>14</v>
      </c>
      <c r="O730" s="151">
        <v>5</v>
      </c>
      <c r="P730" s="151" t="s">
        <v>199</v>
      </c>
    </row>
    <row r="731" spans="1:16" ht="22.5">
      <c r="A731" s="142" t="s">
        <v>6331</v>
      </c>
      <c r="B731" s="142" t="s">
        <v>6332</v>
      </c>
      <c r="C731" s="142"/>
      <c r="D731" s="142"/>
      <c r="E731" s="319" t="s">
        <v>242</v>
      </c>
      <c r="F731" s="319"/>
      <c r="G731" s="141" t="s">
        <v>4332</v>
      </c>
      <c r="H731" s="155" t="s">
        <v>5373</v>
      </c>
      <c r="I731" s="227" t="s">
        <v>204</v>
      </c>
      <c r="J731" s="336" t="s">
        <v>6316</v>
      </c>
      <c r="K731" s="319" t="s">
        <v>191</v>
      </c>
      <c r="L731" s="331">
        <v>4</v>
      </c>
      <c r="M731" s="331">
        <v>4</v>
      </c>
      <c r="N731" s="322" t="s">
        <v>14</v>
      </c>
      <c r="O731" s="151">
        <v>5</v>
      </c>
      <c r="P731" s="151" t="s">
        <v>199</v>
      </c>
    </row>
    <row r="732" spans="1:16" ht="22.5">
      <c r="A732" s="142" t="s">
        <v>6333</v>
      </c>
      <c r="B732" s="142" t="s">
        <v>6334</v>
      </c>
      <c r="C732" s="142"/>
      <c r="D732" s="142"/>
      <c r="E732" s="319" t="s">
        <v>242</v>
      </c>
      <c r="F732" s="319"/>
      <c r="G732" s="141" t="s">
        <v>4332</v>
      </c>
      <c r="H732" s="155" t="s">
        <v>5376</v>
      </c>
      <c r="I732" s="227" t="s">
        <v>204</v>
      </c>
      <c r="J732" s="336" t="s">
        <v>6316</v>
      </c>
      <c r="K732" s="319" t="s">
        <v>191</v>
      </c>
      <c r="L732" s="331">
        <v>4</v>
      </c>
      <c r="M732" s="331">
        <v>4</v>
      </c>
      <c r="N732" s="322" t="s">
        <v>14</v>
      </c>
      <c r="O732" s="151">
        <v>5</v>
      </c>
      <c r="P732" s="151" t="s">
        <v>199</v>
      </c>
    </row>
    <row r="733" spans="1:16" ht="22.5">
      <c r="A733" s="142" t="s">
        <v>6335</v>
      </c>
      <c r="B733" s="142" t="s">
        <v>6336</v>
      </c>
      <c r="C733" s="142"/>
      <c r="D733" s="142"/>
      <c r="E733" s="319" t="s">
        <v>242</v>
      </c>
      <c r="F733" s="319"/>
      <c r="G733" s="141" t="s">
        <v>4332</v>
      </c>
      <c r="H733" s="155" t="s">
        <v>5379</v>
      </c>
      <c r="I733" s="227" t="s">
        <v>204</v>
      </c>
      <c r="J733" s="336" t="s">
        <v>6316</v>
      </c>
      <c r="K733" s="319" t="s">
        <v>191</v>
      </c>
      <c r="L733" s="331">
        <v>4</v>
      </c>
      <c r="M733" s="331">
        <v>4</v>
      </c>
      <c r="N733" s="322" t="s">
        <v>14</v>
      </c>
      <c r="O733" s="151">
        <v>5</v>
      </c>
      <c r="P733" s="151" t="s">
        <v>199</v>
      </c>
    </row>
    <row r="734" spans="1:16" ht="22.5">
      <c r="A734" s="142" t="s">
        <v>6337</v>
      </c>
      <c r="B734" s="142" t="s">
        <v>6338</v>
      </c>
      <c r="C734" s="142"/>
      <c r="D734" s="142"/>
      <c r="E734" s="319" t="s">
        <v>242</v>
      </c>
      <c r="F734" s="319"/>
      <c r="G734" s="141" t="s">
        <v>4332</v>
      </c>
      <c r="H734" s="155" t="s">
        <v>5382</v>
      </c>
      <c r="I734" s="227" t="s">
        <v>204</v>
      </c>
      <c r="J734" s="336" t="s">
        <v>6316</v>
      </c>
      <c r="K734" s="319" t="s">
        <v>191</v>
      </c>
      <c r="L734" s="331">
        <v>4</v>
      </c>
      <c r="M734" s="331">
        <v>4</v>
      </c>
      <c r="N734" s="322" t="s">
        <v>14</v>
      </c>
      <c r="O734" s="151">
        <v>5</v>
      </c>
      <c r="P734" s="151" t="s">
        <v>199</v>
      </c>
    </row>
    <row r="735" spans="1:16" ht="22.5">
      <c r="A735" s="142" t="s">
        <v>6339</v>
      </c>
      <c r="B735" s="142" t="s">
        <v>6340</v>
      </c>
      <c r="C735" s="142"/>
      <c r="D735" s="142"/>
      <c r="E735" s="319" t="s">
        <v>242</v>
      </c>
      <c r="F735" s="319"/>
      <c r="G735" s="141" t="s">
        <v>4332</v>
      </c>
      <c r="H735" s="155" t="s">
        <v>5385</v>
      </c>
      <c r="I735" s="227" t="s">
        <v>204</v>
      </c>
      <c r="J735" s="336" t="s">
        <v>6316</v>
      </c>
      <c r="K735" s="319" t="s">
        <v>191</v>
      </c>
      <c r="L735" s="331">
        <v>4</v>
      </c>
      <c r="M735" s="331">
        <v>4</v>
      </c>
      <c r="N735" s="322" t="s">
        <v>14</v>
      </c>
      <c r="O735" s="151">
        <v>5</v>
      </c>
      <c r="P735" s="151" t="s">
        <v>199</v>
      </c>
    </row>
    <row r="736" spans="1:16" ht="45">
      <c r="A736" s="142" t="s">
        <v>6341</v>
      </c>
      <c r="B736" s="142" t="s">
        <v>6342</v>
      </c>
      <c r="C736" s="142"/>
      <c r="D736" s="142"/>
      <c r="E736" s="319" t="s">
        <v>242</v>
      </c>
      <c r="F736" s="319"/>
      <c r="G736" s="141" t="s">
        <v>4332</v>
      </c>
      <c r="H736" s="155" t="s">
        <v>5388</v>
      </c>
      <c r="I736" s="227" t="s">
        <v>204</v>
      </c>
      <c r="J736" s="336" t="s">
        <v>6343</v>
      </c>
      <c r="K736" s="319" t="s">
        <v>191</v>
      </c>
      <c r="L736" s="331">
        <v>4</v>
      </c>
      <c r="M736" s="331">
        <v>4</v>
      </c>
      <c r="N736" s="322" t="s">
        <v>14</v>
      </c>
      <c r="O736" s="151">
        <v>5</v>
      </c>
      <c r="P736" s="151" t="s">
        <v>199</v>
      </c>
    </row>
    <row r="737" spans="1:16" ht="22.5">
      <c r="A737" s="142" t="s">
        <v>6344</v>
      </c>
      <c r="B737" s="142" t="s">
        <v>6345</v>
      </c>
      <c r="C737" s="142"/>
      <c r="D737" s="142"/>
      <c r="E737" s="319" t="s">
        <v>242</v>
      </c>
      <c r="F737" s="319"/>
      <c r="G737" s="141" t="s">
        <v>4332</v>
      </c>
      <c r="H737" s="155" t="s">
        <v>5391</v>
      </c>
      <c r="I737" s="227" t="s">
        <v>204</v>
      </c>
      <c r="J737" s="336" t="s">
        <v>6316</v>
      </c>
      <c r="K737" s="319" t="s">
        <v>191</v>
      </c>
      <c r="L737" s="331">
        <v>4</v>
      </c>
      <c r="M737" s="331">
        <v>4</v>
      </c>
      <c r="N737" s="322" t="s">
        <v>14</v>
      </c>
      <c r="O737" s="151">
        <v>5</v>
      </c>
      <c r="P737" s="151" t="s">
        <v>199</v>
      </c>
    </row>
    <row r="738" spans="1:16" ht="22.5">
      <c r="A738" s="142" t="s">
        <v>6346</v>
      </c>
      <c r="B738" s="142" t="s">
        <v>6347</v>
      </c>
      <c r="C738" s="142"/>
      <c r="D738" s="142"/>
      <c r="E738" s="319" t="s">
        <v>242</v>
      </c>
      <c r="F738" s="319"/>
      <c r="G738" s="141" t="s">
        <v>4332</v>
      </c>
      <c r="H738" s="155" t="s">
        <v>5394</v>
      </c>
      <c r="I738" s="227" t="s">
        <v>204</v>
      </c>
      <c r="J738" s="336" t="s">
        <v>6316</v>
      </c>
      <c r="K738" s="319" t="s">
        <v>191</v>
      </c>
      <c r="L738" s="331">
        <v>4</v>
      </c>
      <c r="M738" s="331">
        <v>4</v>
      </c>
      <c r="N738" s="322" t="s">
        <v>14</v>
      </c>
      <c r="O738" s="151">
        <v>5</v>
      </c>
      <c r="P738" s="151" t="s">
        <v>199</v>
      </c>
    </row>
    <row r="739" spans="1:16" ht="22.5">
      <c r="A739" s="142" t="s">
        <v>6348</v>
      </c>
      <c r="B739" s="142" t="s">
        <v>6349</v>
      </c>
      <c r="C739" s="142"/>
      <c r="D739" s="142"/>
      <c r="E739" s="319" t="s">
        <v>242</v>
      </c>
      <c r="F739" s="319"/>
      <c r="G739" s="141" t="s">
        <v>4332</v>
      </c>
      <c r="H739" s="155" t="s">
        <v>5397</v>
      </c>
      <c r="I739" s="227" t="s">
        <v>204</v>
      </c>
      <c r="J739" s="336" t="s">
        <v>6316</v>
      </c>
      <c r="K739" s="319" t="s">
        <v>191</v>
      </c>
      <c r="L739" s="331">
        <v>4</v>
      </c>
      <c r="M739" s="331">
        <v>4</v>
      </c>
      <c r="N739" s="322" t="s">
        <v>14</v>
      </c>
      <c r="O739" s="151">
        <v>5</v>
      </c>
      <c r="P739" s="151" t="s">
        <v>199</v>
      </c>
    </row>
    <row r="740" spans="1:16" ht="22.5">
      <c r="A740" s="142" t="s">
        <v>6350</v>
      </c>
      <c r="B740" s="142" t="s">
        <v>6351</v>
      </c>
      <c r="C740" s="142"/>
      <c r="D740" s="142"/>
      <c r="E740" s="319" t="s">
        <v>242</v>
      </c>
      <c r="F740" s="319"/>
      <c r="G740" s="141" t="s">
        <v>4332</v>
      </c>
      <c r="H740" s="155" t="s">
        <v>5400</v>
      </c>
      <c r="I740" s="227" t="s">
        <v>204</v>
      </c>
      <c r="J740" s="336" t="s">
        <v>6316</v>
      </c>
      <c r="K740" s="319" t="s">
        <v>191</v>
      </c>
      <c r="L740" s="331">
        <v>4</v>
      </c>
      <c r="M740" s="331">
        <v>4</v>
      </c>
      <c r="N740" s="322" t="s">
        <v>14</v>
      </c>
      <c r="O740" s="151">
        <v>5</v>
      </c>
      <c r="P740" s="151" t="s">
        <v>199</v>
      </c>
    </row>
    <row r="741" spans="1:16" ht="22.5">
      <c r="A741" s="142" t="s">
        <v>6352</v>
      </c>
      <c r="B741" s="142" t="s">
        <v>6353</v>
      </c>
      <c r="C741" s="142"/>
      <c r="D741" s="142"/>
      <c r="E741" s="319" t="s">
        <v>242</v>
      </c>
      <c r="F741" s="319"/>
      <c r="G741" s="141" t="s">
        <v>4332</v>
      </c>
      <c r="H741" s="155" t="s">
        <v>5403</v>
      </c>
      <c r="I741" s="227" t="s">
        <v>204</v>
      </c>
      <c r="J741" s="336" t="s">
        <v>6316</v>
      </c>
      <c r="K741" s="319" t="s">
        <v>191</v>
      </c>
      <c r="L741" s="331">
        <v>4</v>
      </c>
      <c r="M741" s="331">
        <v>4</v>
      </c>
      <c r="N741" s="322" t="s">
        <v>14</v>
      </c>
      <c r="O741" s="151">
        <v>5</v>
      </c>
      <c r="P741" s="151" t="s">
        <v>199</v>
      </c>
    </row>
    <row r="742" spans="1:16" ht="22.5">
      <c r="A742" s="142" t="s">
        <v>6354</v>
      </c>
      <c r="B742" s="142" t="s">
        <v>6355</v>
      </c>
      <c r="C742" s="142"/>
      <c r="D742" s="142"/>
      <c r="E742" s="319" t="s">
        <v>242</v>
      </c>
      <c r="F742" s="319"/>
      <c r="G742" s="141" t="s">
        <v>4332</v>
      </c>
      <c r="H742" s="155" t="s">
        <v>5406</v>
      </c>
      <c r="I742" s="227" t="s">
        <v>204</v>
      </c>
      <c r="J742" s="336" t="s">
        <v>6316</v>
      </c>
      <c r="K742" s="319" t="s">
        <v>191</v>
      </c>
      <c r="L742" s="331">
        <v>4</v>
      </c>
      <c r="M742" s="331">
        <v>4</v>
      </c>
      <c r="N742" s="322" t="s">
        <v>14</v>
      </c>
      <c r="O742" s="151">
        <v>5</v>
      </c>
      <c r="P742" s="151" t="s">
        <v>199</v>
      </c>
    </row>
    <row r="743" spans="1:16" ht="22.5">
      <c r="A743" s="142" t="s">
        <v>6356</v>
      </c>
      <c r="B743" s="142" t="s">
        <v>6357</v>
      </c>
      <c r="C743" s="142"/>
      <c r="D743" s="142"/>
      <c r="E743" s="319" t="s">
        <v>242</v>
      </c>
      <c r="F743" s="319"/>
      <c r="G743" s="141" t="s">
        <v>4332</v>
      </c>
      <c r="H743" s="155" t="s">
        <v>5409</v>
      </c>
      <c r="I743" s="227" t="s">
        <v>204</v>
      </c>
      <c r="J743" s="336" t="s">
        <v>6316</v>
      </c>
      <c r="K743" s="319" t="s">
        <v>191</v>
      </c>
      <c r="L743" s="331">
        <v>4</v>
      </c>
      <c r="M743" s="331">
        <v>4</v>
      </c>
      <c r="N743" s="322" t="s">
        <v>14</v>
      </c>
      <c r="O743" s="151">
        <v>5</v>
      </c>
      <c r="P743" s="151" t="s">
        <v>199</v>
      </c>
    </row>
    <row r="744" spans="1:16" ht="22.5">
      <c r="A744" s="142" t="s">
        <v>6358</v>
      </c>
      <c r="B744" s="142" t="s">
        <v>6359</v>
      </c>
      <c r="C744" s="142"/>
      <c r="D744" s="142"/>
      <c r="E744" s="319" t="s">
        <v>242</v>
      </c>
      <c r="F744" s="319"/>
      <c r="G744" s="141" t="s">
        <v>4332</v>
      </c>
      <c r="H744" s="155" t="s">
        <v>5415</v>
      </c>
      <c r="I744" s="227" t="s">
        <v>204</v>
      </c>
      <c r="J744" s="336" t="s">
        <v>6316</v>
      </c>
      <c r="K744" s="319" t="s">
        <v>191</v>
      </c>
      <c r="L744" s="331">
        <v>4</v>
      </c>
      <c r="M744" s="331">
        <v>4</v>
      </c>
      <c r="N744" s="322" t="s">
        <v>14</v>
      </c>
      <c r="O744" s="151">
        <v>5</v>
      </c>
      <c r="P744" s="151" t="s">
        <v>199</v>
      </c>
    </row>
    <row r="745" spans="1:16" ht="22.5">
      <c r="A745" s="142" t="s">
        <v>6360</v>
      </c>
      <c r="B745" s="142" t="s">
        <v>6361</v>
      </c>
      <c r="C745" s="142"/>
      <c r="D745" s="142"/>
      <c r="E745" s="319" t="s">
        <v>242</v>
      </c>
      <c r="F745" s="319"/>
      <c r="G745" s="141" t="s">
        <v>4332</v>
      </c>
      <c r="H745" s="155" t="s">
        <v>5418</v>
      </c>
      <c r="I745" s="227" t="s">
        <v>204</v>
      </c>
      <c r="J745" s="336" t="s">
        <v>6316</v>
      </c>
      <c r="K745" s="319" t="s">
        <v>191</v>
      </c>
      <c r="L745" s="331">
        <v>4</v>
      </c>
      <c r="M745" s="331">
        <v>4</v>
      </c>
      <c r="N745" s="322" t="s">
        <v>14</v>
      </c>
      <c r="O745" s="151">
        <v>5</v>
      </c>
      <c r="P745" s="151" t="s">
        <v>199</v>
      </c>
    </row>
    <row r="746" spans="1:16" ht="22.5">
      <c r="A746" s="142" t="s">
        <v>6362</v>
      </c>
      <c r="B746" s="142" t="s">
        <v>6363</v>
      </c>
      <c r="C746" s="142"/>
      <c r="D746" s="142"/>
      <c r="E746" s="319" t="s">
        <v>242</v>
      </c>
      <c r="F746" s="319"/>
      <c r="G746" s="141" t="s">
        <v>4332</v>
      </c>
      <c r="H746" s="155" t="s">
        <v>5421</v>
      </c>
      <c r="I746" s="227" t="s">
        <v>204</v>
      </c>
      <c r="J746" s="336" t="s">
        <v>6316</v>
      </c>
      <c r="K746" s="319" t="s">
        <v>191</v>
      </c>
      <c r="L746" s="331">
        <v>4</v>
      </c>
      <c r="M746" s="331">
        <v>4</v>
      </c>
      <c r="N746" s="322" t="s">
        <v>14</v>
      </c>
      <c r="O746" s="151">
        <v>5</v>
      </c>
      <c r="P746" s="151" t="s">
        <v>199</v>
      </c>
    </row>
    <row r="747" spans="1:16" ht="33.75">
      <c r="A747" s="142" t="s">
        <v>6364</v>
      </c>
      <c r="B747" s="142" t="s">
        <v>6365</v>
      </c>
      <c r="C747" s="142"/>
      <c r="D747" s="142"/>
      <c r="E747" s="319" t="s">
        <v>242</v>
      </c>
      <c r="F747" s="319"/>
      <c r="G747" s="141" t="s">
        <v>4332</v>
      </c>
      <c r="H747" s="155" t="s">
        <v>5424</v>
      </c>
      <c r="I747" s="227" t="s">
        <v>204</v>
      </c>
      <c r="J747" s="336" t="s">
        <v>6316</v>
      </c>
      <c r="K747" s="319" t="s">
        <v>191</v>
      </c>
      <c r="L747" s="331">
        <v>4</v>
      </c>
      <c r="M747" s="331">
        <v>4</v>
      </c>
      <c r="N747" s="322" t="s">
        <v>14</v>
      </c>
      <c r="O747" s="151">
        <v>5</v>
      </c>
      <c r="P747" s="151" t="s">
        <v>199</v>
      </c>
    </row>
    <row r="748" spans="1:16" ht="22.5">
      <c r="A748" s="142" t="s">
        <v>6366</v>
      </c>
      <c r="B748" s="142" t="s">
        <v>6367</v>
      </c>
      <c r="C748" s="142"/>
      <c r="D748" s="142"/>
      <c r="E748" s="319" t="s">
        <v>242</v>
      </c>
      <c r="F748" s="319"/>
      <c r="G748" s="141" t="s">
        <v>4332</v>
      </c>
      <c r="H748" s="155" t="s">
        <v>5436</v>
      </c>
      <c r="I748" s="227" t="s">
        <v>204</v>
      </c>
      <c r="J748" s="336" t="s">
        <v>6316</v>
      </c>
      <c r="K748" s="319" t="s">
        <v>191</v>
      </c>
      <c r="L748" s="331">
        <v>4</v>
      </c>
      <c r="M748" s="331">
        <v>4</v>
      </c>
      <c r="N748" s="322" t="s">
        <v>14</v>
      </c>
      <c r="O748" s="151">
        <v>5</v>
      </c>
      <c r="P748" s="151" t="s">
        <v>199</v>
      </c>
    </row>
    <row r="749" spans="1:16" ht="22.5">
      <c r="A749" s="142" t="s">
        <v>6368</v>
      </c>
      <c r="B749" s="142" t="s">
        <v>6369</v>
      </c>
      <c r="C749" s="142"/>
      <c r="D749" s="142"/>
      <c r="E749" s="319" t="s">
        <v>242</v>
      </c>
      <c r="F749" s="319"/>
      <c r="G749" s="141" t="s">
        <v>4332</v>
      </c>
      <c r="H749" s="155" t="s">
        <v>5439</v>
      </c>
      <c r="I749" s="227" t="s">
        <v>204</v>
      </c>
      <c r="J749" s="336" t="s">
        <v>6316</v>
      </c>
      <c r="K749" s="319" t="s">
        <v>191</v>
      </c>
      <c r="L749" s="331">
        <v>4</v>
      </c>
      <c r="M749" s="331">
        <v>4</v>
      </c>
      <c r="N749" s="322" t="s">
        <v>14</v>
      </c>
      <c r="O749" s="151">
        <v>5</v>
      </c>
      <c r="P749" s="151" t="s">
        <v>199</v>
      </c>
    </row>
    <row r="750" spans="1:16" ht="22.5">
      <c r="A750" s="142" t="s">
        <v>6370</v>
      </c>
      <c r="B750" s="142" t="s">
        <v>6371</v>
      </c>
      <c r="C750" s="142"/>
      <c r="D750" s="142"/>
      <c r="E750" s="319" t="s">
        <v>242</v>
      </c>
      <c r="F750" s="319"/>
      <c r="G750" s="141" t="s">
        <v>4332</v>
      </c>
      <c r="H750" s="155" t="s">
        <v>5445</v>
      </c>
      <c r="I750" s="227" t="s">
        <v>204</v>
      </c>
      <c r="J750" s="336" t="s">
        <v>6316</v>
      </c>
      <c r="K750" s="319" t="s">
        <v>191</v>
      </c>
      <c r="L750" s="331">
        <v>4</v>
      </c>
      <c r="M750" s="331">
        <v>4</v>
      </c>
      <c r="N750" s="322" t="s">
        <v>14</v>
      </c>
      <c r="O750" s="151">
        <v>5</v>
      </c>
      <c r="P750" s="151" t="s">
        <v>199</v>
      </c>
    </row>
    <row r="751" spans="1:16" ht="22.5">
      <c r="A751" s="142" t="s">
        <v>6372</v>
      </c>
      <c r="B751" s="142" t="s">
        <v>6373</v>
      </c>
      <c r="C751" s="142"/>
      <c r="D751" s="142"/>
      <c r="E751" s="319" t="s">
        <v>242</v>
      </c>
      <c r="F751" s="319"/>
      <c r="G751" s="141" t="s">
        <v>4332</v>
      </c>
      <c r="H751" s="155" t="s">
        <v>5448</v>
      </c>
      <c r="I751" s="227" t="s">
        <v>204</v>
      </c>
      <c r="J751" s="336" t="s">
        <v>6316</v>
      </c>
      <c r="K751" s="319" t="s">
        <v>191</v>
      </c>
      <c r="L751" s="331">
        <v>4</v>
      </c>
      <c r="M751" s="331">
        <v>4</v>
      </c>
      <c r="N751" s="322" t="s">
        <v>14</v>
      </c>
      <c r="O751" s="151">
        <v>5</v>
      </c>
      <c r="P751" s="151" t="s">
        <v>199</v>
      </c>
    </row>
    <row r="752" spans="1:16" ht="22.5">
      <c r="A752" s="142" t="s">
        <v>6374</v>
      </c>
      <c r="B752" s="142" t="s">
        <v>6375</v>
      </c>
      <c r="C752" s="142"/>
      <c r="D752" s="142"/>
      <c r="E752" s="319" t="s">
        <v>242</v>
      </c>
      <c r="F752" s="319"/>
      <c r="G752" s="141" t="s">
        <v>4332</v>
      </c>
      <c r="H752" s="155" t="s">
        <v>5455</v>
      </c>
      <c r="I752" s="227" t="s">
        <v>204</v>
      </c>
      <c r="J752" s="336" t="s">
        <v>6316</v>
      </c>
      <c r="K752" s="319" t="s">
        <v>191</v>
      </c>
      <c r="L752" s="331">
        <v>4</v>
      </c>
      <c r="M752" s="331">
        <v>4</v>
      </c>
      <c r="N752" s="322" t="s">
        <v>14</v>
      </c>
      <c r="O752" s="151">
        <v>5</v>
      </c>
      <c r="P752" s="151" t="s">
        <v>199</v>
      </c>
    </row>
    <row r="753" spans="1:16" ht="22.5">
      <c r="A753" s="142" t="s">
        <v>6376</v>
      </c>
      <c r="B753" s="142" t="s">
        <v>6377</v>
      </c>
      <c r="C753" s="142"/>
      <c r="D753" s="142"/>
      <c r="E753" s="319" t="s">
        <v>242</v>
      </c>
      <c r="F753" s="319"/>
      <c r="G753" s="141" t="s">
        <v>4332</v>
      </c>
      <c r="H753" s="155" t="s">
        <v>5458</v>
      </c>
      <c r="I753" s="227" t="s">
        <v>204</v>
      </c>
      <c r="J753" s="336" t="s">
        <v>6316</v>
      </c>
      <c r="K753" s="319" t="s">
        <v>191</v>
      </c>
      <c r="L753" s="331">
        <v>4</v>
      </c>
      <c r="M753" s="331">
        <v>4</v>
      </c>
      <c r="N753" s="322" t="s">
        <v>14</v>
      </c>
      <c r="O753" s="151">
        <v>5</v>
      </c>
      <c r="P753" s="151" t="s">
        <v>199</v>
      </c>
    </row>
    <row r="754" spans="1:16" ht="22.5">
      <c r="A754" s="142" t="s">
        <v>6378</v>
      </c>
      <c r="B754" s="142" t="s">
        <v>6379</v>
      </c>
      <c r="C754" s="142"/>
      <c r="D754" s="142"/>
      <c r="E754" s="319" t="s">
        <v>242</v>
      </c>
      <c r="F754" s="319"/>
      <c r="G754" s="141" t="s">
        <v>4332</v>
      </c>
      <c r="H754" s="155" t="s">
        <v>5461</v>
      </c>
      <c r="I754" s="227" t="s">
        <v>204</v>
      </c>
      <c r="J754" s="336" t="s">
        <v>6316</v>
      </c>
      <c r="K754" s="319" t="s">
        <v>191</v>
      </c>
      <c r="L754" s="331">
        <v>4</v>
      </c>
      <c r="M754" s="331">
        <v>4</v>
      </c>
      <c r="N754" s="322" t="s">
        <v>14</v>
      </c>
      <c r="O754" s="151">
        <v>5</v>
      </c>
      <c r="P754" s="151" t="s">
        <v>199</v>
      </c>
    </row>
    <row r="755" spans="1:16" ht="22.5">
      <c r="A755" s="142" t="s">
        <v>6380</v>
      </c>
      <c r="B755" s="142" t="s">
        <v>6381</v>
      </c>
      <c r="C755" s="142"/>
      <c r="D755" s="142"/>
      <c r="E755" s="319" t="s">
        <v>242</v>
      </c>
      <c r="F755" s="319"/>
      <c r="G755" s="141" t="s">
        <v>4332</v>
      </c>
      <c r="H755" s="155" t="s">
        <v>5464</v>
      </c>
      <c r="I755" s="227" t="s">
        <v>204</v>
      </c>
      <c r="J755" s="336" t="s">
        <v>6316</v>
      </c>
      <c r="K755" s="319" t="s">
        <v>191</v>
      </c>
      <c r="L755" s="331">
        <v>4</v>
      </c>
      <c r="M755" s="331">
        <v>4</v>
      </c>
      <c r="N755" s="322" t="s">
        <v>14</v>
      </c>
      <c r="O755" s="151">
        <v>5</v>
      </c>
      <c r="P755" s="151" t="s">
        <v>199</v>
      </c>
    </row>
    <row r="756" spans="1:16" ht="22.5">
      <c r="A756" s="142" t="s">
        <v>6382</v>
      </c>
      <c r="B756" s="142" t="s">
        <v>6383</v>
      </c>
      <c r="C756" s="142"/>
      <c r="D756" s="142"/>
      <c r="E756" s="319" t="s">
        <v>242</v>
      </c>
      <c r="F756" s="319"/>
      <c r="G756" s="141" t="s">
        <v>4332</v>
      </c>
      <c r="H756" s="155" t="s">
        <v>5467</v>
      </c>
      <c r="I756" s="227" t="s">
        <v>204</v>
      </c>
      <c r="J756" s="336" t="s">
        <v>6316</v>
      </c>
      <c r="K756" s="319" t="s">
        <v>191</v>
      </c>
      <c r="L756" s="331">
        <v>4</v>
      </c>
      <c r="M756" s="331">
        <v>4</v>
      </c>
      <c r="N756" s="322" t="s">
        <v>14</v>
      </c>
      <c r="O756" s="151">
        <v>5</v>
      </c>
      <c r="P756" s="151" t="s">
        <v>199</v>
      </c>
    </row>
    <row r="757" spans="1:16" ht="22.5">
      <c r="A757" s="142" t="s">
        <v>6384</v>
      </c>
      <c r="B757" s="142" t="s">
        <v>6385</v>
      </c>
      <c r="C757" s="142"/>
      <c r="D757" s="142"/>
      <c r="E757" s="319" t="s">
        <v>242</v>
      </c>
      <c r="F757" s="319"/>
      <c r="G757" s="141" t="s">
        <v>4332</v>
      </c>
      <c r="H757" s="155" t="s">
        <v>5470</v>
      </c>
      <c r="I757" s="227" t="s">
        <v>204</v>
      </c>
      <c r="J757" s="336" t="s">
        <v>6316</v>
      </c>
      <c r="K757" s="319" t="s">
        <v>191</v>
      </c>
      <c r="L757" s="331">
        <v>4</v>
      </c>
      <c r="M757" s="331">
        <v>4</v>
      </c>
      <c r="N757" s="322" t="s">
        <v>14</v>
      </c>
      <c r="O757" s="151">
        <v>5</v>
      </c>
      <c r="P757" s="151" t="s">
        <v>199</v>
      </c>
    </row>
    <row r="758" spans="1:16" ht="22.5">
      <c r="A758" s="142" t="s">
        <v>6386</v>
      </c>
      <c r="B758" s="142" t="s">
        <v>6387</v>
      </c>
      <c r="C758" s="142"/>
      <c r="D758" s="142"/>
      <c r="E758" s="319" t="s">
        <v>242</v>
      </c>
      <c r="F758" s="319"/>
      <c r="G758" s="141" t="s">
        <v>4332</v>
      </c>
      <c r="H758" s="155" t="s">
        <v>5473</v>
      </c>
      <c r="I758" s="227" t="s">
        <v>204</v>
      </c>
      <c r="J758" s="336" t="s">
        <v>6316</v>
      </c>
      <c r="K758" s="319" t="s">
        <v>191</v>
      </c>
      <c r="L758" s="331">
        <v>4</v>
      </c>
      <c r="M758" s="331">
        <v>4</v>
      </c>
      <c r="N758" s="322" t="s">
        <v>14</v>
      </c>
      <c r="O758" s="151">
        <v>5</v>
      </c>
      <c r="P758" s="151" t="s">
        <v>199</v>
      </c>
    </row>
    <row r="759" spans="1:16" ht="22.5">
      <c r="A759" s="142" t="s">
        <v>6388</v>
      </c>
      <c r="B759" s="142" t="s">
        <v>6389</v>
      </c>
      <c r="C759" s="142"/>
      <c r="D759" s="142"/>
      <c r="E759" s="319" t="s">
        <v>242</v>
      </c>
      <c r="F759" s="319"/>
      <c r="G759" s="141" t="s">
        <v>4332</v>
      </c>
      <c r="H759" s="155" t="s">
        <v>5476</v>
      </c>
      <c r="I759" s="227" t="s">
        <v>204</v>
      </c>
      <c r="J759" s="336" t="s">
        <v>6316</v>
      </c>
      <c r="K759" s="319" t="s">
        <v>191</v>
      </c>
      <c r="L759" s="331">
        <v>4</v>
      </c>
      <c r="M759" s="331">
        <v>4</v>
      </c>
      <c r="N759" s="322" t="s">
        <v>14</v>
      </c>
      <c r="O759" s="151">
        <v>5</v>
      </c>
      <c r="P759" s="151" t="s">
        <v>199</v>
      </c>
    </row>
    <row r="760" spans="1:16" ht="22.5">
      <c r="A760" s="142" t="s">
        <v>6390</v>
      </c>
      <c r="B760" s="142" t="s">
        <v>6391</v>
      </c>
      <c r="C760" s="142"/>
      <c r="D760" s="142"/>
      <c r="E760" s="319" t="s">
        <v>242</v>
      </c>
      <c r="F760" s="319"/>
      <c r="G760" s="141" t="s">
        <v>4332</v>
      </c>
      <c r="H760" s="155" t="s">
        <v>5483</v>
      </c>
      <c r="I760" s="227" t="s">
        <v>204</v>
      </c>
      <c r="J760" s="336" t="s">
        <v>6316</v>
      </c>
      <c r="K760" s="319" t="s">
        <v>191</v>
      </c>
      <c r="L760" s="331">
        <v>4</v>
      </c>
      <c r="M760" s="331">
        <v>4</v>
      </c>
      <c r="N760" s="322" t="s">
        <v>14</v>
      </c>
      <c r="O760" s="151">
        <v>5</v>
      </c>
      <c r="P760" s="151" t="s">
        <v>199</v>
      </c>
    </row>
    <row r="761" spans="1:16" ht="22.5">
      <c r="A761" s="142" t="s">
        <v>6392</v>
      </c>
      <c r="B761" s="142" t="s">
        <v>6393</v>
      </c>
      <c r="C761" s="142"/>
      <c r="D761" s="142"/>
      <c r="E761" s="319" t="s">
        <v>242</v>
      </c>
      <c r="F761" s="319"/>
      <c r="G761" s="141" t="s">
        <v>4332</v>
      </c>
      <c r="H761" s="155" t="s">
        <v>5486</v>
      </c>
      <c r="I761" s="227" t="s">
        <v>204</v>
      </c>
      <c r="J761" s="336" t="s">
        <v>6316</v>
      </c>
      <c r="K761" s="319" t="s">
        <v>191</v>
      </c>
      <c r="L761" s="331">
        <v>4</v>
      </c>
      <c r="M761" s="331">
        <v>4</v>
      </c>
      <c r="N761" s="322" t="s">
        <v>14</v>
      </c>
      <c r="O761" s="151">
        <v>5</v>
      </c>
      <c r="P761" s="151" t="s">
        <v>199</v>
      </c>
    </row>
    <row r="762" spans="1:16" ht="22.5">
      <c r="A762" s="142" t="s">
        <v>6394</v>
      </c>
      <c r="B762" s="142" t="s">
        <v>6395</v>
      </c>
      <c r="C762" s="142"/>
      <c r="D762" s="142"/>
      <c r="E762" s="319" t="s">
        <v>242</v>
      </c>
      <c r="F762" s="319"/>
      <c r="G762" s="141" t="s">
        <v>4332</v>
      </c>
      <c r="H762" s="155" t="s">
        <v>5489</v>
      </c>
      <c r="I762" s="227" t="s">
        <v>204</v>
      </c>
      <c r="J762" s="336" t="s">
        <v>6316</v>
      </c>
      <c r="K762" s="319" t="s">
        <v>191</v>
      </c>
      <c r="L762" s="331">
        <v>4</v>
      </c>
      <c r="M762" s="331">
        <v>4</v>
      </c>
      <c r="N762" s="322" t="s">
        <v>14</v>
      </c>
      <c r="O762" s="151">
        <v>5</v>
      </c>
      <c r="P762" s="151" t="s">
        <v>199</v>
      </c>
    </row>
    <row r="763" spans="1:16" ht="22.5">
      <c r="A763" s="142" t="s">
        <v>6396</v>
      </c>
      <c r="B763" s="142" t="s">
        <v>6397</v>
      </c>
      <c r="C763" s="142"/>
      <c r="D763" s="142"/>
      <c r="E763" s="319" t="s">
        <v>242</v>
      </c>
      <c r="F763" s="319"/>
      <c r="G763" s="141" t="s">
        <v>4332</v>
      </c>
      <c r="H763" s="155" t="s">
        <v>5492</v>
      </c>
      <c r="I763" s="227" t="s">
        <v>204</v>
      </c>
      <c r="J763" s="336" t="s">
        <v>6316</v>
      </c>
      <c r="K763" s="319" t="s">
        <v>191</v>
      </c>
      <c r="L763" s="331">
        <v>4</v>
      </c>
      <c r="M763" s="331">
        <v>4</v>
      </c>
      <c r="N763" s="322" t="s">
        <v>14</v>
      </c>
      <c r="O763" s="151">
        <v>5</v>
      </c>
      <c r="P763" s="151" t="s">
        <v>199</v>
      </c>
    </row>
    <row r="764" spans="1:16" ht="22.5">
      <c r="A764" s="142" t="s">
        <v>6398</v>
      </c>
      <c r="B764" s="142" t="s">
        <v>6399</v>
      </c>
      <c r="C764" s="142"/>
      <c r="D764" s="142"/>
      <c r="E764" s="319" t="s">
        <v>242</v>
      </c>
      <c r="F764" s="319"/>
      <c r="G764" s="141" t="s">
        <v>4332</v>
      </c>
      <c r="H764" s="155" t="s">
        <v>5495</v>
      </c>
      <c r="I764" s="227" t="s">
        <v>204</v>
      </c>
      <c r="J764" s="336" t="s">
        <v>6316</v>
      </c>
      <c r="K764" s="319" t="s">
        <v>191</v>
      </c>
      <c r="L764" s="331">
        <v>4</v>
      </c>
      <c r="M764" s="331">
        <v>4</v>
      </c>
      <c r="N764" s="322" t="s">
        <v>14</v>
      </c>
      <c r="O764" s="151">
        <v>5</v>
      </c>
      <c r="P764" s="151" t="s">
        <v>199</v>
      </c>
    </row>
    <row r="765" spans="1:16" ht="22.5">
      <c r="A765" s="142" t="s">
        <v>6400</v>
      </c>
      <c r="B765" s="142" t="s">
        <v>6401</v>
      </c>
      <c r="C765" s="142"/>
      <c r="D765" s="142"/>
      <c r="E765" s="319" t="s">
        <v>242</v>
      </c>
      <c r="F765" s="319"/>
      <c r="G765" s="141" t="s">
        <v>4332</v>
      </c>
      <c r="H765" s="155" t="s">
        <v>5498</v>
      </c>
      <c r="I765" s="227" t="s">
        <v>204</v>
      </c>
      <c r="J765" s="336" t="s">
        <v>6316</v>
      </c>
      <c r="K765" s="319" t="s">
        <v>191</v>
      </c>
      <c r="L765" s="331">
        <v>4</v>
      </c>
      <c r="M765" s="331">
        <v>4</v>
      </c>
      <c r="N765" s="322" t="s">
        <v>14</v>
      </c>
      <c r="O765" s="151">
        <v>5</v>
      </c>
      <c r="P765" s="151" t="s">
        <v>199</v>
      </c>
    </row>
    <row r="766" spans="1:16" ht="22.5">
      <c r="A766" s="142" t="s">
        <v>6402</v>
      </c>
      <c r="B766" s="142" t="s">
        <v>6403</v>
      </c>
      <c r="C766" s="142"/>
      <c r="D766" s="142"/>
      <c r="E766" s="319" t="s">
        <v>242</v>
      </c>
      <c r="F766" s="319"/>
      <c r="G766" s="141" t="s">
        <v>4332</v>
      </c>
      <c r="H766" s="155" t="s">
        <v>5501</v>
      </c>
      <c r="I766" s="227" t="s">
        <v>204</v>
      </c>
      <c r="J766" s="336" t="s">
        <v>6316</v>
      </c>
      <c r="K766" s="319" t="s">
        <v>191</v>
      </c>
      <c r="L766" s="331">
        <v>4</v>
      </c>
      <c r="M766" s="331">
        <v>4</v>
      </c>
      <c r="N766" s="322" t="s">
        <v>14</v>
      </c>
      <c r="O766" s="151">
        <v>5</v>
      </c>
      <c r="P766" s="151" t="s">
        <v>199</v>
      </c>
    </row>
    <row r="767" spans="1:16" ht="22.5">
      <c r="A767" s="142" t="s">
        <v>6404</v>
      </c>
      <c r="B767" s="142" t="s">
        <v>6405</v>
      </c>
      <c r="C767" s="142"/>
      <c r="D767" s="142"/>
      <c r="E767" s="319" t="s">
        <v>242</v>
      </c>
      <c r="F767" s="319"/>
      <c r="G767" s="141" t="s">
        <v>4332</v>
      </c>
      <c r="H767" s="155" t="s">
        <v>5504</v>
      </c>
      <c r="I767" s="227" t="s">
        <v>204</v>
      </c>
      <c r="J767" s="336" t="s">
        <v>6316</v>
      </c>
      <c r="K767" s="319" t="s">
        <v>191</v>
      </c>
      <c r="L767" s="331">
        <v>4</v>
      </c>
      <c r="M767" s="331">
        <v>4</v>
      </c>
      <c r="N767" s="322" t="s">
        <v>14</v>
      </c>
      <c r="O767" s="151">
        <v>5</v>
      </c>
      <c r="P767" s="151" t="s">
        <v>199</v>
      </c>
    </row>
    <row r="768" spans="1:16" ht="22.5">
      <c r="A768" s="142" t="s">
        <v>6406</v>
      </c>
      <c r="B768" s="142" t="s">
        <v>6407</v>
      </c>
      <c r="C768" s="142"/>
      <c r="D768" s="142"/>
      <c r="E768" s="319" t="s">
        <v>242</v>
      </c>
      <c r="F768" s="319"/>
      <c r="G768" s="141" t="s">
        <v>4332</v>
      </c>
      <c r="H768" s="155" t="s">
        <v>5507</v>
      </c>
      <c r="I768" s="227" t="s">
        <v>204</v>
      </c>
      <c r="J768" s="336" t="s">
        <v>6316</v>
      </c>
      <c r="K768" s="319" t="s">
        <v>191</v>
      </c>
      <c r="L768" s="331">
        <v>4</v>
      </c>
      <c r="M768" s="331">
        <v>4</v>
      </c>
      <c r="N768" s="322" t="s">
        <v>14</v>
      </c>
      <c r="O768" s="151">
        <v>5</v>
      </c>
      <c r="P768" s="151" t="s">
        <v>199</v>
      </c>
    </row>
    <row r="769" spans="1:16" ht="22.5">
      <c r="A769" s="142" t="s">
        <v>6408</v>
      </c>
      <c r="B769" s="142" t="s">
        <v>6409</v>
      </c>
      <c r="C769" s="142"/>
      <c r="D769" s="142"/>
      <c r="E769" s="319" t="s">
        <v>242</v>
      </c>
      <c r="F769" s="319"/>
      <c r="G769" s="141" t="s">
        <v>4332</v>
      </c>
      <c r="H769" s="155" t="s">
        <v>5510</v>
      </c>
      <c r="I769" s="227" t="s">
        <v>204</v>
      </c>
      <c r="J769" s="336" t="s">
        <v>6316</v>
      </c>
      <c r="K769" s="319" t="s">
        <v>191</v>
      </c>
      <c r="L769" s="331">
        <v>4</v>
      </c>
      <c r="M769" s="331">
        <v>4</v>
      </c>
      <c r="N769" s="322" t="s">
        <v>14</v>
      </c>
      <c r="O769" s="151">
        <v>5</v>
      </c>
      <c r="P769" s="151" t="s">
        <v>199</v>
      </c>
    </row>
    <row r="770" spans="1:16" ht="22.5">
      <c r="A770" s="142" t="s">
        <v>6410</v>
      </c>
      <c r="B770" s="142" t="s">
        <v>6411</v>
      </c>
      <c r="C770" s="142"/>
      <c r="D770" s="142"/>
      <c r="E770" s="319" t="s">
        <v>242</v>
      </c>
      <c r="F770" s="319"/>
      <c r="G770" s="141" t="s">
        <v>4332</v>
      </c>
      <c r="H770" s="155" t="s">
        <v>5513</v>
      </c>
      <c r="I770" s="227" t="s">
        <v>204</v>
      </c>
      <c r="J770" s="336" t="s">
        <v>6316</v>
      </c>
      <c r="K770" s="319" t="s">
        <v>191</v>
      </c>
      <c r="L770" s="331">
        <v>4</v>
      </c>
      <c r="M770" s="331">
        <v>4</v>
      </c>
      <c r="N770" s="322" t="s">
        <v>14</v>
      </c>
      <c r="O770" s="151">
        <v>5</v>
      </c>
      <c r="P770" s="151" t="s">
        <v>199</v>
      </c>
    </row>
    <row r="771" spans="1:16" ht="45">
      <c r="A771" s="142" t="s">
        <v>6412</v>
      </c>
      <c r="B771" s="142" t="s">
        <v>6413</v>
      </c>
      <c r="C771" s="142"/>
      <c r="D771" s="142"/>
      <c r="E771" s="319" t="s">
        <v>242</v>
      </c>
      <c r="F771" s="319"/>
      <c r="G771" s="141" t="s">
        <v>4332</v>
      </c>
      <c r="H771" s="155" t="s">
        <v>5519</v>
      </c>
      <c r="I771" s="227" t="s">
        <v>204</v>
      </c>
      <c r="J771" s="336" t="s">
        <v>6414</v>
      </c>
      <c r="K771" s="319" t="s">
        <v>191</v>
      </c>
      <c r="L771" s="331">
        <v>4</v>
      </c>
      <c r="M771" s="331">
        <v>4</v>
      </c>
      <c r="N771" s="322" t="s">
        <v>14</v>
      </c>
      <c r="O771" s="151">
        <v>5</v>
      </c>
      <c r="P771" s="151" t="s">
        <v>199</v>
      </c>
    </row>
    <row r="772" spans="1:16" ht="45">
      <c r="A772" s="142" t="s">
        <v>6415</v>
      </c>
      <c r="B772" s="142" t="s">
        <v>6416</v>
      </c>
      <c r="C772" s="142"/>
      <c r="D772" s="142"/>
      <c r="E772" s="319" t="s">
        <v>242</v>
      </c>
      <c r="F772" s="319"/>
      <c r="G772" s="141" t="s">
        <v>4332</v>
      </c>
      <c r="H772" s="155" t="s">
        <v>5522</v>
      </c>
      <c r="I772" s="227" t="s">
        <v>204</v>
      </c>
      <c r="J772" s="336" t="s">
        <v>6417</v>
      </c>
      <c r="K772" s="319" t="s">
        <v>191</v>
      </c>
      <c r="L772" s="331">
        <v>4</v>
      </c>
      <c r="M772" s="331">
        <v>4</v>
      </c>
      <c r="N772" s="322" t="s">
        <v>14</v>
      </c>
      <c r="O772" s="151">
        <v>5</v>
      </c>
      <c r="P772" s="151" t="s">
        <v>199</v>
      </c>
    </row>
    <row r="773" spans="1:16" ht="22.5">
      <c r="A773" s="142" t="s">
        <v>6418</v>
      </c>
      <c r="B773" s="142" t="s">
        <v>6419</v>
      </c>
      <c r="C773" s="142"/>
      <c r="D773" s="142"/>
      <c r="E773" s="319" t="s">
        <v>242</v>
      </c>
      <c r="F773" s="319"/>
      <c r="G773" s="141" t="s">
        <v>4332</v>
      </c>
      <c r="H773" s="155" t="s">
        <v>5526</v>
      </c>
      <c r="I773" s="227" t="s">
        <v>204</v>
      </c>
      <c r="J773" s="336" t="s">
        <v>6420</v>
      </c>
      <c r="K773" s="319" t="s">
        <v>191</v>
      </c>
      <c r="L773" s="331">
        <v>4</v>
      </c>
      <c r="M773" s="331">
        <v>4</v>
      </c>
      <c r="N773" s="322" t="s">
        <v>14</v>
      </c>
      <c r="O773" s="151">
        <v>5</v>
      </c>
      <c r="P773" s="151" t="s">
        <v>199</v>
      </c>
    </row>
    <row r="774" spans="1:16" ht="22.5">
      <c r="A774" s="142" t="s">
        <v>6421</v>
      </c>
      <c r="B774" s="142" t="s">
        <v>6422</v>
      </c>
      <c r="C774" s="142"/>
      <c r="D774" s="142"/>
      <c r="E774" s="319" t="s">
        <v>242</v>
      </c>
      <c r="F774" s="319"/>
      <c r="G774" s="141" t="s">
        <v>4332</v>
      </c>
      <c r="H774" s="155" t="s">
        <v>5530</v>
      </c>
      <c r="I774" s="227" t="s">
        <v>204</v>
      </c>
      <c r="J774" s="336" t="s">
        <v>6420</v>
      </c>
      <c r="K774" s="319" t="s">
        <v>191</v>
      </c>
      <c r="L774" s="331">
        <v>4</v>
      </c>
      <c r="M774" s="331">
        <v>4</v>
      </c>
      <c r="N774" s="322" t="s">
        <v>14</v>
      </c>
      <c r="O774" s="151">
        <v>5</v>
      </c>
      <c r="P774" s="151" t="s">
        <v>199</v>
      </c>
    </row>
    <row r="775" spans="1:16">
      <c r="A775" s="142" t="s">
        <v>6423</v>
      </c>
      <c r="B775" s="142" t="s">
        <v>6424</v>
      </c>
      <c r="C775" s="142"/>
      <c r="D775" s="142"/>
      <c r="E775" s="319" t="s">
        <v>242</v>
      </c>
      <c r="F775" s="319"/>
      <c r="G775" s="141" t="s">
        <v>4332</v>
      </c>
      <c r="H775" s="335" t="s">
        <v>5533</v>
      </c>
      <c r="I775" s="227" t="s">
        <v>204</v>
      </c>
      <c r="J775" s="336" t="s">
        <v>6420</v>
      </c>
      <c r="K775" s="319" t="s">
        <v>191</v>
      </c>
      <c r="L775" s="331">
        <v>4</v>
      </c>
      <c r="M775" s="331">
        <v>4</v>
      </c>
      <c r="N775" s="322" t="s">
        <v>14</v>
      </c>
      <c r="O775" s="151">
        <v>5</v>
      </c>
      <c r="P775" s="151" t="s">
        <v>199</v>
      </c>
    </row>
    <row r="776" spans="1:16" ht="45">
      <c r="A776" s="142" t="s">
        <v>6425</v>
      </c>
      <c r="B776" s="142" t="s">
        <v>6426</v>
      </c>
      <c r="C776" s="142"/>
      <c r="D776" s="142"/>
      <c r="E776" s="319" t="s">
        <v>242</v>
      </c>
      <c r="F776" s="319"/>
      <c r="G776" s="141" t="s">
        <v>4332</v>
      </c>
      <c r="H776" s="155" t="s">
        <v>5536</v>
      </c>
      <c r="I776" s="227" t="s">
        <v>204</v>
      </c>
      <c r="J776" s="336" t="s">
        <v>6427</v>
      </c>
      <c r="K776" s="319" t="s">
        <v>191</v>
      </c>
      <c r="L776" s="331">
        <v>4</v>
      </c>
      <c r="M776" s="331">
        <v>4</v>
      </c>
      <c r="N776" s="322" t="s">
        <v>14</v>
      </c>
      <c r="O776" s="151">
        <v>5</v>
      </c>
      <c r="P776" s="151" t="s">
        <v>199</v>
      </c>
    </row>
    <row r="777" spans="1:16">
      <c r="A777" s="142" t="s">
        <v>6428</v>
      </c>
      <c r="B777" s="142" t="s">
        <v>6429</v>
      </c>
      <c r="C777" s="142"/>
      <c r="D777" s="142"/>
      <c r="E777" s="319" t="s">
        <v>242</v>
      </c>
      <c r="F777" s="319"/>
      <c r="G777" s="141" t="s">
        <v>4332</v>
      </c>
      <c r="H777" s="175" t="s">
        <v>5539</v>
      </c>
      <c r="I777" s="227" t="s">
        <v>204</v>
      </c>
      <c r="J777" s="336" t="s">
        <v>6420</v>
      </c>
      <c r="K777" s="319" t="s">
        <v>191</v>
      </c>
      <c r="L777" s="331">
        <v>4</v>
      </c>
      <c r="M777" s="331">
        <v>4</v>
      </c>
      <c r="N777" s="322" t="s">
        <v>14</v>
      </c>
      <c r="O777" s="151">
        <v>5</v>
      </c>
      <c r="P777" s="151" t="s">
        <v>199</v>
      </c>
    </row>
    <row r="778" spans="1:16">
      <c r="A778" s="142" t="s">
        <v>6430</v>
      </c>
      <c r="B778" s="142" t="s">
        <v>6431</v>
      </c>
      <c r="C778" s="142"/>
      <c r="D778" s="142"/>
      <c r="E778" s="319" t="s">
        <v>242</v>
      </c>
      <c r="F778" s="319"/>
      <c r="G778" s="141" t="s">
        <v>4332</v>
      </c>
      <c r="H778" s="155" t="s">
        <v>5559</v>
      </c>
      <c r="I778" s="227" t="s">
        <v>204</v>
      </c>
      <c r="J778" s="336" t="s">
        <v>5560</v>
      </c>
      <c r="K778" s="319" t="s">
        <v>191</v>
      </c>
      <c r="L778" s="331">
        <v>4</v>
      </c>
      <c r="M778" s="331">
        <v>4</v>
      </c>
      <c r="N778" s="322" t="s">
        <v>14</v>
      </c>
      <c r="O778" s="151">
        <v>5</v>
      </c>
      <c r="P778" s="151" t="s">
        <v>199</v>
      </c>
    </row>
    <row r="779" spans="1:16">
      <c r="A779" s="142" t="s">
        <v>6432</v>
      </c>
      <c r="B779" s="142" t="s">
        <v>6433</v>
      </c>
      <c r="C779" s="142"/>
      <c r="D779" s="142"/>
      <c r="E779" s="319" t="s">
        <v>242</v>
      </c>
      <c r="F779" s="319"/>
      <c r="G779" s="141" t="s">
        <v>4332</v>
      </c>
      <c r="H779" s="155" t="s">
        <v>5563</v>
      </c>
      <c r="I779" s="227" t="s">
        <v>204</v>
      </c>
      <c r="J779" s="336" t="s">
        <v>5560</v>
      </c>
      <c r="K779" s="319" t="s">
        <v>191</v>
      </c>
      <c r="L779" s="331">
        <v>4</v>
      </c>
      <c r="M779" s="331">
        <v>4</v>
      </c>
      <c r="N779" s="322" t="s">
        <v>14</v>
      </c>
      <c r="O779" s="151">
        <v>5</v>
      </c>
      <c r="P779" s="151" t="s">
        <v>199</v>
      </c>
    </row>
    <row r="780" spans="1:16" ht="22.5">
      <c r="A780" s="142" t="s">
        <v>6434</v>
      </c>
      <c r="B780" s="142" t="s">
        <v>6435</v>
      </c>
      <c r="C780" s="142"/>
      <c r="D780" s="142"/>
      <c r="E780" s="319" t="s">
        <v>242</v>
      </c>
      <c r="F780" s="319"/>
      <c r="G780" s="141" t="s">
        <v>4332</v>
      </c>
      <c r="H780" s="155" t="s">
        <v>5566</v>
      </c>
      <c r="I780" s="227" t="s">
        <v>204</v>
      </c>
      <c r="J780" s="336" t="s">
        <v>5567</v>
      </c>
      <c r="K780" s="319" t="s">
        <v>191</v>
      </c>
      <c r="L780" s="331">
        <v>4</v>
      </c>
      <c r="M780" s="331">
        <v>4</v>
      </c>
      <c r="N780" s="322" t="s">
        <v>14</v>
      </c>
      <c r="O780" s="151">
        <v>5</v>
      </c>
      <c r="P780" s="151" t="s">
        <v>199</v>
      </c>
    </row>
    <row r="781" spans="1:16">
      <c r="A781" s="142" t="s">
        <v>6436</v>
      </c>
      <c r="B781" s="142" t="s">
        <v>6437</v>
      </c>
      <c r="C781" s="142"/>
      <c r="D781" s="142"/>
      <c r="E781" s="319" t="s">
        <v>242</v>
      </c>
      <c r="F781" s="319"/>
      <c r="G781" s="141" t="s">
        <v>4332</v>
      </c>
      <c r="H781" s="156" t="s">
        <v>5731</v>
      </c>
      <c r="I781" s="227" t="s">
        <v>204</v>
      </c>
      <c r="J781" s="336"/>
      <c r="K781" s="319" t="s">
        <v>191</v>
      </c>
      <c r="L781" s="331">
        <v>4</v>
      </c>
      <c r="M781" s="331">
        <v>4</v>
      </c>
      <c r="N781" s="322" t="s">
        <v>14</v>
      </c>
      <c r="O781" s="151">
        <v>5</v>
      </c>
      <c r="P781" s="151" t="s">
        <v>199</v>
      </c>
    </row>
    <row r="782" spans="1:16" ht="22.5">
      <c r="A782" s="142" t="s">
        <v>6438</v>
      </c>
      <c r="B782" s="142" t="s">
        <v>6439</v>
      </c>
      <c r="C782" s="142"/>
      <c r="D782" s="142"/>
      <c r="E782" s="319" t="s">
        <v>242</v>
      </c>
      <c r="F782" s="319"/>
      <c r="G782" s="141" t="s">
        <v>4332</v>
      </c>
      <c r="H782" s="156" t="s">
        <v>5735</v>
      </c>
      <c r="I782" s="227" t="s">
        <v>204</v>
      </c>
      <c r="J782" s="336"/>
      <c r="K782" s="319" t="s">
        <v>191</v>
      </c>
      <c r="L782" s="331">
        <v>4</v>
      </c>
      <c r="M782" s="331">
        <v>4</v>
      </c>
      <c r="N782" s="322" t="s">
        <v>14</v>
      </c>
      <c r="O782" s="151">
        <v>5</v>
      </c>
      <c r="P782" s="151" t="s">
        <v>199</v>
      </c>
    </row>
    <row r="783" spans="1:16" ht="22.5">
      <c r="A783" s="142" t="s">
        <v>6440</v>
      </c>
      <c r="B783" s="142" t="s">
        <v>6441</v>
      </c>
      <c r="C783" s="142"/>
      <c r="D783" s="142"/>
      <c r="E783" s="319" t="s">
        <v>242</v>
      </c>
      <c r="F783" s="319"/>
      <c r="G783" s="141" t="s">
        <v>4332</v>
      </c>
      <c r="H783" s="142" t="s">
        <v>5748</v>
      </c>
      <c r="I783" s="162"/>
      <c r="J783" s="145"/>
      <c r="K783" s="319" t="s">
        <v>191</v>
      </c>
      <c r="L783" s="331">
        <v>4</v>
      </c>
      <c r="M783" s="331">
        <v>4</v>
      </c>
      <c r="N783" s="322" t="s">
        <v>14</v>
      </c>
      <c r="O783" s="151">
        <v>5</v>
      </c>
      <c r="P783" s="151" t="s">
        <v>199</v>
      </c>
    </row>
    <row r="784" spans="1:16" ht="22.5">
      <c r="A784" s="142" t="s">
        <v>6442</v>
      </c>
      <c r="B784" s="142" t="s">
        <v>6443</v>
      </c>
      <c r="C784" s="142"/>
      <c r="D784" s="142"/>
      <c r="E784" s="319" t="s">
        <v>242</v>
      </c>
      <c r="F784" s="319"/>
      <c r="G784" s="141" t="s">
        <v>4332</v>
      </c>
      <c r="H784" s="142" t="s">
        <v>5752</v>
      </c>
      <c r="I784" s="142"/>
      <c r="J784" s="145"/>
      <c r="K784" s="319" t="s">
        <v>191</v>
      </c>
      <c r="L784" s="331">
        <v>4</v>
      </c>
      <c r="M784" s="331">
        <v>4</v>
      </c>
      <c r="N784" s="322" t="s">
        <v>14</v>
      </c>
      <c r="O784" s="151">
        <v>5</v>
      </c>
      <c r="P784" s="151" t="s">
        <v>199</v>
      </c>
    </row>
    <row r="785" spans="1:16" ht="22.5">
      <c r="A785" s="142" t="s">
        <v>6444</v>
      </c>
      <c r="B785" s="142" t="s">
        <v>6445</v>
      </c>
      <c r="C785" s="142"/>
      <c r="D785" s="142"/>
      <c r="E785" s="319" t="s">
        <v>242</v>
      </c>
      <c r="F785" s="319"/>
      <c r="G785" s="141" t="s">
        <v>4332</v>
      </c>
      <c r="H785" s="142" t="s">
        <v>5756</v>
      </c>
      <c r="I785" s="142" t="s">
        <v>204</v>
      </c>
      <c r="J785" s="145"/>
      <c r="K785" s="319" t="s">
        <v>191</v>
      </c>
      <c r="L785" s="331">
        <v>4</v>
      </c>
      <c r="M785" s="331">
        <v>4</v>
      </c>
      <c r="N785" s="322" t="s">
        <v>14</v>
      </c>
      <c r="O785" s="151">
        <v>5</v>
      </c>
      <c r="P785" s="151" t="s">
        <v>199</v>
      </c>
    </row>
    <row r="786" spans="1:16">
      <c r="A786" s="142" t="s">
        <v>6446</v>
      </c>
      <c r="B786" s="142" t="s">
        <v>6447</v>
      </c>
      <c r="C786" s="142"/>
      <c r="D786" s="142"/>
      <c r="E786" s="319" t="s">
        <v>242</v>
      </c>
      <c r="F786" s="319"/>
      <c r="G786" s="141" t="s">
        <v>4332</v>
      </c>
      <c r="H786" s="142" t="s">
        <v>5759</v>
      </c>
      <c r="I786" s="142" t="s">
        <v>198</v>
      </c>
      <c r="J786" s="145"/>
      <c r="K786" s="319" t="s">
        <v>191</v>
      </c>
      <c r="L786" s="331">
        <v>4</v>
      </c>
      <c r="M786" s="331">
        <v>4</v>
      </c>
      <c r="N786" s="322" t="s">
        <v>14</v>
      </c>
      <c r="O786" s="151">
        <v>5</v>
      </c>
      <c r="P786" s="151" t="s">
        <v>199</v>
      </c>
    </row>
    <row r="787" spans="1:16">
      <c r="A787" s="142" t="s">
        <v>6448</v>
      </c>
      <c r="B787" s="142" t="s">
        <v>6449</v>
      </c>
      <c r="C787" s="142"/>
      <c r="D787" s="142"/>
      <c r="E787" s="319" t="s">
        <v>242</v>
      </c>
      <c r="F787" s="319"/>
      <c r="G787" s="141" t="s">
        <v>4332</v>
      </c>
      <c r="H787" s="142" t="s">
        <v>5766</v>
      </c>
      <c r="I787" s="142" t="s">
        <v>198</v>
      </c>
      <c r="J787" s="145"/>
      <c r="K787" s="319" t="s">
        <v>191</v>
      </c>
      <c r="L787" s="331">
        <v>4</v>
      </c>
      <c r="M787" s="331">
        <v>4</v>
      </c>
      <c r="N787" s="322" t="s">
        <v>14</v>
      </c>
      <c r="O787" s="151">
        <v>5</v>
      </c>
      <c r="P787" s="151" t="s">
        <v>199</v>
      </c>
    </row>
    <row r="788" spans="1:16" ht="22.5">
      <c r="A788" s="142" t="s">
        <v>6450</v>
      </c>
      <c r="B788" s="142" t="s">
        <v>6451</v>
      </c>
      <c r="C788" s="142"/>
      <c r="D788" s="142"/>
      <c r="E788" s="319" t="s">
        <v>242</v>
      </c>
      <c r="F788" s="319"/>
      <c r="G788" s="141" t="s">
        <v>4332</v>
      </c>
      <c r="H788" s="142" t="s">
        <v>5798</v>
      </c>
      <c r="I788" s="142" t="s">
        <v>204</v>
      </c>
      <c r="J788" s="145" t="s">
        <v>5799</v>
      </c>
      <c r="K788" s="319" t="s">
        <v>191</v>
      </c>
      <c r="L788" s="331">
        <v>4</v>
      </c>
      <c r="M788" s="331">
        <v>4</v>
      </c>
      <c r="N788" s="322" t="s">
        <v>14</v>
      </c>
      <c r="O788" s="151">
        <v>5</v>
      </c>
      <c r="P788" s="151" t="s">
        <v>199</v>
      </c>
    </row>
    <row r="789" spans="1:16" ht="22.5">
      <c r="A789" s="142" t="s">
        <v>6452</v>
      </c>
      <c r="B789" s="142" t="s">
        <v>6453</v>
      </c>
      <c r="C789" s="142"/>
      <c r="D789" s="142"/>
      <c r="E789" s="319" t="s">
        <v>242</v>
      </c>
      <c r="F789" s="319"/>
      <c r="G789" s="141" t="s">
        <v>4332</v>
      </c>
      <c r="H789" s="142" t="s">
        <v>5802</v>
      </c>
      <c r="I789" s="142" t="s">
        <v>204</v>
      </c>
      <c r="J789" s="145" t="s">
        <v>5799</v>
      </c>
      <c r="K789" s="319" t="s">
        <v>191</v>
      </c>
      <c r="L789" s="331">
        <v>4</v>
      </c>
      <c r="M789" s="331">
        <v>4</v>
      </c>
      <c r="N789" s="322" t="s">
        <v>14</v>
      </c>
      <c r="O789" s="151">
        <v>5</v>
      </c>
      <c r="P789" s="151" t="s">
        <v>199</v>
      </c>
    </row>
    <row r="790" spans="1:16" ht="33.75">
      <c r="A790" s="142" t="s">
        <v>6454</v>
      </c>
      <c r="B790" s="142" t="s">
        <v>6455</v>
      </c>
      <c r="C790" s="142"/>
      <c r="D790" s="142"/>
      <c r="E790" s="319" t="s">
        <v>242</v>
      </c>
      <c r="F790" s="319"/>
      <c r="G790" s="141" t="s">
        <v>4332</v>
      </c>
      <c r="H790" s="142" t="s">
        <v>5805</v>
      </c>
      <c r="I790" s="142" t="s">
        <v>188</v>
      </c>
      <c r="J790" s="145" t="s">
        <v>5775</v>
      </c>
      <c r="K790" s="319" t="s">
        <v>191</v>
      </c>
      <c r="L790" s="331">
        <v>4</v>
      </c>
      <c r="M790" s="331">
        <v>4</v>
      </c>
      <c r="N790" s="322" t="s">
        <v>14</v>
      </c>
      <c r="O790" s="151">
        <v>5</v>
      </c>
      <c r="P790" s="151" t="s">
        <v>199</v>
      </c>
    </row>
    <row r="791" spans="1:16" ht="33.75">
      <c r="A791" s="142" t="s">
        <v>6456</v>
      </c>
      <c r="B791" s="142" t="s">
        <v>6457</v>
      </c>
      <c r="C791" s="142"/>
      <c r="D791" s="142"/>
      <c r="E791" s="319" t="s">
        <v>242</v>
      </c>
      <c r="F791" s="319"/>
      <c r="G791" s="141" t="s">
        <v>4332</v>
      </c>
      <c r="H791" s="142" t="s">
        <v>5808</v>
      </c>
      <c r="I791" s="142" t="s">
        <v>188</v>
      </c>
      <c r="J791" s="145" t="s">
        <v>5775</v>
      </c>
      <c r="K791" s="319" t="s">
        <v>191</v>
      </c>
      <c r="L791" s="331">
        <v>4</v>
      </c>
      <c r="M791" s="331">
        <v>4</v>
      </c>
      <c r="N791" s="322" t="s">
        <v>14</v>
      </c>
      <c r="O791" s="151">
        <v>5</v>
      </c>
      <c r="P791" s="151" t="s">
        <v>199</v>
      </c>
    </row>
    <row r="792" spans="1:16" ht="22.5">
      <c r="A792" s="319" t="s">
        <v>6458</v>
      </c>
      <c r="B792" s="319" t="s">
        <v>6459</v>
      </c>
      <c r="C792" s="319"/>
      <c r="D792" s="319"/>
      <c r="E792" s="319" t="s">
        <v>242</v>
      </c>
      <c r="F792" s="319"/>
      <c r="G792" s="318" t="s">
        <v>1890</v>
      </c>
      <c r="H792" s="319" t="s">
        <v>4532</v>
      </c>
      <c r="I792" s="319" t="s">
        <v>198</v>
      </c>
      <c r="J792" s="324"/>
      <c r="K792" s="319" t="s">
        <v>191</v>
      </c>
      <c r="L792" s="320">
        <v>4</v>
      </c>
      <c r="M792" s="320">
        <v>4</v>
      </c>
      <c r="N792" s="322" t="s">
        <v>12</v>
      </c>
      <c r="O792" s="151">
        <v>5</v>
      </c>
      <c r="P792" s="151" t="s">
        <v>199</v>
      </c>
    </row>
    <row r="793" spans="1:16" ht="33.75">
      <c r="A793" s="319" t="s">
        <v>6460</v>
      </c>
      <c r="B793" s="319" t="s">
        <v>6461</v>
      </c>
      <c r="C793" s="319"/>
      <c r="D793" s="319"/>
      <c r="E793" s="319" t="s">
        <v>242</v>
      </c>
      <c r="F793" s="319"/>
      <c r="G793" s="318" t="s">
        <v>1890</v>
      </c>
      <c r="H793" s="319" t="s">
        <v>5873</v>
      </c>
      <c r="I793" s="319" t="s">
        <v>188</v>
      </c>
      <c r="J793" s="324" t="s">
        <v>1453</v>
      </c>
      <c r="K793" s="319" t="s">
        <v>191</v>
      </c>
      <c r="L793" s="320">
        <v>4</v>
      </c>
      <c r="M793" s="320">
        <v>4</v>
      </c>
      <c r="N793" s="322" t="s">
        <v>12</v>
      </c>
      <c r="O793" s="151">
        <v>5</v>
      </c>
      <c r="P793" s="151" t="s">
        <v>199</v>
      </c>
    </row>
    <row r="794" spans="1:16" ht="22.5">
      <c r="A794" s="319" t="s">
        <v>6462</v>
      </c>
      <c r="B794" s="319" t="s">
        <v>6463</v>
      </c>
      <c r="C794" s="319"/>
      <c r="D794" s="319"/>
      <c r="E794" s="319" t="s">
        <v>242</v>
      </c>
      <c r="F794" s="319"/>
      <c r="G794" s="318" t="s">
        <v>6464</v>
      </c>
      <c r="H794" s="319" t="s">
        <v>4572</v>
      </c>
      <c r="I794" s="319" t="s">
        <v>188</v>
      </c>
      <c r="J794" s="324" t="s">
        <v>1453</v>
      </c>
      <c r="K794" s="319" t="s">
        <v>191</v>
      </c>
      <c r="L794" s="320">
        <v>4</v>
      </c>
      <c r="M794" s="320">
        <v>4</v>
      </c>
      <c r="N794" s="322" t="s">
        <v>12</v>
      </c>
      <c r="O794" s="151">
        <v>5</v>
      </c>
      <c r="P794" s="151" t="s">
        <v>199</v>
      </c>
    </row>
    <row r="795" spans="1:16" ht="22.5">
      <c r="A795" s="319" t="s">
        <v>6465</v>
      </c>
      <c r="B795" s="319" t="s">
        <v>6466</v>
      </c>
      <c r="C795" s="319"/>
      <c r="D795" s="319"/>
      <c r="E795" s="319" t="s">
        <v>242</v>
      </c>
      <c r="F795" s="319"/>
      <c r="G795" s="318" t="s">
        <v>6467</v>
      </c>
      <c r="H795" s="319" t="s">
        <v>6468</v>
      </c>
      <c r="I795" s="319" t="s">
        <v>188</v>
      </c>
      <c r="J795" s="324" t="s">
        <v>1453</v>
      </c>
      <c r="K795" s="319" t="s">
        <v>191</v>
      </c>
      <c r="L795" s="320">
        <v>4</v>
      </c>
      <c r="M795" s="320">
        <v>4</v>
      </c>
      <c r="N795" s="322" t="s">
        <v>12</v>
      </c>
      <c r="O795" s="151">
        <v>5</v>
      </c>
      <c r="P795" s="151" t="s">
        <v>199</v>
      </c>
    </row>
    <row r="796" spans="1:16" ht="22.5">
      <c r="A796" s="319" t="s">
        <v>6469</v>
      </c>
      <c r="B796" s="319" t="s">
        <v>6470</v>
      </c>
      <c r="C796" s="319"/>
      <c r="D796" s="319"/>
      <c r="E796" s="319" t="s">
        <v>242</v>
      </c>
      <c r="F796" s="319"/>
      <c r="G796" s="318" t="s">
        <v>1890</v>
      </c>
      <c r="H796" s="319" t="s">
        <v>4575</v>
      </c>
      <c r="I796" s="319" t="s">
        <v>188</v>
      </c>
      <c r="J796" s="324" t="s">
        <v>1453</v>
      </c>
      <c r="K796" s="319" t="s">
        <v>191</v>
      </c>
      <c r="L796" s="320">
        <v>4</v>
      </c>
      <c r="M796" s="320">
        <v>4</v>
      </c>
      <c r="N796" s="322" t="s">
        <v>12</v>
      </c>
      <c r="O796" s="151">
        <v>5</v>
      </c>
      <c r="P796" s="151" t="s">
        <v>199</v>
      </c>
    </row>
    <row r="797" spans="1:16" ht="22.5">
      <c r="A797" s="319" t="s">
        <v>6471</v>
      </c>
      <c r="B797" s="319" t="s">
        <v>6472</v>
      </c>
      <c r="C797" s="319"/>
      <c r="D797" s="319"/>
      <c r="E797" s="319" t="s">
        <v>242</v>
      </c>
      <c r="F797" s="319"/>
      <c r="G797" s="318" t="s">
        <v>1890</v>
      </c>
      <c r="H797" s="319" t="s">
        <v>5880</v>
      </c>
      <c r="I797" s="319" t="s">
        <v>198</v>
      </c>
      <c r="J797" s="324"/>
      <c r="K797" s="319" t="s">
        <v>191</v>
      </c>
      <c r="L797" s="320">
        <v>4</v>
      </c>
      <c r="M797" s="320">
        <v>4</v>
      </c>
      <c r="N797" s="322" t="s">
        <v>12</v>
      </c>
      <c r="O797" s="151">
        <v>5</v>
      </c>
      <c r="P797" s="151" t="s">
        <v>199</v>
      </c>
    </row>
    <row r="798" spans="1:16" ht="22.5">
      <c r="A798" s="319" t="s">
        <v>6473</v>
      </c>
      <c r="B798" s="319" t="s">
        <v>6474</v>
      </c>
      <c r="C798" s="319"/>
      <c r="D798" s="319"/>
      <c r="E798" s="319" t="s">
        <v>242</v>
      </c>
      <c r="F798" s="319"/>
      <c r="G798" s="318" t="s">
        <v>1962</v>
      </c>
      <c r="H798" s="319" t="s">
        <v>5883</v>
      </c>
      <c r="I798" s="319" t="s">
        <v>198</v>
      </c>
      <c r="J798" s="324"/>
      <c r="K798" s="319" t="s">
        <v>191</v>
      </c>
      <c r="L798" s="320">
        <v>4</v>
      </c>
      <c r="M798" s="320">
        <v>4</v>
      </c>
      <c r="N798" s="322" t="s">
        <v>12</v>
      </c>
      <c r="O798" s="151">
        <v>5</v>
      </c>
      <c r="P798" s="151" t="s">
        <v>199</v>
      </c>
    </row>
    <row r="799" spans="1:16" ht="22.5">
      <c r="A799" s="150" t="s">
        <v>6475</v>
      </c>
      <c r="B799" s="150" t="s">
        <v>6476</v>
      </c>
      <c r="C799" s="319"/>
      <c r="D799" s="319"/>
      <c r="E799" s="319" t="s">
        <v>242</v>
      </c>
      <c r="F799" s="319"/>
      <c r="G799" s="318" t="s">
        <v>1946</v>
      </c>
      <c r="H799" s="319" t="s">
        <v>6477</v>
      </c>
      <c r="I799" s="319" t="s">
        <v>198</v>
      </c>
      <c r="J799" s="324"/>
      <c r="K799" s="319" t="s">
        <v>191</v>
      </c>
      <c r="L799" s="320">
        <v>4</v>
      </c>
      <c r="M799" s="320">
        <v>4</v>
      </c>
      <c r="N799" s="322" t="s">
        <v>14</v>
      </c>
      <c r="O799" s="151">
        <v>5</v>
      </c>
      <c r="P799" s="151" t="s">
        <v>199</v>
      </c>
    </row>
    <row r="800" spans="1:16" ht="22.5">
      <c r="A800" s="319" t="s">
        <v>6478</v>
      </c>
      <c r="B800" s="324" t="s">
        <v>6479</v>
      </c>
      <c r="C800" s="319"/>
      <c r="D800" s="319"/>
      <c r="E800" s="319" t="s">
        <v>242</v>
      </c>
      <c r="F800" s="319"/>
      <c r="G800" s="318" t="s">
        <v>1890</v>
      </c>
      <c r="H800" s="319" t="s">
        <v>6480</v>
      </c>
      <c r="I800" s="319" t="s">
        <v>198</v>
      </c>
      <c r="J800" s="324"/>
      <c r="K800" s="319" t="s">
        <v>191</v>
      </c>
      <c r="L800" s="320">
        <v>4</v>
      </c>
      <c r="M800" s="320">
        <v>4</v>
      </c>
      <c r="N800" s="322" t="s">
        <v>12</v>
      </c>
      <c r="O800" s="151">
        <v>5</v>
      </c>
      <c r="P800" s="151" t="s">
        <v>199</v>
      </c>
    </row>
    <row r="801" spans="1:16">
      <c r="A801" s="319" t="s">
        <v>6481</v>
      </c>
      <c r="B801" s="324" t="s">
        <v>6482</v>
      </c>
      <c r="C801" s="319"/>
      <c r="D801" s="319"/>
      <c r="E801" s="319" t="s">
        <v>242</v>
      </c>
      <c r="F801" s="319"/>
      <c r="G801" s="318" t="s">
        <v>1890</v>
      </c>
      <c r="H801" s="319" t="s">
        <v>4586</v>
      </c>
      <c r="I801" s="319" t="s">
        <v>198</v>
      </c>
      <c r="J801" s="324"/>
      <c r="K801" s="319" t="s">
        <v>191</v>
      </c>
      <c r="L801" s="320">
        <v>4</v>
      </c>
      <c r="M801" s="320">
        <v>4</v>
      </c>
      <c r="N801" s="322" t="s">
        <v>12</v>
      </c>
      <c r="O801" s="151">
        <v>5</v>
      </c>
      <c r="P801" s="151" t="s">
        <v>199</v>
      </c>
    </row>
    <row r="802" spans="1:16">
      <c r="A802" s="319" t="s">
        <v>6483</v>
      </c>
      <c r="B802" s="319" t="s">
        <v>6484</v>
      </c>
      <c r="C802" s="319"/>
      <c r="D802" s="319"/>
      <c r="E802" s="319" t="s">
        <v>242</v>
      </c>
      <c r="F802" s="319"/>
      <c r="G802" s="318" t="s">
        <v>1890</v>
      </c>
      <c r="H802" s="319" t="s">
        <v>4589</v>
      </c>
      <c r="I802" s="319" t="s">
        <v>198</v>
      </c>
      <c r="J802" s="324"/>
      <c r="K802" s="319" t="s">
        <v>191</v>
      </c>
      <c r="L802" s="320">
        <v>4</v>
      </c>
      <c r="M802" s="320">
        <v>4</v>
      </c>
      <c r="N802" s="322" t="s">
        <v>12</v>
      </c>
      <c r="O802" s="151">
        <v>5</v>
      </c>
      <c r="P802" s="151" t="s">
        <v>199</v>
      </c>
    </row>
    <row r="803" spans="1:16" ht="22.5">
      <c r="A803" s="319" t="s">
        <v>6485</v>
      </c>
      <c r="B803" s="319" t="s">
        <v>6486</v>
      </c>
      <c r="C803" s="319"/>
      <c r="D803" s="319"/>
      <c r="E803" s="319" t="s">
        <v>242</v>
      </c>
      <c r="F803" s="319"/>
      <c r="G803" s="318" t="s">
        <v>1962</v>
      </c>
      <c r="H803" s="319" t="s">
        <v>4593</v>
      </c>
      <c r="I803" s="319" t="s">
        <v>188</v>
      </c>
      <c r="J803" s="324" t="s">
        <v>1453</v>
      </c>
      <c r="K803" s="319" t="s">
        <v>191</v>
      </c>
      <c r="L803" s="320">
        <v>4</v>
      </c>
      <c r="M803" s="320">
        <v>4</v>
      </c>
      <c r="N803" s="322" t="s">
        <v>12</v>
      </c>
      <c r="O803" s="151">
        <v>5</v>
      </c>
      <c r="P803" s="151" t="s">
        <v>199</v>
      </c>
    </row>
    <row r="804" spans="1:16" ht="22.5">
      <c r="A804" s="319" t="s">
        <v>6487</v>
      </c>
      <c r="B804" s="319" t="s">
        <v>6488</v>
      </c>
      <c r="C804" s="319"/>
      <c r="D804" s="319"/>
      <c r="E804" s="319" t="s">
        <v>242</v>
      </c>
      <c r="F804" s="319"/>
      <c r="G804" s="318" t="s">
        <v>1946</v>
      </c>
      <c r="H804" s="319" t="s">
        <v>4593</v>
      </c>
      <c r="I804" s="319" t="s">
        <v>188</v>
      </c>
      <c r="J804" s="324" t="s">
        <v>1453</v>
      </c>
      <c r="K804" s="319" t="s">
        <v>191</v>
      </c>
      <c r="L804" s="320">
        <v>4</v>
      </c>
      <c r="M804" s="320">
        <v>4</v>
      </c>
      <c r="N804" s="322" t="s">
        <v>14</v>
      </c>
      <c r="O804" s="151">
        <v>5</v>
      </c>
      <c r="P804" s="151" t="s">
        <v>199</v>
      </c>
    </row>
    <row r="805" spans="1:16" ht="22.5">
      <c r="A805" s="319" t="s">
        <v>6489</v>
      </c>
      <c r="B805" s="319" t="s">
        <v>6490</v>
      </c>
      <c r="C805" s="319"/>
      <c r="D805" s="319"/>
      <c r="E805" s="319" t="s">
        <v>242</v>
      </c>
      <c r="F805" s="319"/>
      <c r="G805" s="318" t="s">
        <v>1962</v>
      </c>
      <c r="H805" s="319" t="s">
        <v>5893</v>
      </c>
      <c r="I805" s="319" t="s">
        <v>188</v>
      </c>
      <c r="J805" s="324" t="s">
        <v>1453</v>
      </c>
      <c r="K805" s="319" t="s">
        <v>191</v>
      </c>
      <c r="L805" s="320">
        <v>4</v>
      </c>
      <c r="M805" s="320">
        <v>4</v>
      </c>
      <c r="N805" s="322" t="s">
        <v>12</v>
      </c>
      <c r="O805" s="151">
        <v>5</v>
      </c>
      <c r="P805" s="151" t="s">
        <v>199</v>
      </c>
    </row>
    <row r="806" spans="1:16" ht="22.5">
      <c r="A806" s="319" t="s">
        <v>6491</v>
      </c>
      <c r="B806" s="319" t="s">
        <v>6492</v>
      </c>
      <c r="C806" s="319"/>
      <c r="D806" s="319"/>
      <c r="E806" s="319" t="s">
        <v>242</v>
      </c>
      <c r="F806" s="319"/>
      <c r="G806" s="318" t="s">
        <v>1946</v>
      </c>
      <c r="H806" s="319" t="s">
        <v>5893</v>
      </c>
      <c r="I806" s="319" t="s">
        <v>188</v>
      </c>
      <c r="J806" s="324" t="s">
        <v>1453</v>
      </c>
      <c r="K806" s="319" t="s">
        <v>191</v>
      </c>
      <c r="L806" s="320">
        <v>4</v>
      </c>
      <c r="M806" s="320">
        <v>4</v>
      </c>
      <c r="N806" s="322" t="s">
        <v>14</v>
      </c>
      <c r="O806" s="151">
        <v>5</v>
      </c>
      <c r="P806" s="151" t="s">
        <v>199</v>
      </c>
    </row>
    <row r="807" spans="1:16" ht="225">
      <c r="A807" s="319" t="s">
        <v>6493</v>
      </c>
      <c r="B807" s="319" t="s">
        <v>6494</v>
      </c>
      <c r="C807" s="319"/>
      <c r="D807" s="319"/>
      <c r="E807" s="319" t="s">
        <v>242</v>
      </c>
      <c r="F807" s="319"/>
      <c r="G807" s="318" t="s">
        <v>1890</v>
      </c>
      <c r="H807" s="324" t="s">
        <v>4600</v>
      </c>
      <c r="I807" s="324" t="s">
        <v>204</v>
      </c>
      <c r="J807" s="324" t="s">
        <v>6495</v>
      </c>
      <c r="K807" s="319" t="s">
        <v>191</v>
      </c>
      <c r="L807" s="320">
        <v>4</v>
      </c>
      <c r="M807" s="320">
        <v>4</v>
      </c>
      <c r="N807" s="322" t="s">
        <v>12</v>
      </c>
      <c r="O807" s="151">
        <v>5</v>
      </c>
      <c r="P807" s="151" t="s">
        <v>199</v>
      </c>
    </row>
    <row r="808" spans="1:16" ht="22.5">
      <c r="A808" s="319" t="s">
        <v>6496</v>
      </c>
      <c r="B808" s="319" t="s">
        <v>6497</v>
      </c>
      <c r="C808" s="319"/>
      <c r="D808" s="319"/>
      <c r="E808" s="319" t="s">
        <v>242</v>
      </c>
      <c r="F808" s="319"/>
      <c r="G808" s="318" t="s">
        <v>1921</v>
      </c>
      <c r="H808" s="324" t="s">
        <v>4604</v>
      </c>
      <c r="I808" s="324" t="s">
        <v>198</v>
      </c>
      <c r="J808" s="324"/>
      <c r="K808" s="319" t="s">
        <v>191</v>
      </c>
      <c r="L808" s="320">
        <v>4</v>
      </c>
      <c r="M808" s="320">
        <v>4</v>
      </c>
      <c r="N808" s="322" t="s">
        <v>12</v>
      </c>
      <c r="O808" s="151">
        <v>5</v>
      </c>
      <c r="P808" s="151" t="s">
        <v>199</v>
      </c>
    </row>
    <row r="809" spans="1:16">
      <c r="A809" s="319" t="s">
        <v>6498</v>
      </c>
      <c r="B809" s="319" t="s">
        <v>6499</v>
      </c>
      <c r="C809" s="319"/>
      <c r="D809" s="319"/>
      <c r="E809" s="319" t="s">
        <v>242</v>
      </c>
      <c r="F809" s="319"/>
      <c r="G809" s="318" t="s">
        <v>1921</v>
      </c>
      <c r="H809" s="324" t="s">
        <v>4607</v>
      </c>
      <c r="I809" s="324" t="s">
        <v>198</v>
      </c>
      <c r="J809" s="324"/>
      <c r="K809" s="319" t="s">
        <v>191</v>
      </c>
      <c r="L809" s="320">
        <v>4</v>
      </c>
      <c r="M809" s="320">
        <v>4</v>
      </c>
      <c r="N809" s="322" t="s">
        <v>12</v>
      </c>
      <c r="O809" s="151">
        <v>5</v>
      </c>
      <c r="P809" s="151" t="s">
        <v>199</v>
      </c>
    </row>
    <row r="810" spans="1:16">
      <c r="A810" s="319" t="s">
        <v>6500</v>
      </c>
      <c r="B810" s="319" t="s">
        <v>6501</v>
      </c>
      <c r="C810" s="319"/>
      <c r="D810" s="319"/>
      <c r="E810" s="319" t="s">
        <v>242</v>
      </c>
      <c r="F810" s="319"/>
      <c r="G810" s="318" t="s">
        <v>1921</v>
      </c>
      <c r="H810" s="324" t="s">
        <v>4610</v>
      </c>
      <c r="I810" s="324" t="s">
        <v>198</v>
      </c>
      <c r="J810" s="324"/>
      <c r="K810" s="319" t="s">
        <v>191</v>
      </c>
      <c r="L810" s="320">
        <v>4</v>
      </c>
      <c r="M810" s="320">
        <v>4</v>
      </c>
      <c r="N810" s="322" t="s">
        <v>12</v>
      </c>
      <c r="O810" s="151">
        <v>5</v>
      </c>
      <c r="P810" s="151" t="s">
        <v>199</v>
      </c>
    </row>
    <row r="811" spans="1:16">
      <c r="A811" s="319" t="s">
        <v>6502</v>
      </c>
      <c r="B811" s="319" t="s">
        <v>6503</v>
      </c>
      <c r="C811" s="319"/>
      <c r="D811" s="319"/>
      <c r="E811" s="319" t="s">
        <v>242</v>
      </c>
      <c r="F811" s="319"/>
      <c r="G811" s="318" t="s">
        <v>1921</v>
      </c>
      <c r="H811" s="324" t="s">
        <v>4613</v>
      </c>
      <c r="I811" s="324" t="s">
        <v>198</v>
      </c>
      <c r="J811" s="324"/>
      <c r="K811" s="319" t="s">
        <v>191</v>
      </c>
      <c r="L811" s="320">
        <v>4</v>
      </c>
      <c r="M811" s="320">
        <v>4</v>
      </c>
      <c r="N811" s="322" t="s">
        <v>12</v>
      </c>
      <c r="O811" s="151">
        <v>5</v>
      </c>
      <c r="P811" s="151" t="s">
        <v>199</v>
      </c>
    </row>
    <row r="812" spans="1:16">
      <c r="A812" s="319" t="s">
        <v>6504</v>
      </c>
      <c r="B812" s="319" t="s">
        <v>6505</v>
      </c>
      <c r="C812" s="319"/>
      <c r="D812" s="319"/>
      <c r="E812" s="319" t="s">
        <v>242</v>
      </c>
      <c r="F812" s="319"/>
      <c r="G812" s="318" t="s">
        <v>1921</v>
      </c>
      <c r="H812" s="324" t="s">
        <v>4616</v>
      </c>
      <c r="I812" s="324" t="s">
        <v>198</v>
      </c>
      <c r="J812" s="324"/>
      <c r="K812" s="319" t="s">
        <v>191</v>
      </c>
      <c r="L812" s="320">
        <v>4</v>
      </c>
      <c r="M812" s="320">
        <v>4</v>
      </c>
      <c r="N812" s="322" t="s">
        <v>12</v>
      </c>
      <c r="O812" s="151">
        <v>5</v>
      </c>
      <c r="P812" s="151" t="s">
        <v>199</v>
      </c>
    </row>
    <row r="813" spans="1:16">
      <c r="A813" s="319" t="s">
        <v>6506</v>
      </c>
      <c r="B813" s="319" t="s">
        <v>6507</v>
      </c>
      <c r="C813" s="319"/>
      <c r="D813" s="319"/>
      <c r="E813" s="319" t="s">
        <v>242</v>
      </c>
      <c r="F813" s="319"/>
      <c r="G813" s="318" t="s">
        <v>1921</v>
      </c>
      <c r="H813" s="324" t="s">
        <v>4619</v>
      </c>
      <c r="I813" s="324" t="s">
        <v>198</v>
      </c>
      <c r="J813" s="324"/>
      <c r="K813" s="319" t="s">
        <v>191</v>
      </c>
      <c r="L813" s="320">
        <v>4</v>
      </c>
      <c r="M813" s="320">
        <v>4</v>
      </c>
      <c r="N813" s="322" t="s">
        <v>12</v>
      </c>
      <c r="O813" s="151">
        <v>5</v>
      </c>
      <c r="P813" s="151" t="s">
        <v>199</v>
      </c>
    </row>
    <row r="814" spans="1:16">
      <c r="A814" s="319" t="s">
        <v>6508</v>
      </c>
      <c r="B814" s="319" t="s">
        <v>6509</v>
      </c>
      <c r="C814" s="319"/>
      <c r="D814" s="319"/>
      <c r="E814" s="319" t="s">
        <v>242</v>
      </c>
      <c r="F814" s="319"/>
      <c r="G814" s="318" t="s">
        <v>1921</v>
      </c>
      <c r="H814" s="324" t="s">
        <v>4622</v>
      </c>
      <c r="I814" s="324" t="s">
        <v>198</v>
      </c>
      <c r="J814" s="324"/>
      <c r="K814" s="319" t="s">
        <v>191</v>
      </c>
      <c r="L814" s="320">
        <v>4</v>
      </c>
      <c r="M814" s="320">
        <v>4</v>
      </c>
      <c r="N814" s="322" t="s">
        <v>12</v>
      </c>
      <c r="O814" s="151">
        <v>5</v>
      </c>
      <c r="P814" s="151" t="s">
        <v>199</v>
      </c>
    </row>
    <row r="815" spans="1:16">
      <c r="A815" s="319" t="s">
        <v>6510</v>
      </c>
      <c r="B815" s="319" t="s">
        <v>6511</v>
      </c>
      <c r="C815" s="319"/>
      <c r="D815" s="319"/>
      <c r="E815" s="319" t="s">
        <v>242</v>
      </c>
      <c r="F815" s="319"/>
      <c r="G815" s="318" t="s">
        <v>1921</v>
      </c>
      <c r="H815" s="324" t="s">
        <v>4625</v>
      </c>
      <c r="I815" s="324" t="s">
        <v>198</v>
      </c>
      <c r="J815" s="324"/>
      <c r="K815" s="319" t="s">
        <v>191</v>
      </c>
      <c r="L815" s="320">
        <v>4</v>
      </c>
      <c r="M815" s="320">
        <v>4</v>
      </c>
      <c r="N815" s="322" t="s">
        <v>12</v>
      </c>
      <c r="O815" s="151">
        <v>5</v>
      </c>
      <c r="P815" s="151" t="s">
        <v>199</v>
      </c>
    </row>
    <row r="816" spans="1:16" ht="22.5">
      <c r="A816" s="319" t="s">
        <v>6512</v>
      </c>
      <c r="B816" s="319" t="s">
        <v>6513</v>
      </c>
      <c r="C816" s="319"/>
      <c r="D816" s="319"/>
      <c r="E816" s="319" t="s">
        <v>242</v>
      </c>
      <c r="F816" s="319"/>
      <c r="G816" s="318" t="s">
        <v>1921</v>
      </c>
      <c r="H816" s="324" t="s">
        <v>4631</v>
      </c>
      <c r="I816" s="324" t="s">
        <v>198</v>
      </c>
      <c r="J816" s="324"/>
      <c r="K816" s="319" t="s">
        <v>191</v>
      </c>
      <c r="L816" s="320">
        <v>4</v>
      </c>
      <c r="M816" s="320">
        <v>4</v>
      </c>
      <c r="N816" s="322" t="s">
        <v>12</v>
      </c>
      <c r="O816" s="151">
        <v>5</v>
      </c>
      <c r="P816" s="151" t="s">
        <v>199</v>
      </c>
    </row>
    <row r="817" spans="1:16" ht="22.5">
      <c r="A817" s="319" t="s">
        <v>6514</v>
      </c>
      <c r="B817" s="319" t="s">
        <v>6515</v>
      </c>
      <c r="C817" s="319"/>
      <c r="D817" s="319"/>
      <c r="E817" s="319" t="s">
        <v>242</v>
      </c>
      <c r="F817" s="319"/>
      <c r="G817" s="318" t="s">
        <v>1921</v>
      </c>
      <c r="H817" s="324" t="s">
        <v>4634</v>
      </c>
      <c r="I817" s="324" t="s">
        <v>198</v>
      </c>
      <c r="J817" s="324"/>
      <c r="K817" s="319" t="s">
        <v>191</v>
      </c>
      <c r="L817" s="320">
        <v>4</v>
      </c>
      <c r="M817" s="320">
        <v>4</v>
      </c>
      <c r="N817" s="322" t="s">
        <v>12</v>
      </c>
      <c r="O817" s="151">
        <v>5</v>
      </c>
      <c r="P817" s="151" t="s">
        <v>199</v>
      </c>
    </row>
    <row r="818" spans="1:16" ht="22.5">
      <c r="A818" s="319" t="s">
        <v>6516</v>
      </c>
      <c r="B818" s="319" t="s">
        <v>6517</v>
      </c>
      <c r="C818" s="319"/>
      <c r="D818" s="319"/>
      <c r="E818" s="319" t="s">
        <v>242</v>
      </c>
      <c r="F818" s="319"/>
      <c r="G818" s="318" t="s">
        <v>1921</v>
      </c>
      <c r="H818" s="324" t="s">
        <v>4637</v>
      </c>
      <c r="I818" s="324" t="s">
        <v>198</v>
      </c>
      <c r="J818" s="324"/>
      <c r="K818" s="319" t="s">
        <v>191</v>
      </c>
      <c r="L818" s="320">
        <v>4</v>
      </c>
      <c r="M818" s="320">
        <v>4</v>
      </c>
      <c r="N818" s="322" t="s">
        <v>12</v>
      </c>
      <c r="O818" s="151">
        <v>5</v>
      </c>
      <c r="P818" s="151" t="s">
        <v>199</v>
      </c>
    </row>
    <row r="819" spans="1:16" ht="22.5">
      <c r="A819" s="319" t="s">
        <v>6518</v>
      </c>
      <c r="B819" s="319" t="s">
        <v>6519</v>
      </c>
      <c r="C819" s="319"/>
      <c r="D819" s="319"/>
      <c r="E819" s="319" t="s">
        <v>242</v>
      </c>
      <c r="F819" s="319"/>
      <c r="G819" s="318" t="s">
        <v>1921</v>
      </c>
      <c r="H819" s="319" t="s">
        <v>4640</v>
      </c>
      <c r="I819" s="324" t="s">
        <v>198</v>
      </c>
      <c r="J819" s="324"/>
      <c r="K819" s="319" t="s">
        <v>191</v>
      </c>
      <c r="L819" s="320">
        <v>4</v>
      </c>
      <c r="M819" s="320">
        <v>4</v>
      </c>
      <c r="N819" s="322" t="s">
        <v>12</v>
      </c>
      <c r="O819" s="151">
        <v>5</v>
      </c>
      <c r="P819" s="151" t="s">
        <v>199</v>
      </c>
    </row>
    <row r="820" spans="1:16" ht="22.5">
      <c r="A820" s="319" t="s">
        <v>6520</v>
      </c>
      <c r="B820" s="319" t="s">
        <v>6521</v>
      </c>
      <c r="C820" s="319"/>
      <c r="D820" s="319"/>
      <c r="E820" s="319" t="s">
        <v>242</v>
      </c>
      <c r="F820" s="319"/>
      <c r="G820" s="318" t="s">
        <v>1921</v>
      </c>
      <c r="H820" s="319" t="s">
        <v>5923</v>
      </c>
      <c r="I820" s="324" t="s">
        <v>198</v>
      </c>
      <c r="J820" s="324"/>
      <c r="K820" s="319" t="s">
        <v>191</v>
      </c>
      <c r="L820" s="320">
        <v>4</v>
      </c>
      <c r="M820" s="320">
        <v>4</v>
      </c>
      <c r="N820" s="322" t="s">
        <v>12</v>
      </c>
      <c r="O820" s="151">
        <v>5</v>
      </c>
      <c r="P820" s="151" t="s">
        <v>199</v>
      </c>
    </row>
    <row r="821" spans="1:16" ht="22.5">
      <c r="A821" s="319" t="s">
        <v>6522</v>
      </c>
      <c r="B821" s="319" t="s">
        <v>6523</v>
      </c>
      <c r="C821" s="319"/>
      <c r="D821" s="319"/>
      <c r="E821" s="319" t="s">
        <v>242</v>
      </c>
      <c r="F821" s="319"/>
      <c r="G821" s="318" t="s">
        <v>1921</v>
      </c>
      <c r="H821" s="319" t="s">
        <v>5926</v>
      </c>
      <c r="I821" s="324" t="s">
        <v>198</v>
      </c>
      <c r="J821" s="324"/>
      <c r="K821" s="319" t="s">
        <v>191</v>
      </c>
      <c r="L821" s="320">
        <v>4</v>
      </c>
      <c r="M821" s="320">
        <v>4</v>
      </c>
      <c r="N821" s="322" t="s">
        <v>12</v>
      </c>
      <c r="O821" s="151">
        <v>5</v>
      </c>
      <c r="P821" s="151" t="s">
        <v>199</v>
      </c>
    </row>
    <row r="822" spans="1:16" ht="22.5">
      <c r="A822" s="319" t="s">
        <v>6524</v>
      </c>
      <c r="B822" s="319" t="s">
        <v>6525</v>
      </c>
      <c r="C822" s="319"/>
      <c r="D822" s="319"/>
      <c r="E822" s="319" t="s">
        <v>242</v>
      </c>
      <c r="F822" s="319"/>
      <c r="G822" s="318" t="s">
        <v>1921</v>
      </c>
      <c r="H822" s="319" t="s">
        <v>5929</v>
      </c>
      <c r="I822" s="324" t="s">
        <v>198</v>
      </c>
      <c r="J822" s="324"/>
      <c r="K822" s="319" t="s">
        <v>191</v>
      </c>
      <c r="L822" s="320">
        <v>4</v>
      </c>
      <c r="M822" s="320">
        <v>4</v>
      </c>
      <c r="N822" s="322" t="s">
        <v>12</v>
      </c>
      <c r="O822" s="151">
        <v>5</v>
      </c>
      <c r="P822" s="151" t="s">
        <v>199</v>
      </c>
    </row>
    <row r="823" spans="1:16" ht="22.5">
      <c r="A823" s="319" t="s">
        <v>6526</v>
      </c>
      <c r="B823" s="319" t="s">
        <v>6527</v>
      </c>
      <c r="C823" s="319"/>
      <c r="D823" s="319"/>
      <c r="E823" s="319" t="s">
        <v>242</v>
      </c>
      <c r="F823" s="319"/>
      <c r="G823" s="318" t="s">
        <v>1921</v>
      </c>
      <c r="H823" s="319" t="s">
        <v>5932</v>
      </c>
      <c r="I823" s="324" t="s">
        <v>198</v>
      </c>
      <c r="J823" s="324"/>
      <c r="K823" s="319" t="s">
        <v>191</v>
      </c>
      <c r="L823" s="320">
        <v>4</v>
      </c>
      <c r="M823" s="320">
        <v>4</v>
      </c>
      <c r="N823" s="322" t="s">
        <v>12</v>
      </c>
      <c r="O823" s="151">
        <v>5</v>
      </c>
      <c r="P823" s="151" t="s">
        <v>199</v>
      </c>
    </row>
    <row r="824" spans="1:16" ht="22.5">
      <c r="A824" s="319" t="s">
        <v>6528</v>
      </c>
      <c r="B824" s="319" t="s">
        <v>6529</v>
      </c>
      <c r="C824" s="319"/>
      <c r="D824" s="319"/>
      <c r="E824" s="319" t="s">
        <v>242</v>
      </c>
      <c r="F824" s="319"/>
      <c r="G824" s="318" t="s">
        <v>1921</v>
      </c>
      <c r="H824" s="319" t="s">
        <v>5935</v>
      </c>
      <c r="I824" s="324" t="s">
        <v>198</v>
      </c>
      <c r="J824" s="324"/>
      <c r="K824" s="319" t="s">
        <v>191</v>
      </c>
      <c r="L824" s="320">
        <v>4</v>
      </c>
      <c r="M824" s="320">
        <v>4</v>
      </c>
      <c r="N824" s="322" t="s">
        <v>12</v>
      </c>
      <c r="O824" s="151">
        <v>5</v>
      </c>
      <c r="P824" s="151" t="s">
        <v>199</v>
      </c>
    </row>
    <row r="825" spans="1:16" ht="22.5">
      <c r="A825" s="319" t="s">
        <v>6530</v>
      </c>
      <c r="B825" s="319" t="s">
        <v>6531</v>
      </c>
      <c r="C825" s="319"/>
      <c r="D825" s="319"/>
      <c r="E825" s="319" t="s">
        <v>242</v>
      </c>
      <c r="F825" s="319"/>
      <c r="G825" s="318" t="s">
        <v>1921</v>
      </c>
      <c r="H825" s="319" t="s">
        <v>5938</v>
      </c>
      <c r="I825" s="324" t="s">
        <v>198</v>
      </c>
      <c r="J825" s="324"/>
      <c r="K825" s="319" t="s">
        <v>191</v>
      </c>
      <c r="L825" s="320">
        <v>4</v>
      </c>
      <c r="M825" s="320">
        <v>4</v>
      </c>
      <c r="N825" s="322" t="s">
        <v>12</v>
      </c>
      <c r="O825" s="151">
        <v>5</v>
      </c>
      <c r="P825" s="151" t="s">
        <v>199</v>
      </c>
    </row>
    <row r="826" spans="1:16" ht="22.5">
      <c r="A826" s="319" t="s">
        <v>6532</v>
      </c>
      <c r="B826" s="319" t="s">
        <v>6533</v>
      </c>
      <c r="C826" s="319"/>
      <c r="D826" s="319"/>
      <c r="E826" s="319" t="s">
        <v>242</v>
      </c>
      <c r="F826" s="319"/>
      <c r="G826" s="318" t="s">
        <v>1921</v>
      </c>
      <c r="H826" s="319" t="s">
        <v>5941</v>
      </c>
      <c r="I826" s="324" t="s">
        <v>198</v>
      </c>
      <c r="J826" s="324"/>
      <c r="K826" s="319" t="s">
        <v>191</v>
      </c>
      <c r="L826" s="320">
        <v>4</v>
      </c>
      <c r="M826" s="320">
        <v>4</v>
      </c>
      <c r="N826" s="322" t="s">
        <v>12</v>
      </c>
      <c r="O826" s="151">
        <v>5</v>
      </c>
      <c r="P826" s="151" t="s">
        <v>199</v>
      </c>
    </row>
    <row r="827" spans="1:16" ht="22.5">
      <c r="A827" s="319" t="s">
        <v>6534</v>
      </c>
      <c r="B827" s="319" t="s">
        <v>6535</v>
      </c>
      <c r="C827" s="319"/>
      <c r="D827" s="319"/>
      <c r="E827" s="319" t="s">
        <v>242</v>
      </c>
      <c r="F827" s="319"/>
      <c r="G827" s="318" t="s">
        <v>1921</v>
      </c>
      <c r="H827" s="319" t="s">
        <v>5944</v>
      </c>
      <c r="I827" s="324" t="s">
        <v>198</v>
      </c>
      <c r="J827" s="324"/>
      <c r="K827" s="319" t="s">
        <v>191</v>
      </c>
      <c r="L827" s="320">
        <v>4</v>
      </c>
      <c r="M827" s="320">
        <v>4</v>
      </c>
      <c r="N827" s="322" t="s">
        <v>12</v>
      </c>
      <c r="O827" s="151">
        <v>5</v>
      </c>
      <c r="P827" s="151" t="s">
        <v>199</v>
      </c>
    </row>
    <row r="828" spans="1:16" ht="22.5">
      <c r="A828" s="319" t="s">
        <v>6536</v>
      </c>
      <c r="B828" s="319" t="s">
        <v>6537</v>
      </c>
      <c r="C828" s="319"/>
      <c r="D828" s="319"/>
      <c r="E828" s="319" t="s">
        <v>242</v>
      </c>
      <c r="F828" s="319"/>
      <c r="G828" s="318" t="s">
        <v>1921</v>
      </c>
      <c r="H828" s="319" t="s">
        <v>5947</v>
      </c>
      <c r="I828" s="324" t="s">
        <v>198</v>
      </c>
      <c r="J828" s="324"/>
      <c r="K828" s="319" t="s">
        <v>191</v>
      </c>
      <c r="L828" s="320">
        <v>4</v>
      </c>
      <c r="M828" s="320">
        <v>4</v>
      </c>
      <c r="N828" s="322" t="s">
        <v>12</v>
      </c>
      <c r="O828" s="151">
        <v>5</v>
      </c>
      <c r="P828" s="151" t="s">
        <v>199</v>
      </c>
    </row>
    <row r="829" spans="1:16" ht="22.5">
      <c r="A829" s="319" t="s">
        <v>6538</v>
      </c>
      <c r="B829" s="319" t="s">
        <v>6539</v>
      </c>
      <c r="C829" s="319"/>
      <c r="D829" s="319"/>
      <c r="E829" s="319" t="s">
        <v>242</v>
      </c>
      <c r="F829" s="319"/>
      <c r="G829" s="318" t="s">
        <v>1921</v>
      </c>
      <c r="H829" s="319" t="s">
        <v>5950</v>
      </c>
      <c r="I829" s="324" t="s">
        <v>198</v>
      </c>
      <c r="J829" s="324"/>
      <c r="K829" s="319" t="s">
        <v>191</v>
      </c>
      <c r="L829" s="320">
        <v>4</v>
      </c>
      <c r="M829" s="320">
        <v>4</v>
      </c>
      <c r="N829" s="322" t="s">
        <v>12</v>
      </c>
      <c r="O829" s="151">
        <v>5</v>
      </c>
      <c r="P829" s="151" t="s">
        <v>199</v>
      </c>
    </row>
    <row r="830" spans="1:16" ht="22.5">
      <c r="A830" s="319" t="s">
        <v>6540</v>
      </c>
      <c r="B830" s="319" t="s">
        <v>6541</v>
      </c>
      <c r="C830" s="319"/>
      <c r="D830" s="319"/>
      <c r="E830" s="319" t="s">
        <v>242</v>
      </c>
      <c r="F830" s="319"/>
      <c r="G830" s="318" t="s">
        <v>1921</v>
      </c>
      <c r="H830" s="319" t="s">
        <v>5953</v>
      </c>
      <c r="I830" s="324" t="s">
        <v>198</v>
      </c>
      <c r="J830" s="324"/>
      <c r="K830" s="319" t="s">
        <v>191</v>
      </c>
      <c r="L830" s="320">
        <v>4</v>
      </c>
      <c r="M830" s="320">
        <v>4</v>
      </c>
      <c r="N830" s="322" t="s">
        <v>12</v>
      </c>
      <c r="O830" s="151">
        <v>5</v>
      </c>
      <c r="P830" s="151" t="s">
        <v>199</v>
      </c>
    </row>
    <row r="831" spans="1:16" ht="22.5">
      <c r="A831" s="319" t="s">
        <v>6542</v>
      </c>
      <c r="B831" s="319" t="s">
        <v>6543</v>
      </c>
      <c r="C831" s="319"/>
      <c r="D831" s="319"/>
      <c r="E831" s="319" t="s">
        <v>242</v>
      </c>
      <c r="F831" s="319"/>
      <c r="G831" s="318" t="s">
        <v>1921</v>
      </c>
      <c r="H831" s="319" t="s">
        <v>5956</v>
      </c>
      <c r="I831" s="324" t="s">
        <v>198</v>
      </c>
      <c r="J831" s="324"/>
      <c r="K831" s="319" t="s">
        <v>191</v>
      </c>
      <c r="L831" s="320">
        <v>4</v>
      </c>
      <c r="M831" s="320">
        <v>4</v>
      </c>
      <c r="N831" s="322" t="s">
        <v>12</v>
      </c>
      <c r="O831" s="151">
        <v>5</v>
      </c>
      <c r="P831" s="151" t="s">
        <v>199</v>
      </c>
    </row>
    <row r="832" spans="1:16" ht="22.5">
      <c r="A832" s="319" t="s">
        <v>6544</v>
      </c>
      <c r="B832" s="319" t="s">
        <v>6545</v>
      </c>
      <c r="C832" s="319"/>
      <c r="D832" s="319"/>
      <c r="E832" s="319" t="s">
        <v>242</v>
      </c>
      <c r="F832" s="319"/>
      <c r="G832" s="318" t="s">
        <v>1921</v>
      </c>
      <c r="H832" s="319" t="s">
        <v>4740</v>
      </c>
      <c r="I832" s="324" t="s">
        <v>198</v>
      </c>
      <c r="J832" s="324"/>
      <c r="K832" s="319" t="s">
        <v>191</v>
      </c>
      <c r="L832" s="320">
        <v>4</v>
      </c>
      <c r="M832" s="320">
        <v>4</v>
      </c>
      <c r="N832" s="322" t="s">
        <v>12</v>
      </c>
      <c r="O832" s="151">
        <v>5</v>
      </c>
      <c r="P832" s="151" t="s">
        <v>199</v>
      </c>
    </row>
    <row r="833" spans="1:16" ht="22.5">
      <c r="A833" s="319" t="s">
        <v>6546</v>
      </c>
      <c r="B833" s="319" t="s">
        <v>6547</v>
      </c>
      <c r="C833" s="319"/>
      <c r="D833" s="319"/>
      <c r="E833" s="319" t="s">
        <v>242</v>
      </c>
      <c r="F833" s="319"/>
      <c r="G833" s="318" t="s">
        <v>1962</v>
      </c>
      <c r="H833" s="319" t="s">
        <v>5963</v>
      </c>
      <c r="I833" s="324" t="s">
        <v>198</v>
      </c>
      <c r="J833" s="324"/>
      <c r="K833" s="319" t="s">
        <v>191</v>
      </c>
      <c r="L833" s="320">
        <v>4</v>
      </c>
      <c r="M833" s="320">
        <v>4</v>
      </c>
      <c r="N833" s="322" t="s">
        <v>12</v>
      </c>
      <c r="O833" s="151">
        <v>5</v>
      </c>
      <c r="P833" s="151" t="s">
        <v>199</v>
      </c>
    </row>
    <row r="834" spans="1:16" ht="22.5">
      <c r="A834" s="319" t="s">
        <v>6548</v>
      </c>
      <c r="B834" s="319" t="s">
        <v>6549</v>
      </c>
      <c r="C834" s="319"/>
      <c r="D834" s="319"/>
      <c r="E834" s="319" t="s">
        <v>242</v>
      </c>
      <c r="F834" s="319"/>
      <c r="G834" s="318" t="s">
        <v>2715</v>
      </c>
      <c r="H834" s="319" t="s">
        <v>5963</v>
      </c>
      <c r="I834" s="324" t="s">
        <v>198</v>
      </c>
      <c r="J834" s="324"/>
      <c r="K834" s="319" t="s">
        <v>191</v>
      </c>
      <c r="L834" s="320">
        <v>4</v>
      </c>
      <c r="M834" s="320">
        <v>4</v>
      </c>
      <c r="N834" s="322" t="s">
        <v>14</v>
      </c>
      <c r="O834" s="151">
        <v>5</v>
      </c>
      <c r="P834" s="151" t="s">
        <v>199</v>
      </c>
    </row>
    <row r="835" spans="1:16">
      <c r="A835" s="319" t="s">
        <v>6550</v>
      </c>
      <c r="B835" s="319" t="s">
        <v>6551</v>
      </c>
      <c r="C835" s="319"/>
      <c r="D835" s="319"/>
      <c r="E835" s="319" t="s">
        <v>242</v>
      </c>
      <c r="F835" s="319"/>
      <c r="G835" s="318" t="s">
        <v>6467</v>
      </c>
      <c r="H835" s="319" t="s">
        <v>6552</v>
      </c>
      <c r="I835" s="324" t="s">
        <v>198</v>
      </c>
      <c r="J835" s="324"/>
      <c r="K835" s="319" t="s">
        <v>191</v>
      </c>
      <c r="L835" s="320">
        <v>4</v>
      </c>
      <c r="M835" s="320">
        <v>4</v>
      </c>
      <c r="N835" s="322" t="s">
        <v>14</v>
      </c>
      <c r="O835" s="151">
        <v>5</v>
      </c>
      <c r="P835" s="151" t="s">
        <v>199</v>
      </c>
    </row>
    <row r="836" spans="1:16" ht="22.5">
      <c r="A836" s="319" t="s">
        <v>6553</v>
      </c>
      <c r="B836" s="319" t="s">
        <v>6554</v>
      </c>
      <c r="C836" s="319"/>
      <c r="D836" s="319"/>
      <c r="E836" s="319" t="s">
        <v>242</v>
      </c>
      <c r="F836" s="319"/>
      <c r="G836" s="318" t="s">
        <v>1921</v>
      </c>
      <c r="H836" s="319" t="s">
        <v>4751</v>
      </c>
      <c r="I836" s="319" t="s">
        <v>188</v>
      </c>
      <c r="J836" s="324" t="s">
        <v>1453</v>
      </c>
      <c r="K836" s="319" t="s">
        <v>191</v>
      </c>
      <c r="L836" s="320">
        <v>4</v>
      </c>
      <c r="M836" s="320">
        <v>4</v>
      </c>
      <c r="N836" s="322" t="s">
        <v>12</v>
      </c>
      <c r="O836" s="151">
        <v>5</v>
      </c>
      <c r="P836" s="151" t="s">
        <v>199</v>
      </c>
    </row>
    <row r="837" spans="1:16">
      <c r="A837" s="319" t="s">
        <v>6555</v>
      </c>
      <c r="B837" s="319" t="s">
        <v>6556</v>
      </c>
      <c r="C837" s="319"/>
      <c r="D837" s="319"/>
      <c r="E837" s="319" t="s">
        <v>242</v>
      </c>
      <c r="F837" s="319"/>
      <c r="G837" s="318" t="s">
        <v>6467</v>
      </c>
      <c r="H837" s="319" t="s">
        <v>4751</v>
      </c>
      <c r="I837" s="319" t="s">
        <v>198</v>
      </c>
      <c r="J837" s="324"/>
      <c r="K837" s="319" t="s">
        <v>191</v>
      </c>
      <c r="L837" s="320">
        <v>4</v>
      </c>
      <c r="M837" s="320">
        <v>4</v>
      </c>
      <c r="N837" s="322" t="s">
        <v>14</v>
      </c>
      <c r="O837" s="151">
        <v>5</v>
      </c>
      <c r="P837" s="151" t="s">
        <v>199</v>
      </c>
    </row>
    <row r="838" spans="1:16" ht="22.5">
      <c r="A838" s="319" t="s">
        <v>6557</v>
      </c>
      <c r="B838" s="319" t="s">
        <v>6558</v>
      </c>
      <c r="C838" s="319"/>
      <c r="D838" s="319"/>
      <c r="E838" s="319" t="s">
        <v>242</v>
      </c>
      <c r="F838" s="319"/>
      <c r="G838" s="318" t="s">
        <v>1890</v>
      </c>
      <c r="H838" s="319" t="s">
        <v>4755</v>
      </c>
      <c r="I838" s="319" t="s">
        <v>198</v>
      </c>
      <c r="J838" s="324"/>
      <c r="K838" s="319" t="s">
        <v>191</v>
      </c>
      <c r="L838" s="320">
        <v>4</v>
      </c>
      <c r="M838" s="320">
        <v>4</v>
      </c>
      <c r="N838" s="322" t="s">
        <v>12</v>
      </c>
      <c r="O838" s="151">
        <v>5</v>
      </c>
      <c r="P838" s="151" t="s">
        <v>199</v>
      </c>
    </row>
    <row r="839" spans="1:16" ht="33.75">
      <c r="A839" s="319" t="s">
        <v>6559</v>
      </c>
      <c r="B839" s="319" t="s">
        <v>6560</v>
      </c>
      <c r="C839" s="319"/>
      <c r="D839" s="319"/>
      <c r="E839" s="319" t="s">
        <v>242</v>
      </c>
      <c r="F839" s="319"/>
      <c r="G839" s="318" t="s">
        <v>1890</v>
      </c>
      <c r="H839" s="319" t="s">
        <v>5970</v>
      </c>
      <c r="I839" s="319" t="s">
        <v>198</v>
      </c>
      <c r="J839" s="324"/>
      <c r="K839" s="319" t="s">
        <v>191</v>
      </c>
      <c r="L839" s="320">
        <v>4</v>
      </c>
      <c r="M839" s="320">
        <v>4</v>
      </c>
      <c r="N839" s="322" t="s">
        <v>12</v>
      </c>
      <c r="O839" s="151">
        <v>5</v>
      </c>
      <c r="P839" s="151" t="s">
        <v>199</v>
      </c>
    </row>
    <row r="840" spans="1:16" ht="22.5">
      <c r="A840" s="319" t="s">
        <v>6561</v>
      </c>
      <c r="B840" s="319" t="s">
        <v>6562</v>
      </c>
      <c r="C840" s="319"/>
      <c r="D840" s="319"/>
      <c r="E840" s="319" t="s">
        <v>242</v>
      </c>
      <c r="F840" s="319"/>
      <c r="G840" s="318" t="s">
        <v>1921</v>
      </c>
      <c r="H840" s="319" t="s">
        <v>4761</v>
      </c>
      <c r="I840" s="319" t="s">
        <v>198</v>
      </c>
      <c r="J840" s="324"/>
      <c r="K840" s="319" t="s">
        <v>191</v>
      </c>
      <c r="L840" s="320">
        <v>4</v>
      </c>
      <c r="M840" s="320">
        <v>4</v>
      </c>
      <c r="N840" s="322" t="s">
        <v>12</v>
      </c>
      <c r="O840" s="151">
        <v>5</v>
      </c>
      <c r="P840" s="151" t="s">
        <v>199</v>
      </c>
    </row>
    <row r="841" spans="1:16" ht="22.5">
      <c r="A841" s="319" t="s">
        <v>6563</v>
      </c>
      <c r="B841" s="319" t="s">
        <v>6564</v>
      </c>
      <c r="C841" s="319"/>
      <c r="D841" s="319"/>
      <c r="E841" s="319" t="s">
        <v>242</v>
      </c>
      <c r="F841" s="319"/>
      <c r="G841" s="318" t="s">
        <v>1890</v>
      </c>
      <c r="H841" s="319" t="s">
        <v>4765</v>
      </c>
      <c r="I841" s="319" t="s">
        <v>198</v>
      </c>
      <c r="J841" s="324"/>
      <c r="K841" s="319" t="s">
        <v>191</v>
      </c>
      <c r="L841" s="320">
        <v>4</v>
      </c>
      <c r="M841" s="320">
        <v>4</v>
      </c>
      <c r="N841" s="322" t="s">
        <v>12</v>
      </c>
      <c r="O841" s="151">
        <v>5</v>
      </c>
      <c r="P841" s="151" t="s">
        <v>199</v>
      </c>
    </row>
    <row r="842" spans="1:16" ht="33.75">
      <c r="A842" s="319" t="s">
        <v>6565</v>
      </c>
      <c r="B842" s="319" t="s">
        <v>6566</v>
      </c>
      <c r="C842" s="319"/>
      <c r="D842" s="319"/>
      <c r="E842" s="319" t="s">
        <v>242</v>
      </c>
      <c r="F842" s="319"/>
      <c r="G842" s="318" t="s">
        <v>1890</v>
      </c>
      <c r="H842" s="319" t="s">
        <v>5977</v>
      </c>
      <c r="I842" s="319" t="s">
        <v>198</v>
      </c>
      <c r="J842" s="324"/>
      <c r="K842" s="319" t="s">
        <v>191</v>
      </c>
      <c r="L842" s="320">
        <v>4</v>
      </c>
      <c r="M842" s="320">
        <v>4</v>
      </c>
      <c r="N842" s="322" t="s">
        <v>12</v>
      </c>
      <c r="O842" s="151">
        <v>5</v>
      </c>
      <c r="P842" s="151" t="s">
        <v>199</v>
      </c>
    </row>
    <row r="843" spans="1:16">
      <c r="A843" s="319" t="s">
        <v>6567</v>
      </c>
      <c r="B843" s="324" t="s">
        <v>6568</v>
      </c>
      <c r="C843" s="319"/>
      <c r="D843" s="319"/>
      <c r="E843" s="319" t="s">
        <v>242</v>
      </c>
      <c r="F843" s="319"/>
      <c r="G843" s="318" t="s">
        <v>1890</v>
      </c>
      <c r="H843" s="326" t="s">
        <v>4788</v>
      </c>
      <c r="I843" s="319" t="s">
        <v>198</v>
      </c>
      <c r="J843" s="324"/>
      <c r="K843" s="319" t="s">
        <v>191</v>
      </c>
      <c r="L843" s="320">
        <v>4</v>
      </c>
      <c r="M843" s="320">
        <v>4</v>
      </c>
      <c r="N843" s="322" t="s">
        <v>12</v>
      </c>
      <c r="O843" s="151">
        <v>5</v>
      </c>
      <c r="P843" s="151" t="s">
        <v>199</v>
      </c>
    </row>
    <row r="844" spans="1:16" ht="22.5">
      <c r="A844" s="319" t="s">
        <v>6569</v>
      </c>
      <c r="B844" s="324" t="s">
        <v>6570</v>
      </c>
      <c r="C844" s="319"/>
      <c r="D844" s="319"/>
      <c r="E844" s="319" t="s">
        <v>242</v>
      </c>
      <c r="F844" s="319"/>
      <c r="G844" s="318" t="s">
        <v>6464</v>
      </c>
      <c r="H844" s="324" t="s">
        <v>4791</v>
      </c>
      <c r="I844" s="319" t="s">
        <v>198</v>
      </c>
      <c r="J844" s="324"/>
      <c r="K844" s="319" t="s">
        <v>191</v>
      </c>
      <c r="L844" s="320">
        <v>4</v>
      </c>
      <c r="M844" s="320">
        <v>4</v>
      </c>
      <c r="N844" s="322" t="s">
        <v>12</v>
      </c>
      <c r="O844" s="151">
        <v>5</v>
      </c>
      <c r="P844" s="151" t="s">
        <v>199</v>
      </c>
    </row>
    <row r="845" spans="1:16" ht="22.5">
      <c r="A845" s="319" t="s">
        <v>6571</v>
      </c>
      <c r="B845" s="319" t="s">
        <v>6572</v>
      </c>
      <c r="C845" s="319"/>
      <c r="D845" s="319"/>
      <c r="E845" s="319" t="s">
        <v>242</v>
      </c>
      <c r="F845" s="319"/>
      <c r="G845" s="318" t="s">
        <v>1890</v>
      </c>
      <c r="H845" s="319" t="s">
        <v>4794</v>
      </c>
      <c r="I845" s="319" t="s">
        <v>198</v>
      </c>
      <c r="J845" s="324"/>
      <c r="K845" s="319" t="s">
        <v>191</v>
      </c>
      <c r="L845" s="320">
        <v>4</v>
      </c>
      <c r="M845" s="320">
        <v>4</v>
      </c>
      <c r="N845" s="322" t="s">
        <v>12</v>
      </c>
      <c r="O845" s="151">
        <v>5</v>
      </c>
      <c r="P845" s="151" t="s">
        <v>199</v>
      </c>
    </row>
    <row r="846" spans="1:16" ht="22.5">
      <c r="A846" s="319" t="s">
        <v>6573</v>
      </c>
      <c r="B846" s="319" t="s">
        <v>6574</v>
      </c>
      <c r="C846" s="319"/>
      <c r="D846" s="319"/>
      <c r="E846" s="319" t="s">
        <v>242</v>
      </c>
      <c r="F846" s="319"/>
      <c r="G846" s="318" t="s">
        <v>1890</v>
      </c>
      <c r="H846" s="319" t="s">
        <v>4801</v>
      </c>
      <c r="I846" s="319" t="s">
        <v>198</v>
      </c>
      <c r="J846" s="324"/>
      <c r="K846" s="319" t="s">
        <v>191</v>
      </c>
      <c r="L846" s="320">
        <v>4</v>
      </c>
      <c r="M846" s="320">
        <v>4</v>
      </c>
      <c r="N846" s="322" t="s">
        <v>12</v>
      </c>
      <c r="O846" s="151">
        <v>5</v>
      </c>
      <c r="P846" s="151" t="s">
        <v>199</v>
      </c>
    </row>
    <row r="847" spans="1:16" ht="22.5">
      <c r="A847" s="319" t="s">
        <v>6575</v>
      </c>
      <c r="B847" s="319" t="s">
        <v>6576</v>
      </c>
      <c r="C847" s="319"/>
      <c r="D847" s="319"/>
      <c r="E847" s="319" t="s">
        <v>242</v>
      </c>
      <c r="F847" s="319"/>
      <c r="G847" s="318" t="s">
        <v>1890</v>
      </c>
      <c r="H847" s="319" t="s">
        <v>5991</v>
      </c>
      <c r="I847" s="319" t="s">
        <v>198</v>
      </c>
      <c r="J847" s="324"/>
      <c r="K847" s="319" t="s">
        <v>191</v>
      </c>
      <c r="L847" s="320">
        <v>4</v>
      </c>
      <c r="M847" s="320">
        <v>4</v>
      </c>
      <c r="N847" s="322" t="s">
        <v>12</v>
      </c>
      <c r="O847" s="151">
        <v>5</v>
      </c>
      <c r="P847" s="151" t="s">
        <v>199</v>
      </c>
    </row>
    <row r="848" spans="1:16" ht="22.5">
      <c r="A848" s="319" t="s">
        <v>6577</v>
      </c>
      <c r="B848" s="319" t="s">
        <v>6578</v>
      </c>
      <c r="C848" s="319"/>
      <c r="D848" s="319"/>
      <c r="E848" s="319" t="s">
        <v>242</v>
      </c>
      <c r="F848" s="319"/>
      <c r="G848" s="318" t="s">
        <v>1921</v>
      </c>
      <c r="H848" s="319" t="s">
        <v>4835</v>
      </c>
      <c r="I848" s="319" t="s">
        <v>188</v>
      </c>
      <c r="J848" s="324" t="s">
        <v>1453</v>
      </c>
      <c r="K848" s="319" t="s">
        <v>191</v>
      </c>
      <c r="L848" s="320">
        <v>4</v>
      </c>
      <c r="M848" s="320">
        <v>4</v>
      </c>
      <c r="N848" s="322" t="s">
        <v>12</v>
      </c>
      <c r="O848" s="151">
        <v>5</v>
      </c>
      <c r="P848" s="151" t="s">
        <v>199</v>
      </c>
    </row>
    <row r="849" spans="1:16" ht="22.5">
      <c r="A849" s="319" t="s">
        <v>6579</v>
      </c>
      <c r="B849" s="319" t="s">
        <v>6580</v>
      </c>
      <c r="C849" s="319"/>
      <c r="D849" s="319"/>
      <c r="E849" s="319" t="s">
        <v>242</v>
      </c>
      <c r="F849" s="319"/>
      <c r="G849" s="318" t="s">
        <v>1921</v>
      </c>
      <c r="H849" s="319" t="s">
        <v>4838</v>
      </c>
      <c r="I849" s="319" t="s">
        <v>188</v>
      </c>
      <c r="J849" s="324" t="s">
        <v>1453</v>
      </c>
      <c r="K849" s="319" t="s">
        <v>191</v>
      </c>
      <c r="L849" s="320">
        <v>4</v>
      </c>
      <c r="M849" s="320">
        <v>4</v>
      </c>
      <c r="N849" s="322" t="s">
        <v>12</v>
      </c>
      <c r="O849" s="151">
        <v>5</v>
      </c>
      <c r="P849" s="151" t="s">
        <v>199</v>
      </c>
    </row>
    <row r="850" spans="1:16" ht="33.75">
      <c r="A850" s="319" t="s">
        <v>6581</v>
      </c>
      <c r="B850" s="319" t="s">
        <v>6582</v>
      </c>
      <c r="C850" s="319"/>
      <c r="D850" s="319"/>
      <c r="E850" s="319" t="s">
        <v>242</v>
      </c>
      <c r="F850" s="319"/>
      <c r="G850" s="318" t="s">
        <v>1890</v>
      </c>
      <c r="H850" s="319" t="s">
        <v>6583</v>
      </c>
      <c r="I850" s="319" t="s">
        <v>188</v>
      </c>
      <c r="J850" s="324" t="s">
        <v>1453</v>
      </c>
      <c r="K850" s="319" t="s">
        <v>191</v>
      </c>
      <c r="L850" s="320">
        <v>4</v>
      </c>
      <c r="M850" s="320">
        <v>4</v>
      </c>
      <c r="N850" s="322" t="s">
        <v>12</v>
      </c>
      <c r="O850" s="151">
        <v>5</v>
      </c>
      <c r="P850" s="151" t="s">
        <v>199</v>
      </c>
    </row>
    <row r="851" spans="1:16" ht="22.5">
      <c r="A851" s="319" t="s">
        <v>6584</v>
      </c>
      <c r="B851" s="319" t="s">
        <v>6585</v>
      </c>
      <c r="C851" s="319"/>
      <c r="D851" s="319"/>
      <c r="E851" s="319" t="s">
        <v>242</v>
      </c>
      <c r="F851" s="319"/>
      <c r="G851" s="318" t="s">
        <v>1890</v>
      </c>
      <c r="H851" s="319" t="s">
        <v>6586</v>
      </c>
      <c r="I851" s="319" t="s">
        <v>188</v>
      </c>
      <c r="J851" s="324" t="s">
        <v>1453</v>
      </c>
      <c r="K851" s="319" t="s">
        <v>191</v>
      </c>
      <c r="L851" s="320">
        <v>4</v>
      </c>
      <c r="M851" s="320">
        <v>4</v>
      </c>
      <c r="N851" s="322" t="s">
        <v>12</v>
      </c>
      <c r="O851" s="151">
        <v>5</v>
      </c>
      <c r="P851" s="151" t="s">
        <v>199</v>
      </c>
    </row>
    <row r="852" spans="1:16" ht="22.5">
      <c r="A852" s="319" t="s">
        <v>6587</v>
      </c>
      <c r="B852" s="319" t="s">
        <v>6588</v>
      </c>
      <c r="C852" s="319"/>
      <c r="D852" s="319"/>
      <c r="E852" s="319" t="s">
        <v>242</v>
      </c>
      <c r="F852" s="319"/>
      <c r="G852" s="318" t="s">
        <v>1890</v>
      </c>
      <c r="H852" s="319" t="s">
        <v>6589</v>
      </c>
      <c r="I852" s="319" t="s">
        <v>188</v>
      </c>
      <c r="J852" s="324" t="s">
        <v>1453</v>
      </c>
      <c r="K852" s="319" t="s">
        <v>191</v>
      </c>
      <c r="L852" s="320">
        <v>4</v>
      </c>
      <c r="M852" s="320">
        <v>4</v>
      </c>
      <c r="N852" s="322" t="s">
        <v>12</v>
      </c>
      <c r="O852" s="151">
        <v>5</v>
      </c>
      <c r="P852" s="151" t="s">
        <v>199</v>
      </c>
    </row>
    <row r="853" spans="1:16" ht="22.5">
      <c r="A853" s="319" t="s">
        <v>6590</v>
      </c>
      <c r="B853" s="319" t="s">
        <v>6591</v>
      </c>
      <c r="C853" s="319"/>
      <c r="D853" s="319"/>
      <c r="E853" s="319" t="s">
        <v>242</v>
      </c>
      <c r="F853" s="319"/>
      <c r="G853" s="318" t="s">
        <v>1921</v>
      </c>
      <c r="H853" s="319" t="s">
        <v>4884</v>
      </c>
      <c r="I853" s="319" t="s">
        <v>188</v>
      </c>
      <c r="J853" s="324" t="s">
        <v>1453</v>
      </c>
      <c r="K853" s="319" t="s">
        <v>191</v>
      </c>
      <c r="L853" s="320">
        <v>4</v>
      </c>
      <c r="M853" s="320">
        <v>4</v>
      </c>
      <c r="N853" s="322" t="s">
        <v>12</v>
      </c>
      <c r="O853" s="151">
        <v>5</v>
      </c>
      <c r="P853" s="151" t="s">
        <v>199</v>
      </c>
    </row>
    <row r="854" spans="1:16" ht="22.5">
      <c r="A854" s="319" t="s">
        <v>6592</v>
      </c>
      <c r="B854" s="319" t="s">
        <v>6593</v>
      </c>
      <c r="C854" s="319"/>
      <c r="D854" s="319"/>
      <c r="E854" s="319" t="s">
        <v>242</v>
      </c>
      <c r="F854" s="319"/>
      <c r="G854" s="318" t="s">
        <v>1890</v>
      </c>
      <c r="H854" s="319" t="s">
        <v>6594</v>
      </c>
      <c r="I854" s="319" t="s">
        <v>188</v>
      </c>
      <c r="J854" s="324" t="s">
        <v>1453</v>
      </c>
      <c r="K854" s="319" t="s">
        <v>191</v>
      </c>
      <c r="L854" s="320">
        <v>4</v>
      </c>
      <c r="M854" s="320">
        <v>4</v>
      </c>
      <c r="N854" s="322" t="s">
        <v>12</v>
      </c>
      <c r="O854" s="151">
        <v>5</v>
      </c>
      <c r="P854" s="151" t="s">
        <v>199</v>
      </c>
    </row>
    <row r="855" spans="1:16" ht="22.5">
      <c r="A855" s="319" t="s">
        <v>6595</v>
      </c>
      <c r="B855" s="319" t="s">
        <v>6596</v>
      </c>
      <c r="C855" s="319"/>
      <c r="D855" s="319"/>
      <c r="E855" s="319" t="s">
        <v>242</v>
      </c>
      <c r="F855" s="319"/>
      <c r="G855" s="318" t="s">
        <v>1921</v>
      </c>
      <c r="H855" s="319" t="s">
        <v>4891</v>
      </c>
      <c r="I855" s="319" t="s">
        <v>188</v>
      </c>
      <c r="J855" s="324" t="s">
        <v>1453</v>
      </c>
      <c r="K855" s="319" t="s">
        <v>191</v>
      </c>
      <c r="L855" s="320">
        <v>4</v>
      </c>
      <c r="M855" s="320">
        <v>4</v>
      </c>
      <c r="N855" s="322" t="s">
        <v>12</v>
      </c>
      <c r="O855" s="151">
        <v>5</v>
      </c>
      <c r="P855" s="151" t="s">
        <v>199</v>
      </c>
    </row>
    <row r="856" spans="1:16" ht="22.5">
      <c r="A856" s="319" t="s">
        <v>6597</v>
      </c>
      <c r="B856" s="319" t="s">
        <v>6598</v>
      </c>
      <c r="C856" s="319"/>
      <c r="D856" s="319"/>
      <c r="E856" s="319" t="s">
        <v>242</v>
      </c>
      <c r="F856" s="319"/>
      <c r="G856" s="318" t="s">
        <v>1890</v>
      </c>
      <c r="H856" s="337" t="s">
        <v>6599</v>
      </c>
      <c r="I856" s="319" t="s">
        <v>188</v>
      </c>
      <c r="J856" s="324" t="s">
        <v>1453</v>
      </c>
      <c r="K856" s="319" t="s">
        <v>191</v>
      </c>
      <c r="L856" s="320">
        <v>4</v>
      </c>
      <c r="M856" s="320">
        <v>4</v>
      </c>
      <c r="N856" s="322" t="s">
        <v>12</v>
      </c>
      <c r="O856" s="151">
        <v>5</v>
      </c>
      <c r="P856" s="151" t="s">
        <v>199</v>
      </c>
    </row>
    <row r="857" spans="1:16" ht="22.5">
      <c r="A857" s="319" t="s">
        <v>6600</v>
      </c>
      <c r="B857" s="319" t="s">
        <v>6601</v>
      </c>
      <c r="C857" s="319"/>
      <c r="D857" s="319"/>
      <c r="E857" s="319" t="s">
        <v>242</v>
      </c>
      <c r="F857" s="319"/>
      <c r="G857" s="318" t="s">
        <v>1890</v>
      </c>
      <c r="H857" s="319" t="s">
        <v>6019</v>
      </c>
      <c r="I857" s="319" t="s">
        <v>188</v>
      </c>
      <c r="J857" s="324" t="s">
        <v>1453</v>
      </c>
      <c r="K857" s="319" t="s">
        <v>191</v>
      </c>
      <c r="L857" s="320">
        <v>4</v>
      </c>
      <c r="M857" s="320">
        <v>4</v>
      </c>
      <c r="N857" s="322" t="s">
        <v>12</v>
      </c>
      <c r="O857" s="151">
        <v>5</v>
      </c>
      <c r="P857" s="151" t="s">
        <v>199</v>
      </c>
    </row>
    <row r="858" spans="1:16" ht="22.5">
      <c r="A858" s="319" t="s">
        <v>6602</v>
      </c>
      <c r="B858" s="319" t="s">
        <v>6603</v>
      </c>
      <c r="C858" s="319"/>
      <c r="D858" s="319"/>
      <c r="E858" s="319" t="s">
        <v>242</v>
      </c>
      <c r="F858" s="319"/>
      <c r="G858" s="318" t="s">
        <v>1890</v>
      </c>
      <c r="H858" s="319" t="s">
        <v>6022</v>
      </c>
      <c r="I858" s="319" t="s">
        <v>188</v>
      </c>
      <c r="J858" s="324" t="s">
        <v>1453</v>
      </c>
      <c r="K858" s="319" t="s">
        <v>191</v>
      </c>
      <c r="L858" s="320">
        <v>4</v>
      </c>
      <c r="M858" s="320">
        <v>4</v>
      </c>
      <c r="N858" s="322" t="s">
        <v>12</v>
      </c>
      <c r="O858" s="151">
        <v>5</v>
      </c>
      <c r="P858" s="151" t="s">
        <v>199</v>
      </c>
    </row>
    <row r="859" spans="1:16" ht="22.5">
      <c r="A859" s="319" t="s">
        <v>6604</v>
      </c>
      <c r="B859" s="324" t="s">
        <v>6605</v>
      </c>
      <c r="C859" s="319"/>
      <c r="D859" s="319"/>
      <c r="E859" s="319" t="s">
        <v>242</v>
      </c>
      <c r="F859" s="319"/>
      <c r="G859" s="318" t="s">
        <v>6464</v>
      </c>
      <c r="H859" s="319" t="s">
        <v>4903</v>
      </c>
      <c r="I859" s="338" t="s">
        <v>188</v>
      </c>
      <c r="J859" s="324" t="s">
        <v>1453</v>
      </c>
      <c r="K859" s="319" t="s">
        <v>191</v>
      </c>
      <c r="L859" s="320">
        <v>4</v>
      </c>
      <c r="M859" s="320">
        <v>4</v>
      </c>
      <c r="N859" s="322" t="s">
        <v>12</v>
      </c>
      <c r="O859" s="151">
        <v>5</v>
      </c>
      <c r="P859" s="151" t="s">
        <v>199</v>
      </c>
    </row>
    <row r="860" spans="1:16" ht="112.5">
      <c r="A860" s="319" t="s">
        <v>6606</v>
      </c>
      <c r="B860" s="324" t="s">
        <v>6607</v>
      </c>
      <c r="C860" s="319"/>
      <c r="D860" s="319"/>
      <c r="E860" s="319" t="s">
        <v>242</v>
      </c>
      <c r="F860" s="319"/>
      <c r="G860" s="318" t="s">
        <v>1890</v>
      </c>
      <c r="H860" s="327" t="s">
        <v>4906</v>
      </c>
      <c r="I860" s="150" t="s">
        <v>204</v>
      </c>
      <c r="J860" s="339" t="s">
        <v>5345</v>
      </c>
      <c r="K860" s="319" t="s">
        <v>191</v>
      </c>
      <c r="L860" s="320">
        <v>4</v>
      </c>
      <c r="M860" s="320">
        <v>4</v>
      </c>
      <c r="N860" s="322" t="s">
        <v>12</v>
      </c>
      <c r="O860" s="151">
        <v>5</v>
      </c>
      <c r="P860" s="151" t="s">
        <v>199</v>
      </c>
    </row>
    <row r="861" spans="1:16" ht="45">
      <c r="A861" s="319" t="s">
        <v>6608</v>
      </c>
      <c r="B861" s="319" t="s">
        <v>6609</v>
      </c>
      <c r="C861" s="319"/>
      <c r="D861" s="319"/>
      <c r="E861" s="319" t="s">
        <v>242</v>
      </c>
      <c r="F861" s="319"/>
      <c r="G861" s="318" t="s">
        <v>4439</v>
      </c>
      <c r="H861" s="319" t="s">
        <v>6610</v>
      </c>
      <c r="I861" s="319" t="s">
        <v>204</v>
      </c>
      <c r="J861" s="319" t="s">
        <v>6611</v>
      </c>
      <c r="K861" s="319" t="s">
        <v>191</v>
      </c>
      <c r="L861" s="320">
        <v>4</v>
      </c>
      <c r="M861" s="320">
        <v>4</v>
      </c>
      <c r="N861" s="322" t="s">
        <v>12</v>
      </c>
      <c r="O861" s="151">
        <v>5</v>
      </c>
      <c r="P861" s="151" t="s">
        <v>199</v>
      </c>
    </row>
    <row r="862" spans="1:16" ht="22.5">
      <c r="A862" s="319" t="s">
        <v>6612</v>
      </c>
      <c r="B862" s="319" t="s">
        <v>6613</v>
      </c>
      <c r="C862" s="319"/>
      <c r="D862" s="319"/>
      <c r="E862" s="319" t="s">
        <v>242</v>
      </c>
      <c r="F862" s="319"/>
      <c r="G862" s="318" t="s">
        <v>6464</v>
      </c>
      <c r="H862" s="324" t="s">
        <v>4930</v>
      </c>
      <c r="I862" s="340" t="s">
        <v>198</v>
      </c>
      <c r="J862" s="324"/>
      <c r="K862" s="319" t="s">
        <v>191</v>
      </c>
      <c r="L862" s="320">
        <v>4</v>
      </c>
      <c r="M862" s="320">
        <v>4</v>
      </c>
      <c r="N862" s="322" t="s">
        <v>12</v>
      </c>
      <c r="O862" s="151">
        <v>5</v>
      </c>
      <c r="P862" s="151" t="s">
        <v>199</v>
      </c>
    </row>
    <row r="863" spans="1:16" ht="22.5">
      <c r="A863" s="319" t="s">
        <v>6614</v>
      </c>
      <c r="B863" s="319" t="s">
        <v>6615</v>
      </c>
      <c r="C863" s="319"/>
      <c r="D863" s="319"/>
      <c r="E863" s="319" t="s">
        <v>242</v>
      </c>
      <c r="F863" s="319"/>
      <c r="G863" s="318" t="s">
        <v>6467</v>
      </c>
      <c r="H863" s="324" t="s">
        <v>6616</v>
      </c>
      <c r="I863" s="340" t="s">
        <v>198</v>
      </c>
      <c r="J863" s="324"/>
      <c r="K863" s="319" t="s">
        <v>191</v>
      </c>
      <c r="L863" s="320">
        <v>4</v>
      </c>
      <c r="M863" s="320">
        <v>4</v>
      </c>
      <c r="N863" s="322" t="s">
        <v>14</v>
      </c>
      <c r="O863" s="151">
        <v>5</v>
      </c>
      <c r="P863" s="151" t="s">
        <v>199</v>
      </c>
    </row>
    <row r="864" spans="1:16" ht="22.5">
      <c r="A864" s="319" t="s">
        <v>6617</v>
      </c>
      <c r="B864" s="319" t="s">
        <v>6618</v>
      </c>
      <c r="C864" s="319"/>
      <c r="D864" s="319"/>
      <c r="E864" s="319" t="s">
        <v>242</v>
      </c>
      <c r="F864" s="319"/>
      <c r="G864" s="318" t="s">
        <v>1890</v>
      </c>
      <c r="H864" s="319" t="s">
        <v>6619</v>
      </c>
      <c r="I864" s="319" t="s">
        <v>188</v>
      </c>
      <c r="J864" s="324" t="s">
        <v>1453</v>
      </c>
      <c r="K864" s="319" t="s">
        <v>191</v>
      </c>
      <c r="L864" s="320">
        <v>4</v>
      </c>
      <c r="M864" s="320">
        <v>4</v>
      </c>
      <c r="N864" s="322" t="s">
        <v>12</v>
      </c>
      <c r="O864" s="151">
        <v>5</v>
      </c>
      <c r="P864" s="151" t="s">
        <v>199</v>
      </c>
    </row>
    <row r="865" spans="1:16" ht="22.5">
      <c r="A865" s="319" t="s">
        <v>6620</v>
      </c>
      <c r="B865" s="319" t="s">
        <v>6621</v>
      </c>
      <c r="C865" s="319"/>
      <c r="D865" s="319"/>
      <c r="E865" s="319" t="s">
        <v>242</v>
      </c>
      <c r="F865" s="319"/>
      <c r="G865" s="318" t="s">
        <v>1890</v>
      </c>
      <c r="H865" s="319" t="s">
        <v>6622</v>
      </c>
      <c r="I865" s="319" t="s">
        <v>188</v>
      </c>
      <c r="J865" s="324" t="s">
        <v>1453</v>
      </c>
      <c r="K865" s="319" t="s">
        <v>191</v>
      </c>
      <c r="L865" s="320">
        <v>4</v>
      </c>
      <c r="M865" s="320">
        <v>4</v>
      </c>
      <c r="N865" s="322" t="s">
        <v>12</v>
      </c>
      <c r="O865" s="151">
        <v>5</v>
      </c>
      <c r="P865" s="151" t="s">
        <v>199</v>
      </c>
    </row>
    <row r="866" spans="1:16" ht="22.5">
      <c r="A866" s="319" t="s">
        <v>6623</v>
      </c>
      <c r="B866" s="319" t="s">
        <v>6624</v>
      </c>
      <c r="C866" s="319"/>
      <c r="D866" s="319"/>
      <c r="E866" s="319" t="s">
        <v>242</v>
      </c>
      <c r="F866" s="319"/>
      <c r="G866" s="318" t="s">
        <v>1921</v>
      </c>
      <c r="H866" s="319" t="s">
        <v>6051</v>
      </c>
      <c r="I866" s="319" t="s">
        <v>188</v>
      </c>
      <c r="J866" s="324" t="s">
        <v>1453</v>
      </c>
      <c r="K866" s="319" t="s">
        <v>191</v>
      </c>
      <c r="L866" s="320">
        <v>4</v>
      </c>
      <c r="M866" s="320">
        <v>4</v>
      </c>
      <c r="N866" s="322" t="s">
        <v>12</v>
      </c>
      <c r="O866" s="151">
        <v>5</v>
      </c>
      <c r="P866" s="151" t="s">
        <v>199</v>
      </c>
    </row>
    <row r="867" spans="1:16" ht="22.5">
      <c r="A867" s="319" t="s">
        <v>6625</v>
      </c>
      <c r="B867" s="319" t="s">
        <v>6626</v>
      </c>
      <c r="C867" s="319"/>
      <c r="D867" s="319"/>
      <c r="E867" s="319" t="s">
        <v>242</v>
      </c>
      <c r="F867" s="319"/>
      <c r="G867" s="318" t="s">
        <v>6627</v>
      </c>
      <c r="H867" s="319" t="s">
        <v>6628</v>
      </c>
      <c r="I867" s="319" t="s">
        <v>188</v>
      </c>
      <c r="J867" s="324" t="s">
        <v>1453</v>
      </c>
      <c r="K867" s="319" t="s">
        <v>191</v>
      </c>
      <c r="L867" s="320">
        <v>4</v>
      </c>
      <c r="M867" s="320">
        <v>4</v>
      </c>
      <c r="N867" s="322" t="s">
        <v>14</v>
      </c>
      <c r="O867" s="151">
        <v>5</v>
      </c>
      <c r="P867" s="151" t="s">
        <v>199</v>
      </c>
    </row>
    <row r="868" spans="1:16" ht="22.5">
      <c r="A868" s="319" t="s">
        <v>6629</v>
      </c>
      <c r="B868" s="319" t="s">
        <v>6630</v>
      </c>
      <c r="C868" s="319"/>
      <c r="D868" s="319"/>
      <c r="E868" s="319" t="s">
        <v>242</v>
      </c>
      <c r="F868" s="319"/>
      <c r="G868" s="318" t="s">
        <v>6627</v>
      </c>
      <c r="H868" s="319" t="s">
        <v>6631</v>
      </c>
      <c r="I868" s="319" t="s">
        <v>188</v>
      </c>
      <c r="J868" s="324" t="s">
        <v>1453</v>
      </c>
      <c r="K868" s="319" t="s">
        <v>191</v>
      </c>
      <c r="L868" s="320">
        <v>4</v>
      </c>
      <c r="M868" s="320">
        <v>4</v>
      </c>
      <c r="N868" s="322" t="s">
        <v>14</v>
      </c>
      <c r="O868" s="151">
        <v>5</v>
      </c>
      <c r="P868" s="151" t="s">
        <v>199</v>
      </c>
    </row>
    <row r="869" spans="1:16" ht="22.5">
      <c r="A869" s="319" t="s">
        <v>6632</v>
      </c>
      <c r="B869" s="319" t="s">
        <v>6633</v>
      </c>
      <c r="C869" s="319"/>
      <c r="D869" s="319"/>
      <c r="E869" s="319" t="s">
        <v>242</v>
      </c>
      <c r="F869" s="319"/>
      <c r="G869" s="318" t="s">
        <v>1890</v>
      </c>
      <c r="H869" s="319" t="s">
        <v>6634</v>
      </c>
      <c r="I869" s="319" t="s">
        <v>188</v>
      </c>
      <c r="J869" s="324" t="s">
        <v>1453</v>
      </c>
      <c r="K869" s="319" t="s">
        <v>191</v>
      </c>
      <c r="L869" s="320">
        <v>4</v>
      </c>
      <c r="M869" s="320">
        <v>4</v>
      </c>
      <c r="N869" s="322" t="s">
        <v>12</v>
      </c>
      <c r="O869" s="151">
        <v>5</v>
      </c>
      <c r="P869" s="151" t="s">
        <v>199</v>
      </c>
    </row>
    <row r="870" spans="1:16" ht="22.5">
      <c r="A870" s="319" t="s">
        <v>6635</v>
      </c>
      <c r="B870" s="319" t="s">
        <v>6636</v>
      </c>
      <c r="C870" s="319"/>
      <c r="D870" s="319"/>
      <c r="E870" s="319" t="s">
        <v>242</v>
      </c>
      <c r="F870" s="319"/>
      <c r="G870" s="318" t="s">
        <v>1921</v>
      </c>
      <c r="H870" s="319" t="s">
        <v>5006</v>
      </c>
      <c r="I870" s="319" t="s">
        <v>188</v>
      </c>
      <c r="J870" s="324" t="s">
        <v>1453</v>
      </c>
      <c r="K870" s="319" t="s">
        <v>191</v>
      </c>
      <c r="L870" s="320">
        <v>4</v>
      </c>
      <c r="M870" s="320">
        <v>4</v>
      </c>
      <c r="N870" s="322" t="s">
        <v>12</v>
      </c>
      <c r="O870" s="151">
        <v>5</v>
      </c>
      <c r="P870" s="151" t="s">
        <v>199</v>
      </c>
    </row>
    <row r="871" spans="1:16" ht="22.5">
      <c r="A871" s="319" t="s">
        <v>6637</v>
      </c>
      <c r="B871" s="319" t="s">
        <v>6638</v>
      </c>
      <c r="C871" s="319"/>
      <c r="D871" s="319"/>
      <c r="E871" s="319" t="s">
        <v>242</v>
      </c>
      <c r="F871" s="319"/>
      <c r="G871" s="318" t="s">
        <v>1890</v>
      </c>
      <c r="H871" s="319" t="s">
        <v>6639</v>
      </c>
      <c r="I871" s="319" t="s">
        <v>188</v>
      </c>
      <c r="J871" s="324" t="s">
        <v>1453</v>
      </c>
      <c r="K871" s="319" t="s">
        <v>191</v>
      </c>
      <c r="L871" s="320">
        <v>4</v>
      </c>
      <c r="M871" s="320">
        <v>4</v>
      </c>
      <c r="N871" s="322" t="s">
        <v>12</v>
      </c>
      <c r="O871" s="151">
        <v>5</v>
      </c>
      <c r="P871" s="151" t="s">
        <v>199</v>
      </c>
    </row>
    <row r="872" spans="1:16" ht="22.5">
      <c r="A872" s="319" t="s">
        <v>6640</v>
      </c>
      <c r="B872" s="319" t="s">
        <v>6641</v>
      </c>
      <c r="C872" s="319"/>
      <c r="D872" s="319"/>
      <c r="E872" s="319" t="s">
        <v>242</v>
      </c>
      <c r="F872" s="319"/>
      <c r="G872" s="318" t="s">
        <v>6464</v>
      </c>
      <c r="H872" s="319" t="s">
        <v>5012</v>
      </c>
      <c r="I872" s="319" t="s">
        <v>188</v>
      </c>
      <c r="J872" s="324" t="s">
        <v>1453</v>
      </c>
      <c r="K872" s="319" t="s">
        <v>191</v>
      </c>
      <c r="L872" s="320">
        <v>4</v>
      </c>
      <c r="M872" s="320">
        <v>4</v>
      </c>
      <c r="N872" s="322" t="s">
        <v>12</v>
      </c>
      <c r="O872" s="151">
        <v>5</v>
      </c>
      <c r="P872" s="151" t="s">
        <v>199</v>
      </c>
    </row>
    <row r="873" spans="1:16" ht="22.5">
      <c r="A873" s="319" t="s">
        <v>6642</v>
      </c>
      <c r="B873" s="319" t="s">
        <v>6643</v>
      </c>
      <c r="C873" s="319"/>
      <c r="D873" s="319"/>
      <c r="E873" s="319" t="s">
        <v>242</v>
      </c>
      <c r="F873" s="319"/>
      <c r="G873" s="318" t="s">
        <v>6467</v>
      </c>
      <c r="H873" s="319" t="s">
        <v>6644</v>
      </c>
      <c r="I873" s="319" t="s">
        <v>188</v>
      </c>
      <c r="J873" s="324" t="s">
        <v>1453</v>
      </c>
      <c r="K873" s="319" t="s">
        <v>191</v>
      </c>
      <c r="L873" s="320">
        <v>4</v>
      </c>
      <c r="M873" s="320">
        <v>4</v>
      </c>
      <c r="N873" s="322" t="s">
        <v>14</v>
      </c>
      <c r="O873" s="151">
        <v>5</v>
      </c>
      <c r="P873" s="151" t="s">
        <v>199</v>
      </c>
    </row>
    <row r="874" spans="1:16" ht="22.5">
      <c r="A874" s="319" t="s">
        <v>6645</v>
      </c>
      <c r="B874" s="319" t="s">
        <v>6646</v>
      </c>
      <c r="C874" s="319"/>
      <c r="D874" s="319"/>
      <c r="E874" s="319" t="s">
        <v>242</v>
      </c>
      <c r="F874" s="319"/>
      <c r="G874" s="318" t="s">
        <v>6467</v>
      </c>
      <c r="H874" s="319" t="s">
        <v>6647</v>
      </c>
      <c r="I874" s="319" t="s">
        <v>188</v>
      </c>
      <c r="J874" s="324" t="s">
        <v>1453</v>
      </c>
      <c r="K874" s="319" t="s">
        <v>191</v>
      </c>
      <c r="L874" s="320">
        <v>4</v>
      </c>
      <c r="M874" s="320">
        <v>4</v>
      </c>
      <c r="N874" s="322" t="s">
        <v>14</v>
      </c>
      <c r="O874" s="151">
        <v>5</v>
      </c>
      <c r="P874" s="151" t="s">
        <v>199</v>
      </c>
    </row>
    <row r="875" spans="1:16" ht="22.5">
      <c r="A875" s="319" t="s">
        <v>6648</v>
      </c>
      <c r="B875" s="319" t="s">
        <v>6649</v>
      </c>
      <c r="C875" s="319"/>
      <c r="D875" s="319"/>
      <c r="E875" s="319" t="s">
        <v>242</v>
      </c>
      <c r="F875" s="319"/>
      <c r="G875" s="318" t="s">
        <v>6464</v>
      </c>
      <c r="H875" s="319" t="s">
        <v>5015</v>
      </c>
      <c r="I875" s="319" t="s">
        <v>188</v>
      </c>
      <c r="J875" s="324" t="s">
        <v>1453</v>
      </c>
      <c r="K875" s="319" t="s">
        <v>191</v>
      </c>
      <c r="L875" s="320">
        <v>4</v>
      </c>
      <c r="M875" s="320">
        <v>4</v>
      </c>
      <c r="N875" s="322" t="s">
        <v>12</v>
      </c>
      <c r="O875" s="151">
        <v>5</v>
      </c>
      <c r="P875" s="151" t="s">
        <v>199</v>
      </c>
    </row>
    <row r="876" spans="1:16" ht="33.75">
      <c r="A876" s="319" t="s">
        <v>6650</v>
      </c>
      <c r="B876" s="319" t="s">
        <v>6651</v>
      </c>
      <c r="C876" s="319"/>
      <c r="D876" s="319"/>
      <c r="E876" s="319" t="s">
        <v>242</v>
      </c>
      <c r="F876" s="319"/>
      <c r="G876" s="318" t="s">
        <v>1890</v>
      </c>
      <c r="H876" s="319" t="s">
        <v>6060</v>
      </c>
      <c r="I876" s="319" t="s">
        <v>188</v>
      </c>
      <c r="J876" s="324" t="s">
        <v>1453</v>
      </c>
      <c r="K876" s="319" t="s">
        <v>191</v>
      </c>
      <c r="L876" s="320">
        <v>4</v>
      </c>
      <c r="M876" s="320">
        <v>4</v>
      </c>
      <c r="N876" s="322" t="s">
        <v>12</v>
      </c>
      <c r="O876" s="151">
        <v>5</v>
      </c>
      <c r="P876" s="151" t="s">
        <v>199</v>
      </c>
    </row>
    <row r="877" spans="1:16" ht="33.75">
      <c r="A877" s="319" t="s">
        <v>6652</v>
      </c>
      <c r="B877" s="319" t="s">
        <v>6653</v>
      </c>
      <c r="C877" s="319"/>
      <c r="D877" s="319"/>
      <c r="E877" s="319" t="s">
        <v>242</v>
      </c>
      <c r="F877" s="319"/>
      <c r="G877" s="318" t="s">
        <v>6467</v>
      </c>
      <c r="H877" s="319" t="s">
        <v>6654</v>
      </c>
      <c r="I877" s="319" t="s">
        <v>188</v>
      </c>
      <c r="J877" s="324" t="s">
        <v>1453</v>
      </c>
      <c r="K877" s="319" t="s">
        <v>191</v>
      </c>
      <c r="L877" s="320">
        <v>4</v>
      </c>
      <c r="M877" s="320">
        <v>4</v>
      </c>
      <c r="N877" s="322" t="s">
        <v>14</v>
      </c>
      <c r="O877" s="151">
        <v>5</v>
      </c>
      <c r="P877" s="151" t="s">
        <v>199</v>
      </c>
    </row>
    <row r="878" spans="1:16" ht="33.75">
      <c r="A878" s="319" t="s">
        <v>6655</v>
      </c>
      <c r="B878" s="319" t="s">
        <v>6656</v>
      </c>
      <c r="C878" s="319"/>
      <c r="D878" s="319"/>
      <c r="E878" s="319" t="s">
        <v>242</v>
      </c>
      <c r="F878" s="319"/>
      <c r="G878" s="318" t="s">
        <v>6467</v>
      </c>
      <c r="H878" s="319" t="s">
        <v>6657</v>
      </c>
      <c r="I878" s="319" t="s">
        <v>188</v>
      </c>
      <c r="J878" s="324" t="s">
        <v>1453</v>
      </c>
      <c r="K878" s="319" t="s">
        <v>191</v>
      </c>
      <c r="L878" s="320">
        <v>4</v>
      </c>
      <c r="M878" s="320">
        <v>4</v>
      </c>
      <c r="N878" s="322" t="s">
        <v>14</v>
      </c>
      <c r="O878" s="151">
        <v>5</v>
      </c>
      <c r="P878" s="151" t="s">
        <v>199</v>
      </c>
    </row>
    <row r="879" spans="1:16" ht="22.5">
      <c r="A879" s="319" t="s">
        <v>6658</v>
      </c>
      <c r="B879" s="319" t="s">
        <v>6659</v>
      </c>
      <c r="C879" s="319"/>
      <c r="D879" s="319"/>
      <c r="E879" s="319" t="s">
        <v>242</v>
      </c>
      <c r="F879" s="319"/>
      <c r="G879" s="318" t="s">
        <v>6464</v>
      </c>
      <c r="H879" s="319" t="s">
        <v>5021</v>
      </c>
      <c r="I879" s="319" t="s">
        <v>188</v>
      </c>
      <c r="J879" s="324" t="s">
        <v>1453</v>
      </c>
      <c r="K879" s="319" t="s">
        <v>191</v>
      </c>
      <c r="L879" s="320">
        <v>4</v>
      </c>
      <c r="M879" s="320">
        <v>4</v>
      </c>
      <c r="N879" s="322" t="s">
        <v>12</v>
      </c>
      <c r="O879" s="151">
        <v>5</v>
      </c>
      <c r="P879" s="151" t="s">
        <v>199</v>
      </c>
    </row>
    <row r="880" spans="1:16" ht="22.5">
      <c r="A880" s="319" t="s">
        <v>6660</v>
      </c>
      <c r="B880" s="319" t="s">
        <v>6661</v>
      </c>
      <c r="C880" s="319"/>
      <c r="D880" s="319"/>
      <c r="E880" s="319" t="s">
        <v>242</v>
      </c>
      <c r="F880" s="319"/>
      <c r="G880" s="318" t="s">
        <v>6467</v>
      </c>
      <c r="H880" s="319" t="s">
        <v>6662</v>
      </c>
      <c r="I880" s="319" t="s">
        <v>188</v>
      </c>
      <c r="J880" s="324" t="s">
        <v>1453</v>
      </c>
      <c r="K880" s="319" t="s">
        <v>191</v>
      </c>
      <c r="L880" s="320">
        <v>4</v>
      </c>
      <c r="M880" s="320">
        <v>4</v>
      </c>
      <c r="N880" s="322" t="s">
        <v>14</v>
      </c>
      <c r="O880" s="151">
        <v>5</v>
      </c>
      <c r="P880" s="151" t="s">
        <v>199</v>
      </c>
    </row>
    <row r="881" spans="1:16" ht="22.5">
      <c r="A881" s="319" t="s">
        <v>6663</v>
      </c>
      <c r="B881" s="319" t="s">
        <v>6664</v>
      </c>
      <c r="C881" s="319"/>
      <c r="D881" s="319"/>
      <c r="E881" s="319" t="s">
        <v>242</v>
      </c>
      <c r="F881" s="319"/>
      <c r="G881" s="318" t="s">
        <v>6467</v>
      </c>
      <c r="H881" s="319" t="s">
        <v>6665</v>
      </c>
      <c r="I881" s="319" t="s">
        <v>188</v>
      </c>
      <c r="J881" s="324" t="s">
        <v>1453</v>
      </c>
      <c r="K881" s="319" t="s">
        <v>191</v>
      </c>
      <c r="L881" s="320">
        <v>4</v>
      </c>
      <c r="M881" s="320">
        <v>4</v>
      </c>
      <c r="N881" s="322" t="s">
        <v>14</v>
      </c>
      <c r="O881" s="151">
        <v>5</v>
      </c>
      <c r="P881" s="151" t="s">
        <v>199</v>
      </c>
    </row>
    <row r="882" spans="1:16" ht="22.5">
      <c r="A882" s="319" t="s">
        <v>6666</v>
      </c>
      <c r="B882" s="319" t="s">
        <v>6667</v>
      </c>
      <c r="C882" s="319"/>
      <c r="D882" s="319"/>
      <c r="E882" s="319" t="s">
        <v>242</v>
      </c>
      <c r="F882" s="319"/>
      <c r="G882" s="318" t="s">
        <v>1921</v>
      </c>
      <c r="H882" s="319" t="s">
        <v>6065</v>
      </c>
      <c r="I882" s="319" t="s">
        <v>188</v>
      </c>
      <c r="J882" s="324" t="s">
        <v>1453</v>
      </c>
      <c r="K882" s="319" t="s">
        <v>191</v>
      </c>
      <c r="L882" s="320">
        <v>4</v>
      </c>
      <c r="M882" s="320">
        <v>4</v>
      </c>
      <c r="N882" s="322" t="s">
        <v>12</v>
      </c>
      <c r="O882" s="151">
        <v>5</v>
      </c>
      <c r="P882" s="151" t="s">
        <v>199</v>
      </c>
    </row>
    <row r="883" spans="1:16" ht="22.5">
      <c r="A883" s="319" t="s">
        <v>6668</v>
      </c>
      <c r="B883" s="319" t="s">
        <v>6669</v>
      </c>
      <c r="C883" s="319"/>
      <c r="D883" s="319"/>
      <c r="E883" s="319" t="s">
        <v>242</v>
      </c>
      <c r="F883" s="319"/>
      <c r="G883" s="318" t="s">
        <v>1921</v>
      </c>
      <c r="H883" s="319" t="s">
        <v>6068</v>
      </c>
      <c r="I883" s="319" t="s">
        <v>188</v>
      </c>
      <c r="J883" s="324" t="s">
        <v>1453</v>
      </c>
      <c r="K883" s="319" t="s">
        <v>191</v>
      </c>
      <c r="L883" s="320">
        <v>4</v>
      </c>
      <c r="M883" s="320">
        <v>4</v>
      </c>
      <c r="N883" s="322" t="s">
        <v>12</v>
      </c>
      <c r="O883" s="151">
        <v>5</v>
      </c>
      <c r="P883" s="151" t="s">
        <v>199</v>
      </c>
    </row>
    <row r="884" spans="1:16" ht="22.5">
      <c r="A884" s="319" t="s">
        <v>6670</v>
      </c>
      <c r="B884" s="319" t="s">
        <v>6671</v>
      </c>
      <c r="C884" s="319"/>
      <c r="D884" s="319"/>
      <c r="E884" s="319" t="s">
        <v>242</v>
      </c>
      <c r="F884" s="319"/>
      <c r="G884" s="318" t="s">
        <v>6464</v>
      </c>
      <c r="H884" s="319" t="s">
        <v>5030</v>
      </c>
      <c r="I884" s="319" t="s">
        <v>188</v>
      </c>
      <c r="J884" s="324" t="s">
        <v>1453</v>
      </c>
      <c r="K884" s="319" t="s">
        <v>191</v>
      </c>
      <c r="L884" s="320">
        <v>4</v>
      </c>
      <c r="M884" s="320">
        <v>4</v>
      </c>
      <c r="N884" s="322" t="s">
        <v>12</v>
      </c>
      <c r="O884" s="151">
        <v>5</v>
      </c>
      <c r="P884" s="151" t="s">
        <v>199</v>
      </c>
    </row>
    <row r="885" spans="1:16" ht="22.5">
      <c r="A885" s="319" t="s">
        <v>6672</v>
      </c>
      <c r="B885" s="319" t="s">
        <v>6673</v>
      </c>
      <c r="C885" s="319"/>
      <c r="D885" s="319"/>
      <c r="E885" s="319" t="s">
        <v>242</v>
      </c>
      <c r="F885" s="319"/>
      <c r="G885" s="318" t="s">
        <v>6464</v>
      </c>
      <c r="H885" s="319" t="s">
        <v>5033</v>
      </c>
      <c r="I885" s="319" t="s">
        <v>188</v>
      </c>
      <c r="J885" s="324" t="s">
        <v>1453</v>
      </c>
      <c r="K885" s="319" t="s">
        <v>191</v>
      </c>
      <c r="L885" s="320">
        <v>4</v>
      </c>
      <c r="M885" s="320">
        <v>4</v>
      </c>
      <c r="N885" s="322" t="s">
        <v>12</v>
      </c>
      <c r="O885" s="151">
        <v>5</v>
      </c>
      <c r="P885" s="151" t="s">
        <v>199</v>
      </c>
    </row>
    <row r="886" spans="1:16" ht="22.5">
      <c r="A886" s="319" t="s">
        <v>6674</v>
      </c>
      <c r="B886" s="319" t="s">
        <v>6675</v>
      </c>
      <c r="C886" s="319"/>
      <c r="D886" s="319"/>
      <c r="E886" s="319" t="s">
        <v>242</v>
      </c>
      <c r="F886" s="319"/>
      <c r="G886" s="318" t="s">
        <v>6467</v>
      </c>
      <c r="H886" s="319" t="s">
        <v>6676</v>
      </c>
      <c r="I886" s="319" t="s">
        <v>188</v>
      </c>
      <c r="J886" s="324" t="s">
        <v>1453</v>
      </c>
      <c r="K886" s="319" t="s">
        <v>191</v>
      </c>
      <c r="L886" s="320">
        <v>4</v>
      </c>
      <c r="M886" s="320">
        <v>4</v>
      </c>
      <c r="N886" s="322" t="s">
        <v>14</v>
      </c>
      <c r="O886" s="151">
        <v>5</v>
      </c>
      <c r="P886" s="151" t="s">
        <v>199</v>
      </c>
    </row>
    <row r="887" spans="1:16" ht="22.5">
      <c r="A887" s="319" t="s">
        <v>6677</v>
      </c>
      <c r="B887" s="319" t="s">
        <v>6678</v>
      </c>
      <c r="C887" s="319"/>
      <c r="D887" s="319"/>
      <c r="E887" s="319" t="s">
        <v>242</v>
      </c>
      <c r="F887" s="319"/>
      <c r="G887" s="318" t="s">
        <v>6467</v>
      </c>
      <c r="H887" s="319" t="s">
        <v>6679</v>
      </c>
      <c r="I887" s="319" t="s">
        <v>188</v>
      </c>
      <c r="J887" s="324" t="s">
        <v>1453</v>
      </c>
      <c r="K887" s="319" t="s">
        <v>191</v>
      </c>
      <c r="L887" s="320">
        <v>4</v>
      </c>
      <c r="M887" s="320">
        <v>4</v>
      </c>
      <c r="N887" s="322" t="s">
        <v>14</v>
      </c>
      <c r="O887" s="151">
        <v>5</v>
      </c>
      <c r="P887" s="151" t="s">
        <v>199</v>
      </c>
    </row>
    <row r="888" spans="1:16" ht="22.5">
      <c r="A888" s="319" t="s">
        <v>6680</v>
      </c>
      <c r="B888" s="319" t="s">
        <v>6681</v>
      </c>
      <c r="C888" s="319"/>
      <c r="D888" s="319"/>
      <c r="E888" s="319" t="s">
        <v>242</v>
      </c>
      <c r="F888" s="319"/>
      <c r="G888" s="318" t="s">
        <v>1921</v>
      </c>
      <c r="H888" s="319" t="s">
        <v>5036</v>
      </c>
      <c r="I888" s="319" t="s">
        <v>188</v>
      </c>
      <c r="J888" s="324" t="s">
        <v>1453</v>
      </c>
      <c r="K888" s="319" t="s">
        <v>191</v>
      </c>
      <c r="L888" s="320">
        <v>4</v>
      </c>
      <c r="M888" s="320">
        <v>4</v>
      </c>
      <c r="N888" s="322" t="s">
        <v>12</v>
      </c>
      <c r="O888" s="151">
        <v>5</v>
      </c>
      <c r="P888" s="151" t="s">
        <v>199</v>
      </c>
    </row>
    <row r="889" spans="1:16" ht="22.5">
      <c r="A889" s="319" t="s">
        <v>6682</v>
      </c>
      <c r="B889" s="319" t="s">
        <v>6683</v>
      </c>
      <c r="C889" s="319"/>
      <c r="D889" s="319"/>
      <c r="E889" s="319" t="s">
        <v>242</v>
      </c>
      <c r="F889" s="319"/>
      <c r="G889" s="318" t="s">
        <v>6464</v>
      </c>
      <c r="H889" s="319" t="s">
        <v>5039</v>
      </c>
      <c r="I889" s="319" t="s">
        <v>188</v>
      </c>
      <c r="J889" s="324" t="s">
        <v>1453</v>
      </c>
      <c r="K889" s="319" t="s">
        <v>191</v>
      </c>
      <c r="L889" s="320">
        <v>4</v>
      </c>
      <c r="M889" s="320">
        <v>4</v>
      </c>
      <c r="N889" s="322" t="s">
        <v>12</v>
      </c>
      <c r="O889" s="151">
        <v>5</v>
      </c>
      <c r="P889" s="151" t="s">
        <v>199</v>
      </c>
    </row>
    <row r="890" spans="1:16" ht="22.5">
      <c r="A890" s="319" t="s">
        <v>6684</v>
      </c>
      <c r="B890" s="319" t="s">
        <v>6685</v>
      </c>
      <c r="C890" s="319"/>
      <c r="D890" s="319"/>
      <c r="E890" s="319" t="s">
        <v>242</v>
      </c>
      <c r="F890" s="319"/>
      <c r="G890" s="318" t="s">
        <v>6464</v>
      </c>
      <c r="H890" s="319" t="s">
        <v>5042</v>
      </c>
      <c r="I890" s="319" t="s">
        <v>188</v>
      </c>
      <c r="J890" s="324" t="s">
        <v>1453</v>
      </c>
      <c r="K890" s="319" t="s">
        <v>191</v>
      </c>
      <c r="L890" s="320">
        <v>4</v>
      </c>
      <c r="M890" s="320">
        <v>4</v>
      </c>
      <c r="N890" s="322" t="s">
        <v>12</v>
      </c>
      <c r="O890" s="151">
        <v>5</v>
      </c>
      <c r="P890" s="151" t="s">
        <v>199</v>
      </c>
    </row>
    <row r="891" spans="1:16" ht="33.75">
      <c r="A891" s="319" t="s">
        <v>6686</v>
      </c>
      <c r="B891" s="319" t="s">
        <v>6687</v>
      </c>
      <c r="C891" s="319"/>
      <c r="D891" s="319"/>
      <c r="E891" s="319" t="s">
        <v>242</v>
      </c>
      <c r="F891" s="319"/>
      <c r="G891" s="318" t="s">
        <v>6464</v>
      </c>
      <c r="H891" s="319" t="s">
        <v>5045</v>
      </c>
      <c r="I891" s="319" t="s">
        <v>188</v>
      </c>
      <c r="J891" s="324" t="s">
        <v>1453</v>
      </c>
      <c r="K891" s="319" t="s">
        <v>191</v>
      </c>
      <c r="L891" s="320">
        <v>4</v>
      </c>
      <c r="M891" s="320">
        <v>4</v>
      </c>
      <c r="N891" s="322" t="s">
        <v>12</v>
      </c>
      <c r="O891" s="151">
        <v>5</v>
      </c>
      <c r="P891" s="151" t="s">
        <v>199</v>
      </c>
    </row>
    <row r="892" spans="1:16" ht="22.5">
      <c r="A892" s="319" t="s">
        <v>6688</v>
      </c>
      <c r="B892" s="319" t="s">
        <v>6689</v>
      </c>
      <c r="C892" s="319"/>
      <c r="D892" s="319"/>
      <c r="E892" s="319" t="s">
        <v>242</v>
      </c>
      <c r="F892" s="319"/>
      <c r="G892" s="318" t="s">
        <v>6464</v>
      </c>
      <c r="H892" s="319" t="s">
        <v>5048</v>
      </c>
      <c r="I892" s="319" t="s">
        <v>188</v>
      </c>
      <c r="J892" s="324" t="s">
        <v>1453</v>
      </c>
      <c r="K892" s="319" t="s">
        <v>191</v>
      </c>
      <c r="L892" s="320">
        <v>4</v>
      </c>
      <c r="M892" s="320">
        <v>4</v>
      </c>
      <c r="N892" s="322" t="s">
        <v>12</v>
      </c>
      <c r="O892" s="151">
        <v>5</v>
      </c>
      <c r="P892" s="151" t="s">
        <v>199</v>
      </c>
    </row>
    <row r="893" spans="1:16" ht="22.5">
      <c r="A893" s="319" t="s">
        <v>6690</v>
      </c>
      <c r="B893" s="324" t="s">
        <v>6691</v>
      </c>
      <c r="C893" s="319"/>
      <c r="D893" s="319"/>
      <c r="E893" s="319" t="s">
        <v>242</v>
      </c>
      <c r="F893" s="319"/>
      <c r="G893" s="318" t="s">
        <v>6464</v>
      </c>
      <c r="H893" s="319" t="s">
        <v>5051</v>
      </c>
      <c r="I893" s="319" t="s">
        <v>188</v>
      </c>
      <c r="J893" s="324" t="s">
        <v>1453</v>
      </c>
      <c r="K893" s="319" t="s">
        <v>191</v>
      </c>
      <c r="L893" s="320">
        <v>4</v>
      </c>
      <c r="M893" s="320">
        <v>4</v>
      </c>
      <c r="N893" s="322" t="s">
        <v>12</v>
      </c>
      <c r="O893" s="151">
        <v>5</v>
      </c>
      <c r="P893" s="151" t="s">
        <v>199</v>
      </c>
    </row>
    <row r="894" spans="1:16" ht="22.5">
      <c r="A894" s="319" t="s">
        <v>6692</v>
      </c>
      <c r="B894" s="324" t="s">
        <v>6693</v>
      </c>
      <c r="C894" s="319"/>
      <c r="D894" s="319"/>
      <c r="E894" s="319" t="s">
        <v>242</v>
      </c>
      <c r="F894" s="319"/>
      <c r="G894" s="318" t="s">
        <v>6464</v>
      </c>
      <c r="H894" s="319" t="s">
        <v>6087</v>
      </c>
      <c r="I894" s="319" t="s">
        <v>188</v>
      </c>
      <c r="J894" s="324" t="s">
        <v>1453</v>
      </c>
      <c r="K894" s="319" t="s">
        <v>191</v>
      </c>
      <c r="L894" s="320">
        <v>4</v>
      </c>
      <c r="M894" s="320">
        <v>4</v>
      </c>
      <c r="N894" s="322" t="s">
        <v>12</v>
      </c>
      <c r="O894" s="151">
        <v>5</v>
      </c>
      <c r="P894" s="151" t="s">
        <v>199</v>
      </c>
    </row>
    <row r="895" spans="1:16" ht="22.5">
      <c r="A895" s="319" t="s">
        <v>6694</v>
      </c>
      <c r="B895" s="324" t="s">
        <v>6695</v>
      </c>
      <c r="C895" s="319"/>
      <c r="D895" s="319"/>
      <c r="E895" s="319" t="s">
        <v>242</v>
      </c>
      <c r="F895" s="319"/>
      <c r="G895" s="318" t="s">
        <v>6464</v>
      </c>
      <c r="H895" s="319" t="s">
        <v>5060</v>
      </c>
      <c r="I895" s="319" t="s">
        <v>188</v>
      </c>
      <c r="J895" s="324" t="s">
        <v>1453</v>
      </c>
      <c r="K895" s="319" t="s">
        <v>191</v>
      </c>
      <c r="L895" s="320">
        <v>4</v>
      </c>
      <c r="M895" s="320">
        <v>4</v>
      </c>
      <c r="N895" s="322" t="s">
        <v>12</v>
      </c>
      <c r="O895" s="151">
        <v>5</v>
      </c>
      <c r="P895" s="151" t="s">
        <v>199</v>
      </c>
    </row>
    <row r="896" spans="1:16" ht="22.5">
      <c r="A896" s="319" t="s">
        <v>6696</v>
      </c>
      <c r="B896" s="324" t="s">
        <v>6697</v>
      </c>
      <c r="C896" s="319"/>
      <c r="D896" s="319"/>
      <c r="E896" s="319" t="s">
        <v>242</v>
      </c>
      <c r="F896" s="319"/>
      <c r="G896" s="318" t="s">
        <v>6464</v>
      </c>
      <c r="H896" s="319" t="s">
        <v>5063</v>
      </c>
      <c r="I896" s="319" t="s">
        <v>188</v>
      </c>
      <c r="J896" s="324" t="s">
        <v>1453</v>
      </c>
      <c r="K896" s="319" t="s">
        <v>191</v>
      </c>
      <c r="L896" s="320">
        <v>4</v>
      </c>
      <c r="M896" s="320">
        <v>4</v>
      </c>
      <c r="N896" s="322" t="s">
        <v>12</v>
      </c>
      <c r="O896" s="151">
        <v>5</v>
      </c>
      <c r="P896" s="151" t="s">
        <v>199</v>
      </c>
    </row>
    <row r="897" spans="1:16" ht="22.5">
      <c r="A897" s="319" t="s">
        <v>6698</v>
      </c>
      <c r="B897" s="324" t="s">
        <v>6699</v>
      </c>
      <c r="C897" s="319"/>
      <c r="D897" s="319"/>
      <c r="E897" s="319" t="s">
        <v>242</v>
      </c>
      <c r="F897" s="319"/>
      <c r="G897" s="318" t="s">
        <v>6464</v>
      </c>
      <c r="H897" s="319" t="s">
        <v>5066</v>
      </c>
      <c r="I897" s="319" t="s">
        <v>188</v>
      </c>
      <c r="J897" s="324" t="s">
        <v>1453</v>
      </c>
      <c r="K897" s="319" t="s">
        <v>191</v>
      </c>
      <c r="L897" s="320">
        <v>4</v>
      </c>
      <c r="M897" s="320">
        <v>4</v>
      </c>
      <c r="N897" s="322" t="s">
        <v>12</v>
      </c>
      <c r="O897" s="151">
        <v>5</v>
      </c>
      <c r="P897" s="151" t="s">
        <v>199</v>
      </c>
    </row>
    <row r="898" spans="1:16" ht="22.5">
      <c r="A898" s="319" t="s">
        <v>6700</v>
      </c>
      <c r="B898" s="324" t="s">
        <v>6701</v>
      </c>
      <c r="C898" s="319"/>
      <c r="D898" s="319"/>
      <c r="E898" s="319" t="s">
        <v>242</v>
      </c>
      <c r="F898" s="319"/>
      <c r="G898" s="318" t="s">
        <v>6467</v>
      </c>
      <c r="H898" s="319" t="s">
        <v>6702</v>
      </c>
      <c r="I898" s="319" t="s">
        <v>188</v>
      </c>
      <c r="J898" s="324" t="s">
        <v>1453</v>
      </c>
      <c r="K898" s="319" t="s">
        <v>191</v>
      </c>
      <c r="L898" s="320">
        <v>4</v>
      </c>
      <c r="M898" s="320">
        <v>4</v>
      </c>
      <c r="N898" s="322" t="s">
        <v>14</v>
      </c>
      <c r="O898" s="151">
        <v>5</v>
      </c>
      <c r="P898" s="151" t="s">
        <v>199</v>
      </c>
    </row>
    <row r="899" spans="1:16" ht="22.5">
      <c r="A899" s="319" t="s">
        <v>6703</v>
      </c>
      <c r="B899" s="324" t="s">
        <v>6704</v>
      </c>
      <c r="C899" s="319"/>
      <c r="D899" s="319"/>
      <c r="E899" s="319" t="s">
        <v>242</v>
      </c>
      <c r="F899" s="319"/>
      <c r="G899" s="318" t="s">
        <v>6467</v>
      </c>
      <c r="H899" s="319" t="s">
        <v>6705</v>
      </c>
      <c r="I899" s="319" t="s">
        <v>188</v>
      </c>
      <c r="J899" s="324" t="s">
        <v>1453</v>
      </c>
      <c r="K899" s="319" t="s">
        <v>191</v>
      </c>
      <c r="L899" s="320">
        <v>4</v>
      </c>
      <c r="M899" s="320">
        <v>4</v>
      </c>
      <c r="N899" s="322" t="s">
        <v>14</v>
      </c>
      <c r="O899" s="151">
        <v>5</v>
      </c>
      <c r="P899" s="151" t="s">
        <v>199</v>
      </c>
    </row>
    <row r="900" spans="1:16" ht="22.5">
      <c r="A900" s="319" t="s">
        <v>6706</v>
      </c>
      <c r="B900" s="324" t="s">
        <v>6707</v>
      </c>
      <c r="C900" s="319"/>
      <c r="D900" s="319"/>
      <c r="E900" s="319" t="s">
        <v>242</v>
      </c>
      <c r="F900" s="319"/>
      <c r="G900" s="318" t="s">
        <v>1890</v>
      </c>
      <c r="H900" s="319" t="s">
        <v>6708</v>
      </c>
      <c r="I900" s="319" t="s">
        <v>188</v>
      </c>
      <c r="J900" s="324" t="s">
        <v>1453</v>
      </c>
      <c r="K900" s="319" t="s">
        <v>191</v>
      </c>
      <c r="L900" s="320">
        <v>4</v>
      </c>
      <c r="M900" s="320">
        <v>4</v>
      </c>
      <c r="N900" s="322" t="s">
        <v>12</v>
      </c>
      <c r="O900" s="151">
        <v>5</v>
      </c>
      <c r="P900" s="151" t="s">
        <v>199</v>
      </c>
    </row>
    <row r="901" spans="1:16" ht="22.5">
      <c r="A901" s="319" t="s">
        <v>6709</v>
      </c>
      <c r="B901" s="324" t="s">
        <v>6710</v>
      </c>
      <c r="C901" s="319"/>
      <c r="D901" s="319"/>
      <c r="E901" s="319" t="s">
        <v>242</v>
      </c>
      <c r="F901" s="319"/>
      <c r="G901" s="318" t="s">
        <v>1890</v>
      </c>
      <c r="H901" s="319" t="s">
        <v>6098</v>
      </c>
      <c r="I901" s="319" t="s">
        <v>188</v>
      </c>
      <c r="J901" s="324" t="s">
        <v>1453</v>
      </c>
      <c r="K901" s="319" t="s">
        <v>191</v>
      </c>
      <c r="L901" s="320">
        <v>4</v>
      </c>
      <c r="M901" s="320">
        <v>4</v>
      </c>
      <c r="N901" s="322" t="s">
        <v>12</v>
      </c>
      <c r="O901" s="151">
        <v>5</v>
      </c>
      <c r="P901" s="151" t="s">
        <v>199</v>
      </c>
    </row>
    <row r="902" spans="1:16" ht="22.5">
      <c r="A902" s="319" t="s">
        <v>6711</v>
      </c>
      <c r="B902" s="324" t="s">
        <v>6712</v>
      </c>
      <c r="C902" s="319"/>
      <c r="D902" s="319"/>
      <c r="E902" s="319" t="s">
        <v>242</v>
      </c>
      <c r="F902" s="319"/>
      <c r="G902" s="318" t="s">
        <v>1890</v>
      </c>
      <c r="H902" s="319" t="s">
        <v>5075</v>
      </c>
      <c r="I902" s="319" t="s">
        <v>188</v>
      </c>
      <c r="J902" s="324" t="s">
        <v>1453</v>
      </c>
      <c r="K902" s="319" t="s">
        <v>191</v>
      </c>
      <c r="L902" s="320">
        <v>4</v>
      </c>
      <c r="M902" s="320">
        <v>4</v>
      </c>
      <c r="N902" s="322" t="s">
        <v>12</v>
      </c>
      <c r="O902" s="151">
        <v>5</v>
      </c>
      <c r="P902" s="151" t="s">
        <v>199</v>
      </c>
    </row>
    <row r="903" spans="1:16" ht="22.5">
      <c r="A903" s="319" t="s">
        <v>6713</v>
      </c>
      <c r="B903" s="324" t="s">
        <v>6714</v>
      </c>
      <c r="C903" s="319"/>
      <c r="D903" s="319"/>
      <c r="E903" s="319" t="s">
        <v>242</v>
      </c>
      <c r="F903" s="319"/>
      <c r="G903" s="318" t="s">
        <v>1921</v>
      </c>
      <c r="H903" s="319" t="s">
        <v>6103</v>
      </c>
      <c r="I903" s="319" t="s">
        <v>188</v>
      </c>
      <c r="J903" s="324" t="s">
        <v>1453</v>
      </c>
      <c r="K903" s="319" t="s">
        <v>191</v>
      </c>
      <c r="L903" s="320">
        <v>4</v>
      </c>
      <c r="M903" s="320">
        <v>4</v>
      </c>
      <c r="N903" s="322" t="s">
        <v>12</v>
      </c>
      <c r="O903" s="151">
        <v>5</v>
      </c>
      <c r="P903" s="151" t="s">
        <v>199</v>
      </c>
    </row>
    <row r="904" spans="1:16" ht="22.5">
      <c r="A904" s="319" t="s">
        <v>6715</v>
      </c>
      <c r="B904" s="324" t="s">
        <v>6716</v>
      </c>
      <c r="C904" s="319"/>
      <c r="D904" s="319"/>
      <c r="E904" s="319" t="s">
        <v>242</v>
      </c>
      <c r="F904" s="319"/>
      <c r="G904" s="318" t="s">
        <v>6627</v>
      </c>
      <c r="H904" s="319" t="s">
        <v>6717</v>
      </c>
      <c r="I904" s="319" t="s">
        <v>188</v>
      </c>
      <c r="J904" s="324" t="s">
        <v>1453</v>
      </c>
      <c r="K904" s="319" t="s">
        <v>191</v>
      </c>
      <c r="L904" s="320">
        <v>4</v>
      </c>
      <c r="M904" s="320">
        <v>4</v>
      </c>
      <c r="N904" s="322" t="s">
        <v>14</v>
      </c>
      <c r="O904" s="151">
        <v>5</v>
      </c>
      <c r="P904" s="151" t="s">
        <v>199</v>
      </c>
    </row>
    <row r="905" spans="1:16" ht="22.5">
      <c r="A905" s="319" t="s">
        <v>6718</v>
      </c>
      <c r="B905" s="324" t="s">
        <v>6719</v>
      </c>
      <c r="C905" s="319"/>
      <c r="D905" s="319"/>
      <c r="E905" s="319" t="s">
        <v>242</v>
      </c>
      <c r="F905" s="319"/>
      <c r="G905" s="318" t="s">
        <v>1921</v>
      </c>
      <c r="H905" s="319" t="s">
        <v>6106</v>
      </c>
      <c r="I905" s="319" t="s">
        <v>188</v>
      </c>
      <c r="J905" s="324" t="s">
        <v>1453</v>
      </c>
      <c r="K905" s="319" t="s">
        <v>191</v>
      </c>
      <c r="L905" s="320">
        <v>4</v>
      </c>
      <c r="M905" s="320">
        <v>4</v>
      </c>
      <c r="N905" s="322" t="s">
        <v>12</v>
      </c>
      <c r="O905" s="151">
        <v>5</v>
      </c>
      <c r="P905" s="151" t="s">
        <v>199</v>
      </c>
    </row>
    <row r="906" spans="1:16" ht="22.5">
      <c r="A906" s="319" t="s">
        <v>6720</v>
      </c>
      <c r="B906" s="324" t="s">
        <v>6721</v>
      </c>
      <c r="C906" s="319"/>
      <c r="D906" s="319"/>
      <c r="E906" s="319" t="s">
        <v>242</v>
      </c>
      <c r="F906" s="319"/>
      <c r="G906" s="318" t="s">
        <v>6627</v>
      </c>
      <c r="H906" s="319" t="s">
        <v>6722</v>
      </c>
      <c r="I906" s="319" t="s">
        <v>188</v>
      </c>
      <c r="J906" s="324" t="s">
        <v>1453</v>
      </c>
      <c r="K906" s="319" t="s">
        <v>191</v>
      </c>
      <c r="L906" s="320">
        <v>4</v>
      </c>
      <c r="M906" s="320">
        <v>4</v>
      </c>
      <c r="N906" s="322" t="s">
        <v>14</v>
      </c>
      <c r="O906" s="151">
        <v>5</v>
      </c>
      <c r="P906" s="151" t="s">
        <v>199</v>
      </c>
    </row>
    <row r="907" spans="1:16" ht="22.5">
      <c r="A907" s="319" t="s">
        <v>6723</v>
      </c>
      <c r="B907" s="324" t="s">
        <v>6724</v>
      </c>
      <c r="C907" s="319"/>
      <c r="D907" s="319"/>
      <c r="E907" s="319" t="s">
        <v>242</v>
      </c>
      <c r="F907" s="319"/>
      <c r="G907" s="318" t="s">
        <v>6627</v>
      </c>
      <c r="H907" s="319" t="s">
        <v>6725</v>
      </c>
      <c r="I907" s="319" t="s">
        <v>188</v>
      </c>
      <c r="J907" s="324" t="s">
        <v>1453</v>
      </c>
      <c r="K907" s="319" t="s">
        <v>191</v>
      </c>
      <c r="L907" s="320">
        <v>4</v>
      </c>
      <c r="M907" s="320">
        <v>4</v>
      </c>
      <c r="N907" s="322" t="s">
        <v>14</v>
      </c>
      <c r="O907" s="151">
        <v>5</v>
      </c>
      <c r="P907" s="151" t="s">
        <v>199</v>
      </c>
    </row>
    <row r="908" spans="1:16" ht="22.5">
      <c r="A908" s="319" t="s">
        <v>6726</v>
      </c>
      <c r="B908" s="324" t="s">
        <v>6727</v>
      </c>
      <c r="C908" s="319"/>
      <c r="D908" s="319"/>
      <c r="E908" s="319" t="s">
        <v>242</v>
      </c>
      <c r="F908" s="319"/>
      <c r="G908" s="318" t="s">
        <v>1890</v>
      </c>
      <c r="H908" s="319" t="s">
        <v>6109</v>
      </c>
      <c r="I908" s="319" t="s">
        <v>188</v>
      </c>
      <c r="J908" s="324" t="s">
        <v>1453</v>
      </c>
      <c r="K908" s="319" t="s">
        <v>191</v>
      </c>
      <c r="L908" s="320">
        <v>4</v>
      </c>
      <c r="M908" s="320">
        <v>4</v>
      </c>
      <c r="N908" s="322" t="s">
        <v>12</v>
      </c>
      <c r="O908" s="151">
        <v>5</v>
      </c>
      <c r="P908" s="151" t="s">
        <v>199</v>
      </c>
    </row>
    <row r="909" spans="1:16" ht="22.5">
      <c r="A909" s="319" t="s">
        <v>6728</v>
      </c>
      <c r="B909" s="324" t="s">
        <v>6729</v>
      </c>
      <c r="C909" s="319"/>
      <c r="D909" s="319"/>
      <c r="E909" s="319" t="s">
        <v>242</v>
      </c>
      <c r="F909" s="319"/>
      <c r="G909" s="318" t="s">
        <v>1921</v>
      </c>
      <c r="H909" s="319" t="s">
        <v>6112</v>
      </c>
      <c r="I909" s="319" t="s">
        <v>188</v>
      </c>
      <c r="J909" s="324" t="s">
        <v>1453</v>
      </c>
      <c r="K909" s="319" t="s">
        <v>191</v>
      </c>
      <c r="L909" s="320">
        <v>4</v>
      </c>
      <c r="M909" s="320">
        <v>4</v>
      </c>
      <c r="N909" s="322" t="s">
        <v>12</v>
      </c>
      <c r="O909" s="151">
        <v>5</v>
      </c>
      <c r="P909" s="151" t="s">
        <v>199</v>
      </c>
    </row>
    <row r="910" spans="1:16" ht="22.5">
      <c r="A910" s="319" t="s">
        <v>6730</v>
      </c>
      <c r="B910" s="324" t="s">
        <v>6731</v>
      </c>
      <c r="C910" s="319"/>
      <c r="D910" s="319"/>
      <c r="E910" s="319" t="s">
        <v>242</v>
      </c>
      <c r="F910" s="319"/>
      <c r="G910" s="318" t="s">
        <v>6627</v>
      </c>
      <c r="H910" s="319" t="s">
        <v>6732</v>
      </c>
      <c r="I910" s="319" t="s">
        <v>188</v>
      </c>
      <c r="J910" s="324" t="s">
        <v>1453</v>
      </c>
      <c r="K910" s="319" t="s">
        <v>191</v>
      </c>
      <c r="L910" s="320">
        <v>4</v>
      </c>
      <c r="M910" s="320">
        <v>4</v>
      </c>
      <c r="N910" s="322" t="s">
        <v>14</v>
      </c>
      <c r="O910" s="151">
        <v>5</v>
      </c>
      <c r="P910" s="151" t="s">
        <v>199</v>
      </c>
    </row>
    <row r="911" spans="1:16" ht="22.5">
      <c r="A911" s="319" t="s">
        <v>6733</v>
      </c>
      <c r="B911" s="324" t="s">
        <v>6734</v>
      </c>
      <c r="C911" s="319"/>
      <c r="D911" s="319"/>
      <c r="E911" s="319" t="s">
        <v>242</v>
      </c>
      <c r="F911" s="319"/>
      <c r="G911" s="318" t="s">
        <v>1921</v>
      </c>
      <c r="H911" s="319" t="s">
        <v>6115</v>
      </c>
      <c r="I911" s="319" t="s">
        <v>188</v>
      </c>
      <c r="J911" s="324" t="s">
        <v>1453</v>
      </c>
      <c r="K911" s="319" t="s">
        <v>191</v>
      </c>
      <c r="L911" s="320">
        <v>4</v>
      </c>
      <c r="M911" s="320">
        <v>4</v>
      </c>
      <c r="N911" s="322" t="s">
        <v>12</v>
      </c>
      <c r="O911" s="151">
        <v>5</v>
      </c>
      <c r="P911" s="151" t="s">
        <v>199</v>
      </c>
    </row>
    <row r="912" spans="1:16" ht="22.5">
      <c r="A912" s="319" t="s">
        <v>6735</v>
      </c>
      <c r="B912" s="324" t="s">
        <v>6736</v>
      </c>
      <c r="C912" s="319"/>
      <c r="D912" s="319"/>
      <c r="E912" s="319" t="s">
        <v>242</v>
      </c>
      <c r="F912" s="319"/>
      <c r="G912" s="318" t="s">
        <v>6627</v>
      </c>
      <c r="H912" s="319" t="s">
        <v>6737</v>
      </c>
      <c r="I912" s="319" t="s">
        <v>188</v>
      </c>
      <c r="J912" s="324" t="s">
        <v>1453</v>
      </c>
      <c r="K912" s="319" t="s">
        <v>191</v>
      </c>
      <c r="L912" s="320">
        <v>4</v>
      </c>
      <c r="M912" s="320">
        <v>4</v>
      </c>
      <c r="N912" s="322" t="s">
        <v>14</v>
      </c>
      <c r="O912" s="151">
        <v>5</v>
      </c>
      <c r="P912" s="151" t="s">
        <v>199</v>
      </c>
    </row>
    <row r="913" spans="1:16" ht="22.5">
      <c r="A913" s="319" t="s">
        <v>6738</v>
      </c>
      <c r="B913" s="324" t="s">
        <v>6739</v>
      </c>
      <c r="C913" s="319"/>
      <c r="D913" s="319"/>
      <c r="E913" s="319" t="s">
        <v>242</v>
      </c>
      <c r="F913" s="319"/>
      <c r="G913" s="318" t="s">
        <v>6627</v>
      </c>
      <c r="H913" s="319" t="s">
        <v>6740</v>
      </c>
      <c r="I913" s="319" t="s">
        <v>188</v>
      </c>
      <c r="J913" s="324" t="s">
        <v>1453</v>
      </c>
      <c r="K913" s="319" t="s">
        <v>191</v>
      </c>
      <c r="L913" s="320">
        <v>4</v>
      </c>
      <c r="M913" s="320">
        <v>4</v>
      </c>
      <c r="N913" s="322" t="s">
        <v>14</v>
      </c>
      <c r="O913" s="151">
        <v>5</v>
      </c>
      <c r="P913" s="151" t="s">
        <v>199</v>
      </c>
    </row>
    <row r="914" spans="1:16" ht="22.5">
      <c r="A914" s="319" t="s">
        <v>6741</v>
      </c>
      <c r="B914" s="324" t="s">
        <v>6742</v>
      </c>
      <c r="C914" s="319"/>
      <c r="D914" s="319"/>
      <c r="E914" s="319" t="s">
        <v>242</v>
      </c>
      <c r="F914" s="319"/>
      <c r="G914" s="318" t="s">
        <v>1890</v>
      </c>
      <c r="H914" s="319" t="s">
        <v>6118</v>
      </c>
      <c r="I914" s="319" t="s">
        <v>188</v>
      </c>
      <c r="J914" s="324" t="s">
        <v>1453</v>
      </c>
      <c r="K914" s="319" t="s">
        <v>191</v>
      </c>
      <c r="L914" s="320">
        <v>4</v>
      </c>
      <c r="M914" s="320">
        <v>4</v>
      </c>
      <c r="N914" s="322" t="s">
        <v>12</v>
      </c>
      <c r="O914" s="151">
        <v>5</v>
      </c>
      <c r="P914" s="151" t="s">
        <v>199</v>
      </c>
    </row>
    <row r="915" spans="1:16" ht="22.5">
      <c r="A915" s="319" t="s">
        <v>6743</v>
      </c>
      <c r="B915" s="324" t="s">
        <v>6744</v>
      </c>
      <c r="C915" s="319"/>
      <c r="D915" s="319"/>
      <c r="E915" s="319" t="s">
        <v>242</v>
      </c>
      <c r="F915" s="319"/>
      <c r="G915" s="318" t="s">
        <v>6464</v>
      </c>
      <c r="H915" s="319" t="s">
        <v>6121</v>
      </c>
      <c r="I915" s="319" t="s">
        <v>188</v>
      </c>
      <c r="J915" s="324" t="s">
        <v>1453</v>
      </c>
      <c r="K915" s="319" t="s">
        <v>191</v>
      </c>
      <c r="L915" s="320">
        <v>4</v>
      </c>
      <c r="M915" s="320">
        <v>4</v>
      </c>
      <c r="N915" s="322" t="s">
        <v>12</v>
      </c>
      <c r="O915" s="151">
        <v>5</v>
      </c>
      <c r="P915" s="151" t="s">
        <v>199</v>
      </c>
    </row>
    <row r="916" spans="1:16" ht="22.5">
      <c r="A916" s="319" t="s">
        <v>6745</v>
      </c>
      <c r="B916" s="324" t="s">
        <v>6746</v>
      </c>
      <c r="C916" s="319"/>
      <c r="D916" s="319"/>
      <c r="E916" s="319" t="s">
        <v>242</v>
      </c>
      <c r="F916" s="319"/>
      <c r="G916" s="318" t="s">
        <v>6467</v>
      </c>
      <c r="H916" s="319" t="s">
        <v>6747</v>
      </c>
      <c r="I916" s="319" t="s">
        <v>188</v>
      </c>
      <c r="J916" s="324" t="s">
        <v>1453</v>
      </c>
      <c r="K916" s="319" t="s">
        <v>191</v>
      </c>
      <c r="L916" s="320">
        <v>4</v>
      </c>
      <c r="M916" s="320">
        <v>4</v>
      </c>
      <c r="N916" s="322" t="s">
        <v>14</v>
      </c>
      <c r="O916" s="151">
        <v>5</v>
      </c>
      <c r="P916" s="151" t="s">
        <v>199</v>
      </c>
    </row>
    <row r="917" spans="1:16" ht="22.5">
      <c r="A917" s="319" t="s">
        <v>6748</v>
      </c>
      <c r="B917" s="324" t="s">
        <v>6749</v>
      </c>
      <c r="C917" s="319"/>
      <c r="D917" s="319"/>
      <c r="E917" s="319" t="s">
        <v>242</v>
      </c>
      <c r="F917" s="319"/>
      <c r="G917" s="318" t="s">
        <v>1921</v>
      </c>
      <c r="H917" s="319" t="s">
        <v>6124</v>
      </c>
      <c r="I917" s="319" t="s">
        <v>188</v>
      </c>
      <c r="J917" s="324" t="s">
        <v>1453</v>
      </c>
      <c r="K917" s="319" t="s">
        <v>191</v>
      </c>
      <c r="L917" s="320">
        <v>4</v>
      </c>
      <c r="M917" s="320">
        <v>4</v>
      </c>
      <c r="N917" s="322" t="s">
        <v>12</v>
      </c>
      <c r="O917" s="151">
        <v>5</v>
      </c>
      <c r="P917" s="151" t="s">
        <v>199</v>
      </c>
    </row>
    <row r="918" spans="1:16" ht="22.5">
      <c r="A918" s="319" t="s">
        <v>6750</v>
      </c>
      <c r="B918" s="324" t="s">
        <v>6751</v>
      </c>
      <c r="C918" s="319"/>
      <c r="D918" s="319"/>
      <c r="E918" s="319" t="s">
        <v>242</v>
      </c>
      <c r="F918" s="319"/>
      <c r="G918" s="318" t="s">
        <v>6467</v>
      </c>
      <c r="H918" s="319" t="s">
        <v>6752</v>
      </c>
      <c r="I918" s="319" t="s">
        <v>188</v>
      </c>
      <c r="J918" s="324" t="s">
        <v>1453</v>
      </c>
      <c r="K918" s="319" t="s">
        <v>191</v>
      </c>
      <c r="L918" s="320">
        <v>4</v>
      </c>
      <c r="M918" s="320">
        <v>4</v>
      </c>
      <c r="N918" s="322" t="s">
        <v>14</v>
      </c>
      <c r="O918" s="151">
        <v>5</v>
      </c>
      <c r="P918" s="151" t="s">
        <v>199</v>
      </c>
    </row>
    <row r="919" spans="1:16" ht="22.5">
      <c r="A919" s="319" t="s">
        <v>6753</v>
      </c>
      <c r="B919" s="324" t="s">
        <v>6754</v>
      </c>
      <c r="C919" s="319"/>
      <c r="D919" s="319"/>
      <c r="E919" s="319" t="s">
        <v>242</v>
      </c>
      <c r="F919" s="319"/>
      <c r="G919" s="318" t="s">
        <v>1962</v>
      </c>
      <c r="H919" s="319" t="s">
        <v>6127</v>
      </c>
      <c r="I919" s="319" t="s">
        <v>188</v>
      </c>
      <c r="J919" s="324" t="s">
        <v>1453</v>
      </c>
      <c r="K919" s="319" t="s">
        <v>191</v>
      </c>
      <c r="L919" s="320">
        <v>4</v>
      </c>
      <c r="M919" s="320">
        <v>4</v>
      </c>
      <c r="N919" s="322" t="s">
        <v>12</v>
      </c>
      <c r="O919" s="151">
        <v>5</v>
      </c>
      <c r="P919" s="151" t="s">
        <v>199</v>
      </c>
    </row>
    <row r="920" spans="1:16" ht="22.5">
      <c r="A920" s="319" t="s">
        <v>6755</v>
      </c>
      <c r="B920" s="324" t="s">
        <v>6756</v>
      </c>
      <c r="C920" s="319"/>
      <c r="D920" s="319"/>
      <c r="E920" s="319" t="s">
        <v>242</v>
      </c>
      <c r="F920" s="319"/>
      <c r="G920" s="318" t="s">
        <v>6757</v>
      </c>
      <c r="H920" s="319" t="s">
        <v>6127</v>
      </c>
      <c r="I920" s="319" t="s">
        <v>188</v>
      </c>
      <c r="J920" s="324" t="s">
        <v>1453</v>
      </c>
      <c r="K920" s="319" t="s">
        <v>191</v>
      </c>
      <c r="L920" s="320">
        <v>4</v>
      </c>
      <c r="M920" s="320">
        <v>4</v>
      </c>
      <c r="N920" s="322" t="s">
        <v>12</v>
      </c>
      <c r="O920" s="151">
        <v>5</v>
      </c>
      <c r="P920" s="151" t="s">
        <v>199</v>
      </c>
    </row>
    <row r="921" spans="1:16" ht="22.5">
      <c r="A921" s="319" t="s">
        <v>6758</v>
      </c>
      <c r="B921" s="324" t="s">
        <v>6759</v>
      </c>
      <c r="C921" s="319"/>
      <c r="D921" s="319"/>
      <c r="E921" s="319" t="s">
        <v>242</v>
      </c>
      <c r="F921" s="319"/>
      <c r="G921" s="318" t="s">
        <v>6627</v>
      </c>
      <c r="H921" s="319" t="s">
        <v>6760</v>
      </c>
      <c r="I921" s="319" t="s">
        <v>188</v>
      </c>
      <c r="J921" s="324" t="s">
        <v>1453</v>
      </c>
      <c r="K921" s="319" t="s">
        <v>191</v>
      </c>
      <c r="L921" s="320">
        <v>4</v>
      </c>
      <c r="M921" s="320">
        <v>4</v>
      </c>
      <c r="N921" s="322" t="s">
        <v>14</v>
      </c>
      <c r="O921" s="151">
        <v>5</v>
      </c>
      <c r="P921" s="151" t="s">
        <v>199</v>
      </c>
    </row>
    <row r="922" spans="1:16" ht="22.5">
      <c r="A922" s="319" t="s">
        <v>6761</v>
      </c>
      <c r="B922" s="324" t="s">
        <v>6762</v>
      </c>
      <c r="C922" s="319"/>
      <c r="D922" s="319"/>
      <c r="E922" s="319" t="s">
        <v>242</v>
      </c>
      <c r="F922" s="319"/>
      <c r="G922" s="318" t="s">
        <v>6627</v>
      </c>
      <c r="H922" s="319" t="s">
        <v>6763</v>
      </c>
      <c r="I922" s="319" t="s">
        <v>188</v>
      </c>
      <c r="J922" s="324" t="s">
        <v>1453</v>
      </c>
      <c r="K922" s="319" t="s">
        <v>191</v>
      </c>
      <c r="L922" s="320">
        <v>4</v>
      </c>
      <c r="M922" s="320">
        <v>4</v>
      </c>
      <c r="N922" s="322" t="s">
        <v>14</v>
      </c>
      <c r="O922" s="151">
        <v>5</v>
      </c>
      <c r="P922" s="151" t="s">
        <v>199</v>
      </c>
    </row>
    <row r="923" spans="1:16" ht="22.5">
      <c r="A923" s="319" t="s">
        <v>6764</v>
      </c>
      <c r="B923" s="324" t="s">
        <v>6765</v>
      </c>
      <c r="C923" s="319"/>
      <c r="D923" s="319"/>
      <c r="E923" s="319" t="s">
        <v>242</v>
      </c>
      <c r="F923" s="319"/>
      <c r="G923" s="318" t="s">
        <v>1890</v>
      </c>
      <c r="H923" s="319" t="s">
        <v>5106</v>
      </c>
      <c r="I923" s="319" t="s">
        <v>188</v>
      </c>
      <c r="J923" s="324" t="s">
        <v>1453</v>
      </c>
      <c r="K923" s="319" t="s">
        <v>191</v>
      </c>
      <c r="L923" s="320">
        <v>4</v>
      </c>
      <c r="M923" s="320">
        <v>4</v>
      </c>
      <c r="N923" s="322" t="s">
        <v>12</v>
      </c>
      <c r="O923" s="151">
        <v>5</v>
      </c>
      <c r="P923" s="151" t="s">
        <v>199</v>
      </c>
    </row>
    <row r="924" spans="1:16" ht="33.75">
      <c r="A924" s="319" t="s">
        <v>6766</v>
      </c>
      <c r="B924" s="324" t="s">
        <v>6767</v>
      </c>
      <c r="C924" s="319"/>
      <c r="D924" s="319"/>
      <c r="E924" s="319" t="s">
        <v>242</v>
      </c>
      <c r="F924" s="319"/>
      <c r="G924" s="318" t="s">
        <v>6464</v>
      </c>
      <c r="H924" s="319" t="s">
        <v>5109</v>
      </c>
      <c r="I924" s="319" t="s">
        <v>188</v>
      </c>
      <c r="J924" s="324" t="s">
        <v>1453</v>
      </c>
      <c r="K924" s="319" t="s">
        <v>191</v>
      </c>
      <c r="L924" s="320">
        <v>4</v>
      </c>
      <c r="M924" s="320">
        <v>4</v>
      </c>
      <c r="N924" s="322" t="s">
        <v>12</v>
      </c>
      <c r="O924" s="151">
        <v>5</v>
      </c>
      <c r="P924" s="151" t="s">
        <v>199</v>
      </c>
    </row>
    <row r="925" spans="1:16" ht="33.75">
      <c r="A925" s="319" t="s">
        <v>6768</v>
      </c>
      <c r="B925" s="324" t="s">
        <v>6769</v>
      </c>
      <c r="C925" s="319"/>
      <c r="D925" s="319"/>
      <c r="E925" s="319" t="s">
        <v>242</v>
      </c>
      <c r="F925" s="319"/>
      <c r="G925" s="318" t="s">
        <v>6467</v>
      </c>
      <c r="H925" s="319" t="s">
        <v>6770</v>
      </c>
      <c r="I925" s="319" t="s">
        <v>188</v>
      </c>
      <c r="J925" s="324" t="s">
        <v>1453</v>
      </c>
      <c r="K925" s="319" t="s">
        <v>191</v>
      </c>
      <c r="L925" s="320">
        <v>4</v>
      </c>
      <c r="M925" s="320">
        <v>4</v>
      </c>
      <c r="N925" s="322" t="s">
        <v>14</v>
      </c>
      <c r="O925" s="151">
        <v>5</v>
      </c>
      <c r="P925" s="151" t="s">
        <v>199</v>
      </c>
    </row>
    <row r="926" spans="1:16" ht="33.75">
      <c r="A926" s="319" t="s">
        <v>6771</v>
      </c>
      <c r="B926" s="324" t="s">
        <v>6772</v>
      </c>
      <c r="C926" s="319"/>
      <c r="D926" s="319"/>
      <c r="E926" s="319" t="s">
        <v>242</v>
      </c>
      <c r="F926" s="319"/>
      <c r="G926" s="318" t="s">
        <v>6467</v>
      </c>
      <c r="H926" s="319" t="s">
        <v>6773</v>
      </c>
      <c r="I926" s="319" t="s">
        <v>188</v>
      </c>
      <c r="J926" s="324" t="s">
        <v>1453</v>
      </c>
      <c r="K926" s="319" t="s">
        <v>191</v>
      </c>
      <c r="L926" s="320">
        <v>4</v>
      </c>
      <c r="M926" s="320">
        <v>4</v>
      </c>
      <c r="N926" s="322" t="s">
        <v>14</v>
      </c>
      <c r="O926" s="151">
        <v>5</v>
      </c>
      <c r="P926" s="151" t="s">
        <v>199</v>
      </c>
    </row>
    <row r="927" spans="1:16" ht="22.5">
      <c r="A927" s="319" t="s">
        <v>6774</v>
      </c>
      <c r="B927" s="324" t="s">
        <v>6775</v>
      </c>
      <c r="C927" s="319"/>
      <c r="D927" s="319"/>
      <c r="E927" s="319" t="s">
        <v>242</v>
      </c>
      <c r="F927" s="319"/>
      <c r="G927" s="318" t="s">
        <v>6464</v>
      </c>
      <c r="H927" s="319" t="s">
        <v>6134</v>
      </c>
      <c r="I927" s="319" t="s">
        <v>188</v>
      </c>
      <c r="J927" s="324" t="s">
        <v>1453</v>
      </c>
      <c r="K927" s="319" t="s">
        <v>191</v>
      </c>
      <c r="L927" s="320">
        <v>4</v>
      </c>
      <c r="M927" s="320">
        <v>4</v>
      </c>
      <c r="N927" s="322" t="s">
        <v>12</v>
      </c>
      <c r="O927" s="151">
        <v>5</v>
      </c>
      <c r="P927" s="151" t="s">
        <v>199</v>
      </c>
    </row>
    <row r="928" spans="1:16" ht="22.5">
      <c r="A928" s="319" t="s">
        <v>6776</v>
      </c>
      <c r="B928" s="324" t="s">
        <v>6777</v>
      </c>
      <c r="C928" s="319"/>
      <c r="D928" s="319"/>
      <c r="E928" s="319" t="s">
        <v>242</v>
      </c>
      <c r="F928" s="319"/>
      <c r="G928" s="318" t="s">
        <v>6467</v>
      </c>
      <c r="H928" s="319" t="s">
        <v>6778</v>
      </c>
      <c r="I928" s="319" t="s">
        <v>188</v>
      </c>
      <c r="J928" s="324" t="s">
        <v>1453</v>
      </c>
      <c r="K928" s="319" t="s">
        <v>191</v>
      </c>
      <c r="L928" s="320">
        <v>4</v>
      </c>
      <c r="M928" s="320">
        <v>4</v>
      </c>
      <c r="N928" s="322" t="s">
        <v>14</v>
      </c>
      <c r="O928" s="151">
        <v>5</v>
      </c>
      <c r="P928" s="151" t="s">
        <v>199</v>
      </c>
    </row>
    <row r="929" spans="1:16" ht="22.5">
      <c r="A929" s="319" t="s">
        <v>6779</v>
      </c>
      <c r="B929" s="324" t="s">
        <v>6780</v>
      </c>
      <c r="C929" s="319"/>
      <c r="D929" s="319"/>
      <c r="E929" s="319" t="s">
        <v>242</v>
      </c>
      <c r="F929" s="319"/>
      <c r="G929" s="318" t="s">
        <v>6467</v>
      </c>
      <c r="H929" s="319" t="s">
        <v>6781</v>
      </c>
      <c r="I929" s="319" t="s">
        <v>188</v>
      </c>
      <c r="J929" s="324" t="s">
        <v>1453</v>
      </c>
      <c r="K929" s="319" t="s">
        <v>191</v>
      </c>
      <c r="L929" s="320">
        <v>4</v>
      </c>
      <c r="M929" s="320">
        <v>4</v>
      </c>
      <c r="N929" s="322" t="s">
        <v>14</v>
      </c>
      <c r="O929" s="151">
        <v>5</v>
      </c>
      <c r="P929" s="151" t="s">
        <v>199</v>
      </c>
    </row>
    <row r="930" spans="1:16" ht="22.5">
      <c r="A930" s="319" t="s">
        <v>6782</v>
      </c>
      <c r="B930" s="324" t="s">
        <v>6783</v>
      </c>
      <c r="C930" s="319"/>
      <c r="D930" s="319"/>
      <c r="E930" s="319" t="s">
        <v>242</v>
      </c>
      <c r="F930" s="319"/>
      <c r="G930" s="318" t="s">
        <v>6464</v>
      </c>
      <c r="H930" s="319" t="s">
        <v>6137</v>
      </c>
      <c r="I930" s="319" t="s">
        <v>188</v>
      </c>
      <c r="J930" s="324" t="s">
        <v>1453</v>
      </c>
      <c r="K930" s="319" t="s">
        <v>191</v>
      </c>
      <c r="L930" s="320">
        <v>4</v>
      </c>
      <c r="M930" s="320">
        <v>4</v>
      </c>
      <c r="N930" s="322" t="s">
        <v>12</v>
      </c>
      <c r="O930" s="151">
        <v>5</v>
      </c>
      <c r="P930" s="151" t="s">
        <v>199</v>
      </c>
    </row>
    <row r="931" spans="1:16" ht="22.5">
      <c r="A931" s="319" t="s">
        <v>6784</v>
      </c>
      <c r="B931" s="324" t="s">
        <v>6785</v>
      </c>
      <c r="C931" s="319"/>
      <c r="D931" s="319"/>
      <c r="E931" s="319" t="s">
        <v>242</v>
      </c>
      <c r="F931" s="319"/>
      <c r="G931" s="318" t="s">
        <v>6467</v>
      </c>
      <c r="H931" s="319" t="s">
        <v>6786</v>
      </c>
      <c r="I931" s="319" t="s">
        <v>188</v>
      </c>
      <c r="J931" s="324" t="s">
        <v>1453</v>
      </c>
      <c r="K931" s="319" t="s">
        <v>191</v>
      </c>
      <c r="L931" s="320">
        <v>4</v>
      </c>
      <c r="M931" s="320">
        <v>4</v>
      </c>
      <c r="N931" s="322" t="s">
        <v>14</v>
      </c>
      <c r="O931" s="151">
        <v>5</v>
      </c>
      <c r="P931" s="151" t="s">
        <v>199</v>
      </c>
    </row>
    <row r="932" spans="1:16" ht="22.5">
      <c r="A932" s="319" t="s">
        <v>6787</v>
      </c>
      <c r="B932" s="324" t="s">
        <v>6788</v>
      </c>
      <c r="C932" s="319"/>
      <c r="D932" s="319"/>
      <c r="E932" s="319" t="s">
        <v>242</v>
      </c>
      <c r="F932" s="319"/>
      <c r="G932" s="318" t="s">
        <v>6467</v>
      </c>
      <c r="H932" s="319" t="s">
        <v>6789</v>
      </c>
      <c r="I932" s="319" t="s">
        <v>188</v>
      </c>
      <c r="J932" s="324" t="s">
        <v>1453</v>
      </c>
      <c r="K932" s="319" t="s">
        <v>191</v>
      </c>
      <c r="L932" s="320">
        <v>4</v>
      </c>
      <c r="M932" s="320">
        <v>4</v>
      </c>
      <c r="N932" s="322" t="s">
        <v>14</v>
      </c>
      <c r="O932" s="151">
        <v>5</v>
      </c>
      <c r="P932" s="151" t="s">
        <v>199</v>
      </c>
    </row>
    <row r="933" spans="1:16" ht="22.5">
      <c r="A933" s="319" t="s">
        <v>6790</v>
      </c>
      <c r="B933" s="324" t="s">
        <v>6791</v>
      </c>
      <c r="C933" s="319"/>
      <c r="D933" s="319"/>
      <c r="E933" s="319" t="s">
        <v>242</v>
      </c>
      <c r="F933" s="319"/>
      <c r="G933" s="318" t="s">
        <v>6467</v>
      </c>
      <c r="H933" s="319" t="s">
        <v>6792</v>
      </c>
      <c r="I933" s="319" t="s">
        <v>188</v>
      </c>
      <c r="J933" s="324" t="s">
        <v>1453</v>
      </c>
      <c r="K933" s="319" t="s">
        <v>191</v>
      </c>
      <c r="L933" s="320">
        <v>4</v>
      </c>
      <c r="M933" s="320">
        <v>4</v>
      </c>
      <c r="N933" s="322" t="s">
        <v>14</v>
      </c>
      <c r="O933" s="151">
        <v>5</v>
      </c>
      <c r="P933" s="151" t="s">
        <v>199</v>
      </c>
    </row>
    <row r="934" spans="1:16" ht="22.5">
      <c r="A934" s="319" t="s">
        <v>6793</v>
      </c>
      <c r="B934" s="324" t="s">
        <v>6794</v>
      </c>
      <c r="C934" s="319"/>
      <c r="D934" s="319"/>
      <c r="E934" s="319" t="s">
        <v>242</v>
      </c>
      <c r="F934" s="319"/>
      <c r="G934" s="318" t="s">
        <v>6464</v>
      </c>
      <c r="H934" s="324" t="s">
        <v>6140</v>
      </c>
      <c r="I934" s="319" t="s">
        <v>188</v>
      </c>
      <c r="J934" s="324" t="s">
        <v>1453</v>
      </c>
      <c r="K934" s="319" t="s">
        <v>191</v>
      </c>
      <c r="L934" s="320">
        <v>4</v>
      </c>
      <c r="M934" s="320">
        <v>4</v>
      </c>
      <c r="N934" s="322" t="s">
        <v>12</v>
      </c>
      <c r="O934" s="151">
        <v>5</v>
      </c>
      <c r="P934" s="151" t="s">
        <v>199</v>
      </c>
    </row>
    <row r="935" spans="1:16" ht="22.5">
      <c r="A935" s="319" t="s">
        <v>6795</v>
      </c>
      <c r="B935" s="324" t="s">
        <v>6796</v>
      </c>
      <c r="C935" s="319"/>
      <c r="D935" s="319"/>
      <c r="E935" s="319" t="s">
        <v>242</v>
      </c>
      <c r="F935" s="319"/>
      <c r="G935" s="318" t="s">
        <v>6467</v>
      </c>
      <c r="H935" s="324" t="s">
        <v>6797</v>
      </c>
      <c r="I935" s="319" t="s">
        <v>188</v>
      </c>
      <c r="J935" s="324" t="s">
        <v>1453</v>
      </c>
      <c r="K935" s="319" t="s">
        <v>191</v>
      </c>
      <c r="L935" s="320">
        <v>4</v>
      </c>
      <c r="M935" s="320">
        <v>4</v>
      </c>
      <c r="N935" s="322" t="s">
        <v>14</v>
      </c>
      <c r="O935" s="151">
        <v>5</v>
      </c>
      <c r="P935" s="151" t="s">
        <v>199</v>
      </c>
    </row>
    <row r="936" spans="1:16" ht="22.5">
      <c r="A936" s="319" t="s">
        <v>6798</v>
      </c>
      <c r="B936" s="324" t="s">
        <v>6799</v>
      </c>
      <c r="C936" s="319"/>
      <c r="D936" s="319"/>
      <c r="E936" s="319" t="s">
        <v>242</v>
      </c>
      <c r="F936" s="319"/>
      <c r="G936" s="318" t="s">
        <v>6467</v>
      </c>
      <c r="H936" s="324" t="s">
        <v>6800</v>
      </c>
      <c r="I936" s="319" t="s">
        <v>188</v>
      </c>
      <c r="J936" s="324" t="s">
        <v>1453</v>
      </c>
      <c r="K936" s="319" t="s">
        <v>191</v>
      </c>
      <c r="L936" s="320">
        <v>4</v>
      </c>
      <c r="M936" s="320">
        <v>4</v>
      </c>
      <c r="N936" s="322" t="s">
        <v>14</v>
      </c>
      <c r="O936" s="151">
        <v>5</v>
      </c>
      <c r="P936" s="151" t="s">
        <v>199</v>
      </c>
    </row>
    <row r="937" spans="1:16" ht="22.5">
      <c r="A937" s="319" t="s">
        <v>6801</v>
      </c>
      <c r="B937" s="324" t="s">
        <v>6802</v>
      </c>
      <c r="C937" s="319"/>
      <c r="D937" s="319"/>
      <c r="E937" s="319" t="s">
        <v>242</v>
      </c>
      <c r="F937" s="319"/>
      <c r="G937" s="318" t="s">
        <v>1890</v>
      </c>
      <c r="H937" s="324" t="s">
        <v>6143</v>
      </c>
      <c r="I937" s="319" t="s">
        <v>188</v>
      </c>
      <c r="J937" s="324" t="s">
        <v>1453</v>
      </c>
      <c r="K937" s="319" t="s">
        <v>191</v>
      </c>
      <c r="L937" s="320">
        <v>4</v>
      </c>
      <c r="M937" s="320">
        <v>4</v>
      </c>
      <c r="N937" s="322" t="s">
        <v>12</v>
      </c>
      <c r="O937" s="151">
        <v>5</v>
      </c>
      <c r="P937" s="151" t="s">
        <v>199</v>
      </c>
    </row>
    <row r="938" spans="1:16" ht="22.5">
      <c r="A938" s="319" t="s">
        <v>6803</v>
      </c>
      <c r="B938" s="324" t="s">
        <v>6804</v>
      </c>
      <c r="C938" s="319"/>
      <c r="D938" s="319"/>
      <c r="E938" s="319" t="s">
        <v>242</v>
      </c>
      <c r="F938" s="319"/>
      <c r="G938" s="318" t="s">
        <v>6464</v>
      </c>
      <c r="H938" s="319" t="s">
        <v>6146</v>
      </c>
      <c r="I938" s="319" t="s">
        <v>188</v>
      </c>
      <c r="J938" s="324" t="s">
        <v>1453</v>
      </c>
      <c r="K938" s="319" t="s">
        <v>191</v>
      </c>
      <c r="L938" s="320">
        <v>4</v>
      </c>
      <c r="M938" s="320">
        <v>4</v>
      </c>
      <c r="N938" s="322" t="s">
        <v>12</v>
      </c>
      <c r="O938" s="151">
        <v>5</v>
      </c>
      <c r="P938" s="151" t="s">
        <v>199</v>
      </c>
    </row>
    <row r="939" spans="1:16" ht="22.5">
      <c r="A939" s="319" t="s">
        <v>6805</v>
      </c>
      <c r="B939" s="324" t="s">
        <v>6806</v>
      </c>
      <c r="C939" s="319"/>
      <c r="D939" s="319"/>
      <c r="E939" s="319" t="s">
        <v>242</v>
      </c>
      <c r="F939" s="319"/>
      <c r="G939" s="318" t="s">
        <v>1921</v>
      </c>
      <c r="H939" s="319" t="s">
        <v>6149</v>
      </c>
      <c r="I939" s="319" t="s">
        <v>188</v>
      </c>
      <c r="J939" s="324" t="s">
        <v>1453</v>
      </c>
      <c r="K939" s="319" t="s">
        <v>191</v>
      </c>
      <c r="L939" s="320">
        <v>4</v>
      </c>
      <c r="M939" s="320">
        <v>4</v>
      </c>
      <c r="N939" s="322" t="s">
        <v>12</v>
      </c>
      <c r="O939" s="151">
        <v>5</v>
      </c>
      <c r="P939" s="151" t="s">
        <v>199</v>
      </c>
    </row>
    <row r="940" spans="1:16" ht="22.5">
      <c r="A940" s="319" t="s">
        <v>6807</v>
      </c>
      <c r="B940" s="324" t="s">
        <v>6808</v>
      </c>
      <c r="C940" s="319"/>
      <c r="D940" s="319"/>
      <c r="E940" s="319" t="s">
        <v>242</v>
      </c>
      <c r="F940" s="319"/>
      <c r="G940" s="318" t="s">
        <v>6627</v>
      </c>
      <c r="H940" s="319" t="s">
        <v>6809</v>
      </c>
      <c r="I940" s="319" t="s">
        <v>188</v>
      </c>
      <c r="J940" s="324" t="s">
        <v>1453</v>
      </c>
      <c r="K940" s="319" t="s">
        <v>191</v>
      </c>
      <c r="L940" s="320">
        <v>4</v>
      </c>
      <c r="M940" s="320">
        <v>4</v>
      </c>
      <c r="N940" s="322" t="s">
        <v>14</v>
      </c>
      <c r="O940" s="151">
        <v>5</v>
      </c>
      <c r="P940" s="151" t="s">
        <v>199</v>
      </c>
    </row>
    <row r="941" spans="1:16" ht="22.5">
      <c r="A941" s="319" t="s">
        <v>6810</v>
      </c>
      <c r="B941" s="324" t="s">
        <v>6811</v>
      </c>
      <c r="C941" s="319"/>
      <c r="D941" s="319"/>
      <c r="E941" s="319" t="s">
        <v>242</v>
      </c>
      <c r="F941" s="319"/>
      <c r="G941" s="318" t="s">
        <v>6627</v>
      </c>
      <c r="H941" s="319" t="s">
        <v>6812</v>
      </c>
      <c r="I941" s="319" t="s">
        <v>188</v>
      </c>
      <c r="J941" s="324" t="s">
        <v>1453</v>
      </c>
      <c r="K941" s="319" t="s">
        <v>191</v>
      </c>
      <c r="L941" s="320">
        <v>4</v>
      </c>
      <c r="M941" s="320">
        <v>4</v>
      </c>
      <c r="N941" s="322" t="s">
        <v>14</v>
      </c>
      <c r="O941" s="151">
        <v>5</v>
      </c>
      <c r="P941" s="151" t="s">
        <v>199</v>
      </c>
    </row>
    <row r="942" spans="1:16" ht="22.5">
      <c r="A942" s="319" t="s">
        <v>6813</v>
      </c>
      <c r="B942" s="324" t="s">
        <v>6814</v>
      </c>
      <c r="C942" s="319"/>
      <c r="D942" s="319"/>
      <c r="E942" s="319" t="s">
        <v>242</v>
      </c>
      <c r="F942" s="319"/>
      <c r="G942" s="318" t="s">
        <v>6464</v>
      </c>
      <c r="H942" s="319" t="s">
        <v>6152</v>
      </c>
      <c r="I942" s="319" t="s">
        <v>188</v>
      </c>
      <c r="J942" s="324" t="s">
        <v>1453</v>
      </c>
      <c r="K942" s="319" t="s">
        <v>191</v>
      </c>
      <c r="L942" s="320">
        <v>4</v>
      </c>
      <c r="M942" s="320">
        <v>4</v>
      </c>
      <c r="N942" s="322" t="s">
        <v>12</v>
      </c>
      <c r="O942" s="151">
        <v>5</v>
      </c>
      <c r="P942" s="151" t="s">
        <v>199</v>
      </c>
    </row>
    <row r="943" spans="1:16" ht="22.5">
      <c r="A943" s="319" t="s">
        <v>6815</v>
      </c>
      <c r="B943" s="324" t="s">
        <v>6816</v>
      </c>
      <c r="C943" s="319"/>
      <c r="D943" s="319"/>
      <c r="E943" s="319" t="s">
        <v>242</v>
      </c>
      <c r="F943" s="319"/>
      <c r="G943" s="318" t="s">
        <v>6467</v>
      </c>
      <c r="H943" s="319" t="s">
        <v>6817</v>
      </c>
      <c r="I943" s="319" t="s">
        <v>188</v>
      </c>
      <c r="J943" s="324" t="s">
        <v>1453</v>
      </c>
      <c r="K943" s="319" t="s">
        <v>191</v>
      </c>
      <c r="L943" s="320">
        <v>4</v>
      </c>
      <c r="M943" s="320">
        <v>4</v>
      </c>
      <c r="N943" s="322" t="s">
        <v>14</v>
      </c>
      <c r="O943" s="151">
        <v>5</v>
      </c>
      <c r="P943" s="151" t="s">
        <v>199</v>
      </c>
    </row>
    <row r="944" spans="1:16" ht="22.5">
      <c r="A944" s="319" t="s">
        <v>6818</v>
      </c>
      <c r="B944" s="324" t="s">
        <v>6819</v>
      </c>
      <c r="C944" s="319"/>
      <c r="D944" s="319"/>
      <c r="E944" s="319" t="s">
        <v>242</v>
      </c>
      <c r="F944" s="319"/>
      <c r="G944" s="318" t="s">
        <v>6467</v>
      </c>
      <c r="H944" s="319" t="s">
        <v>6820</v>
      </c>
      <c r="I944" s="319" t="s">
        <v>188</v>
      </c>
      <c r="J944" s="324" t="s">
        <v>1453</v>
      </c>
      <c r="K944" s="319" t="s">
        <v>191</v>
      </c>
      <c r="L944" s="320">
        <v>4</v>
      </c>
      <c r="M944" s="320">
        <v>4</v>
      </c>
      <c r="N944" s="322" t="s">
        <v>14</v>
      </c>
      <c r="O944" s="151">
        <v>5</v>
      </c>
      <c r="P944" s="151" t="s">
        <v>199</v>
      </c>
    </row>
    <row r="945" spans="1:16" ht="22.5">
      <c r="A945" s="319" t="s">
        <v>6821</v>
      </c>
      <c r="B945" s="324" t="s">
        <v>6822</v>
      </c>
      <c r="C945" s="319"/>
      <c r="D945" s="319"/>
      <c r="E945" s="319" t="s">
        <v>242</v>
      </c>
      <c r="F945" s="319"/>
      <c r="G945" s="318" t="s">
        <v>6464</v>
      </c>
      <c r="H945" s="319" t="s">
        <v>6155</v>
      </c>
      <c r="I945" s="319" t="s">
        <v>188</v>
      </c>
      <c r="J945" s="324" t="s">
        <v>1453</v>
      </c>
      <c r="K945" s="319" t="s">
        <v>191</v>
      </c>
      <c r="L945" s="320">
        <v>4</v>
      </c>
      <c r="M945" s="320">
        <v>4</v>
      </c>
      <c r="N945" s="322" t="s">
        <v>12</v>
      </c>
      <c r="O945" s="151">
        <v>5</v>
      </c>
      <c r="P945" s="151" t="s">
        <v>199</v>
      </c>
    </row>
    <row r="946" spans="1:16" ht="22.5">
      <c r="A946" s="319" t="s">
        <v>6823</v>
      </c>
      <c r="B946" s="324" t="s">
        <v>6824</v>
      </c>
      <c r="C946" s="319"/>
      <c r="D946" s="319"/>
      <c r="E946" s="319" t="s">
        <v>242</v>
      </c>
      <c r="F946" s="319"/>
      <c r="G946" s="318" t="s">
        <v>6467</v>
      </c>
      <c r="H946" s="319" t="s">
        <v>6825</v>
      </c>
      <c r="I946" s="319" t="s">
        <v>188</v>
      </c>
      <c r="J946" s="324" t="s">
        <v>1453</v>
      </c>
      <c r="K946" s="319" t="s">
        <v>191</v>
      </c>
      <c r="L946" s="320">
        <v>4</v>
      </c>
      <c r="M946" s="320">
        <v>4</v>
      </c>
      <c r="N946" s="322" t="s">
        <v>14</v>
      </c>
      <c r="O946" s="151">
        <v>5</v>
      </c>
      <c r="P946" s="151" t="s">
        <v>199</v>
      </c>
    </row>
    <row r="947" spans="1:16" ht="22.5">
      <c r="A947" s="319" t="s">
        <v>6826</v>
      </c>
      <c r="B947" s="324" t="s">
        <v>6827</v>
      </c>
      <c r="C947" s="319"/>
      <c r="D947" s="319"/>
      <c r="E947" s="319" t="s">
        <v>242</v>
      </c>
      <c r="F947" s="319"/>
      <c r="G947" s="318" t="s">
        <v>1921</v>
      </c>
      <c r="H947" s="319" t="s">
        <v>6158</v>
      </c>
      <c r="I947" s="319" t="s">
        <v>188</v>
      </c>
      <c r="J947" s="324" t="s">
        <v>1453</v>
      </c>
      <c r="K947" s="319" t="s">
        <v>191</v>
      </c>
      <c r="L947" s="320">
        <v>4</v>
      </c>
      <c r="M947" s="320">
        <v>4</v>
      </c>
      <c r="N947" s="322" t="s">
        <v>12</v>
      </c>
      <c r="O947" s="151">
        <v>5</v>
      </c>
      <c r="P947" s="151" t="s">
        <v>199</v>
      </c>
    </row>
    <row r="948" spans="1:16" ht="22.5">
      <c r="A948" s="319" t="s">
        <v>6828</v>
      </c>
      <c r="B948" s="324" t="s">
        <v>6829</v>
      </c>
      <c r="C948" s="319"/>
      <c r="D948" s="319"/>
      <c r="E948" s="319" t="s">
        <v>242</v>
      </c>
      <c r="F948" s="319"/>
      <c r="G948" s="318" t="s">
        <v>6627</v>
      </c>
      <c r="H948" s="319" t="s">
        <v>6830</v>
      </c>
      <c r="I948" s="319" t="s">
        <v>188</v>
      </c>
      <c r="J948" s="324" t="s">
        <v>1453</v>
      </c>
      <c r="K948" s="319" t="s">
        <v>191</v>
      </c>
      <c r="L948" s="320">
        <v>4</v>
      </c>
      <c r="M948" s="320">
        <v>4</v>
      </c>
      <c r="N948" s="322" t="s">
        <v>14</v>
      </c>
      <c r="O948" s="151">
        <v>5</v>
      </c>
      <c r="P948" s="151" t="s">
        <v>199</v>
      </c>
    </row>
    <row r="949" spans="1:16" ht="33.75">
      <c r="A949" s="319" t="s">
        <v>6831</v>
      </c>
      <c r="B949" s="324" t="s">
        <v>6832</v>
      </c>
      <c r="C949" s="319"/>
      <c r="D949" s="319"/>
      <c r="E949" s="319" t="s">
        <v>242</v>
      </c>
      <c r="F949" s="319"/>
      <c r="G949" s="318" t="s">
        <v>6627</v>
      </c>
      <c r="H949" s="319" t="s">
        <v>6833</v>
      </c>
      <c r="I949" s="319" t="s">
        <v>188</v>
      </c>
      <c r="J949" s="324" t="s">
        <v>1453</v>
      </c>
      <c r="K949" s="319" t="s">
        <v>191</v>
      </c>
      <c r="L949" s="320">
        <v>4</v>
      </c>
      <c r="M949" s="320">
        <v>4</v>
      </c>
      <c r="N949" s="322" t="s">
        <v>14</v>
      </c>
      <c r="O949" s="151">
        <v>5</v>
      </c>
      <c r="P949" s="151" t="s">
        <v>199</v>
      </c>
    </row>
    <row r="950" spans="1:16" ht="22.5">
      <c r="A950" s="319" t="s">
        <v>6834</v>
      </c>
      <c r="B950" s="324" t="s">
        <v>6835</v>
      </c>
      <c r="C950" s="319"/>
      <c r="D950" s="319"/>
      <c r="E950" s="319" t="s">
        <v>242</v>
      </c>
      <c r="F950" s="319"/>
      <c r="G950" s="318" t="s">
        <v>6627</v>
      </c>
      <c r="H950" s="319" t="s">
        <v>6836</v>
      </c>
      <c r="I950" s="319" t="s">
        <v>188</v>
      </c>
      <c r="J950" s="324" t="s">
        <v>1453</v>
      </c>
      <c r="K950" s="319" t="s">
        <v>191</v>
      </c>
      <c r="L950" s="320">
        <v>4</v>
      </c>
      <c r="M950" s="320">
        <v>4</v>
      </c>
      <c r="N950" s="322" t="s">
        <v>14</v>
      </c>
      <c r="O950" s="151">
        <v>5</v>
      </c>
      <c r="P950" s="151" t="s">
        <v>199</v>
      </c>
    </row>
    <row r="951" spans="1:16" ht="22.5">
      <c r="A951" s="319" t="str">
        <f>CONCATENATE("KS4_",B951)</f>
        <v>KS4_ENTERED_HISTORY</v>
      </c>
      <c r="B951" s="319" t="s">
        <v>6837</v>
      </c>
      <c r="C951" s="319"/>
      <c r="D951" s="319"/>
      <c r="E951" s="319" t="s">
        <v>242</v>
      </c>
      <c r="F951" s="319"/>
      <c r="G951" s="318" t="s">
        <v>601</v>
      </c>
      <c r="H951" s="319" t="s">
        <v>6838</v>
      </c>
      <c r="I951" s="319" t="s">
        <v>188</v>
      </c>
      <c r="J951" s="319" t="s">
        <v>1453</v>
      </c>
      <c r="K951" s="319" t="s">
        <v>191</v>
      </c>
      <c r="L951" s="320">
        <v>4</v>
      </c>
      <c r="M951" s="320">
        <v>4</v>
      </c>
      <c r="N951" s="322" t="s">
        <v>14</v>
      </c>
      <c r="O951" s="151">
        <v>5</v>
      </c>
      <c r="P951" s="151" t="s">
        <v>199</v>
      </c>
    </row>
    <row r="952" spans="1:16" ht="22.5">
      <c r="A952" s="319" t="str">
        <f t="shared" ref="A952:A960" si="1">CONCATENATE("KS4_",B952)</f>
        <v>KS4_ENTERED_GEOGRAPHY</v>
      </c>
      <c r="B952" s="319" t="s">
        <v>6839</v>
      </c>
      <c r="C952" s="319"/>
      <c r="D952" s="319"/>
      <c r="E952" s="319" t="s">
        <v>242</v>
      </c>
      <c r="F952" s="319"/>
      <c r="G952" s="318" t="s">
        <v>601</v>
      </c>
      <c r="H952" s="319" t="s">
        <v>6840</v>
      </c>
      <c r="I952" s="319" t="s">
        <v>188</v>
      </c>
      <c r="J952" s="319" t="s">
        <v>1453</v>
      </c>
      <c r="K952" s="319" t="s">
        <v>191</v>
      </c>
      <c r="L952" s="320">
        <v>4</v>
      </c>
      <c r="M952" s="320">
        <v>4</v>
      </c>
      <c r="N952" s="322" t="s">
        <v>14</v>
      </c>
      <c r="O952" s="151">
        <v>5</v>
      </c>
      <c r="P952" s="151" t="s">
        <v>199</v>
      </c>
    </row>
    <row r="953" spans="1:16" ht="22.5">
      <c r="A953" s="319" t="str">
        <f t="shared" si="1"/>
        <v>KS4_ENTERED_ART</v>
      </c>
      <c r="B953" s="319" t="s">
        <v>6841</v>
      </c>
      <c r="C953" s="319"/>
      <c r="D953" s="319"/>
      <c r="E953" s="319" t="s">
        <v>242</v>
      </c>
      <c r="F953" s="319"/>
      <c r="G953" s="318" t="s">
        <v>601</v>
      </c>
      <c r="H953" s="319" t="s">
        <v>6842</v>
      </c>
      <c r="I953" s="319" t="s">
        <v>188</v>
      </c>
      <c r="J953" s="319" t="s">
        <v>1453</v>
      </c>
      <c r="K953" s="319" t="s">
        <v>191</v>
      </c>
      <c r="L953" s="320">
        <v>4</v>
      </c>
      <c r="M953" s="320">
        <v>4</v>
      </c>
      <c r="N953" s="322" t="s">
        <v>14</v>
      </c>
      <c r="O953" s="151">
        <v>5</v>
      </c>
      <c r="P953" s="151" t="s">
        <v>199</v>
      </c>
    </row>
    <row r="954" spans="1:16" ht="22.5">
      <c r="A954" s="319" t="str">
        <f t="shared" si="1"/>
        <v>KS4_EBACCSUBJENT_0</v>
      </c>
      <c r="B954" s="319" t="s">
        <v>6843</v>
      </c>
      <c r="C954" s="319"/>
      <c r="D954" s="319"/>
      <c r="E954" s="319" t="s">
        <v>242</v>
      </c>
      <c r="F954" s="319"/>
      <c r="G954" s="318" t="s">
        <v>601</v>
      </c>
      <c r="H954" s="319" t="s">
        <v>6844</v>
      </c>
      <c r="I954" s="319" t="s">
        <v>188</v>
      </c>
      <c r="J954" s="319" t="s">
        <v>1453</v>
      </c>
      <c r="K954" s="319" t="s">
        <v>191</v>
      </c>
      <c r="L954" s="320">
        <v>4</v>
      </c>
      <c r="M954" s="320">
        <v>4</v>
      </c>
      <c r="N954" s="322" t="s">
        <v>14</v>
      </c>
      <c r="O954" s="151">
        <v>5</v>
      </c>
      <c r="P954" s="151" t="s">
        <v>199</v>
      </c>
    </row>
    <row r="955" spans="1:16" ht="22.5">
      <c r="A955" s="319" t="str">
        <f t="shared" si="1"/>
        <v>KS4_EBACCSUBJENT_1</v>
      </c>
      <c r="B955" s="319" t="s">
        <v>6845</v>
      </c>
      <c r="C955" s="319"/>
      <c r="D955" s="319"/>
      <c r="E955" s="319" t="s">
        <v>242</v>
      </c>
      <c r="F955" s="319"/>
      <c r="G955" s="318" t="s">
        <v>601</v>
      </c>
      <c r="H955" s="319" t="s">
        <v>6846</v>
      </c>
      <c r="I955" s="319" t="s">
        <v>188</v>
      </c>
      <c r="J955" s="319" t="s">
        <v>1453</v>
      </c>
      <c r="K955" s="319" t="s">
        <v>191</v>
      </c>
      <c r="L955" s="320">
        <v>4</v>
      </c>
      <c r="M955" s="320">
        <v>4</v>
      </c>
      <c r="N955" s="322" t="s">
        <v>14</v>
      </c>
      <c r="O955" s="151">
        <v>5</v>
      </c>
      <c r="P955" s="151" t="s">
        <v>199</v>
      </c>
    </row>
    <row r="956" spans="1:16" ht="22.5">
      <c r="A956" s="319" t="str">
        <f t="shared" si="1"/>
        <v>KS4_EBACCSUBJENT_2</v>
      </c>
      <c r="B956" s="319" t="s">
        <v>6847</v>
      </c>
      <c r="C956" s="319"/>
      <c r="D956" s="319"/>
      <c r="E956" s="319" t="s">
        <v>242</v>
      </c>
      <c r="F956" s="319"/>
      <c r="G956" s="318" t="s">
        <v>601</v>
      </c>
      <c r="H956" s="319" t="s">
        <v>6848</v>
      </c>
      <c r="I956" s="319" t="s">
        <v>188</v>
      </c>
      <c r="J956" s="319" t="s">
        <v>1453</v>
      </c>
      <c r="K956" s="319" t="s">
        <v>191</v>
      </c>
      <c r="L956" s="320">
        <v>4</v>
      </c>
      <c r="M956" s="320">
        <v>4</v>
      </c>
      <c r="N956" s="322" t="s">
        <v>14</v>
      </c>
      <c r="O956" s="151">
        <v>5</v>
      </c>
      <c r="P956" s="151" t="s">
        <v>199</v>
      </c>
    </row>
    <row r="957" spans="1:16" ht="22.5">
      <c r="A957" s="319" t="str">
        <f t="shared" si="1"/>
        <v>KS4_EBACCSUBJENT_3</v>
      </c>
      <c r="B957" s="319" t="s">
        <v>6849</v>
      </c>
      <c r="C957" s="319"/>
      <c r="D957" s="319"/>
      <c r="E957" s="319" t="s">
        <v>242</v>
      </c>
      <c r="F957" s="319"/>
      <c r="G957" s="318" t="s">
        <v>601</v>
      </c>
      <c r="H957" s="319" t="s">
        <v>6850</v>
      </c>
      <c r="I957" s="319" t="s">
        <v>188</v>
      </c>
      <c r="J957" s="319" t="s">
        <v>1453</v>
      </c>
      <c r="K957" s="319" t="s">
        <v>191</v>
      </c>
      <c r="L957" s="320">
        <v>4</v>
      </c>
      <c r="M957" s="320">
        <v>4</v>
      </c>
      <c r="N957" s="322" t="s">
        <v>14</v>
      </c>
      <c r="O957" s="151">
        <v>5</v>
      </c>
      <c r="P957" s="151" t="s">
        <v>199</v>
      </c>
    </row>
    <row r="958" spans="1:16" ht="22.5">
      <c r="A958" s="319" t="str">
        <f t="shared" si="1"/>
        <v>KS4_EBACCSUBJENT_4</v>
      </c>
      <c r="B958" s="319" t="s">
        <v>6851</v>
      </c>
      <c r="C958" s="319"/>
      <c r="D958" s="319"/>
      <c r="E958" s="319" t="s">
        <v>242</v>
      </c>
      <c r="F958" s="319"/>
      <c r="G958" s="318" t="s">
        <v>601</v>
      </c>
      <c r="H958" s="319" t="s">
        <v>6852</v>
      </c>
      <c r="I958" s="319" t="s">
        <v>188</v>
      </c>
      <c r="J958" s="319" t="s">
        <v>1453</v>
      </c>
      <c r="K958" s="319" t="s">
        <v>191</v>
      </c>
      <c r="L958" s="320">
        <v>4</v>
      </c>
      <c r="M958" s="320">
        <v>4</v>
      </c>
      <c r="N958" s="322" t="s">
        <v>14</v>
      </c>
      <c r="O958" s="151">
        <v>5</v>
      </c>
      <c r="P958" s="151" t="s">
        <v>199</v>
      </c>
    </row>
    <row r="959" spans="1:16" ht="22.5">
      <c r="A959" s="319" t="str">
        <f t="shared" si="1"/>
        <v>KS4_ENTBASICS</v>
      </c>
      <c r="B959" s="319" t="s">
        <v>6853</v>
      </c>
      <c r="C959" s="319"/>
      <c r="D959" s="319"/>
      <c r="E959" s="319" t="s">
        <v>242</v>
      </c>
      <c r="F959" s="319"/>
      <c r="G959" s="318" t="s">
        <v>601</v>
      </c>
      <c r="H959" s="319" t="s">
        <v>6854</v>
      </c>
      <c r="I959" s="319" t="s">
        <v>188</v>
      </c>
      <c r="J959" s="319" t="s">
        <v>1453</v>
      </c>
      <c r="K959" s="319" t="s">
        <v>191</v>
      </c>
      <c r="L959" s="320">
        <v>4</v>
      </c>
      <c r="M959" s="320">
        <v>4</v>
      </c>
      <c r="N959" s="322" t="s">
        <v>14</v>
      </c>
      <c r="O959" s="151">
        <v>5</v>
      </c>
      <c r="P959" s="151" t="s">
        <v>199</v>
      </c>
    </row>
    <row r="960" spans="1:16" ht="22.5">
      <c r="A960" s="319" t="str">
        <f t="shared" si="1"/>
        <v>KS4_ENTERED_HIST_GEOG</v>
      </c>
      <c r="B960" s="319" t="s">
        <v>6855</v>
      </c>
      <c r="C960" s="319"/>
      <c r="D960" s="319"/>
      <c r="E960" s="319" t="s">
        <v>242</v>
      </c>
      <c r="F960" s="319"/>
      <c r="G960" s="318" t="s">
        <v>601</v>
      </c>
      <c r="H960" s="319" t="s">
        <v>6856</v>
      </c>
      <c r="I960" s="319" t="s">
        <v>188</v>
      </c>
      <c r="J960" s="319" t="s">
        <v>1453</v>
      </c>
      <c r="K960" s="319" t="s">
        <v>191</v>
      </c>
      <c r="L960" s="320">
        <v>4</v>
      </c>
      <c r="M960" s="320">
        <v>4</v>
      </c>
      <c r="N960" s="322" t="s">
        <v>14</v>
      </c>
      <c r="O960" s="151">
        <v>5</v>
      </c>
      <c r="P960" s="151" t="s">
        <v>199</v>
      </c>
    </row>
    <row r="961" spans="1:16" ht="22.5">
      <c r="A961" s="319" t="s">
        <v>6857</v>
      </c>
      <c r="B961" s="324" t="s">
        <v>6858</v>
      </c>
      <c r="C961" s="319"/>
      <c r="D961" s="319"/>
      <c r="E961" s="319" t="s">
        <v>242</v>
      </c>
      <c r="F961" s="319"/>
      <c r="G961" s="318" t="s">
        <v>1962</v>
      </c>
      <c r="H961" s="319" t="s">
        <v>6161</v>
      </c>
      <c r="I961" s="319" t="s">
        <v>188</v>
      </c>
      <c r="J961" s="324" t="s">
        <v>1453</v>
      </c>
      <c r="K961" s="319" t="s">
        <v>191</v>
      </c>
      <c r="L961" s="320">
        <v>4</v>
      </c>
      <c r="M961" s="320">
        <v>4</v>
      </c>
      <c r="N961" s="322" t="s">
        <v>12</v>
      </c>
      <c r="O961" s="151">
        <v>5</v>
      </c>
      <c r="P961" s="151" t="s">
        <v>199</v>
      </c>
    </row>
    <row r="962" spans="1:16" ht="22.5">
      <c r="A962" s="319" t="s">
        <v>6859</v>
      </c>
      <c r="B962" s="324" t="s">
        <v>6860</v>
      </c>
      <c r="C962" s="319"/>
      <c r="D962" s="319"/>
      <c r="E962" s="319" t="s">
        <v>242</v>
      </c>
      <c r="F962" s="319"/>
      <c r="G962" s="318" t="s">
        <v>1946</v>
      </c>
      <c r="H962" s="319" t="s">
        <v>6161</v>
      </c>
      <c r="I962" s="319" t="s">
        <v>188</v>
      </c>
      <c r="J962" s="324" t="s">
        <v>1453</v>
      </c>
      <c r="K962" s="319" t="s">
        <v>191</v>
      </c>
      <c r="L962" s="320">
        <v>4</v>
      </c>
      <c r="M962" s="320">
        <v>4</v>
      </c>
      <c r="N962" s="322" t="s">
        <v>12</v>
      </c>
      <c r="O962" s="151">
        <v>5</v>
      </c>
      <c r="P962" s="151" t="s">
        <v>199</v>
      </c>
    </row>
    <row r="963" spans="1:16" ht="22.5">
      <c r="A963" s="319" t="s">
        <v>6861</v>
      </c>
      <c r="B963" s="324" t="s">
        <v>6862</v>
      </c>
      <c r="C963" s="319"/>
      <c r="D963" s="319"/>
      <c r="E963" s="319" t="s">
        <v>242</v>
      </c>
      <c r="F963" s="319"/>
      <c r="G963" s="318" t="s">
        <v>6627</v>
      </c>
      <c r="H963" s="319" t="s">
        <v>6863</v>
      </c>
      <c r="I963" s="319" t="s">
        <v>188</v>
      </c>
      <c r="J963" s="324" t="s">
        <v>1453</v>
      </c>
      <c r="K963" s="319" t="s">
        <v>191</v>
      </c>
      <c r="L963" s="320">
        <v>4</v>
      </c>
      <c r="M963" s="320">
        <v>4</v>
      </c>
      <c r="N963" s="322" t="s">
        <v>14</v>
      </c>
      <c r="O963" s="151">
        <v>5</v>
      </c>
      <c r="P963" s="151" t="s">
        <v>199</v>
      </c>
    </row>
    <row r="964" spans="1:16" ht="22.5">
      <c r="A964" s="319" t="s">
        <v>6864</v>
      </c>
      <c r="B964" s="324" t="s">
        <v>6865</v>
      </c>
      <c r="C964" s="319"/>
      <c r="D964" s="319"/>
      <c r="E964" s="319" t="s">
        <v>242</v>
      </c>
      <c r="F964" s="319"/>
      <c r="G964" s="318" t="s">
        <v>6627</v>
      </c>
      <c r="H964" s="319" t="s">
        <v>6866</v>
      </c>
      <c r="I964" s="319" t="s">
        <v>188</v>
      </c>
      <c r="J964" s="324" t="s">
        <v>1453</v>
      </c>
      <c r="K964" s="319" t="s">
        <v>191</v>
      </c>
      <c r="L964" s="320">
        <v>4</v>
      </c>
      <c r="M964" s="320">
        <v>4</v>
      </c>
      <c r="N964" s="322" t="s">
        <v>14</v>
      </c>
      <c r="O964" s="151">
        <v>5</v>
      </c>
      <c r="P964" s="151" t="s">
        <v>199</v>
      </c>
    </row>
    <row r="965" spans="1:16" ht="22.5">
      <c r="A965" s="319" t="s">
        <v>6867</v>
      </c>
      <c r="B965" s="324" t="s">
        <v>6868</v>
      </c>
      <c r="C965" s="319"/>
      <c r="D965" s="319"/>
      <c r="E965" s="319" t="s">
        <v>242</v>
      </c>
      <c r="F965" s="319"/>
      <c r="G965" s="318" t="s">
        <v>6464</v>
      </c>
      <c r="H965" s="319" t="s">
        <v>6164</v>
      </c>
      <c r="I965" s="319" t="s">
        <v>188</v>
      </c>
      <c r="J965" s="324" t="s">
        <v>1453</v>
      </c>
      <c r="K965" s="319" t="s">
        <v>191</v>
      </c>
      <c r="L965" s="320">
        <v>4</v>
      </c>
      <c r="M965" s="320">
        <v>4</v>
      </c>
      <c r="N965" s="322" t="s">
        <v>12</v>
      </c>
      <c r="O965" s="151">
        <v>5</v>
      </c>
      <c r="P965" s="151" t="s">
        <v>199</v>
      </c>
    </row>
    <row r="966" spans="1:16" ht="22.5">
      <c r="A966" s="319" t="s">
        <v>6869</v>
      </c>
      <c r="B966" s="324" t="s">
        <v>6870</v>
      </c>
      <c r="C966" s="319"/>
      <c r="D966" s="319"/>
      <c r="E966" s="319" t="s">
        <v>242</v>
      </c>
      <c r="F966" s="319"/>
      <c r="G966" s="318" t="s">
        <v>6464</v>
      </c>
      <c r="H966" s="319" t="s">
        <v>6167</v>
      </c>
      <c r="I966" s="319" t="s">
        <v>188</v>
      </c>
      <c r="J966" s="324" t="s">
        <v>1453</v>
      </c>
      <c r="K966" s="319" t="s">
        <v>191</v>
      </c>
      <c r="L966" s="320">
        <v>4</v>
      </c>
      <c r="M966" s="320">
        <v>4</v>
      </c>
      <c r="N966" s="322" t="s">
        <v>12</v>
      </c>
      <c r="O966" s="151">
        <v>5</v>
      </c>
      <c r="P966" s="151" t="s">
        <v>199</v>
      </c>
    </row>
    <row r="967" spans="1:16" ht="22.5">
      <c r="A967" s="319" t="s">
        <v>6871</v>
      </c>
      <c r="B967" s="324" t="s">
        <v>6872</v>
      </c>
      <c r="C967" s="319"/>
      <c r="D967" s="319"/>
      <c r="E967" s="319" t="s">
        <v>242</v>
      </c>
      <c r="F967" s="319"/>
      <c r="G967" s="318" t="s">
        <v>6464</v>
      </c>
      <c r="H967" s="319" t="s">
        <v>6170</v>
      </c>
      <c r="I967" s="319" t="s">
        <v>188</v>
      </c>
      <c r="J967" s="324" t="s">
        <v>1453</v>
      </c>
      <c r="K967" s="319" t="s">
        <v>191</v>
      </c>
      <c r="L967" s="320">
        <v>4</v>
      </c>
      <c r="M967" s="320">
        <v>4</v>
      </c>
      <c r="N967" s="322" t="s">
        <v>12</v>
      </c>
      <c r="O967" s="151">
        <v>5</v>
      </c>
      <c r="P967" s="151" t="s">
        <v>199</v>
      </c>
    </row>
    <row r="968" spans="1:16" ht="22.5">
      <c r="A968" s="319" t="s">
        <v>6873</v>
      </c>
      <c r="B968" s="324" t="s">
        <v>6874</v>
      </c>
      <c r="C968" s="319"/>
      <c r="D968" s="319"/>
      <c r="E968" s="319" t="s">
        <v>242</v>
      </c>
      <c r="F968" s="319"/>
      <c r="G968" s="318" t="s">
        <v>6464</v>
      </c>
      <c r="H968" s="327" t="s">
        <v>6173</v>
      </c>
      <c r="I968" s="319" t="s">
        <v>188</v>
      </c>
      <c r="J968" s="324" t="s">
        <v>1453</v>
      </c>
      <c r="K968" s="319" t="s">
        <v>191</v>
      </c>
      <c r="L968" s="320">
        <v>4</v>
      </c>
      <c r="M968" s="320">
        <v>4</v>
      </c>
      <c r="N968" s="322" t="s">
        <v>12</v>
      </c>
      <c r="O968" s="151">
        <v>5</v>
      </c>
      <c r="P968" s="151" t="s">
        <v>199</v>
      </c>
    </row>
    <row r="969" spans="1:16" ht="22.5">
      <c r="A969" s="319" t="s">
        <v>6875</v>
      </c>
      <c r="B969" s="324" t="s">
        <v>6876</v>
      </c>
      <c r="C969" s="319"/>
      <c r="D969" s="319"/>
      <c r="E969" s="319" t="s">
        <v>242</v>
      </c>
      <c r="F969" s="319"/>
      <c r="G969" s="318" t="s">
        <v>1890</v>
      </c>
      <c r="H969" s="319" t="s">
        <v>6176</v>
      </c>
      <c r="I969" s="319" t="s">
        <v>188</v>
      </c>
      <c r="J969" s="324" t="s">
        <v>1453</v>
      </c>
      <c r="K969" s="319" t="s">
        <v>191</v>
      </c>
      <c r="L969" s="320">
        <v>4</v>
      </c>
      <c r="M969" s="320">
        <v>4</v>
      </c>
      <c r="N969" s="322" t="s">
        <v>12</v>
      </c>
      <c r="O969" s="151">
        <v>5</v>
      </c>
      <c r="P969" s="151" t="s">
        <v>199</v>
      </c>
    </row>
    <row r="970" spans="1:16" ht="22.5">
      <c r="A970" s="319" t="s">
        <v>6877</v>
      </c>
      <c r="B970" s="324" t="s">
        <v>6878</v>
      </c>
      <c r="C970" s="319"/>
      <c r="D970" s="319"/>
      <c r="E970" s="319" t="s">
        <v>242</v>
      </c>
      <c r="F970" s="319"/>
      <c r="G970" s="318" t="s">
        <v>1890</v>
      </c>
      <c r="H970" s="319" t="s">
        <v>6179</v>
      </c>
      <c r="I970" s="319" t="s">
        <v>188</v>
      </c>
      <c r="J970" s="324" t="s">
        <v>1453</v>
      </c>
      <c r="K970" s="319" t="s">
        <v>191</v>
      </c>
      <c r="L970" s="320">
        <v>4</v>
      </c>
      <c r="M970" s="320">
        <v>4</v>
      </c>
      <c r="N970" s="322" t="s">
        <v>12</v>
      </c>
      <c r="O970" s="151">
        <v>5</v>
      </c>
      <c r="P970" s="151" t="s">
        <v>199</v>
      </c>
    </row>
    <row r="971" spans="1:16" ht="22.5">
      <c r="A971" s="319" t="s">
        <v>6879</v>
      </c>
      <c r="B971" s="324" t="s">
        <v>6880</v>
      </c>
      <c r="C971" s="319"/>
      <c r="D971" s="319"/>
      <c r="E971" s="319" t="s">
        <v>242</v>
      </c>
      <c r="F971" s="319"/>
      <c r="G971" s="318" t="s">
        <v>1890</v>
      </c>
      <c r="H971" s="319" t="s">
        <v>6881</v>
      </c>
      <c r="I971" s="319" t="s">
        <v>188</v>
      </c>
      <c r="J971" s="324" t="s">
        <v>1453</v>
      </c>
      <c r="K971" s="319" t="s">
        <v>191</v>
      </c>
      <c r="L971" s="320">
        <v>4</v>
      </c>
      <c r="M971" s="320">
        <v>4</v>
      </c>
      <c r="N971" s="322" t="s">
        <v>12</v>
      </c>
      <c r="O971" s="151">
        <v>5</v>
      </c>
      <c r="P971" s="151" t="s">
        <v>199</v>
      </c>
    </row>
    <row r="972" spans="1:16" ht="22.5">
      <c r="A972" s="319" t="s">
        <v>6882</v>
      </c>
      <c r="B972" s="324" t="s">
        <v>6883</v>
      </c>
      <c r="C972" s="319"/>
      <c r="D972" s="319"/>
      <c r="E972" s="319" t="s">
        <v>242</v>
      </c>
      <c r="F972" s="319"/>
      <c r="G972" s="318" t="s">
        <v>1890</v>
      </c>
      <c r="H972" s="319" t="s">
        <v>6185</v>
      </c>
      <c r="I972" s="319" t="s">
        <v>188</v>
      </c>
      <c r="J972" s="324" t="s">
        <v>1453</v>
      </c>
      <c r="K972" s="319" t="s">
        <v>191</v>
      </c>
      <c r="L972" s="320">
        <v>4</v>
      </c>
      <c r="M972" s="320">
        <v>4</v>
      </c>
      <c r="N972" s="322" t="s">
        <v>12</v>
      </c>
      <c r="O972" s="151">
        <v>5</v>
      </c>
      <c r="P972" s="151" t="s">
        <v>199</v>
      </c>
    </row>
    <row r="973" spans="1:16" ht="22.5">
      <c r="A973" s="319" t="s">
        <v>6884</v>
      </c>
      <c r="B973" s="324" t="s">
        <v>6885</v>
      </c>
      <c r="C973" s="319"/>
      <c r="D973" s="319"/>
      <c r="E973" s="319" t="s">
        <v>242</v>
      </c>
      <c r="F973" s="319"/>
      <c r="G973" s="318" t="s">
        <v>1890</v>
      </c>
      <c r="H973" s="319" t="s">
        <v>6188</v>
      </c>
      <c r="I973" s="319" t="s">
        <v>188</v>
      </c>
      <c r="J973" s="324" t="s">
        <v>1453</v>
      </c>
      <c r="K973" s="319" t="s">
        <v>191</v>
      </c>
      <c r="L973" s="320">
        <v>4</v>
      </c>
      <c r="M973" s="320">
        <v>4</v>
      </c>
      <c r="N973" s="322" t="s">
        <v>12</v>
      </c>
      <c r="O973" s="151">
        <v>5</v>
      </c>
      <c r="P973" s="151" t="s">
        <v>199</v>
      </c>
    </row>
    <row r="974" spans="1:16" ht="22.5">
      <c r="A974" s="319" t="s">
        <v>6886</v>
      </c>
      <c r="B974" s="324" t="s">
        <v>6887</v>
      </c>
      <c r="C974" s="319"/>
      <c r="D974" s="319"/>
      <c r="E974" s="319" t="s">
        <v>242</v>
      </c>
      <c r="F974" s="319"/>
      <c r="G974" s="318" t="s">
        <v>1890</v>
      </c>
      <c r="H974" s="319" t="s">
        <v>6191</v>
      </c>
      <c r="I974" s="319" t="s">
        <v>188</v>
      </c>
      <c r="J974" s="324" t="s">
        <v>1453</v>
      </c>
      <c r="K974" s="319" t="s">
        <v>191</v>
      </c>
      <c r="L974" s="320">
        <v>4</v>
      </c>
      <c r="M974" s="320">
        <v>4</v>
      </c>
      <c r="N974" s="322" t="s">
        <v>12</v>
      </c>
      <c r="O974" s="151">
        <v>5</v>
      </c>
      <c r="P974" s="151" t="s">
        <v>199</v>
      </c>
    </row>
    <row r="975" spans="1:16" ht="22.5">
      <c r="A975" s="319" t="s">
        <v>6888</v>
      </c>
      <c r="B975" s="324" t="s">
        <v>6889</v>
      </c>
      <c r="C975" s="319"/>
      <c r="D975" s="319"/>
      <c r="E975" s="319" t="s">
        <v>242</v>
      </c>
      <c r="F975" s="319"/>
      <c r="G975" s="318" t="s">
        <v>1962</v>
      </c>
      <c r="H975" s="319" t="s">
        <v>5172</v>
      </c>
      <c r="I975" s="319" t="s">
        <v>188</v>
      </c>
      <c r="J975" s="324" t="s">
        <v>1453</v>
      </c>
      <c r="K975" s="319" t="s">
        <v>191</v>
      </c>
      <c r="L975" s="320">
        <v>4</v>
      </c>
      <c r="M975" s="320">
        <v>4</v>
      </c>
      <c r="N975" s="322" t="s">
        <v>12</v>
      </c>
      <c r="O975" s="151">
        <v>5</v>
      </c>
      <c r="P975" s="151" t="s">
        <v>199</v>
      </c>
    </row>
    <row r="976" spans="1:16" ht="22.5">
      <c r="A976" s="319" t="s">
        <v>6890</v>
      </c>
      <c r="B976" s="324" t="s">
        <v>6891</v>
      </c>
      <c r="C976" s="319"/>
      <c r="D976" s="319"/>
      <c r="E976" s="319" t="s">
        <v>242</v>
      </c>
      <c r="F976" s="319"/>
      <c r="G976" s="318" t="s">
        <v>6757</v>
      </c>
      <c r="H976" s="319" t="s">
        <v>5172</v>
      </c>
      <c r="I976" s="319" t="s">
        <v>188</v>
      </c>
      <c r="J976" s="324" t="s">
        <v>1453</v>
      </c>
      <c r="K976" s="319" t="s">
        <v>191</v>
      </c>
      <c r="L976" s="320">
        <v>4</v>
      </c>
      <c r="M976" s="320">
        <v>4</v>
      </c>
      <c r="N976" s="322" t="s">
        <v>12</v>
      </c>
      <c r="O976" s="151">
        <v>5</v>
      </c>
      <c r="P976" s="151" t="s">
        <v>199</v>
      </c>
    </row>
    <row r="977" spans="1:16" ht="22.5">
      <c r="A977" s="319" t="s">
        <v>6892</v>
      </c>
      <c r="B977" s="324" t="s">
        <v>6893</v>
      </c>
      <c r="C977" s="319"/>
      <c r="D977" s="319"/>
      <c r="E977" s="319" t="s">
        <v>242</v>
      </c>
      <c r="F977" s="319"/>
      <c r="G977" s="318" t="s">
        <v>6627</v>
      </c>
      <c r="H977" s="319" t="s">
        <v>6894</v>
      </c>
      <c r="I977" s="319" t="s">
        <v>188</v>
      </c>
      <c r="J977" s="324" t="s">
        <v>1453</v>
      </c>
      <c r="K977" s="319" t="s">
        <v>191</v>
      </c>
      <c r="L977" s="320">
        <v>4</v>
      </c>
      <c r="M977" s="320">
        <v>4</v>
      </c>
      <c r="N977" s="322" t="s">
        <v>14</v>
      </c>
      <c r="O977" s="151">
        <v>5</v>
      </c>
      <c r="P977" s="151" t="s">
        <v>199</v>
      </c>
    </row>
    <row r="978" spans="1:16" ht="33.75">
      <c r="A978" s="319" t="s">
        <v>6895</v>
      </c>
      <c r="B978" s="324" t="s">
        <v>6896</v>
      </c>
      <c r="C978" s="319"/>
      <c r="D978" s="319"/>
      <c r="E978" s="341" t="s">
        <v>242</v>
      </c>
      <c r="F978" s="341"/>
      <c r="G978" s="318" t="s">
        <v>6464</v>
      </c>
      <c r="H978" s="319" t="s">
        <v>6196</v>
      </c>
      <c r="I978" s="319" t="s">
        <v>188</v>
      </c>
      <c r="J978" s="324" t="s">
        <v>1453</v>
      </c>
      <c r="K978" s="319" t="s">
        <v>191</v>
      </c>
      <c r="L978" s="320">
        <v>4</v>
      </c>
      <c r="M978" s="320">
        <v>4</v>
      </c>
      <c r="N978" s="322" t="s">
        <v>12</v>
      </c>
      <c r="O978" s="151">
        <v>5</v>
      </c>
      <c r="P978" s="151" t="s">
        <v>199</v>
      </c>
    </row>
    <row r="979" spans="1:16" ht="33.75">
      <c r="A979" s="319" t="s">
        <v>6897</v>
      </c>
      <c r="B979" s="324" t="s">
        <v>6898</v>
      </c>
      <c r="C979" s="319"/>
      <c r="D979" s="319"/>
      <c r="E979" s="319" t="s">
        <v>242</v>
      </c>
      <c r="F979" s="319"/>
      <c r="G979" s="318" t="s">
        <v>6467</v>
      </c>
      <c r="H979" s="319" t="s">
        <v>6899</v>
      </c>
      <c r="I979" s="319" t="s">
        <v>188</v>
      </c>
      <c r="J979" s="324" t="s">
        <v>1453</v>
      </c>
      <c r="K979" s="319" t="s">
        <v>191</v>
      </c>
      <c r="L979" s="320">
        <v>4</v>
      </c>
      <c r="M979" s="320">
        <v>4</v>
      </c>
      <c r="N979" s="322" t="s">
        <v>14</v>
      </c>
      <c r="O979" s="151">
        <v>5</v>
      </c>
      <c r="P979" s="151" t="s">
        <v>199</v>
      </c>
    </row>
    <row r="980" spans="1:16" ht="22.5">
      <c r="A980" s="319" t="s">
        <v>6900</v>
      </c>
      <c r="B980" s="324" t="s">
        <v>6901</v>
      </c>
      <c r="C980" s="319"/>
      <c r="D980" s="319"/>
      <c r="E980" s="319" t="s">
        <v>242</v>
      </c>
      <c r="F980" s="319"/>
      <c r="G980" s="318" t="s">
        <v>6464</v>
      </c>
      <c r="H980" s="319" t="s">
        <v>5178</v>
      </c>
      <c r="I980" s="319" t="s">
        <v>188</v>
      </c>
      <c r="J980" s="324" t="s">
        <v>1453</v>
      </c>
      <c r="K980" s="319" t="s">
        <v>191</v>
      </c>
      <c r="L980" s="320">
        <v>4</v>
      </c>
      <c r="M980" s="320">
        <v>4</v>
      </c>
      <c r="N980" s="322" t="s">
        <v>12</v>
      </c>
      <c r="O980" s="151">
        <v>5</v>
      </c>
      <c r="P980" s="151" t="s">
        <v>199</v>
      </c>
    </row>
    <row r="981" spans="1:16" ht="22.5">
      <c r="A981" s="319" t="s">
        <v>6902</v>
      </c>
      <c r="B981" s="324" t="s">
        <v>6903</v>
      </c>
      <c r="C981" s="319"/>
      <c r="D981" s="319"/>
      <c r="E981" s="319" t="s">
        <v>242</v>
      </c>
      <c r="F981" s="319"/>
      <c r="G981" s="318" t="s">
        <v>6467</v>
      </c>
      <c r="H981" s="319" t="s">
        <v>6904</v>
      </c>
      <c r="I981" s="319" t="s">
        <v>188</v>
      </c>
      <c r="J981" s="324" t="s">
        <v>1453</v>
      </c>
      <c r="K981" s="319" t="s">
        <v>191</v>
      </c>
      <c r="L981" s="320">
        <v>4</v>
      </c>
      <c r="M981" s="320">
        <v>4</v>
      </c>
      <c r="N981" s="322" t="s">
        <v>14</v>
      </c>
      <c r="O981" s="151">
        <v>5</v>
      </c>
      <c r="P981" s="151" t="s">
        <v>199</v>
      </c>
    </row>
    <row r="982" spans="1:16" ht="22.5">
      <c r="A982" s="319" t="s">
        <v>6905</v>
      </c>
      <c r="B982" s="324" t="s">
        <v>6906</v>
      </c>
      <c r="C982" s="319"/>
      <c r="D982" s="319"/>
      <c r="E982" s="319" t="s">
        <v>242</v>
      </c>
      <c r="F982" s="319"/>
      <c r="G982" s="318" t="s">
        <v>6464</v>
      </c>
      <c r="H982" s="319" t="s">
        <v>5181</v>
      </c>
      <c r="I982" s="319" t="s">
        <v>188</v>
      </c>
      <c r="J982" s="324" t="s">
        <v>1453</v>
      </c>
      <c r="K982" s="319" t="s">
        <v>191</v>
      </c>
      <c r="L982" s="320">
        <v>4</v>
      </c>
      <c r="M982" s="320">
        <v>4</v>
      </c>
      <c r="N982" s="322" t="s">
        <v>12</v>
      </c>
      <c r="O982" s="151">
        <v>5</v>
      </c>
      <c r="P982" s="151" t="s">
        <v>199</v>
      </c>
    </row>
    <row r="983" spans="1:16" ht="22.5">
      <c r="A983" s="319" t="s">
        <v>6907</v>
      </c>
      <c r="B983" s="324" t="s">
        <v>6908</v>
      </c>
      <c r="C983" s="319"/>
      <c r="D983" s="319"/>
      <c r="E983" s="319" t="s">
        <v>242</v>
      </c>
      <c r="F983" s="319"/>
      <c r="G983" s="318" t="s">
        <v>6464</v>
      </c>
      <c r="H983" s="319" t="s">
        <v>5184</v>
      </c>
      <c r="I983" s="319" t="s">
        <v>188</v>
      </c>
      <c r="J983" s="324" t="s">
        <v>1453</v>
      </c>
      <c r="K983" s="319" t="s">
        <v>191</v>
      </c>
      <c r="L983" s="320">
        <v>4</v>
      </c>
      <c r="M983" s="320">
        <v>4</v>
      </c>
      <c r="N983" s="322" t="s">
        <v>12</v>
      </c>
      <c r="O983" s="151">
        <v>5</v>
      </c>
      <c r="P983" s="151" t="s">
        <v>199</v>
      </c>
    </row>
    <row r="984" spans="1:16" ht="22.5">
      <c r="A984" s="319" t="s">
        <v>6909</v>
      </c>
      <c r="B984" s="324" t="s">
        <v>6910</v>
      </c>
      <c r="C984" s="319"/>
      <c r="D984" s="319"/>
      <c r="E984" s="319" t="s">
        <v>242</v>
      </c>
      <c r="F984" s="319"/>
      <c r="G984" s="318" t="s">
        <v>6467</v>
      </c>
      <c r="H984" s="319" t="s">
        <v>6911</v>
      </c>
      <c r="I984" s="319" t="s">
        <v>188</v>
      </c>
      <c r="J984" s="324" t="s">
        <v>1453</v>
      </c>
      <c r="K984" s="319" t="s">
        <v>191</v>
      </c>
      <c r="L984" s="320">
        <v>4</v>
      </c>
      <c r="M984" s="320">
        <v>4</v>
      </c>
      <c r="N984" s="322" t="s">
        <v>14</v>
      </c>
      <c r="O984" s="151">
        <v>5</v>
      </c>
      <c r="P984" s="151" t="s">
        <v>199</v>
      </c>
    </row>
    <row r="985" spans="1:16" ht="22.5">
      <c r="A985" s="319" t="s">
        <v>6912</v>
      </c>
      <c r="B985" s="324" t="s">
        <v>6913</v>
      </c>
      <c r="C985" s="319"/>
      <c r="D985" s="319"/>
      <c r="E985" s="319" t="s">
        <v>242</v>
      </c>
      <c r="F985" s="319"/>
      <c r="G985" s="318" t="s">
        <v>6464</v>
      </c>
      <c r="H985" s="319" t="s">
        <v>5187</v>
      </c>
      <c r="I985" s="319" t="s">
        <v>188</v>
      </c>
      <c r="J985" s="324" t="s">
        <v>1453</v>
      </c>
      <c r="K985" s="319" t="s">
        <v>191</v>
      </c>
      <c r="L985" s="320">
        <v>4</v>
      </c>
      <c r="M985" s="320">
        <v>4</v>
      </c>
      <c r="N985" s="322" t="s">
        <v>12</v>
      </c>
      <c r="O985" s="151">
        <v>5</v>
      </c>
      <c r="P985" s="151" t="s">
        <v>199</v>
      </c>
    </row>
    <row r="986" spans="1:16" ht="22.5">
      <c r="A986" s="319" t="s">
        <v>6914</v>
      </c>
      <c r="B986" s="324" t="s">
        <v>6915</v>
      </c>
      <c r="C986" s="319"/>
      <c r="D986" s="319"/>
      <c r="E986" s="319" t="s">
        <v>242</v>
      </c>
      <c r="F986" s="319"/>
      <c r="G986" s="318" t="s">
        <v>1921</v>
      </c>
      <c r="H986" s="319" t="s">
        <v>5190</v>
      </c>
      <c r="I986" s="319" t="s">
        <v>188</v>
      </c>
      <c r="J986" s="324" t="s">
        <v>1453</v>
      </c>
      <c r="K986" s="319" t="s">
        <v>191</v>
      </c>
      <c r="L986" s="320">
        <v>4</v>
      </c>
      <c r="M986" s="320">
        <v>4</v>
      </c>
      <c r="N986" s="322" t="s">
        <v>12</v>
      </c>
      <c r="O986" s="151">
        <v>5</v>
      </c>
      <c r="P986" s="151" t="s">
        <v>199</v>
      </c>
    </row>
    <row r="987" spans="1:16" ht="22.5">
      <c r="A987" s="319" t="s">
        <v>6916</v>
      </c>
      <c r="B987" s="324" t="s">
        <v>6917</v>
      </c>
      <c r="C987" s="319"/>
      <c r="D987" s="319"/>
      <c r="E987" s="319" t="s">
        <v>242</v>
      </c>
      <c r="F987" s="319"/>
      <c r="G987" s="318" t="s">
        <v>6627</v>
      </c>
      <c r="H987" s="319" t="s">
        <v>6918</v>
      </c>
      <c r="I987" s="319" t="s">
        <v>188</v>
      </c>
      <c r="J987" s="324" t="s">
        <v>1453</v>
      </c>
      <c r="K987" s="319" t="s">
        <v>191</v>
      </c>
      <c r="L987" s="320">
        <v>4</v>
      </c>
      <c r="M987" s="320">
        <v>4</v>
      </c>
      <c r="N987" s="322" t="s">
        <v>14</v>
      </c>
      <c r="O987" s="151">
        <v>5</v>
      </c>
      <c r="P987" s="151" t="s">
        <v>199</v>
      </c>
    </row>
    <row r="988" spans="1:16" ht="22.5">
      <c r="A988" s="319" t="s">
        <v>6919</v>
      </c>
      <c r="B988" s="324" t="s">
        <v>6920</v>
      </c>
      <c r="C988" s="319"/>
      <c r="D988" s="319"/>
      <c r="E988" s="319" t="s">
        <v>242</v>
      </c>
      <c r="F988" s="319"/>
      <c r="G988" s="318" t="s">
        <v>6464</v>
      </c>
      <c r="H988" s="319" t="s">
        <v>6209</v>
      </c>
      <c r="I988" s="319" t="s">
        <v>188</v>
      </c>
      <c r="J988" s="324" t="s">
        <v>1453</v>
      </c>
      <c r="K988" s="319" t="s">
        <v>191</v>
      </c>
      <c r="L988" s="320">
        <v>4</v>
      </c>
      <c r="M988" s="320">
        <v>4</v>
      </c>
      <c r="N988" s="322" t="s">
        <v>12</v>
      </c>
      <c r="O988" s="151">
        <v>5</v>
      </c>
      <c r="P988" s="151" t="s">
        <v>199</v>
      </c>
    </row>
    <row r="989" spans="1:16" ht="22.5">
      <c r="A989" s="319" t="s">
        <v>6921</v>
      </c>
      <c r="B989" s="324" t="s">
        <v>6920</v>
      </c>
      <c r="C989" s="319"/>
      <c r="D989" s="319"/>
      <c r="E989" s="319" t="s">
        <v>242</v>
      </c>
      <c r="F989" s="319"/>
      <c r="G989" s="318" t="s">
        <v>6467</v>
      </c>
      <c r="H989" s="319" t="s">
        <v>6922</v>
      </c>
      <c r="I989" s="319" t="s">
        <v>188</v>
      </c>
      <c r="J989" s="324" t="s">
        <v>1453</v>
      </c>
      <c r="K989" s="319" t="s">
        <v>191</v>
      </c>
      <c r="L989" s="320">
        <v>4</v>
      </c>
      <c r="M989" s="320">
        <v>4</v>
      </c>
      <c r="N989" s="322" t="s">
        <v>14</v>
      </c>
      <c r="O989" s="151">
        <v>5</v>
      </c>
      <c r="P989" s="151" t="s">
        <v>199</v>
      </c>
    </row>
    <row r="990" spans="1:16" ht="22.5">
      <c r="A990" s="319" t="s">
        <v>6923</v>
      </c>
      <c r="B990" s="324" t="s">
        <v>6924</v>
      </c>
      <c r="C990" s="319"/>
      <c r="D990" s="319"/>
      <c r="E990" s="319" t="s">
        <v>242</v>
      </c>
      <c r="F990" s="319"/>
      <c r="G990" s="318" t="s">
        <v>6464</v>
      </c>
      <c r="H990" s="319" t="s">
        <v>5196</v>
      </c>
      <c r="I990" s="319" t="s">
        <v>188</v>
      </c>
      <c r="J990" s="324" t="s">
        <v>1453</v>
      </c>
      <c r="K990" s="319" t="s">
        <v>191</v>
      </c>
      <c r="L990" s="320">
        <v>4</v>
      </c>
      <c r="M990" s="320">
        <v>4</v>
      </c>
      <c r="N990" s="322" t="s">
        <v>12</v>
      </c>
      <c r="O990" s="151">
        <v>5</v>
      </c>
      <c r="P990" s="151" t="s">
        <v>199</v>
      </c>
    </row>
    <row r="991" spans="1:16" ht="22.5">
      <c r="A991" s="319" t="s">
        <v>6925</v>
      </c>
      <c r="B991" s="324" t="s">
        <v>6926</v>
      </c>
      <c r="C991" s="319"/>
      <c r="D991" s="319"/>
      <c r="E991" s="319" t="s">
        <v>242</v>
      </c>
      <c r="F991" s="319"/>
      <c r="G991" s="318" t="s">
        <v>6467</v>
      </c>
      <c r="H991" s="319" t="s">
        <v>6927</v>
      </c>
      <c r="I991" s="319" t="s">
        <v>188</v>
      </c>
      <c r="J991" s="324" t="s">
        <v>1453</v>
      </c>
      <c r="K991" s="319" t="s">
        <v>191</v>
      </c>
      <c r="L991" s="320">
        <v>4</v>
      </c>
      <c r="M991" s="320">
        <v>4</v>
      </c>
      <c r="N991" s="322" t="s">
        <v>14</v>
      </c>
      <c r="O991" s="151">
        <v>5</v>
      </c>
      <c r="P991" s="151" t="s">
        <v>199</v>
      </c>
    </row>
    <row r="992" spans="1:16" ht="22.5">
      <c r="A992" s="319" t="s">
        <v>6928</v>
      </c>
      <c r="B992" s="324" t="s">
        <v>6929</v>
      </c>
      <c r="C992" s="319"/>
      <c r="D992" s="319"/>
      <c r="E992" s="319" t="s">
        <v>242</v>
      </c>
      <c r="F992" s="319"/>
      <c r="G992" s="318" t="s">
        <v>1921</v>
      </c>
      <c r="H992" s="319" t="s">
        <v>5199</v>
      </c>
      <c r="I992" s="319" t="s">
        <v>188</v>
      </c>
      <c r="J992" s="324" t="s">
        <v>1453</v>
      </c>
      <c r="K992" s="319" t="s">
        <v>191</v>
      </c>
      <c r="L992" s="320">
        <v>4</v>
      </c>
      <c r="M992" s="320">
        <v>4</v>
      </c>
      <c r="N992" s="322" t="s">
        <v>12</v>
      </c>
      <c r="O992" s="151">
        <v>5</v>
      </c>
      <c r="P992" s="151" t="s">
        <v>199</v>
      </c>
    </row>
    <row r="993" spans="1:16" ht="22.5">
      <c r="A993" s="319" t="s">
        <v>6930</v>
      </c>
      <c r="B993" s="324" t="s">
        <v>6931</v>
      </c>
      <c r="C993" s="319"/>
      <c r="D993" s="319"/>
      <c r="E993" s="319" t="s">
        <v>242</v>
      </c>
      <c r="F993" s="319"/>
      <c r="G993" s="318" t="s">
        <v>6627</v>
      </c>
      <c r="H993" s="319" t="s">
        <v>6932</v>
      </c>
      <c r="I993" s="319" t="s">
        <v>188</v>
      </c>
      <c r="J993" s="324" t="s">
        <v>1453</v>
      </c>
      <c r="K993" s="319" t="s">
        <v>191</v>
      </c>
      <c r="L993" s="320">
        <v>4</v>
      </c>
      <c r="M993" s="320">
        <v>4</v>
      </c>
      <c r="N993" s="322" t="s">
        <v>14</v>
      </c>
      <c r="O993" s="151">
        <v>5</v>
      </c>
      <c r="P993" s="151" t="s">
        <v>199</v>
      </c>
    </row>
    <row r="994" spans="1:16" ht="22.5">
      <c r="A994" s="319" t="str">
        <f>CONCATENATE("KS4_",B994)</f>
        <v>KS4_KS2READSCORETA</v>
      </c>
      <c r="B994" s="319" t="s">
        <v>6933</v>
      </c>
      <c r="C994" s="319"/>
      <c r="D994" s="319"/>
      <c r="E994" s="319" t="s">
        <v>242</v>
      </c>
      <c r="F994" s="319"/>
      <c r="G994" s="318" t="s">
        <v>601</v>
      </c>
      <c r="H994" s="319" t="s">
        <v>6934</v>
      </c>
      <c r="I994" s="319" t="s">
        <v>198</v>
      </c>
      <c r="J994" s="319"/>
      <c r="K994" s="319" t="s">
        <v>191</v>
      </c>
      <c r="L994" s="320">
        <v>4</v>
      </c>
      <c r="M994" s="320">
        <v>4</v>
      </c>
      <c r="N994" s="322" t="s">
        <v>14</v>
      </c>
      <c r="O994" s="151">
        <v>5</v>
      </c>
      <c r="P994" s="151" t="s">
        <v>199</v>
      </c>
    </row>
    <row r="995" spans="1:16" ht="22.5">
      <c r="A995" s="319" t="str">
        <f t="shared" ref="A995:A997" si="2">CONCATENATE("KS4_",B995)</f>
        <v>KS4_KS2MATSCORETA</v>
      </c>
      <c r="B995" s="319" t="s">
        <v>6935</v>
      </c>
      <c r="C995" s="319"/>
      <c r="D995" s="319"/>
      <c r="E995" s="319" t="s">
        <v>242</v>
      </c>
      <c r="F995" s="319"/>
      <c r="G995" s="318" t="s">
        <v>601</v>
      </c>
      <c r="H995" s="319" t="s">
        <v>6936</v>
      </c>
      <c r="I995" s="319" t="s">
        <v>198</v>
      </c>
      <c r="J995" s="319"/>
      <c r="K995" s="319" t="s">
        <v>191</v>
      </c>
      <c r="L995" s="320">
        <v>4</v>
      </c>
      <c r="M995" s="320">
        <v>4</v>
      </c>
      <c r="N995" s="322" t="s">
        <v>14</v>
      </c>
      <c r="O995" s="151">
        <v>5</v>
      </c>
      <c r="P995" s="151" t="s">
        <v>199</v>
      </c>
    </row>
    <row r="996" spans="1:16" ht="45">
      <c r="A996" s="319" t="str">
        <f t="shared" si="2"/>
        <v>KS4_KS2READSCORE</v>
      </c>
      <c r="B996" s="319" t="s">
        <v>2721</v>
      </c>
      <c r="C996" s="319"/>
      <c r="D996" s="319"/>
      <c r="E996" s="319" t="s">
        <v>242</v>
      </c>
      <c r="F996" s="319"/>
      <c r="G996" s="318" t="s">
        <v>601</v>
      </c>
      <c r="H996" s="319" t="s">
        <v>6937</v>
      </c>
      <c r="I996" s="319" t="s">
        <v>198</v>
      </c>
      <c r="J996" s="319"/>
      <c r="K996" s="319" t="s">
        <v>191</v>
      </c>
      <c r="L996" s="320">
        <v>4</v>
      </c>
      <c r="M996" s="320">
        <v>4</v>
      </c>
      <c r="N996" s="322" t="s">
        <v>14</v>
      </c>
      <c r="O996" s="151">
        <v>5</v>
      </c>
      <c r="P996" s="151" t="s">
        <v>199</v>
      </c>
    </row>
    <row r="997" spans="1:16" ht="45">
      <c r="A997" s="319" t="str">
        <f t="shared" si="2"/>
        <v>KS4_KS2MATSCORE</v>
      </c>
      <c r="B997" s="319" t="s">
        <v>2727</v>
      </c>
      <c r="C997" s="319"/>
      <c r="D997" s="319"/>
      <c r="E997" s="319" t="s">
        <v>242</v>
      </c>
      <c r="F997" s="319"/>
      <c r="G997" s="318" t="s">
        <v>601</v>
      </c>
      <c r="H997" s="319" t="s">
        <v>6938</v>
      </c>
      <c r="I997" s="319" t="s">
        <v>198</v>
      </c>
      <c r="J997" s="319"/>
      <c r="K997" s="319" t="s">
        <v>191</v>
      </c>
      <c r="L997" s="320">
        <v>4</v>
      </c>
      <c r="M997" s="320">
        <v>4</v>
      </c>
      <c r="N997" s="322" t="s">
        <v>14</v>
      </c>
      <c r="O997" s="151">
        <v>5</v>
      </c>
      <c r="P997" s="151" t="s">
        <v>199</v>
      </c>
    </row>
    <row r="998" spans="1:16" ht="22.5">
      <c r="A998" s="319" t="s">
        <v>6939</v>
      </c>
      <c r="B998" s="324" t="s">
        <v>6940</v>
      </c>
      <c r="C998" s="319"/>
      <c r="D998" s="319"/>
      <c r="E998" s="319" t="s">
        <v>242</v>
      </c>
      <c r="F998" s="319"/>
      <c r="G998" s="318" t="s">
        <v>1890</v>
      </c>
      <c r="H998" s="319" t="s">
        <v>5202</v>
      </c>
      <c r="I998" s="319" t="s">
        <v>188</v>
      </c>
      <c r="J998" s="324" t="s">
        <v>1453</v>
      </c>
      <c r="K998" s="319" t="s">
        <v>191</v>
      </c>
      <c r="L998" s="320">
        <v>4</v>
      </c>
      <c r="M998" s="320">
        <v>4</v>
      </c>
      <c r="N998" s="322" t="s">
        <v>12</v>
      </c>
      <c r="O998" s="151">
        <v>5</v>
      </c>
      <c r="P998" s="151" t="s">
        <v>199</v>
      </c>
    </row>
    <row r="999" spans="1:16" ht="22.5">
      <c r="A999" s="319" t="s">
        <v>6941</v>
      </c>
      <c r="B999" s="324" t="s">
        <v>6942</v>
      </c>
      <c r="C999" s="319"/>
      <c r="D999" s="319"/>
      <c r="E999" s="319" t="s">
        <v>242</v>
      </c>
      <c r="F999" s="319"/>
      <c r="G999" s="318" t="s">
        <v>1890</v>
      </c>
      <c r="H999" s="319" t="s">
        <v>5205</v>
      </c>
      <c r="I999" s="319" t="s">
        <v>188</v>
      </c>
      <c r="J999" s="324" t="s">
        <v>1453</v>
      </c>
      <c r="K999" s="319" t="s">
        <v>191</v>
      </c>
      <c r="L999" s="320">
        <v>4</v>
      </c>
      <c r="M999" s="320">
        <v>4</v>
      </c>
      <c r="N999" s="322" t="s">
        <v>12</v>
      </c>
      <c r="O999" s="151">
        <v>5</v>
      </c>
      <c r="P999" s="151" t="s">
        <v>199</v>
      </c>
    </row>
    <row r="1000" spans="1:16" ht="22.5">
      <c r="A1000" s="319" t="s">
        <v>6943</v>
      </c>
      <c r="B1000" s="324" t="s">
        <v>6944</v>
      </c>
      <c r="C1000" s="319"/>
      <c r="D1000" s="319"/>
      <c r="E1000" s="319" t="s">
        <v>242</v>
      </c>
      <c r="F1000" s="319"/>
      <c r="G1000" s="318" t="s">
        <v>1890</v>
      </c>
      <c r="H1000" s="319" t="s">
        <v>5208</v>
      </c>
      <c r="I1000" s="319" t="s">
        <v>188</v>
      </c>
      <c r="J1000" s="324" t="s">
        <v>1453</v>
      </c>
      <c r="K1000" s="319" t="s">
        <v>191</v>
      </c>
      <c r="L1000" s="320">
        <v>4</v>
      </c>
      <c r="M1000" s="320">
        <v>4</v>
      </c>
      <c r="N1000" s="322" t="s">
        <v>12</v>
      </c>
      <c r="O1000" s="151">
        <v>5</v>
      </c>
      <c r="P1000" s="151" t="s">
        <v>199</v>
      </c>
    </row>
    <row r="1001" spans="1:16" ht="22.5">
      <c r="A1001" s="319" t="s">
        <v>6945</v>
      </c>
      <c r="B1001" s="324" t="s">
        <v>6946</v>
      </c>
      <c r="C1001" s="319"/>
      <c r="D1001" s="319"/>
      <c r="E1001" s="319" t="s">
        <v>242</v>
      </c>
      <c r="F1001" s="319"/>
      <c r="G1001" s="318" t="s">
        <v>1890</v>
      </c>
      <c r="H1001" s="319" t="s">
        <v>5211</v>
      </c>
      <c r="I1001" s="319" t="s">
        <v>188</v>
      </c>
      <c r="J1001" s="324" t="s">
        <v>1453</v>
      </c>
      <c r="K1001" s="319" t="s">
        <v>191</v>
      </c>
      <c r="L1001" s="320">
        <v>4</v>
      </c>
      <c r="M1001" s="320">
        <v>4</v>
      </c>
      <c r="N1001" s="322" t="s">
        <v>12</v>
      </c>
      <c r="O1001" s="151">
        <v>5</v>
      </c>
      <c r="P1001" s="151" t="s">
        <v>199</v>
      </c>
    </row>
    <row r="1002" spans="1:16" ht="22.5">
      <c r="A1002" s="319" t="s">
        <v>6947</v>
      </c>
      <c r="B1002" s="324" t="s">
        <v>6948</v>
      </c>
      <c r="C1002" s="319"/>
      <c r="D1002" s="319"/>
      <c r="E1002" s="319" t="s">
        <v>242</v>
      </c>
      <c r="F1002" s="319"/>
      <c r="G1002" s="318" t="s">
        <v>1890</v>
      </c>
      <c r="H1002" s="319" t="s">
        <v>5214</v>
      </c>
      <c r="I1002" s="319" t="s">
        <v>188</v>
      </c>
      <c r="J1002" s="324" t="s">
        <v>1453</v>
      </c>
      <c r="K1002" s="319" t="s">
        <v>191</v>
      </c>
      <c r="L1002" s="320">
        <v>4</v>
      </c>
      <c r="M1002" s="320">
        <v>4</v>
      </c>
      <c r="N1002" s="322" t="s">
        <v>12</v>
      </c>
      <c r="O1002" s="151">
        <v>5</v>
      </c>
      <c r="P1002" s="151" t="s">
        <v>199</v>
      </c>
    </row>
    <row r="1003" spans="1:16" ht="22.5">
      <c r="A1003" s="319" t="s">
        <v>6949</v>
      </c>
      <c r="B1003" s="324" t="s">
        <v>6950</v>
      </c>
      <c r="C1003" s="319"/>
      <c r="D1003" s="319"/>
      <c r="E1003" s="319" t="s">
        <v>242</v>
      </c>
      <c r="F1003" s="319"/>
      <c r="G1003" s="318" t="s">
        <v>1890</v>
      </c>
      <c r="H1003" s="319" t="s">
        <v>5217</v>
      </c>
      <c r="I1003" s="319" t="s">
        <v>188</v>
      </c>
      <c r="J1003" s="324" t="s">
        <v>1453</v>
      </c>
      <c r="K1003" s="319" t="s">
        <v>191</v>
      </c>
      <c r="L1003" s="320">
        <v>4</v>
      </c>
      <c r="M1003" s="320">
        <v>4</v>
      </c>
      <c r="N1003" s="322" t="s">
        <v>12</v>
      </c>
      <c r="O1003" s="151">
        <v>5</v>
      </c>
      <c r="P1003" s="151" t="s">
        <v>199</v>
      </c>
    </row>
    <row r="1004" spans="1:16" ht="22.5">
      <c r="A1004" s="319" t="s">
        <v>6951</v>
      </c>
      <c r="B1004" s="324" t="s">
        <v>6952</v>
      </c>
      <c r="C1004" s="319"/>
      <c r="D1004" s="319"/>
      <c r="E1004" s="319" t="s">
        <v>242</v>
      </c>
      <c r="F1004" s="319"/>
      <c r="G1004" s="318" t="s">
        <v>1890</v>
      </c>
      <c r="H1004" s="319" t="s">
        <v>5220</v>
      </c>
      <c r="I1004" s="319" t="s">
        <v>188</v>
      </c>
      <c r="J1004" s="324" t="s">
        <v>1453</v>
      </c>
      <c r="K1004" s="319" t="s">
        <v>191</v>
      </c>
      <c r="L1004" s="320">
        <v>4</v>
      </c>
      <c r="M1004" s="320">
        <v>4</v>
      </c>
      <c r="N1004" s="322" t="s">
        <v>12</v>
      </c>
      <c r="O1004" s="151">
        <v>5</v>
      </c>
      <c r="P1004" s="151" t="s">
        <v>199</v>
      </c>
    </row>
    <row r="1005" spans="1:16" ht="22.5">
      <c r="A1005" s="319" t="s">
        <v>6953</v>
      </c>
      <c r="B1005" s="324" t="s">
        <v>6954</v>
      </c>
      <c r="C1005" s="319"/>
      <c r="D1005" s="319"/>
      <c r="E1005" s="319" t="s">
        <v>242</v>
      </c>
      <c r="F1005" s="319"/>
      <c r="G1005" s="318" t="s">
        <v>1890</v>
      </c>
      <c r="H1005" s="319" t="s">
        <v>5223</v>
      </c>
      <c r="I1005" s="319" t="s">
        <v>188</v>
      </c>
      <c r="J1005" s="324" t="s">
        <v>1453</v>
      </c>
      <c r="K1005" s="319" t="s">
        <v>191</v>
      </c>
      <c r="L1005" s="320">
        <v>4</v>
      </c>
      <c r="M1005" s="320">
        <v>4</v>
      </c>
      <c r="N1005" s="322" t="s">
        <v>12</v>
      </c>
      <c r="O1005" s="151">
        <v>5</v>
      </c>
      <c r="P1005" s="151" t="s">
        <v>199</v>
      </c>
    </row>
    <row r="1006" spans="1:16" ht="22.5">
      <c r="A1006" s="319" t="s">
        <v>6955</v>
      </c>
      <c r="B1006" s="324" t="s">
        <v>6956</v>
      </c>
      <c r="C1006" s="319"/>
      <c r="D1006" s="319"/>
      <c r="E1006" s="319" t="s">
        <v>242</v>
      </c>
      <c r="F1006" s="319"/>
      <c r="G1006" s="318" t="s">
        <v>1890</v>
      </c>
      <c r="H1006" s="319" t="s">
        <v>5226</v>
      </c>
      <c r="I1006" s="319" t="s">
        <v>198</v>
      </c>
      <c r="J1006" s="324"/>
      <c r="K1006" s="319" t="s">
        <v>191</v>
      </c>
      <c r="L1006" s="320">
        <v>4</v>
      </c>
      <c r="M1006" s="320">
        <v>4</v>
      </c>
      <c r="N1006" s="322" t="s">
        <v>12</v>
      </c>
      <c r="O1006" s="151">
        <v>5</v>
      </c>
      <c r="P1006" s="151" t="s">
        <v>199</v>
      </c>
    </row>
    <row r="1007" spans="1:16" ht="22.5">
      <c r="A1007" s="319" t="s">
        <v>6957</v>
      </c>
      <c r="B1007" s="324" t="s">
        <v>6958</v>
      </c>
      <c r="C1007" s="319"/>
      <c r="D1007" s="319"/>
      <c r="E1007" s="319" t="s">
        <v>242</v>
      </c>
      <c r="F1007" s="319"/>
      <c r="G1007" s="318" t="s">
        <v>1890</v>
      </c>
      <c r="H1007" s="319" t="s">
        <v>5229</v>
      </c>
      <c r="I1007" s="319" t="s">
        <v>198</v>
      </c>
      <c r="J1007" s="324"/>
      <c r="K1007" s="319" t="s">
        <v>191</v>
      </c>
      <c r="L1007" s="320">
        <v>4</v>
      </c>
      <c r="M1007" s="320">
        <v>4</v>
      </c>
      <c r="N1007" s="322" t="s">
        <v>12</v>
      </c>
      <c r="O1007" s="151">
        <v>5</v>
      </c>
      <c r="P1007" s="151" t="s">
        <v>199</v>
      </c>
    </row>
    <row r="1008" spans="1:16" ht="22.5">
      <c r="A1008" s="319" t="s">
        <v>6959</v>
      </c>
      <c r="B1008" s="324" t="s">
        <v>6960</v>
      </c>
      <c r="C1008" s="319"/>
      <c r="D1008" s="319"/>
      <c r="E1008" s="319" t="s">
        <v>242</v>
      </c>
      <c r="F1008" s="319"/>
      <c r="G1008" s="318" t="s">
        <v>1890</v>
      </c>
      <c r="H1008" s="319" t="s">
        <v>5232</v>
      </c>
      <c r="I1008" s="319" t="s">
        <v>198</v>
      </c>
      <c r="J1008" s="324"/>
      <c r="K1008" s="319" t="s">
        <v>191</v>
      </c>
      <c r="L1008" s="320">
        <v>4</v>
      </c>
      <c r="M1008" s="320">
        <v>4</v>
      </c>
      <c r="N1008" s="322" t="s">
        <v>12</v>
      </c>
      <c r="O1008" s="151">
        <v>5</v>
      </c>
      <c r="P1008" s="151" t="s">
        <v>199</v>
      </c>
    </row>
    <row r="1009" spans="1:16" ht="22.5">
      <c r="A1009" s="319" t="s">
        <v>6961</v>
      </c>
      <c r="B1009" s="324" t="s">
        <v>6962</v>
      </c>
      <c r="C1009" s="319"/>
      <c r="D1009" s="319"/>
      <c r="E1009" s="319" t="s">
        <v>242</v>
      </c>
      <c r="F1009" s="319"/>
      <c r="G1009" s="318" t="s">
        <v>1890</v>
      </c>
      <c r="H1009" s="319" t="s">
        <v>5235</v>
      </c>
      <c r="I1009" s="319" t="s">
        <v>198</v>
      </c>
      <c r="J1009" s="324"/>
      <c r="K1009" s="319" t="s">
        <v>191</v>
      </c>
      <c r="L1009" s="320">
        <v>4</v>
      </c>
      <c r="M1009" s="320">
        <v>4</v>
      </c>
      <c r="N1009" s="322" t="s">
        <v>12</v>
      </c>
      <c r="O1009" s="151">
        <v>5</v>
      </c>
      <c r="P1009" s="151" t="s">
        <v>199</v>
      </c>
    </row>
    <row r="1010" spans="1:16" ht="22.5">
      <c r="A1010" s="319" t="s">
        <v>6963</v>
      </c>
      <c r="B1010" s="324" t="s">
        <v>6964</v>
      </c>
      <c r="C1010" s="319"/>
      <c r="D1010" s="319"/>
      <c r="E1010" s="319" t="s">
        <v>242</v>
      </c>
      <c r="F1010" s="319"/>
      <c r="G1010" s="318" t="s">
        <v>1890</v>
      </c>
      <c r="H1010" s="319" t="s">
        <v>5238</v>
      </c>
      <c r="I1010" s="319" t="s">
        <v>198</v>
      </c>
      <c r="J1010" s="324"/>
      <c r="K1010" s="319" t="s">
        <v>191</v>
      </c>
      <c r="L1010" s="320">
        <v>4</v>
      </c>
      <c r="M1010" s="320">
        <v>4</v>
      </c>
      <c r="N1010" s="322" t="s">
        <v>12</v>
      </c>
      <c r="O1010" s="151">
        <v>5</v>
      </c>
      <c r="P1010" s="151" t="s">
        <v>199</v>
      </c>
    </row>
    <row r="1011" spans="1:16" ht="22.5">
      <c r="A1011" s="319" t="s">
        <v>6965</v>
      </c>
      <c r="B1011" s="324" t="s">
        <v>6966</v>
      </c>
      <c r="C1011" s="319"/>
      <c r="D1011" s="319"/>
      <c r="E1011" s="319" t="s">
        <v>242</v>
      </c>
      <c r="F1011" s="319"/>
      <c r="G1011" s="318" t="s">
        <v>1890</v>
      </c>
      <c r="H1011" s="319" t="s">
        <v>5241</v>
      </c>
      <c r="I1011" s="319" t="s">
        <v>198</v>
      </c>
      <c r="J1011" s="324"/>
      <c r="K1011" s="319" t="s">
        <v>191</v>
      </c>
      <c r="L1011" s="320">
        <v>4</v>
      </c>
      <c r="M1011" s="320">
        <v>4</v>
      </c>
      <c r="N1011" s="322" t="s">
        <v>12</v>
      </c>
      <c r="O1011" s="151">
        <v>5</v>
      </c>
      <c r="P1011" s="151" t="s">
        <v>199</v>
      </c>
    </row>
    <row r="1012" spans="1:16" ht="22.5">
      <c r="A1012" s="319" t="s">
        <v>6967</v>
      </c>
      <c r="B1012" s="324" t="s">
        <v>6968</v>
      </c>
      <c r="C1012" s="319"/>
      <c r="D1012" s="319"/>
      <c r="E1012" s="319" t="s">
        <v>242</v>
      </c>
      <c r="F1012" s="319"/>
      <c r="G1012" s="318" t="s">
        <v>1890</v>
      </c>
      <c r="H1012" s="319" t="s">
        <v>5244</v>
      </c>
      <c r="I1012" s="319" t="s">
        <v>198</v>
      </c>
      <c r="J1012" s="324"/>
      <c r="K1012" s="319" t="s">
        <v>191</v>
      </c>
      <c r="L1012" s="320">
        <v>4</v>
      </c>
      <c r="M1012" s="320">
        <v>4</v>
      </c>
      <c r="N1012" s="322" t="s">
        <v>12</v>
      </c>
      <c r="O1012" s="151">
        <v>5</v>
      </c>
      <c r="P1012" s="151" t="s">
        <v>199</v>
      </c>
    </row>
    <row r="1013" spans="1:16" ht="22.5">
      <c r="A1013" s="319" t="s">
        <v>6969</v>
      </c>
      <c r="B1013" s="324" t="s">
        <v>6970</v>
      </c>
      <c r="C1013" s="319"/>
      <c r="D1013" s="319"/>
      <c r="E1013" s="319" t="s">
        <v>242</v>
      </c>
      <c r="F1013" s="319"/>
      <c r="G1013" s="318" t="s">
        <v>1890</v>
      </c>
      <c r="H1013" s="319" t="s">
        <v>5247</v>
      </c>
      <c r="I1013" s="319" t="s">
        <v>198</v>
      </c>
      <c r="J1013" s="324"/>
      <c r="K1013" s="319" t="s">
        <v>191</v>
      </c>
      <c r="L1013" s="320">
        <v>4</v>
      </c>
      <c r="M1013" s="320">
        <v>4</v>
      </c>
      <c r="N1013" s="322" t="s">
        <v>12</v>
      </c>
      <c r="O1013" s="151">
        <v>5</v>
      </c>
      <c r="P1013" s="151" t="s">
        <v>199</v>
      </c>
    </row>
    <row r="1014" spans="1:16">
      <c r="A1014" s="319" t="s">
        <v>6971</v>
      </c>
      <c r="B1014" s="324" t="s">
        <v>6972</v>
      </c>
      <c r="C1014" s="319"/>
      <c r="D1014" s="319"/>
      <c r="E1014" s="319" t="s">
        <v>242</v>
      </c>
      <c r="F1014" s="319"/>
      <c r="G1014" s="318" t="s">
        <v>1890</v>
      </c>
      <c r="H1014" s="319" t="s">
        <v>5250</v>
      </c>
      <c r="I1014" s="319" t="s">
        <v>198</v>
      </c>
      <c r="J1014" s="324"/>
      <c r="K1014" s="319" t="s">
        <v>191</v>
      </c>
      <c r="L1014" s="320">
        <v>4</v>
      </c>
      <c r="M1014" s="320">
        <v>4</v>
      </c>
      <c r="N1014" s="322" t="s">
        <v>12</v>
      </c>
      <c r="O1014" s="151">
        <v>5</v>
      </c>
      <c r="P1014" s="151" t="s">
        <v>199</v>
      </c>
    </row>
    <row r="1015" spans="1:16" ht="22.5">
      <c r="A1015" s="319" t="s">
        <v>6973</v>
      </c>
      <c r="B1015" s="324" t="s">
        <v>6974</v>
      </c>
      <c r="C1015" s="319"/>
      <c r="D1015" s="319"/>
      <c r="E1015" s="319" t="s">
        <v>242</v>
      </c>
      <c r="F1015" s="319"/>
      <c r="G1015" s="318" t="s">
        <v>1890</v>
      </c>
      <c r="H1015" s="319" t="s">
        <v>5253</v>
      </c>
      <c r="I1015" s="319" t="s">
        <v>198</v>
      </c>
      <c r="J1015" s="324"/>
      <c r="K1015" s="319" t="s">
        <v>191</v>
      </c>
      <c r="L1015" s="320">
        <v>4</v>
      </c>
      <c r="M1015" s="320">
        <v>4</v>
      </c>
      <c r="N1015" s="322" t="s">
        <v>12</v>
      </c>
      <c r="O1015" s="151">
        <v>5</v>
      </c>
      <c r="P1015" s="151" t="s">
        <v>199</v>
      </c>
    </row>
    <row r="1016" spans="1:16" ht="22.5">
      <c r="A1016" s="319" t="s">
        <v>6975</v>
      </c>
      <c r="B1016" s="324" t="s">
        <v>6976</v>
      </c>
      <c r="C1016" s="319"/>
      <c r="D1016" s="319"/>
      <c r="E1016" s="319" t="s">
        <v>242</v>
      </c>
      <c r="F1016" s="319"/>
      <c r="G1016" s="318" t="s">
        <v>1890</v>
      </c>
      <c r="H1016" s="319" t="s">
        <v>5256</v>
      </c>
      <c r="I1016" s="319" t="s">
        <v>198</v>
      </c>
      <c r="J1016" s="324"/>
      <c r="K1016" s="319" t="s">
        <v>191</v>
      </c>
      <c r="L1016" s="320">
        <v>4</v>
      </c>
      <c r="M1016" s="320">
        <v>4</v>
      </c>
      <c r="N1016" s="322" t="s">
        <v>12</v>
      </c>
      <c r="O1016" s="151">
        <v>5</v>
      </c>
      <c r="P1016" s="151" t="s">
        <v>199</v>
      </c>
    </row>
    <row r="1017" spans="1:16" ht="22.5">
      <c r="A1017" s="319" t="s">
        <v>6977</v>
      </c>
      <c r="B1017" s="324" t="s">
        <v>6978</v>
      </c>
      <c r="C1017" s="319"/>
      <c r="D1017" s="319"/>
      <c r="E1017" s="319" t="s">
        <v>242</v>
      </c>
      <c r="F1017" s="319"/>
      <c r="G1017" s="318" t="s">
        <v>1962</v>
      </c>
      <c r="H1017" s="319" t="s">
        <v>5259</v>
      </c>
      <c r="I1017" s="319" t="s">
        <v>198</v>
      </c>
      <c r="J1017" s="324"/>
      <c r="K1017" s="319" t="s">
        <v>191</v>
      </c>
      <c r="L1017" s="320">
        <v>4</v>
      </c>
      <c r="M1017" s="320">
        <v>4</v>
      </c>
      <c r="N1017" s="322" t="s">
        <v>12</v>
      </c>
      <c r="O1017" s="151">
        <v>5</v>
      </c>
      <c r="P1017" s="151" t="s">
        <v>199</v>
      </c>
    </row>
    <row r="1018" spans="1:16" ht="22.5">
      <c r="A1018" s="319" t="s">
        <v>6979</v>
      </c>
      <c r="B1018" s="324" t="s">
        <v>6980</v>
      </c>
      <c r="C1018" s="319"/>
      <c r="D1018" s="319"/>
      <c r="E1018" s="319" t="s">
        <v>242</v>
      </c>
      <c r="F1018" s="319"/>
      <c r="G1018" s="318" t="s">
        <v>1962</v>
      </c>
      <c r="H1018" s="319" t="s">
        <v>5262</v>
      </c>
      <c r="I1018" s="328"/>
      <c r="J1018" s="324"/>
      <c r="K1018" s="319" t="s">
        <v>191</v>
      </c>
      <c r="L1018" s="320">
        <v>4</v>
      </c>
      <c r="M1018" s="320">
        <v>4</v>
      </c>
      <c r="N1018" s="322" t="s">
        <v>12</v>
      </c>
      <c r="O1018" s="151">
        <v>5</v>
      </c>
      <c r="P1018" s="151" t="s">
        <v>199</v>
      </c>
    </row>
    <row r="1019" spans="1:16" ht="22.5">
      <c r="A1019" s="319" t="s">
        <v>6981</v>
      </c>
      <c r="B1019" s="324" t="s">
        <v>6982</v>
      </c>
      <c r="C1019" s="319"/>
      <c r="D1019" s="319"/>
      <c r="E1019" s="319" t="s">
        <v>242</v>
      </c>
      <c r="F1019" s="319"/>
      <c r="G1019" s="318" t="s">
        <v>1962</v>
      </c>
      <c r="H1019" s="319" t="s">
        <v>5265</v>
      </c>
      <c r="I1019" s="328"/>
      <c r="J1019" s="324"/>
      <c r="K1019" s="319" t="s">
        <v>191</v>
      </c>
      <c r="L1019" s="320">
        <v>4</v>
      </c>
      <c r="M1019" s="320">
        <v>4</v>
      </c>
      <c r="N1019" s="322" t="s">
        <v>12</v>
      </c>
      <c r="O1019" s="151">
        <v>5</v>
      </c>
      <c r="P1019" s="151" t="s">
        <v>199</v>
      </c>
    </row>
    <row r="1020" spans="1:16" ht="22.5">
      <c r="A1020" s="319" t="s">
        <v>6983</v>
      </c>
      <c r="B1020" s="324" t="s">
        <v>6984</v>
      </c>
      <c r="C1020" s="319"/>
      <c r="D1020" s="319"/>
      <c r="E1020" s="319" t="s">
        <v>242</v>
      </c>
      <c r="F1020" s="319"/>
      <c r="G1020" s="318" t="s">
        <v>1890</v>
      </c>
      <c r="H1020" s="319" t="s">
        <v>5268</v>
      </c>
      <c r="I1020" s="328" t="s">
        <v>198</v>
      </c>
      <c r="J1020" s="324"/>
      <c r="K1020" s="319" t="s">
        <v>191</v>
      </c>
      <c r="L1020" s="320">
        <v>4</v>
      </c>
      <c r="M1020" s="320">
        <v>4</v>
      </c>
      <c r="N1020" s="322" t="s">
        <v>12</v>
      </c>
      <c r="O1020" s="151">
        <v>5</v>
      </c>
      <c r="P1020" s="151" t="s">
        <v>199</v>
      </c>
    </row>
    <row r="1021" spans="1:16" ht="22.5">
      <c r="A1021" s="319" t="s">
        <v>6985</v>
      </c>
      <c r="B1021" s="324" t="s">
        <v>6986</v>
      </c>
      <c r="C1021" s="319"/>
      <c r="D1021" s="319"/>
      <c r="E1021" s="319" t="s">
        <v>242</v>
      </c>
      <c r="F1021" s="319"/>
      <c r="G1021" s="318" t="s">
        <v>1890</v>
      </c>
      <c r="H1021" s="319" t="s">
        <v>5274</v>
      </c>
      <c r="I1021" s="319" t="s">
        <v>198</v>
      </c>
      <c r="J1021" s="324"/>
      <c r="K1021" s="319" t="s">
        <v>191</v>
      </c>
      <c r="L1021" s="320">
        <v>4</v>
      </c>
      <c r="M1021" s="320">
        <v>4</v>
      </c>
      <c r="N1021" s="322" t="s">
        <v>12</v>
      </c>
      <c r="O1021" s="151">
        <v>5</v>
      </c>
      <c r="P1021" s="151" t="s">
        <v>199</v>
      </c>
    </row>
    <row r="1022" spans="1:16" ht="22.5">
      <c r="A1022" s="319" t="s">
        <v>6987</v>
      </c>
      <c r="B1022" s="324" t="s">
        <v>6988</v>
      </c>
      <c r="C1022" s="319"/>
      <c r="D1022" s="319"/>
      <c r="E1022" s="319" t="s">
        <v>242</v>
      </c>
      <c r="F1022" s="319"/>
      <c r="G1022" s="318" t="s">
        <v>1890</v>
      </c>
      <c r="H1022" s="319" t="s">
        <v>5277</v>
      </c>
      <c r="I1022" s="319" t="s">
        <v>198</v>
      </c>
      <c r="J1022" s="324"/>
      <c r="K1022" s="319" t="s">
        <v>191</v>
      </c>
      <c r="L1022" s="320">
        <v>4</v>
      </c>
      <c r="M1022" s="320">
        <v>4</v>
      </c>
      <c r="N1022" s="322" t="s">
        <v>12</v>
      </c>
      <c r="O1022" s="151">
        <v>5</v>
      </c>
      <c r="P1022" s="151" t="s">
        <v>199</v>
      </c>
    </row>
    <row r="1023" spans="1:16" ht="22.5">
      <c r="A1023" s="319" t="s">
        <v>6989</v>
      </c>
      <c r="B1023" s="324" t="s">
        <v>6990</v>
      </c>
      <c r="C1023" s="319"/>
      <c r="D1023" s="319"/>
      <c r="E1023" s="319" t="s">
        <v>242</v>
      </c>
      <c r="F1023" s="319"/>
      <c r="G1023" s="318" t="s">
        <v>1890</v>
      </c>
      <c r="H1023" s="319" t="s">
        <v>6266</v>
      </c>
      <c r="I1023" s="319" t="s">
        <v>198</v>
      </c>
      <c r="J1023" s="324"/>
      <c r="K1023" s="319" t="s">
        <v>191</v>
      </c>
      <c r="L1023" s="320">
        <v>4</v>
      </c>
      <c r="M1023" s="320">
        <v>4</v>
      </c>
      <c r="N1023" s="322" t="s">
        <v>12</v>
      </c>
      <c r="O1023" s="151">
        <v>5</v>
      </c>
      <c r="P1023" s="151" t="s">
        <v>199</v>
      </c>
    </row>
    <row r="1024" spans="1:16" ht="22.5">
      <c r="A1024" s="319" t="s">
        <v>6991</v>
      </c>
      <c r="B1024" s="324" t="s">
        <v>6992</v>
      </c>
      <c r="C1024" s="319"/>
      <c r="D1024" s="319"/>
      <c r="E1024" s="319" t="s">
        <v>242</v>
      </c>
      <c r="F1024" s="319"/>
      <c r="G1024" s="318" t="s">
        <v>1890</v>
      </c>
      <c r="H1024" s="319" t="s">
        <v>6269</v>
      </c>
      <c r="I1024" s="319" t="s">
        <v>198</v>
      </c>
      <c r="J1024" s="324"/>
      <c r="K1024" s="319" t="s">
        <v>191</v>
      </c>
      <c r="L1024" s="320">
        <v>4</v>
      </c>
      <c r="M1024" s="320">
        <v>4</v>
      </c>
      <c r="N1024" s="322" t="s">
        <v>12</v>
      </c>
      <c r="O1024" s="151">
        <v>5</v>
      </c>
      <c r="P1024" s="151" t="s">
        <v>199</v>
      </c>
    </row>
    <row r="1025" spans="1:16" ht="22.5">
      <c r="A1025" s="319" t="s">
        <v>6993</v>
      </c>
      <c r="B1025" s="324" t="s">
        <v>6994</v>
      </c>
      <c r="C1025" s="319"/>
      <c r="D1025" s="319"/>
      <c r="E1025" s="319" t="s">
        <v>242</v>
      </c>
      <c r="F1025" s="319"/>
      <c r="G1025" s="318" t="s">
        <v>1890</v>
      </c>
      <c r="H1025" s="319" t="s">
        <v>6272</v>
      </c>
      <c r="I1025" s="319" t="s">
        <v>198</v>
      </c>
      <c r="J1025" s="324"/>
      <c r="K1025" s="319" t="s">
        <v>191</v>
      </c>
      <c r="L1025" s="320">
        <v>4</v>
      </c>
      <c r="M1025" s="320">
        <v>4</v>
      </c>
      <c r="N1025" s="322" t="s">
        <v>12</v>
      </c>
      <c r="O1025" s="151">
        <v>5</v>
      </c>
      <c r="P1025" s="151" t="s">
        <v>199</v>
      </c>
    </row>
    <row r="1026" spans="1:16" ht="22.5">
      <c r="A1026" s="319" t="s">
        <v>6995</v>
      </c>
      <c r="B1026" s="324" t="s">
        <v>6996</v>
      </c>
      <c r="C1026" s="319"/>
      <c r="D1026" s="319"/>
      <c r="E1026" s="319" t="s">
        <v>242</v>
      </c>
      <c r="F1026" s="319"/>
      <c r="G1026" s="318" t="s">
        <v>1890</v>
      </c>
      <c r="H1026" s="319" t="s">
        <v>5289</v>
      </c>
      <c r="I1026" s="319" t="s">
        <v>198</v>
      </c>
      <c r="J1026" s="324"/>
      <c r="K1026" s="319" t="s">
        <v>191</v>
      </c>
      <c r="L1026" s="320">
        <v>4</v>
      </c>
      <c r="M1026" s="320">
        <v>4</v>
      </c>
      <c r="N1026" s="322" t="s">
        <v>12</v>
      </c>
      <c r="O1026" s="151">
        <v>5</v>
      </c>
      <c r="P1026" s="151" t="s">
        <v>199</v>
      </c>
    </row>
    <row r="1027" spans="1:16" ht="22.5">
      <c r="A1027" s="319" t="s">
        <v>6997</v>
      </c>
      <c r="B1027" s="324" t="s">
        <v>6998</v>
      </c>
      <c r="C1027" s="319"/>
      <c r="D1027" s="319"/>
      <c r="E1027" s="319" t="s">
        <v>242</v>
      </c>
      <c r="F1027" s="319"/>
      <c r="G1027" s="318" t="s">
        <v>1890</v>
      </c>
      <c r="H1027" s="319" t="s">
        <v>5292</v>
      </c>
      <c r="I1027" s="319" t="s">
        <v>198</v>
      </c>
      <c r="J1027" s="324"/>
      <c r="K1027" s="319" t="s">
        <v>191</v>
      </c>
      <c r="L1027" s="320">
        <v>4</v>
      </c>
      <c r="M1027" s="320">
        <v>4</v>
      </c>
      <c r="N1027" s="322" t="s">
        <v>12</v>
      </c>
      <c r="O1027" s="151">
        <v>5</v>
      </c>
      <c r="P1027" s="151" t="s">
        <v>199</v>
      </c>
    </row>
    <row r="1028" spans="1:16" ht="22.5">
      <c r="A1028" s="319" t="s">
        <v>6999</v>
      </c>
      <c r="B1028" s="324" t="s">
        <v>7000</v>
      </c>
      <c r="C1028" s="319"/>
      <c r="D1028" s="319"/>
      <c r="E1028" s="319" t="s">
        <v>242</v>
      </c>
      <c r="F1028" s="319"/>
      <c r="G1028" s="318" t="s">
        <v>1890</v>
      </c>
      <c r="H1028" s="319" t="s">
        <v>5301</v>
      </c>
      <c r="I1028" s="319" t="s">
        <v>198</v>
      </c>
      <c r="J1028" s="324"/>
      <c r="K1028" s="319" t="s">
        <v>191</v>
      </c>
      <c r="L1028" s="320">
        <v>4</v>
      </c>
      <c r="M1028" s="320">
        <v>4</v>
      </c>
      <c r="N1028" s="322" t="s">
        <v>12</v>
      </c>
      <c r="O1028" s="151">
        <v>5</v>
      </c>
      <c r="P1028" s="151" t="s">
        <v>199</v>
      </c>
    </row>
    <row r="1029" spans="1:16" ht="22.5">
      <c r="A1029" s="319" t="s">
        <v>7001</v>
      </c>
      <c r="B1029" s="324" t="s">
        <v>7002</v>
      </c>
      <c r="C1029" s="319"/>
      <c r="D1029" s="319"/>
      <c r="E1029" s="319" t="s">
        <v>242</v>
      </c>
      <c r="F1029" s="319"/>
      <c r="G1029" s="318" t="s">
        <v>1890</v>
      </c>
      <c r="H1029" s="319" t="s">
        <v>5304</v>
      </c>
      <c r="I1029" s="319" t="s">
        <v>198</v>
      </c>
      <c r="J1029" s="324"/>
      <c r="K1029" s="319" t="s">
        <v>191</v>
      </c>
      <c r="L1029" s="320">
        <v>4</v>
      </c>
      <c r="M1029" s="320">
        <v>4</v>
      </c>
      <c r="N1029" s="322" t="s">
        <v>12</v>
      </c>
      <c r="O1029" s="151">
        <v>5</v>
      </c>
      <c r="P1029" s="151" t="s">
        <v>199</v>
      </c>
    </row>
    <row r="1030" spans="1:16" ht="22.5">
      <c r="A1030" s="319" t="s">
        <v>7003</v>
      </c>
      <c r="B1030" s="324" t="s">
        <v>7004</v>
      </c>
      <c r="C1030" s="319"/>
      <c r="D1030" s="319"/>
      <c r="E1030" s="319" t="s">
        <v>242</v>
      </c>
      <c r="F1030" s="319"/>
      <c r="G1030" s="318" t="s">
        <v>1890</v>
      </c>
      <c r="H1030" s="319" t="s">
        <v>5307</v>
      </c>
      <c r="I1030" s="319" t="s">
        <v>198</v>
      </c>
      <c r="J1030" s="324"/>
      <c r="K1030" s="319" t="s">
        <v>191</v>
      </c>
      <c r="L1030" s="320">
        <v>4</v>
      </c>
      <c r="M1030" s="320">
        <v>4</v>
      </c>
      <c r="N1030" s="322" t="s">
        <v>12</v>
      </c>
      <c r="O1030" s="151">
        <v>5</v>
      </c>
      <c r="P1030" s="151" t="s">
        <v>199</v>
      </c>
    </row>
    <row r="1031" spans="1:16" ht="22.5">
      <c r="A1031" s="319" t="s">
        <v>7005</v>
      </c>
      <c r="B1031" s="324" t="s">
        <v>7006</v>
      </c>
      <c r="C1031" s="319"/>
      <c r="D1031" s="319"/>
      <c r="E1031" s="319" t="s">
        <v>242</v>
      </c>
      <c r="F1031" s="319"/>
      <c r="G1031" s="318" t="s">
        <v>1890</v>
      </c>
      <c r="H1031" s="319" t="s">
        <v>5310</v>
      </c>
      <c r="I1031" s="319" t="s">
        <v>198</v>
      </c>
      <c r="J1031" s="324"/>
      <c r="K1031" s="319" t="s">
        <v>191</v>
      </c>
      <c r="L1031" s="320">
        <v>4</v>
      </c>
      <c r="M1031" s="320">
        <v>4</v>
      </c>
      <c r="N1031" s="322" t="s">
        <v>12</v>
      </c>
      <c r="O1031" s="151">
        <v>5</v>
      </c>
      <c r="P1031" s="151" t="s">
        <v>199</v>
      </c>
    </row>
    <row r="1032" spans="1:16" ht="22.5">
      <c r="A1032" s="319" t="s">
        <v>7007</v>
      </c>
      <c r="B1032" s="324" t="s">
        <v>7008</v>
      </c>
      <c r="C1032" s="319"/>
      <c r="D1032" s="319"/>
      <c r="E1032" s="319" t="s">
        <v>242</v>
      </c>
      <c r="F1032" s="319"/>
      <c r="G1032" s="318" t="s">
        <v>1890</v>
      </c>
      <c r="H1032" s="319" t="s">
        <v>5313</v>
      </c>
      <c r="I1032" s="319" t="s">
        <v>198</v>
      </c>
      <c r="J1032" s="324"/>
      <c r="K1032" s="319" t="s">
        <v>191</v>
      </c>
      <c r="L1032" s="320">
        <v>4</v>
      </c>
      <c r="M1032" s="320">
        <v>4</v>
      </c>
      <c r="N1032" s="322" t="s">
        <v>12</v>
      </c>
      <c r="O1032" s="151">
        <v>5</v>
      </c>
      <c r="P1032" s="151" t="s">
        <v>199</v>
      </c>
    </row>
    <row r="1033" spans="1:16" ht="22.5">
      <c r="A1033" s="319" t="s">
        <v>7009</v>
      </c>
      <c r="B1033" s="324" t="s">
        <v>7010</v>
      </c>
      <c r="C1033" s="319"/>
      <c r="D1033" s="319"/>
      <c r="E1033" s="319" t="s">
        <v>242</v>
      </c>
      <c r="F1033" s="319"/>
      <c r="G1033" s="318" t="s">
        <v>1890</v>
      </c>
      <c r="H1033" s="319" t="s">
        <v>5316</v>
      </c>
      <c r="I1033" s="319" t="s">
        <v>198</v>
      </c>
      <c r="J1033" s="324"/>
      <c r="K1033" s="319" t="s">
        <v>191</v>
      </c>
      <c r="L1033" s="320">
        <v>4</v>
      </c>
      <c r="M1033" s="320">
        <v>4</v>
      </c>
      <c r="N1033" s="322" t="s">
        <v>12</v>
      </c>
      <c r="O1033" s="151">
        <v>5</v>
      </c>
      <c r="P1033" s="151" t="s">
        <v>199</v>
      </c>
    </row>
    <row r="1034" spans="1:16" ht="22.5">
      <c r="A1034" s="319" t="s">
        <v>7011</v>
      </c>
      <c r="B1034" s="324" t="s">
        <v>7012</v>
      </c>
      <c r="C1034" s="319"/>
      <c r="D1034" s="319"/>
      <c r="E1034" s="319" t="s">
        <v>242</v>
      </c>
      <c r="F1034" s="319"/>
      <c r="G1034" s="318" t="s">
        <v>1890</v>
      </c>
      <c r="H1034" s="319" t="s">
        <v>5319</v>
      </c>
      <c r="I1034" s="319" t="s">
        <v>198</v>
      </c>
      <c r="J1034" s="324"/>
      <c r="K1034" s="319" t="s">
        <v>191</v>
      </c>
      <c r="L1034" s="320">
        <v>4</v>
      </c>
      <c r="M1034" s="320">
        <v>4</v>
      </c>
      <c r="N1034" s="322" t="s">
        <v>12</v>
      </c>
      <c r="O1034" s="151">
        <v>5</v>
      </c>
      <c r="P1034" s="151" t="s">
        <v>199</v>
      </c>
    </row>
    <row r="1035" spans="1:16" ht="22.5">
      <c r="A1035" s="319" t="s">
        <v>7013</v>
      </c>
      <c r="B1035" s="324" t="s">
        <v>7014</v>
      </c>
      <c r="C1035" s="319"/>
      <c r="D1035" s="319"/>
      <c r="E1035" s="319" t="s">
        <v>242</v>
      </c>
      <c r="F1035" s="319"/>
      <c r="G1035" s="318" t="s">
        <v>1890</v>
      </c>
      <c r="H1035" s="319" t="s">
        <v>5322</v>
      </c>
      <c r="I1035" s="319" t="s">
        <v>198</v>
      </c>
      <c r="J1035" s="324"/>
      <c r="K1035" s="319" t="s">
        <v>191</v>
      </c>
      <c r="L1035" s="320">
        <v>4</v>
      </c>
      <c r="M1035" s="320">
        <v>4</v>
      </c>
      <c r="N1035" s="322" t="s">
        <v>12</v>
      </c>
      <c r="O1035" s="151">
        <v>5</v>
      </c>
      <c r="P1035" s="151" t="s">
        <v>199</v>
      </c>
    </row>
    <row r="1036" spans="1:16" ht="22.5">
      <c r="A1036" s="319" t="s">
        <v>7015</v>
      </c>
      <c r="B1036" s="324" t="s">
        <v>7016</v>
      </c>
      <c r="C1036" s="319"/>
      <c r="D1036" s="319"/>
      <c r="E1036" s="319" t="s">
        <v>242</v>
      </c>
      <c r="F1036" s="319"/>
      <c r="G1036" s="318" t="s">
        <v>1890</v>
      </c>
      <c r="H1036" s="319" t="s">
        <v>5325</v>
      </c>
      <c r="I1036" s="319" t="s">
        <v>198</v>
      </c>
      <c r="J1036" s="324"/>
      <c r="K1036" s="319" t="s">
        <v>191</v>
      </c>
      <c r="L1036" s="320">
        <v>4</v>
      </c>
      <c r="M1036" s="320">
        <v>4</v>
      </c>
      <c r="N1036" s="322" t="s">
        <v>12</v>
      </c>
      <c r="O1036" s="151">
        <v>5</v>
      </c>
      <c r="P1036" s="151" t="s">
        <v>199</v>
      </c>
    </row>
    <row r="1037" spans="1:16" ht="22.5">
      <c r="A1037" s="319" t="s">
        <v>7017</v>
      </c>
      <c r="B1037" s="324" t="s">
        <v>7018</v>
      </c>
      <c r="C1037" s="319"/>
      <c r="D1037" s="319"/>
      <c r="E1037" s="319" t="s">
        <v>242</v>
      </c>
      <c r="F1037" s="319"/>
      <c r="G1037" s="318" t="s">
        <v>1890</v>
      </c>
      <c r="H1037" s="319" t="s">
        <v>5328</v>
      </c>
      <c r="I1037" s="319" t="s">
        <v>198</v>
      </c>
      <c r="J1037" s="324"/>
      <c r="K1037" s="319" t="s">
        <v>191</v>
      </c>
      <c r="L1037" s="320">
        <v>4</v>
      </c>
      <c r="M1037" s="320">
        <v>4</v>
      </c>
      <c r="N1037" s="322" t="s">
        <v>12</v>
      </c>
      <c r="O1037" s="151">
        <v>5</v>
      </c>
      <c r="P1037" s="151" t="s">
        <v>199</v>
      </c>
    </row>
    <row r="1038" spans="1:16" ht="22.5">
      <c r="A1038" s="319" t="s">
        <v>7019</v>
      </c>
      <c r="B1038" s="324" t="s">
        <v>7020</v>
      </c>
      <c r="C1038" s="319"/>
      <c r="D1038" s="319"/>
      <c r="E1038" s="319" t="s">
        <v>242</v>
      </c>
      <c r="F1038" s="319"/>
      <c r="G1038" s="318" t="s">
        <v>1890</v>
      </c>
      <c r="H1038" s="319" t="s">
        <v>5331</v>
      </c>
      <c r="I1038" s="319" t="s">
        <v>204</v>
      </c>
      <c r="J1038" s="324" t="s">
        <v>5332</v>
      </c>
      <c r="K1038" s="319" t="s">
        <v>191</v>
      </c>
      <c r="L1038" s="320">
        <v>4</v>
      </c>
      <c r="M1038" s="320">
        <v>4</v>
      </c>
      <c r="N1038" s="322" t="s">
        <v>12</v>
      </c>
      <c r="O1038" s="151">
        <v>5</v>
      </c>
      <c r="P1038" s="151" t="s">
        <v>199</v>
      </c>
    </row>
    <row r="1039" spans="1:16" ht="22.5">
      <c r="A1039" s="319" t="s">
        <v>7021</v>
      </c>
      <c r="B1039" s="324" t="s">
        <v>7022</v>
      </c>
      <c r="C1039" s="319"/>
      <c r="D1039" s="319"/>
      <c r="E1039" s="319" t="s">
        <v>242</v>
      </c>
      <c r="F1039" s="319"/>
      <c r="G1039" s="318" t="s">
        <v>1890</v>
      </c>
      <c r="H1039" s="319" t="s">
        <v>5335</v>
      </c>
      <c r="I1039" s="319" t="s">
        <v>188</v>
      </c>
      <c r="J1039" s="324" t="s">
        <v>1453</v>
      </c>
      <c r="K1039" s="319" t="s">
        <v>191</v>
      </c>
      <c r="L1039" s="320">
        <v>4</v>
      </c>
      <c r="M1039" s="320">
        <v>4</v>
      </c>
      <c r="N1039" s="322" t="s">
        <v>12</v>
      </c>
      <c r="O1039" s="151">
        <v>5</v>
      </c>
      <c r="P1039" s="151" t="s">
        <v>199</v>
      </c>
    </row>
    <row r="1040" spans="1:16" ht="22.5">
      <c r="A1040" s="319" t="s">
        <v>7023</v>
      </c>
      <c r="B1040" s="324" t="s">
        <v>7024</v>
      </c>
      <c r="C1040" s="319"/>
      <c r="D1040" s="319"/>
      <c r="E1040" s="319" t="s">
        <v>242</v>
      </c>
      <c r="F1040" s="319"/>
      <c r="G1040" s="318" t="s">
        <v>1890</v>
      </c>
      <c r="H1040" s="319" t="s">
        <v>5338</v>
      </c>
      <c r="I1040" s="319" t="s">
        <v>188</v>
      </c>
      <c r="J1040" s="324" t="s">
        <v>1453</v>
      </c>
      <c r="K1040" s="319" t="s">
        <v>191</v>
      </c>
      <c r="L1040" s="320">
        <v>4</v>
      </c>
      <c r="M1040" s="320">
        <v>4</v>
      </c>
      <c r="N1040" s="322" t="s">
        <v>12</v>
      </c>
      <c r="O1040" s="151">
        <v>5</v>
      </c>
      <c r="P1040" s="151" t="s">
        <v>199</v>
      </c>
    </row>
    <row r="1041" spans="1:16" ht="22.5">
      <c r="A1041" s="319" t="s">
        <v>7025</v>
      </c>
      <c r="B1041" s="324" t="s">
        <v>7026</v>
      </c>
      <c r="C1041" s="319"/>
      <c r="D1041" s="319"/>
      <c r="E1041" s="341" t="s">
        <v>242</v>
      </c>
      <c r="F1041" s="341"/>
      <c r="G1041" s="318" t="s">
        <v>1921</v>
      </c>
      <c r="H1041" s="319" t="s">
        <v>5341</v>
      </c>
      <c r="I1041" s="319" t="s">
        <v>188</v>
      </c>
      <c r="J1041" s="324" t="s">
        <v>1453</v>
      </c>
      <c r="K1041" s="319" t="s">
        <v>191</v>
      </c>
      <c r="L1041" s="320">
        <v>4</v>
      </c>
      <c r="M1041" s="320">
        <v>4</v>
      </c>
      <c r="N1041" s="322" t="s">
        <v>12</v>
      </c>
      <c r="O1041" s="151">
        <v>5</v>
      </c>
      <c r="P1041" s="151" t="s">
        <v>199</v>
      </c>
    </row>
    <row r="1042" spans="1:16" ht="22.5">
      <c r="A1042" s="319" t="s">
        <v>7027</v>
      </c>
      <c r="B1042" s="324" t="s">
        <v>7028</v>
      </c>
      <c r="C1042" s="319"/>
      <c r="D1042" s="319"/>
      <c r="E1042" s="319" t="s">
        <v>242</v>
      </c>
      <c r="F1042" s="319"/>
      <c r="G1042" s="318" t="s">
        <v>6627</v>
      </c>
      <c r="H1042" s="319" t="s">
        <v>5341</v>
      </c>
      <c r="I1042" s="319" t="s">
        <v>188</v>
      </c>
      <c r="J1042" s="324" t="s">
        <v>1453</v>
      </c>
      <c r="K1042" s="319" t="s">
        <v>191</v>
      </c>
      <c r="L1042" s="320">
        <v>4</v>
      </c>
      <c r="M1042" s="320">
        <v>4</v>
      </c>
      <c r="N1042" s="322" t="s">
        <v>14</v>
      </c>
      <c r="O1042" s="151">
        <v>5</v>
      </c>
      <c r="P1042" s="151" t="s">
        <v>199</v>
      </c>
    </row>
    <row r="1043" spans="1:16" ht="22.5">
      <c r="A1043" s="319" t="s">
        <v>7029</v>
      </c>
      <c r="B1043" s="324" t="s">
        <v>7030</v>
      </c>
      <c r="C1043" s="319"/>
      <c r="D1043" s="319"/>
      <c r="E1043" s="319" t="s">
        <v>242</v>
      </c>
      <c r="F1043" s="319"/>
      <c r="G1043" s="318" t="s">
        <v>6627</v>
      </c>
      <c r="H1043" s="319" t="s">
        <v>7031</v>
      </c>
      <c r="I1043" s="319" t="s">
        <v>188</v>
      </c>
      <c r="J1043" s="324" t="s">
        <v>1453</v>
      </c>
      <c r="K1043" s="319" t="s">
        <v>191</v>
      </c>
      <c r="L1043" s="320">
        <v>4</v>
      </c>
      <c r="M1043" s="320">
        <v>4</v>
      </c>
      <c r="N1043" s="322" t="s">
        <v>14</v>
      </c>
      <c r="O1043" s="151">
        <v>5</v>
      </c>
      <c r="P1043" s="151" t="s">
        <v>199</v>
      </c>
    </row>
    <row r="1044" spans="1:16" ht="22.5">
      <c r="A1044" s="319" t="s">
        <v>7032</v>
      </c>
      <c r="B1044" s="324" t="s">
        <v>7033</v>
      </c>
      <c r="C1044" s="319"/>
      <c r="D1044" s="319"/>
      <c r="E1044" s="319" t="s">
        <v>242</v>
      </c>
      <c r="F1044" s="319"/>
      <c r="G1044" s="318" t="s">
        <v>1890</v>
      </c>
      <c r="H1044" s="319" t="s">
        <v>6307</v>
      </c>
      <c r="I1044" s="319" t="s">
        <v>198</v>
      </c>
      <c r="J1044" s="324"/>
      <c r="K1044" s="319" t="s">
        <v>191</v>
      </c>
      <c r="L1044" s="320">
        <v>4</v>
      </c>
      <c r="M1044" s="320">
        <v>4</v>
      </c>
      <c r="N1044" s="322" t="s">
        <v>12</v>
      </c>
      <c r="O1044" s="151">
        <v>5</v>
      </c>
      <c r="P1044" s="151" t="s">
        <v>199</v>
      </c>
    </row>
    <row r="1045" spans="1:16" ht="22.5">
      <c r="A1045" s="319" t="s">
        <v>7034</v>
      </c>
      <c r="B1045" s="324" t="s">
        <v>7035</v>
      </c>
      <c r="C1045" s="319"/>
      <c r="D1045" s="319"/>
      <c r="E1045" s="319" t="s">
        <v>242</v>
      </c>
      <c r="F1045" s="319"/>
      <c r="G1045" s="318" t="s">
        <v>1890</v>
      </c>
      <c r="H1045" s="319" t="s">
        <v>6310</v>
      </c>
      <c r="I1045" s="319" t="s">
        <v>204</v>
      </c>
      <c r="J1045" s="324"/>
      <c r="K1045" s="319" t="s">
        <v>191</v>
      </c>
      <c r="L1045" s="320">
        <v>4</v>
      </c>
      <c r="M1045" s="320">
        <v>4</v>
      </c>
      <c r="N1045" s="322" t="s">
        <v>12</v>
      </c>
      <c r="O1045" s="151">
        <v>5</v>
      </c>
      <c r="P1045" s="151" t="s">
        <v>199</v>
      </c>
    </row>
    <row r="1046" spans="1:16">
      <c r="A1046" s="319" t="s">
        <v>7036</v>
      </c>
      <c r="B1046" s="319" t="s">
        <v>7037</v>
      </c>
      <c r="C1046" s="319"/>
      <c r="D1046" s="319"/>
      <c r="E1046" s="319" t="s">
        <v>242</v>
      </c>
      <c r="F1046" s="319"/>
      <c r="G1046" s="318" t="s">
        <v>601</v>
      </c>
      <c r="H1046" s="319" t="s">
        <v>7038</v>
      </c>
      <c r="I1046" s="319" t="s">
        <v>198</v>
      </c>
      <c r="J1046" s="319"/>
      <c r="K1046" s="319" t="s">
        <v>191</v>
      </c>
      <c r="L1046" s="320">
        <v>4</v>
      </c>
      <c r="M1046" s="320">
        <v>4</v>
      </c>
      <c r="N1046" s="322" t="s">
        <v>12</v>
      </c>
      <c r="O1046" s="151">
        <v>5</v>
      </c>
      <c r="P1046" s="151" t="s">
        <v>199</v>
      </c>
    </row>
    <row r="1047" spans="1:16" ht="22.5">
      <c r="A1047" s="319" t="s">
        <v>7039</v>
      </c>
      <c r="B1047" s="319" t="s">
        <v>7040</v>
      </c>
      <c r="C1047" s="319"/>
      <c r="D1047" s="319"/>
      <c r="E1047" s="319" t="s">
        <v>242</v>
      </c>
      <c r="F1047" s="319"/>
      <c r="G1047" s="318" t="s">
        <v>601</v>
      </c>
      <c r="H1047" s="319" t="s">
        <v>7041</v>
      </c>
      <c r="I1047" s="319" t="s">
        <v>198</v>
      </c>
      <c r="J1047" s="319"/>
      <c r="K1047" s="319" t="s">
        <v>191</v>
      </c>
      <c r="L1047" s="320">
        <v>4</v>
      </c>
      <c r="M1047" s="320">
        <v>4</v>
      </c>
      <c r="N1047" s="322" t="s">
        <v>12</v>
      </c>
      <c r="O1047" s="151">
        <v>5</v>
      </c>
      <c r="P1047" s="151" t="s">
        <v>199</v>
      </c>
    </row>
    <row r="1048" spans="1:16" ht="67.5">
      <c r="A1048" s="319" t="s">
        <v>7042</v>
      </c>
      <c r="B1048" s="324" t="s">
        <v>7043</v>
      </c>
      <c r="C1048" s="319"/>
      <c r="D1048" s="319"/>
      <c r="E1048" s="319" t="s">
        <v>242</v>
      </c>
      <c r="F1048" s="319"/>
      <c r="G1048" s="318" t="s">
        <v>1890</v>
      </c>
      <c r="H1048" s="319" t="s">
        <v>5344</v>
      </c>
      <c r="I1048" s="319" t="s">
        <v>204</v>
      </c>
      <c r="J1048" s="324" t="s">
        <v>6313</v>
      </c>
      <c r="K1048" s="319" t="s">
        <v>191</v>
      </c>
      <c r="L1048" s="320">
        <v>4</v>
      </c>
      <c r="M1048" s="320">
        <v>4</v>
      </c>
      <c r="N1048" s="322" t="s">
        <v>12</v>
      </c>
      <c r="O1048" s="151">
        <v>5</v>
      </c>
      <c r="P1048" s="151" t="s">
        <v>199</v>
      </c>
    </row>
    <row r="1049" spans="1:16" s="546" customFormat="1" ht="23.25" customHeight="1">
      <c r="A1049" s="515" t="s">
        <v>7044</v>
      </c>
      <c r="B1049" s="518" t="s">
        <v>7045</v>
      </c>
      <c r="C1049" s="515"/>
      <c r="D1049" s="516"/>
      <c r="E1049" s="516" t="s">
        <v>242</v>
      </c>
      <c r="F1049" s="516"/>
      <c r="G1049" s="517" t="s">
        <v>4439</v>
      </c>
      <c r="H1049" s="516" t="s">
        <v>7046</v>
      </c>
      <c r="I1049" s="516" t="s">
        <v>204</v>
      </c>
      <c r="J1049" s="518" t="s">
        <v>7047</v>
      </c>
      <c r="K1049" s="515" t="s">
        <v>191</v>
      </c>
      <c r="L1049" s="519">
        <v>4</v>
      </c>
      <c r="M1049" s="519">
        <v>4</v>
      </c>
      <c r="N1049" s="520" t="s">
        <v>12</v>
      </c>
      <c r="O1049" s="521">
        <v>5</v>
      </c>
      <c r="P1049" s="521" t="s">
        <v>199</v>
      </c>
    </row>
    <row r="1050" spans="1:16" ht="22.5">
      <c r="A1050" s="319" t="s">
        <v>7048</v>
      </c>
      <c r="B1050" s="324" t="s">
        <v>7049</v>
      </c>
      <c r="C1050" s="319"/>
      <c r="D1050" s="319"/>
      <c r="E1050" s="319" t="s">
        <v>242</v>
      </c>
      <c r="F1050" s="319"/>
      <c r="G1050" s="318" t="s">
        <v>1890</v>
      </c>
      <c r="H1050" s="319" t="s">
        <v>5348</v>
      </c>
      <c r="I1050" s="319" t="s">
        <v>204</v>
      </c>
      <c r="J1050" s="324" t="s">
        <v>6316</v>
      </c>
      <c r="K1050" s="319" t="s">
        <v>191</v>
      </c>
      <c r="L1050" s="320">
        <v>4</v>
      </c>
      <c r="M1050" s="320">
        <v>4</v>
      </c>
      <c r="N1050" s="322" t="s">
        <v>12</v>
      </c>
      <c r="O1050" s="151">
        <v>5</v>
      </c>
      <c r="P1050" s="151" t="s">
        <v>199</v>
      </c>
    </row>
    <row r="1051" spans="1:16" ht="22.5">
      <c r="A1051" s="319" t="s">
        <v>7050</v>
      </c>
      <c r="B1051" s="319" t="s">
        <v>7051</v>
      </c>
      <c r="C1051" s="319"/>
      <c r="D1051" s="319"/>
      <c r="E1051" s="319" t="s">
        <v>242</v>
      </c>
      <c r="F1051" s="319"/>
      <c r="G1051" s="318" t="s">
        <v>6464</v>
      </c>
      <c r="H1051" s="324" t="s">
        <v>5352</v>
      </c>
      <c r="I1051" s="319" t="s">
        <v>204</v>
      </c>
      <c r="J1051" s="324" t="s">
        <v>6316</v>
      </c>
      <c r="K1051" s="319" t="s">
        <v>191</v>
      </c>
      <c r="L1051" s="320">
        <v>4</v>
      </c>
      <c r="M1051" s="320">
        <v>4</v>
      </c>
      <c r="N1051" s="322" t="s">
        <v>12</v>
      </c>
      <c r="O1051" s="151">
        <v>5</v>
      </c>
      <c r="P1051" s="151" t="s">
        <v>199</v>
      </c>
    </row>
    <row r="1052" spans="1:16" ht="22.5">
      <c r="A1052" s="319" t="s">
        <v>7052</v>
      </c>
      <c r="B1052" s="319" t="s">
        <v>7053</v>
      </c>
      <c r="C1052" s="319"/>
      <c r="D1052" s="319"/>
      <c r="E1052" s="319" t="s">
        <v>242</v>
      </c>
      <c r="F1052" s="319"/>
      <c r="G1052" s="318" t="s">
        <v>6467</v>
      </c>
      <c r="H1052" s="324" t="s">
        <v>7054</v>
      </c>
      <c r="I1052" s="319" t="s">
        <v>204</v>
      </c>
      <c r="J1052" s="324" t="s">
        <v>7055</v>
      </c>
      <c r="K1052" s="319" t="s">
        <v>191</v>
      </c>
      <c r="L1052" s="320">
        <v>4</v>
      </c>
      <c r="M1052" s="320">
        <v>4</v>
      </c>
      <c r="N1052" s="322" t="s">
        <v>14</v>
      </c>
      <c r="O1052" s="151">
        <v>5</v>
      </c>
      <c r="P1052" s="151" t="s">
        <v>199</v>
      </c>
    </row>
    <row r="1053" spans="1:16" ht="22.5">
      <c r="A1053" s="319" t="s">
        <v>7056</v>
      </c>
      <c r="B1053" s="319" t="s">
        <v>7057</v>
      </c>
      <c r="C1053" s="319"/>
      <c r="D1053" s="319"/>
      <c r="E1053" s="319" t="s">
        <v>242</v>
      </c>
      <c r="F1053" s="319"/>
      <c r="G1053" s="318" t="s">
        <v>1890</v>
      </c>
      <c r="H1053" s="342" t="s">
        <v>5355</v>
      </c>
      <c r="I1053" s="319" t="s">
        <v>204</v>
      </c>
      <c r="J1053" s="324" t="s">
        <v>6316</v>
      </c>
      <c r="K1053" s="319" t="s">
        <v>191</v>
      </c>
      <c r="L1053" s="320">
        <v>4</v>
      </c>
      <c r="M1053" s="320">
        <v>4</v>
      </c>
      <c r="N1053" s="322" t="s">
        <v>12</v>
      </c>
      <c r="O1053" s="151">
        <v>5</v>
      </c>
      <c r="P1053" s="151" t="s">
        <v>199</v>
      </c>
    </row>
    <row r="1054" spans="1:16" ht="22.5">
      <c r="A1054" s="319" t="s">
        <v>7058</v>
      </c>
      <c r="B1054" s="319" t="s">
        <v>7059</v>
      </c>
      <c r="C1054" s="319"/>
      <c r="D1054" s="319"/>
      <c r="E1054" s="319" t="s">
        <v>242</v>
      </c>
      <c r="F1054" s="319"/>
      <c r="G1054" s="318" t="s">
        <v>1890</v>
      </c>
      <c r="H1054" s="324" t="s">
        <v>5358</v>
      </c>
      <c r="I1054" s="319" t="s">
        <v>204</v>
      </c>
      <c r="J1054" s="324" t="s">
        <v>6316</v>
      </c>
      <c r="K1054" s="319" t="s">
        <v>191</v>
      </c>
      <c r="L1054" s="320">
        <v>4</v>
      </c>
      <c r="M1054" s="320">
        <v>4</v>
      </c>
      <c r="N1054" s="322" t="s">
        <v>12</v>
      </c>
      <c r="O1054" s="151">
        <v>5</v>
      </c>
      <c r="P1054" s="151" t="s">
        <v>199</v>
      </c>
    </row>
    <row r="1055" spans="1:16" ht="22.5">
      <c r="A1055" s="319" t="s">
        <v>7060</v>
      </c>
      <c r="B1055" s="319" t="s">
        <v>7061</v>
      </c>
      <c r="C1055" s="319"/>
      <c r="D1055" s="319"/>
      <c r="E1055" s="319" t="s">
        <v>242</v>
      </c>
      <c r="F1055" s="319"/>
      <c r="G1055" s="318" t="s">
        <v>1890</v>
      </c>
      <c r="H1055" s="324" t="s">
        <v>5361</v>
      </c>
      <c r="I1055" s="319" t="s">
        <v>204</v>
      </c>
      <c r="J1055" s="324" t="s">
        <v>6316</v>
      </c>
      <c r="K1055" s="319" t="s">
        <v>191</v>
      </c>
      <c r="L1055" s="320">
        <v>4</v>
      </c>
      <c r="M1055" s="320">
        <v>4</v>
      </c>
      <c r="N1055" s="322" t="s">
        <v>12</v>
      </c>
      <c r="O1055" s="151">
        <v>5</v>
      </c>
      <c r="P1055" s="151" t="s">
        <v>199</v>
      </c>
    </row>
    <row r="1056" spans="1:16" ht="22.5">
      <c r="A1056" s="319" t="s">
        <v>7062</v>
      </c>
      <c r="B1056" s="319" t="s">
        <v>7063</v>
      </c>
      <c r="C1056" s="319"/>
      <c r="D1056" s="319"/>
      <c r="E1056" s="319" t="s">
        <v>242</v>
      </c>
      <c r="F1056" s="319"/>
      <c r="G1056" s="318" t="s">
        <v>1890</v>
      </c>
      <c r="H1056" s="324" t="s">
        <v>5364</v>
      </c>
      <c r="I1056" s="319" t="s">
        <v>204</v>
      </c>
      <c r="J1056" s="324" t="s">
        <v>6316</v>
      </c>
      <c r="K1056" s="319" t="s">
        <v>191</v>
      </c>
      <c r="L1056" s="320">
        <v>4</v>
      </c>
      <c r="M1056" s="320">
        <v>4</v>
      </c>
      <c r="N1056" s="322" t="s">
        <v>12</v>
      </c>
      <c r="O1056" s="151">
        <v>5</v>
      </c>
      <c r="P1056" s="151" t="s">
        <v>199</v>
      </c>
    </row>
    <row r="1057" spans="1:16" ht="22.5">
      <c r="A1057" s="319" t="s">
        <v>7064</v>
      </c>
      <c r="B1057" s="319" t="s">
        <v>7065</v>
      </c>
      <c r="C1057" s="319"/>
      <c r="D1057" s="319"/>
      <c r="E1057" s="319" t="s">
        <v>242</v>
      </c>
      <c r="F1057" s="319"/>
      <c r="G1057" s="318" t="s">
        <v>6464</v>
      </c>
      <c r="H1057" s="343" t="s">
        <v>5367</v>
      </c>
      <c r="I1057" s="319" t="s">
        <v>204</v>
      </c>
      <c r="J1057" s="324" t="s">
        <v>6316</v>
      </c>
      <c r="K1057" s="319" t="s">
        <v>191</v>
      </c>
      <c r="L1057" s="320">
        <v>4</v>
      </c>
      <c r="M1057" s="320">
        <v>4</v>
      </c>
      <c r="N1057" s="322" t="s">
        <v>12</v>
      </c>
      <c r="O1057" s="151">
        <v>5</v>
      </c>
      <c r="P1057" s="151" t="s">
        <v>199</v>
      </c>
    </row>
    <row r="1058" spans="1:16" ht="22.5">
      <c r="A1058" s="319" t="s">
        <v>7066</v>
      </c>
      <c r="B1058" s="319" t="s">
        <v>7067</v>
      </c>
      <c r="C1058" s="319"/>
      <c r="D1058" s="319"/>
      <c r="E1058" s="319" t="s">
        <v>242</v>
      </c>
      <c r="F1058" s="319"/>
      <c r="G1058" s="344" t="s">
        <v>6467</v>
      </c>
      <c r="H1058" s="146" t="s">
        <v>7068</v>
      </c>
      <c r="I1058" s="345" t="s">
        <v>204</v>
      </c>
      <c r="J1058" s="324" t="s">
        <v>7055</v>
      </c>
      <c r="K1058" s="319" t="s">
        <v>191</v>
      </c>
      <c r="L1058" s="320">
        <v>4</v>
      </c>
      <c r="M1058" s="320">
        <v>4</v>
      </c>
      <c r="N1058" s="322" t="s">
        <v>14</v>
      </c>
      <c r="O1058" s="151">
        <v>5</v>
      </c>
      <c r="P1058" s="151" t="s">
        <v>199</v>
      </c>
    </row>
    <row r="1059" spans="1:16" ht="22.5">
      <c r="A1059" s="319" t="s">
        <v>7069</v>
      </c>
      <c r="B1059" s="319" t="s">
        <v>7070</v>
      </c>
      <c r="C1059" s="319"/>
      <c r="D1059" s="319"/>
      <c r="E1059" s="319" t="s">
        <v>242</v>
      </c>
      <c r="F1059" s="319"/>
      <c r="G1059" s="344" t="s">
        <v>6464</v>
      </c>
      <c r="H1059" s="146" t="s">
        <v>5370</v>
      </c>
      <c r="I1059" s="345" t="s">
        <v>204</v>
      </c>
      <c r="J1059" s="324" t="s">
        <v>6316</v>
      </c>
      <c r="K1059" s="319" t="s">
        <v>191</v>
      </c>
      <c r="L1059" s="320">
        <v>4</v>
      </c>
      <c r="M1059" s="320">
        <v>4</v>
      </c>
      <c r="N1059" s="322" t="s">
        <v>12</v>
      </c>
      <c r="O1059" s="151">
        <v>5</v>
      </c>
      <c r="P1059" s="151" t="s">
        <v>199</v>
      </c>
    </row>
    <row r="1060" spans="1:16" ht="22.5">
      <c r="A1060" s="319" t="s">
        <v>7071</v>
      </c>
      <c r="B1060" s="319" t="s">
        <v>7072</v>
      </c>
      <c r="C1060" s="319"/>
      <c r="D1060" s="319"/>
      <c r="E1060" s="319" t="s">
        <v>242</v>
      </c>
      <c r="F1060" s="319"/>
      <c r="G1060" s="318" t="s">
        <v>6467</v>
      </c>
      <c r="H1060" s="196" t="s">
        <v>7073</v>
      </c>
      <c r="I1060" s="319" t="s">
        <v>204</v>
      </c>
      <c r="J1060" s="324" t="s">
        <v>7055</v>
      </c>
      <c r="K1060" s="319" t="s">
        <v>191</v>
      </c>
      <c r="L1060" s="320">
        <v>4</v>
      </c>
      <c r="M1060" s="320">
        <v>4</v>
      </c>
      <c r="N1060" s="322" t="s">
        <v>14</v>
      </c>
      <c r="O1060" s="151">
        <v>5</v>
      </c>
      <c r="P1060" s="151" t="s">
        <v>199</v>
      </c>
    </row>
    <row r="1061" spans="1:16" ht="22.5">
      <c r="A1061" s="319" t="s">
        <v>7074</v>
      </c>
      <c r="B1061" s="319" t="s">
        <v>7075</v>
      </c>
      <c r="C1061" s="319"/>
      <c r="D1061" s="319"/>
      <c r="E1061" s="319" t="s">
        <v>242</v>
      </c>
      <c r="F1061" s="319"/>
      <c r="G1061" s="318" t="s">
        <v>6464</v>
      </c>
      <c r="H1061" s="324" t="s">
        <v>5373</v>
      </c>
      <c r="I1061" s="319" t="s">
        <v>204</v>
      </c>
      <c r="J1061" s="324" t="s">
        <v>6316</v>
      </c>
      <c r="K1061" s="319" t="s">
        <v>191</v>
      </c>
      <c r="L1061" s="320">
        <v>4</v>
      </c>
      <c r="M1061" s="320">
        <v>4</v>
      </c>
      <c r="N1061" s="322" t="s">
        <v>12</v>
      </c>
      <c r="O1061" s="151">
        <v>5</v>
      </c>
      <c r="P1061" s="151" t="s">
        <v>199</v>
      </c>
    </row>
    <row r="1062" spans="1:16" ht="22.5">
      <c r="A1062" s="319" t="s">
        <v>7076</v>
      </c>
      <c r="B1062" s="319" t="s">
        <v>7077</v>
      </c>
      <c r="C1062" s="319"/>
      <c r="D1062" s="319"/>
      <c r="E1062" s="319" t="s">
        <v>242</v>
      </c>
      <c r="F1062" s="319"/>
      <c r="G1062" s="318" t="s">
        <v>6467</v>
      </c>
      <c r="H1062" s="324" t="s">
        <v>7078</v>
      </c>
      <c r="I1062" s="319" t="s">
        <v>204</v>
      </c>
      <c r="J1062" s="324" t="s">
        <v>7055</v>
      </c>
      <c r="K1062" s="319" t="s">
        <v>191</v>
      </c>
      <c r="L1062" s="320">
        <v>4</v>
      </c>
      <c r="M1062" s="320">
        <v>4</v>
      </c>
      <c r="N1062" s="322" t="s">
        <v>14</v>
      </c>
      <c r="O1062" s="151">
        <v>5</v>
      </c>
      <c r="P1062" s="151" t="s">
        <v>199</v>
      </c>
    </row>
    <row r="1063" spans="1:16" ht="22.5">
      <c r="A1063" s="319" t="s">
        <v>7079</v>
      </c>
      <c r="B1063" s="319" t="s">
        <v>7080</v>
      </c>
      <c r="C1063" s="319"/>
      <c r="D1063" s="319"/>
      <c r="E1063" s="319" t="s">
        <v>242</v>
      </c>
      <c r="F1063" s="319"/>
      <c r="G1063" s="318" t="s">
        <v>6464</v>
      </c>
      <c r="H1063" s="324" t="s">
        <v>5376</v>
      </c>
      <c r="I1063" s="319" t="s">
        <v>204</v>
      </c>
      <c r="J1063" s="324" t="s">
        <v>6316</v>
      </c>
      <c r="K1063" s="319" t="s">
        <v>191</v>
      </c>
      <c r="L1063" s="320">
        <v>4</v>
      </c>
      <c r="M1063" s="320">
        <v>4</v>
      </c>
      <c r="N1063" s="322" t="s">
        <v>12</v>
      </c>
      <c r="O1063" s="151">
        <v>5</v>
      </c>
      <c r="P1063" s="151" t="s">
        <v>199</v>
      </c>
    </row>
    <row r="1064" spans="1:16" ht="22.5">
      <c r="A1064" s="319" t="s">
        <v>7081</v>
      </c>
      <c r="B1064" s="319" t="s">
        <v>7082</v>
      </c>
      <c r="C1064" s="319"/>
      <c r="D1064" s="319"/>
      <c r="E1064" s="319" t="s">
        <v>242</v>
      </c>
      <c r="F1064" s="319"/>
      <c r="G1064" s="318" t="s">
        <v>6467</v>
      </c>
      <c r="H1064" s="324" t="s">
        <v>7083</v>
      </c>
      <c r="I1064" s="319" t="s">
        <v>204</v>
      </c>
      <c r="J1064" s="324" t="s">
        <v>7055</v>
      </c>
      <c r="K1064" s="319" t="s">
        <v>191</v>
      </c>
      <c r="L1064" s="320">
        <v>4</v>
      </c>
      <c r="M1064" s="320">
        <v>4</v>
      </c>
      <c r="N1064" s="322" t="s">
        <v>14</v>
      </c>
      <c r="O1064" s="151">
        <v>5</v>
      </c>
      <c r="P1064" s="151" t="s">
        <v>199</v>
      </c>
    </row>
    <row r="1065" spans="1:16" ht="22.5">
      <c r="A1065" s="319" t="s">
        <v>7084</v>
      </c>
      <c r="B1065" s="319" t="s">
        <v>7085</v>
      </c>
      <c r="C1065" s="319"/>
      <c r="D1065" s="319"/>
      <c r="E1065" s="319" t="s">
        <v>242</v>
      </c>
      <c r="F1065" s="319"/>
      <c r="G1065" s="318" t="s">
        <v>1890</v>
      </c>
      <c r="H1065" s="324" t="s">
        <v>5379</v>
      </c>
      <c r="I1065" s="319" t="s">
        <v>204</v>
      </c>
      <c r="J1065" s="324" t="s">
        <v>6316</v>
      </c>
      <c r="K1065" s="319" t="s">
        <v>191</v>
      </c>
      <c r="L1065" s="320">
        <v>4</v>
      </c>
      <c r="M1065" s="320">
        <v>4</v>
      </c>
      <c r="N1065" s="322" t="s">
        <v>12</v>
      </c>
      <c r="O1065" s="151">
        <v>5</v>
      </c>
      <c r="P1065" s="151" t="s">
        <v>199</v>
      </c>
    </row>
    <row r="1066" spans="1:16" ht="22.5">
      <c r="A1066" s="319" t="s">
        <v>7086</v>
      </c>
      <c r="B1066" s="319" t="s">
        <v>7087</v>
      </c>
      <c r="C1066" s="319"/>
      <c r="D1066" s="319"/>
      <c r="E1066" s="319" t="s">
        <v>242</v>
      </c>
      <c r="F1066" s="319"/>
      <c r="G1066" s="318" t="s">
        <v>6467</v>
      </c>
      <c r="H1066" s="324" t="s">
        <v>7088</v>
      </c>
      <c r="I1066" s="319" t="s">
        <v>204</v>
      </c>
      <c r="J1066" s="324" t="s">
        <v>7055</v>
      </c>
      <c r="K1066" s="319" t="s">
        <v>191</v>
      </c>
      <c r="L1066" s="320">
        <v>4</v>
      </c>
      <c r="M1066" s="320">
        <v>4</v>
      </c>
      <c r="N1066" s="322" t="s">
        <v>14</v>
      </c>
      <c r="O1066" s="151">
        <v>5</v>
      </c>
      <c r="P1066" s="151" t="s">
        <v>199</v>
      </c>
    </row>
    <row r="1067" spans="1:16" ht="22.5">
      <c r="A1067" s="319" t="s">
        <v>7089</v>
      </c>
      <c r="B1067" s="319" t="s">
        <v>7090</v>
      </c>
      <c r="C1067" s="319"/>
      <c r="D1067" s="319"/>
      <c r="E1067" s="319" t="s">
        <v>242</v>
      </c>
      <c r="F1067" s="319"/>
      <c r="G1067" s="318" t="s">
        <v>1890</v>
      </c>
      <c r="H1067" s="324" t="s">
        <v>5382</v>
      </c>
      <c r="I1067" s="319" t="s">
        <v>204</v>
      </c>
      <c r="J1067" s="324" t="s">
        <v>6316</v>
      </c>
      <c r="K1067" s="319" t="s">
        <v>191</v>
      </c>
      <c r="L1067" s="320">
        <v>4</v>
      </c>
      <c r="M1067" s="320">
        <v>4</v>
      </c>
      <c r="N1067" s="322" t="s">
        <v>12</v>
      </c>
      <c r="O1067" s="151">
        <v>5</v>
      </c>
      <c r="P1067" s="151" t="s">
        <v>199</v>
      </c>
    </row>
    <row r="1068" spans="1:16" s="546" customFormat="1" ht="23.25" customHeight="1">
      <c r="A1068" s="515" t="s">
        <v>7091</v>
      </c>
      <c r="B1068" s="516" t="s">
        <v>7092</v>
      </c>
      <c r="C1068" s="515"/>
      <c r="D1068" s="516"/>
      <c r="E1068" s="516" t="s">
        <v>242</v>
      </c>
      <c r="F1068" s="516"/>
      <c r="G1068" s="517" t="s">
        <v>4439</v>
      </c>
      <c r="H1068" s="518" t="s">
        <v>7093</v>
      </c>
      <c r="I1068" s="516" t="s">
        <v>204</v>
      </c>
      <c r="J1068" s="516" t="s">
        <v>7094</v>
      </c>
      <c r="K1068" s="515" t="s">
        <v>191</v>
      </c>
      <c r="L1068" s="519">
        <v>4</v>
      </c>
      <c r="M1068" s="519">
        <v>4</v>
      </c>
      <c r="N1068" s="520" t="s">
        <v>12</v>
      </c>
      <c r="O1068" s="521">
        <v>5</v>
      </c>
      <c r="P1068" s="521" t="s">
        <v>199</v>
      </c>
    </row>
    <row r="1069" spans="1:16" ht="22.5">
      <c r="A1069" s="319" t="s">
        <v>7095</v>
      </c>
      <c r="B1069" s="319" t="s">
        <v>7096</v>
      </c>
      <c r="C1069" s="319"/>
      <c r="D1069" s="319"/>
      <c r="E1069" s="319" t="s">
        <v>242</v>
      </c>
      <c r="F1069" s="319"/>
      <c r="G1069" s="318" t="s">
        <v>1890</v>
      </c>
      <c r="H1069" s="324" t="s">
        <v>5385</v>
      </c>
      <c r="I1069" s="319" t="s">
        <v>204</v>
      </c>
      <c r="J1069" s="324" t="s">
        <v>6316</v>
      </c>
      <c r="K1069" s="319" t="s">
        <v>191</v>
      </c>
      <c r="L1069" s="320">
        <v>4</v>
      </c>
      <c r="M1069" s="320">
        <v>4</v>
      </c>
      <c r="N1069" s="322" t="s">
        <v>12</v>
      </c>
      <c r="O1069" s="151">
        <v>5</v>
      </c>
      <c r="P1069" s="151" t="s">
        <v>199</v>
      </c>
    </row>
    <row r="1070" spans="1:16" ht="22.5">
      <c r="A1070" s="319" t="s">
        <v>7097</v>
      </c>
      <c r="B1070" s="319" t="s">
        <v>7098</v>
      </c>
      <c r="C1070" s="319"/>
      <c r="D1070" s="319"/>
      <c r="E1070" s="319" t="s">
        <v>242</v>
      </c>
      <c r="F1070" s="319"/>
      <c r="G1070" s="318" t="s">
        <v>6467</v>
      </c>
      <c r="H1070" s="324" t="s">
        <v>7099</v>
      </c>
      <c r="I1070" s="319" t="s">
        <v>204</v>
      </c>
      <c r="J1070" s="324" t="s">
        <v>7055</v>
      </c>
      <c r="K1070" s="319" t="s">
        <v>191</v>
      </c>
      <c r="L1070" s="320">
        <v>4</v>
      </c>
      <c r="M1070" s="320">
        <v>4</v>
      </c>
      <c r="N1070" s="322" t="s">
        <v>14</v>
      </c>
      <c r="O1070" s="151">
        <v>5</v>
      </c>
      <c r="P1070" s="151" t="s">
        <v>199</v>
      </c>
    </row>
    <row r="1071" spans="1:16" ht="45">
      <c r="A1071" s="319" t="s">
        <v>7100</v>
      </c>
      <c r="B1071" s="319" t="s">
        <v>7101</v>
      </c>
      <c r="C1071" s="319"/>
      <c r="D1071" s="319"/>
      <c r="E1071" s="319" t="s">
        <v>242</v>
      </c>
      <c r="F1071" s="319"/>
      <c r="G1071" s="318" t="s">
        <v>6464</v>
      </c>
      <c r="H1071" s="324" t="s">
        <v>5388</v>
      </c>
      <c r="I1071" s="319" t="s">
        <v>204</v>
      </c>
      <c r="J1071" s="324" t="s">
        <v>6343</v>
      </c>
      <c r="K1071" s="319" t="s">
        <v>191</v>
      </c>
      <c r="L1071" s="320">
        <v>4</v>
      </c>
      <c r="M1071" s="320">
        <v>4</v>
      </c>
      <c r="N1071" s="322" t="s">
        <v>12</v>
      </c>
      <c r="O1071" s="151">
        <v>5</v>
      </c>
      <c r="P1071" s="151" t="s">
        <v>199</v>
      </c>
    </row>
    <row r="1072" spans="1:16" ht="22.5">
      <c r="A1072" s="319" t="s">
        <v>7102</v>
      </c>
      <c r="B1072" s="319" t="s">
        <v>7103</v>
      </c>
      <c r="C1072" s="319"/>
      <c r="D1072" s="319"/>
      <c r="E1072" s="319" t="s">
        <v>242</v>
      </c>
      <c r="F1072" s="319"/>
      <c r="G1072" s="318" t="s">
        <v>1890</v>
      </c>
      <c r="H1072" s="324" t="s">
        <v>5391</v>
      </c>
      <c r="I1072" s="319" t="s">
        <v>204</v>
      </c>
      <c r="J1072" s="324" t="s">
        <v>6316</v>
      </c>
      <c r="K1072" s="319" t="s">
        <v>191</v>
      </c>
      <c r="L1072" s="320">
        <v>4</v>
      </c>
      <c r="M1072" s="320">
        <v>4</v>
      </c>
      <c r="N1072" s="322" t="s">
        <v>12</v>
      </c>
      <c r="O1072" s="151">
        <v>5</v>
      </c>
      <c r="P1072" s="151" t="s">
        <v>199</v>
      </c>
    </row>
    <row r="1073" spans="1:16" ht="22.5">
      <c r="A1073" s="319" t="s">
        <v>7104</v>
      </c>
      <c r="B1073" s="319" t="s">
        <v>7105</v>
      </c>
      <c r="C1073" s="319"/>
      <c r="D1073" s="319"/>
      <c r="E1073" s="319" t="s">
        <v>242</v>
      </c>
      <c r="F1073" s="319"/>
      <c r="G1073" s="318" t="s">
        <v>6467</v>
      </c>
      <c r="H1073" s="324" t="s">
        <v>7106</v>
      </c>
      <c r="I1073" s="319" t="s">
        <v>204</v>
      </c>
      <c r="J1073" s="324" t="s">
        <v>7055</v>
      </c>
      <c r="K1073" s="319" t="s">
        <v>191</v>
      </c>
      <c r="L1073" s="320">
        <v>4</v>
      </c>
      <c r="M1073" s="320">
        <v>4</v>
      </c>
      <c r="N1073" s="322" t="s">
        <v>14</v>
      </c>
      <c r="O1073" s="151">
        <v>5</v>
      </c>
      <c r="P1073" s="151" t="s">
        <v>199</v>
      </c>
    </row>
    <row r="1074" spans="1:16" ht="22.5">
      <c r="A1074" s="319" t="s">
        <v>7107</v>
      </c>
      <c r="B1074" s="319" t="s">
        <v>7108</v>
      </c>
      <c r="C1074" s="319"/>
      <c r="D1074" s="319"/>
      <c r="E1074" s="319" t="s">
        <v>242</v>
      </c>
      <c r="F1074" s="319"/>
      <c r="G1074" s="318" t="s">
        <v>1890</v>
      </c>
      <c r="H1074" s="324" t="s">
        <v>5394</v>
      </c>
      <c r="I1074" s="319" t="s">
        <v>204</v>
      </c>
      <c r="J1074" s="324" t="s">
        <v>6316</v>
      </c>
      <c r="K1074" s="319" t="s">
        <v>191</v>
      </c>
      <c r="L1074" s="320">
        <v>4</v>
      </c>
      <c r="M1074" s="320">
        <v>4</v>
      </c>
      <c r="N1074" s="322" t="s">
        <v>12</v>
      </c>
      <c r="O1074" s="151">
        <v>5</v>
      </c>
      <c r="P1074" s="151" t="s">
        <v>199</v>
      </c>
    </row>
    <row r="1075" spans="1:16" ht="22.5">
      <c r="A1075" s="319" t="s">
        <v>7109</v>
      </c>
      <c r="B1075" s="319" t="s">
        <v>7110</v>
      </c>
      <c r="C1075" s="319"/>
      <c r="D1075" s="319"/>
      <c r="E1075" s="319" t="s">
        <v>242</v>
      </c>
      <c r="F1075" s="319"/>
      <c r="G1075" s="318" t="s">
        <v>6467</v>
      </c>
      <c r="H1075" s="324" t="s">
        <v>7111</v>
      </c>
      <c r="I1075" s="319" t="s">
        <v>204</v>
      </c>
      <c r="J1075" s="324" t="s">
        <v>7055</v>
      </c>
      <c r="K1075" s="319" t="s">
        <v>191</v>
      </c>
      <c r="L1075" s="320">
        <v>4</v>
      </c>
      <c r="M1075" s="320">
        <v>4</v>
      </c>
      <c r="N1075" s="322" t="s">
        <v>14</v>
      </c>
      <c r="O1075" s="151">
        <v>5</v>
      </c>
      <c r="P1075" s="151" t="s">
        <v>199</v>
      </c>
    </row>
    <row r="1076" spans="1:16" ht="22.5">
      <c r="A1076" s="319" t="s">
        <v>7112</v>
      </c>
      <c r="B1076" s="319" t="s">
        <v>7113</v>
      </c>
      <c r="C1076" s="319"/>
      <c r="D1076" s="319"/>
      <c r="E1076" s="319" t="s">
        <v>242</v>
      </c>
      <c r="F1076" s="319"/>
      <c r="G1076" s="318" t="s">
        <v>1890</v>
      </c>
      <c r="H1076" s="324" t="s">
        <v>5397</v>
      </c>
      <c r="I1076" s="319" t="s">
        <v>204</v>
      </c>
      <c r="J1076" s="324" t="s">
        <v>6316</v>
      </c>
      <c r="K1076" s="319" t="s">
        <v>191</v>
      </c>
      <c r="L1076" s="320">
        <v>4</v>
      </c>
      <c r="M1076" s="320">
        <v>4</v>
      </c>
      <c r="N1076" s="322" t="s">
        <v>12</v>
      </c>
      <c r="O1076" s="151">
        <v>5</v>
      </c>
      <c r="P1076" s="151" t="s">
        <v>199</v>
      </c>
    </row>
    <row r="1077" spans="1:16" ht="22.5">
      <c r="A1077" s="319" t="s">
        <v>7114</v>
      </c>
      <c r="B1077" s="319" t="s">
        <v>7115</v>
      </c>
      <c r="C1077" s="319"/>
      <c r="D1077" s="319"/>
      <c r="E1077" s="319" t="s">
        <v>242</v>
      </c>
      <c r="F1077" s="319"/>
      <c r="G1077" s="318" t="s">
        <v>6467</v>
      </c>
      <c r="H1077" s="324" t="s">
        <v>7116</v>
      </c>
      <c r="I1077" s="319" t="s">
        <v>204</v>
      </c>
      <c r="J1077" s="324" t="s">
        <v>7055</v>
      </c>
      <c r="K1077" s="319" t="s">
        <v>191</v>
      </c>
      <c r="L1077" s="320">
        <v>4</v>
      </c>
      <c r="M1077" s="320">
        <v>4</v>
      </c>
      <c r="N1077" s="322" t="s">
        <v>14</v>
      </c>
      <c r="O1077" s="151">
        <v>5</v>
      </c>
      <c r="P1077" s="151" t="s">
        <v>199</v>
      </c>
    </row>
    <row r="1078" spans="1:16" ht="22.5">
      <c r="A1078" s="319" t="s">
        <v>7117</v>
      </c>
      <c r="B1078" s="319" t="s">
        <v>7118</v>
      </c>
      <c r="C1078" s="319"/>
      <c r="D1078" s="319"/>
      <c r="E1078" s="319" t="s">
        <v>242</v>
      </c>
      <c r="F1078" s="319"/>
      <c r="G1078" s="318" t="s">
        <v>1890</v>
      </c>
      <c r="H1078" s="324" t="s">
        <v>5400</v>
      </c>
      <c r="I1078" s="319" t="s">
        <v>204</v>
      </c>
      <c r="J1078" s="324" t="s">
        <v>6316</v>
      </c>
      <c r="K1078" s="319" t="s">
        <v>191</v>
      </c>
      <c r="L1078" s="320">
        <v>4</v>
      </c>
      <c r="M1078" s="320">
        <v>4</v>
      </c>
      <c r="N1078" s="322" t="s">
        <v>12</v>
      </c>
      <c r="O1078" s="151">
        <v>5</v>
      </c>
      <c r="P1078" s="151" t="s">
        <v>199</v>
      </c>
    </row>
    <row r="1079" spans="1:16" ht="22.5">
      <c r="A1079" s="319" t="s">
        <v>7119</v>
      </c>
      <c r="B1079" s="319" t="s">
        <v>7120</v>
      </c>
      <c r="C1079" s="319"/>
      <c r="D1079" s="319"/>
      <c r="E1079" s="319" t="s">
        <v>242</v>
      </c>
      <c r="F1079" s="319"/>
      <c r="G1079" s="318" t="s">
        <v>6467</v>
      </c>
      <c r="H1079" s="324" t="s">
        <v>7121</v>
      </c>
      <c r="I1079" s="319" t="s">
        <v>204</v>
      </c>
      <c r="J1079" s="324" t="s">
        <v>7055</v>
      </c>
      <c r="K1079" s="319" t="s">
        <v>191</v>
      </c>
      <c r="L1079" s="320">
        <v>4</v>
      </c>
      <c r="M1079" s="320">
        <v>4</v>
      </c>
      <c r="N1079" s="322" t="s">
        <v>14</v>
      </c>
      <c r="O1079" s="151">
        <v>5</v>
      </c>
      <c r="P1079" s="151" t="s">
        <v>199</v>
      </c>
    </row>
    <row r="1080" spans="1:16" ht="22.5">
      <c r="A1080" s="319" t="s">
        <v>7122</v>
      </c>
      <c r="B1080" s="319" t="s">
        <v>7123</v>
      </c>
      <c r="C1080" s="319"/>
      <c r="D1080" s="319"/>
      <c r="E1080" s="319" t="s">
        <v>242</v>
      </c>
      <c r="F1080" s="319"/>
      <c r="G1080" s="318" t="s">
        <v>6464</v>
      </c>
      <c r="H1080" s="324" t="s">
        <v>5403</v>
      </c>
      <c r="I1080" s="319" t="s">
        <v>204</v>
      </c>
      <c r="J1080" s="324" t="s">
        <v>6316</v>
      </c>
      <c r="K1080" s="319" t="s">
        <v>191</v>
      </c>
      <c r="L1080" s="320">
        <v>4</v>
      </c>
      <c r="M1080" s="320">
        <v>4</v>
      </c>
      <c r="N1080" s="322" t="s">
        <v>12</v>
      </c>
      <c r="O1080" s="151">
        <v>5</v>
      </c>
      <c r="P1080" s="151" t="s">
        <v>199</v>
      </c>
    </row>
    <row r="1081" spans="1:16" ht="22.5">
      <c r="A1081" s="319" t="s">
        <v>7124</v>
      </c>
      <c r="B1081" s="319" t="s">
        <v>7125</v>
      </c>
      <c r="C1081" s="319"/>
      <c r="D1081" s="319"/>
      <c r="E1081" s="319" t="s">
        <v>242</v>
      </c>
      <c r="F1081" s="319"/>
      <c r="G1081" s="318" t="s">
        <v>1890</v>
      </c>
      <c r="H1081" s="324" t="s">
        <v>5406</v>
      </c>
      <c r="I1081" s="319" t="s">
        <v>204</v>
      </c>
      <c r="J1081" s="324" t="s">
        <v>6316</v>
      </c>
      <c r="K1081" s="319" t="s">
        <v>191</v>
      </c>
      <c r="L1081" s="320">
        <v>4</v>
      </c>
      <c r="M1081" s="320">
        <v>4</v>
      </c>
      <c r="N1081" s="322" t="s">
        <v>12</v>
      </c>
      <c r="O1081" s="151">
        <v>5</v>
      </c>
      <c r="P1081" s="151" t="s">
        <v>199</v>
      </c>
    </row>
    <row r="1082" spans="1:16" ht="22.5">
      <c r="A1082" s="319" t="s">
        <v>7126</v>
      </c>
      <c r="B1082" s="319" t="s">
        <v>7127</v>
      </c>
      <c r="C1082" s="319"/>
      <c r="D1082" s="319"/>
      <c r="E1082" s="319" t="s">
        <v>242</v>
      </c>
      <c r="F1082" s="319"/>
      <c r="G1082" s="318" t="s">
        <v>6467</v>
      </c>
      <c r="H1082" s="324" t="s">
        <v>7128</v>
      </c>
      <c r="I1082" s="319" t="s">
        <v>204</v>
      </c>
      <c r="J1082" s="324" t="s">
        <v>7055</v>
      </c>
      <c r="K1082" s="319" t="s">
        <v>191</v>
      </c>
      <c r="L1082" s="320">
        <v>4</v>
      </c>
      <c r="M1082" s="320">
        <v>4</v>
      </c>
      <c r="N1082" s="322" t="s">
        <v>14</v>
      </c>
      <c r="O1082" s="151">
        <v>5</v>
      </c>
      <c r="P1082" s="151" t="s">
        <v>199</v>
      </c>
    </row>
    <row r="1083" spans="1:16" ht="22.5">
      <c r="A1083" s="319" t="s">
        <v>7129</v>
      </c>
      <c r="B1083" s="319" t="s">
        <v>7130</v>
      </c>
      <c r="C1083" s="319"/>
      <c r="D1083" s="319"/>
      <c r="E1083" s="319" t="s">
        <v>242</v>
      </c>
      <c r="F1083" s="319"/>
      <c r="G1083" s="318" t="s">
        <v>6464</v>
      </c>
      <c r="H1083" s="324" t="s">
        <v>5409</v>
      </c>
      <c r="I1083" s="319" t="s">
        <v>204</v>
      </c>
      <c r="J1083" s="324" t="s">
        <v>6316</v>
      </c>
      <c r="K1083" s="319" t="s">
        <v>191</v>
      </c>
      <c r="L1083" s="320">
        <v>4</v>
      </c>
      <c r="M1083" s="320">
        <v>4</v>
      </c>
      <c r="N1083" s="322" t="s">
        <v>12</v>
      </c>
      <c r="O1083" s="151">
        <v>5</v>
      </c>
      <c r="P1083" s="151" t="s">
        <v>199</v>
      </c>
    </row>
    <row r="1084" spans="1:16" ht="22.5">
      <c r="A1084" s="319" t="s">
        <v>7131</v>
      </c>
      <c r="B1084" s="319" t="s">
        <v>7132</v>
      </c>
      <c r="C1084" s="319"/>
      <c r="D1084" s="319"/>
      <c r="E1084" s="319" t="s">
        <v>242</v>
      </c>
      <c r="F1084" s="319"/>
      <c r="G1084" s="318" t="s">
        <v>1890</v>
      </c>
      <c r="H1084" s="324" t="s">
        <v>5415</v>
      </c>
      <c r="I1084" s="319" t="s">
        <v>204</v>
      </c>
      <c r="J1084" s="324" t="s">
        <v>6316</v>
      </c>
      <c r="K1084" s="319" t="s">
        <v>191</v>
      </c>
      <c r="L1084" s="320">
        <v>4</v>
      </c>
      <c r="M1084" s="320">
        <v>4</v>
      </c>
      <c r="N1084" s="322" t="s">
        <v>12</v>
      </c>
      <c r="O1084" s="151">
        <v>5</v>
      </c>
      <c r="P1084" s="151" t="s">
        <v>199</v>
      </c>
    </row>
    <row r="1085" spans="1:16" ht="22.5">
      <c r="A1085" s="319" t="s">
        <v>7133</v>
      </c>
      <c r="B1085" s="319" t="s">
        <v>7134</v>
      </c>
      <c r="C1085" s="319"/>
      <c r="D1085" s="319"/>
      <c r="E1085" s="319" t="s">
        <v>242</v>
      </c>
      <c r="F1085" s="319"/>
      <c r="G1085" s="318" t="s">
        <v>6467</v>
      </c>
      <c r="H1085" s="324" t="s">
        <v>7135</v>
      </c>
      <c r="I1085" s="319" t="s">
        <v>204</v>
      </c>
      <c r="J1085" s="324" t="s">
        <v>7055</v>
      </c>
      <c r="K1085" s="319" t="s">
        <v>191</v>
      </c>
      <c r="L1085" s="320">
        <v>4</v>
      </c>
      <c r="M1085" s="320">
        <v>4</v>
      </c>
      <c r="N1085" s="322" t="s">
        <v>14</v>
      </c>
      <c r="O1085" s="151">
        <v>5</v>
      </c>
      <c r="P1085" s="151" t="s">
        <v>199</v>
      </c>
    </row>
    <row r="1086" spans="1:16" ht="22.5">
      <c r="A1086" s="319" t="s">
        <v>7136</v>
      </c>
      <c r="B1086" s="319" t="s">
        <v>7137</v>
      </c>
      <c r="C1086" s="319"/>
      <c r="D1086" s="319"/>
      <c r="E1086" s="319" t="s">
        <v>242</v>
      </c>
      <c r="F1086" s="319"/>
      <c r="G1086" s="318" t="s">
        <v>1890</v>
      </c>
      <c r="H1086" s="324" t="s">
        <v>5418</v>
      </c>
      <c r="I1086" s="319" t="s">
        <v>204</v>
      </c>
      <c r="J1086" s="324" t="s">
        <v>6316</v>
      </c>
      <c r="K1086" s="319" t="s">
        <v>191</v>
      </c>
      <c r="L1086" s="320">
        <v>4</v>
      </c>
      <c r="M1086" s="320">
        <v>4</v>
      </c>
      <c r="N1086" s="322" t="s">
        <v>12</v>
      </c>
      <c r="O1086" s="151">
        <v>5</v>
      </c>
      <c r="P1086" s="151" t="s">
        <v>199</v>
      </c>
    </row>
    <row r="1087" spans="1:16" ht="22.5">
      <c r="A1087" s="319" t="s">
        <v>7138</v>
      </c>
      <c r="B1087" s="319" t="s">
        <v>7139</v>
      </c>
      <c r="C1087" s="319"/>
      <c r="D1087" s="319"/>
      <c r="E1087" s="319" t="s">
        <v>242</v>
      </c>
      <c r="F1087" s="319"/>
      <c r="G1087" s="318" t="s">
        <v>6467</v>
      </c>
      <c r="H1087" s="324" t="s">
        <v>7140</v>
      </c>
      <c r="I1087" s="319" t="s">
        <v>204</v>
      </c>
      <c r="J1087" s="324" t="s">
        <v>7055</v>
      </c>
      <c r="K1087" s="319" t="s">
        <v>191</v>
      </c>
      <c r="L1087" s="320">
        <v>4</v>
      </c>
      <c r="M1087" s="320">
        <v>4</v>
      </c>
      <c r="N1087" s="322" t="s">
        <v>14</v>
      </c>
      <c r="O1087" s="151">
        <v>5</v>
      </c>
      <c r="P1087" s="151" t="s">
        <v>199</v>
      </c>
    </row>
    <row r="1088" spans="1:16" ht="22.5">
      <c r="A1088" s="319" t="s">
        <v>7141</v>
      </c>
      <c r="B1088" s="319" t="s">
        <v>7142</v>
      </c>
      <c r="C1088" s="319"/>
      <c r="D1088" s="319"/>
      <c r="E1088" s="319" t="s">
        <v>242</v>
      </c>
      <c r="F1088" s="319"/>
      <c r="G1088" s="318" t="s">
        <v>6464</v>
      </c>
      <c r="H1088" s="324" t="s">
        <v>5421</v>
      </c>
      <c r="I1088" s="319" t="s">
        <v>204</v>
      </c>
      <c r="J1088" s="324" t="s">
        <v>6316</v>
      </c>
      <c r="K1088" s="319" t="s">
        <v>191</v>
      </c>
      <c r="L1088" s="320">
        <v>4</v>
      </c>
      <c r="M1088" s="320">
        <v>4</v>
      </c>
      <c r="N1088" s="322" t="s">
        <v>12</v>
      </c>
      <c r="O1088" s="151">
        <v>5</v>
      </c>
      <c r="P1088" s="151" t="s">
        <v>199</v>
      </c>
    </row>
    <row r="1089" spans="1:16" ht="22.5">
      <c r="A1089" s="319" t="s">
        <v>7143</v>
      </c>
      <c r="B1089" s="319" t="s">
        <v>7144</v>
      </c>
      <c r="C1089" s="319"/>
      <c r="D1089" s="319"/>
      <c r="E1089" s="319" t="s">
        <v>242</v>
      </c>
      <c r="F1089" s="319"/>
      <c r="G1089" s="318" t="s">
        <v>6467</v>
      </c>
      <c r="H1089" s="324" t="s">
        <v>5421</v>
      </c>
      <c r="I1089" s="319"/>
      <c r="J1089" s="324" t="s">
        <v>7055</v>
      </c>
      <c r="K1089" s="319"/>
      <c r="L1089" s="320"/>
      <c r="M1089" s="320">
        <v>4</v>
      </c>
      <c r="N1089" s="322" t="s">
        <v>14</v>
      </c>
      <c r="O1089" s="151">
        <v>5</v>
      </c>
      <c r="P1089" s="151" t="s">
        <v>199</v>
      </c>
    </row>
    <row r="1090" spans="1:16" ht="33.75">
      <c r="A1090" s="319" t="s">
        <v>7145</v>
      </c>
      <c r="B1090" s="319" t="s">
        <v>7146</v>
      </c>
      <c r="C1090" s="319"/>
      <c r="D1090" s="319"/>
      <c r="E1090" s="319" t="s">
        <v>242</v>
      </c>
      <c r="F1090" s="319"/>
      <c r="G1090" s="318" t="s">
        <v>6464</v>
      </c>
      <c r="H1090" s="324" t="s">
        <v>5424</v>
      </c>
      <c r="I1090" s="319" t="s">
        <v>204</v>
      </c>
      <c r="J1090" s="324" t="s">
        <v>6316</v>
      </c>
      <c r="K1090" s="319" t="s">
        <v>191</v>
      </c>
      <c r="L1090" s="320">
        <v>4</v>
      </c>
      <c r="M1090" s="320">
        <v>4</v>
      </c>
      <c r="N1090" s="322" t="s">
        <v>12</v>
      </c>
      <c r="O1090" s="151">
        <v>5</v>
      </c>
      <c r="P1090" s="151" t="s">
        <v>199</v>
      </c>
    </row>
    <row r="1091" spans="1:16" ht="33.75">
      <c r="A1091" s="319" t="s">
        <v>7147</v>
      </c>
      <c r="B1091" s="319" t="s">
        <v>7148</v>
      </c>
      <c r="C1091" s="319"/>
      <c r="D1091" s="319"/>
      <c r="E1091" s="319" t="s">
        <v>242</v>
      </c>
      <c r="F1091" s="319"/>
      <c r="G1091" s="318" t="s">
        <v>6467</v>
      </c>
      <c r="H1091" s="324" t="s">
        <v>5424</v>
      </c>
      <c r="I1091" s="319"/>
      <c r="J1091" s="324" t="s">
        <v>7055</v>
      </c>
      <c r="K1091" s="319"/>
      <c r="L1091" s="320"/>
      <c r="M1091" s="320">
        <v>4</v>
      </c>
      <c r="N1091" s="322" t="s">
        <v>14</v>
      </c>
      <c r="O1091" s="151">
        <v>5</v>
      </c>
      <c r="P1091" s="151" t="s">
        <v>199</v>
      </c>
    </row>
    <row r="1092" spans="1:16" ht="22.5">
      <c r="A1092" s="319" t="s">
        <v>7149</v>
      </c>
      <c r="B1092" s="319" t="s">
        <v>7150</v>
      </c>
      <c r="C1092" s="319"/>
      <c r="D1092" s="319"/>
      <c r="E1092" s="319" t="s">
        <v>242</v>
      </c>
      <c r="F1092" s="319"/>
      <c r="G1092" s="318" t="s">
        <v>1890</v>
      </c>
      <c r="H1092" s="324" t="s">
        <v>5436</v>
      </c>
      <c r="I1092" s="319" t="s">
        <v>204</v>
      </c>
      <c r="J1092" s="324" t="s">
        <v>6316</v>
      </c>
      <c r="K1092" s="319" t="s">
        <v>191</v>
      </c>
      <c r="L1092" s="320">
        <v>4</v>
      </c>
      <c r="M1092" s="320">
        <v>4</v>
      </c>
      <c r="N1092" s="322" t="s">
        <v>12</v>
      </c>
      <c r="O1092" s="151">
        <v>5</v>
      </c>
      <c r="P1092" s="151" t="s">
        <v>199</v>
      </c>
    </row>
    <row r="1093" spans="1:16" s="546" customFormat="1" ht="23.25" customHeight="1">
      <c r="A1093" s="515" t="s">
        <v>7151</v>
      </c>
      <c r="B1093" s="516" t="s">
        <v>7152</v>
      </c>
      <c r="C1093" s="515"/>
      <c r="D1093" s="516"/>
      <c r="E1093" s="516" t="s">
        <v>242</v>
      </c>
      <c r="F1093" s="516"/>
      <c r="G1093" s="517" t="s">
        <v>4439</v>
      </c>
      <c r="H1093" s="518" t="s">
        <v>7153</v>
      </c>
      <c r="I1093" s="516" t="s">
        <v>204</v>
      </c>
      <c r="J1093" s="516" t="s">
        <v>7094</v>
      </c>
      <c r="K1093" s="515" t="s">
        <v>191</v>
      </c>
      <c r="L1093" s="519">
        <v>4</v>
      </c>
      <c r="M1093" s="519">
        <v>4</v>
      </c>
      <c r="N1093" s="520" t="s">
        <v>12</v>
      </c>
      <c r="O1093" s="521">
        <v>5</v>
      </c>
      <c r="P1093" s="521" t="s">
        <v>199</v>
      </c>
    </row>
    <row r="1094" spans="1:16" ht="22.5">
      <c r="A1094" s="319" t="s">
        <v>7154</v>
      </c>
      <c r="B1094" s="319" t="s">
        <v>7155</v>
      </c>
      <c r="C1094" s="319"/>
      <c r="D1094" s="319"/>
      <c r="E1094" s="319" t="s">
        <v>242</v>
      </c>
      <c r="F1094" s="319"/>
      <c r="G1094" s="318" t="s">
        <v>1890</v>
      </c>
      <c r="H1094" s="324" t="s">
        <v>5439</v>
      </c>
      <c r="I1094" s="319" t="s">
        <v>204</v>
      </c>
      <c r="J1094" s="324" t="s">
        <v>6316</v>
      </c>
      <c r="K1094" s="319" t="s">
        <v>191</v>
      </c>
      <c r="L1094" s="320">
        <v>4</v>
      </c>
      <c r="M1094" s="320">
        <v>4</v>
      </c>
      <c r="N1094" s="322" t="s">
        <v>12</v>
      </c>
      <c r="O1094" s="151">
        <v>5</v>
      </c>
      <c r="P1094" s="151" t="s">
        <v>199</v>
      </c>
    </row>
    <row r="1095" spans="1:16" s="546" customFormat="1" ht="23.25" customHeight="1">
      <c r="A1095" s="515" t="s">
        <v>7156</v>
      </c>
      <c r="B1095" s="516" t="s">
        <v>7157</v>
      </c>
      <c r="C1095" s="515"/>
      <c r="D1095" s="516"/>
      <c r="E1095" s="516" t="s">
        <v>242</v>
      </c>
      <c r="F1095" s="516"/>
      <c r="G1095" s="517" t="s">
        <v>4439</v>
      </c>
      <c r="H1095" s="518" t="s">
        <v>7158</v>
      </c>
      <c r="I1095" s="516" t="s">
        <v>204</v>
      </c>
      <c r="J1095" s="516" t="s">
        <v>7094</v>
      </c>
      <c r="K1095" s="515" t="s">
        <v>191</v>
      </c>
      <c r="L1095" s="519">
        <v>4</v>
      </c>
      <c r="M1095" s="519">
        <v>4</v>
      </c>
      <c r="N1095" s="520" t="s">
        <v>12</v>
      </c>
      <c r="O1095" s="521">
        <v>5</v>
      </c>
      <c r="P1095" s="521" t="s">
        <v>199</v>
      </c>
    </row>
    <row r="1096" spans="1:16" ht="22.5">
      <c r="A1096" s="319" t="s">
        <v>7159</v>
      </c>
      <c r="B1096" s="319" t="s">
        <v>7160</v>
      </c>
      <c r="C1096" s="319"/>
      <c r="D1096" s="319"/>
      <c r="E1096" s="319" t="s">
        <v>242</v>
      </c>
      <c r="F1096" s="319"/>
      <c r="G1096" s="318" t="s">
        <v>1890</v>
      </c>
      <c r="H1096" s="324" t="s">
        <v>5445</v>
      </c>
      <c r="I1096" s="319" t="s">
        <v>204</v>
      </c>
      <c r="J1096" s="324" t="s">
        <v>6316</v>
      </c>
      <c r="K1096" s="319" t="s">
        <v>191</v>
      </c>
      <c r="L1096" s="320">
        <v>4</v>
      </c>
      <c r="M1096" s="320">
        <v>4</v>
      </c>
      <c r="N1096" s="322" t="s">
        <v>12</v>
      </c>
      <c r="O1096" s="151">
        <v>5</v>
      </c>
      <c r="P1096" s="151" t="s">
        <v>199</v>
      </c>
    </row>
    <row r="1097" spans="1:16" ht="22.5">
      <c r="A1097" s="319" t="s">
        <v>7161</v>
      </c>
      <c r="B1097" s="319" t="s">
        <v>7162</v>
      </c>
      <c r="C1097" s="319"/>
      <c r="D1097" s="319"/>
      <c r="E1097" s="319" t="s">
        <v>242</v>
      </c>
      <c r="F1097" s="319"/>
      <c r="G1097" s="318" t="s">
        <v>1890</v>
      </c>
      <c r="H1097" s="324" t="s">
        <v>5448</v>
      </c>
      <c r="I1097" s="319" t="s">
        <v>204</v>
      </c>
      <c r="J1097" s="324" t="s">
        <v>6316</v>
      </c>
      <c r="K1097" s="319" t="s">
        <v>191</v>
      </c>
      <c r="L1097" s="320">
        <v>4</v>
      </c>
      <c r="M1097" s="320">
        <v>4</v>
      </c>
      <c r="N1097" s="322" t="s">
        <v>12</v>
      </c>
      <c r="O1097" s="151">
        <v>5</v>
      </c>
      <c r="P1097" s="151" t="s">
        <v>199</v>
      </c>
    </row>
    <row r="1098" spans="1:16" ht="22.5">
      <c r="A1098" s="319" t="s">
        <v>7163</v>
      </c>
      <c r="B1098" s="319" t="s">
        <v>7164</v>
      </c>
      <c r="C1098" s="319"/>
      <c r="D1098" s="319"/>
      <c r="E1098" s="319" t="s">
        <v>242</v>
      </c>
      <c r="F1098" s="319"/>
      <c r="G1098" s="318" t="s">
        <v>1890</v>
      </c>
      <c r="H1098" s="324" t="s">
        <v>5455</v>
      </c>
      <c r="I1098" s="319" t="s">
        <v>204</v>
      </c>
      <c r="J1098" s="324" t="s">
        <v>6316</v>
      </c>
      <c r="K1098" s="319" t="s">
        <v>191</v>
      </c>
      <c r="L1098" s="320">
        <v>4</v>
      </c>
      <c r="M1098" s="320">
        <v>4</v>
      </c>
      <c r="N1098" s="322" t="s">
        <v>12</v>
      </c>
      <c r="O1098" s="151">
        <v>5</v>
      </c>
      <c r="P1098" s="151" t="s">
        <v>199</v>
      </c>
    </row>
    <row r="1099" spans="1:16" ht="22.5">
      <c r="A1099" s="319" t="s">
        <v>7165</v>
      </c>
      <c r="B1099" s="319" t="s">
        <v>7166</v>
      </c>
      <c r="C1099" s="319"/>
      <c r="D1099" s="319"/>
      <c r="E1099" s="319" t="s">
        <v>242</v>
      </c>
      <c r="F1099" s="319"/>
      <c r="G1099" s="318" t="s">
        <v>1890</v>
      </c>
      <c r="H1099" s="324" t="s">
        <v>5458</v>
      </c>
      <c r="I1099" s="319" t="s">
        <v>204</v>
      </c>
      <c r="J1099" s="324" t="s">
        <v>6316</v>
      </c>
      <c r="K1099" s="319" t="s">
        <v>191</v>
      </c>
      <c r="L1099" s="320">
        <v>4</v>
      </c>
      <c r="M1099" s="320">
        <v>4</v>
      </c>
      <c r="N1099" s="322" t="s">
        <v>12</v>
      </c>
      <c r="O1099" s="151">
        <v>5</v>
      </c>
      <c r="P1099" s="151" t="s">
        <v>199</v>
      </c>
    </row>
    <row r="1100" spans="1:16" s="546" customFormat="1" ht="23.25" customHeight="1">
      <c r="A1100" s="515" t="s">
        <v>7167</v>
      </c>
      <c r="B1100" s="516" t="s">
        <v>7168</v>
      </c>
      <c r="C1100" s="515"/>
      <c r="D1100" s="516"/>
      <c r="E1100" s="516" t="s">
        <v>242</v>
      </c>
      <c r="F1100" s="516"/>
      <c r="G1100" s="517" t="s">
        <v>4439</v>
      </c>
      <c r="H1100" s="518" t="s">
        <v>7169</v>
      </c>
      <c r="I1100" s="516" t="s">
        <v>204</v>
      </c>
      <c r="J1100" s="516" t="s">
        <v>7094</v>
      </c>
      <c r="K1100" s="515" t="s">
        <v>191</v>
      </c>
      <c r="L1100" s="519">
        <v>4</v>
      </c>
      <c r="M1100" s="519">
        <v>4</v>
      </c>
      <c r="N1100" s="520" t="s">
        <v>12</v>
      </c>
      <c r="O1100" s="521">
        <v>5</v>
      </c>
      <c r="P1100" s="521" t="s">
        <v>199</v>
      </c>
    </row>
    <row r="1101" spans="1:16" ht="22.5">
      <c r="A1101" s="319" t="s">
        <v>7170</v>
      </c>
      <c r="B1101" s="319" t="s">
        <v>7171</v>
      </c>
      <c r="C1101" s="319"/>
      <c r="D1101" s="319"/>
      <c r="E1101" s="319" t="s">
        <v>242</v>
      </c>
      <c r="F1101" s="319"/>
      <c r="G1101" s="318" t="s">
        <v>1890</v>
      </c>
      <c r="H1101" s="324" t="s">
        <v>5461</v>
      </c>
      <c r="I1101" s="319" t="s">
        <v>204</v>
      </c>
      <c r="J1101" s="324" t="s">
        <v>6316</v>
      </c>
      <c r="K1101" s="319" t="s">
        <v>191</v>
      </c>
      <c r="L1101" s="320">
        <v>4</v>
      </c>
      <c r="M1101" s="320">
        <v>4</v>
      </c>
      <c r="N1101" s="322" t="s">
        <v>12</v>
      </c>
      <c r="O1101" s="151">
        <v>5</v>
      </c>
      <c r="P1101" s="151" t="s">
        <v>199</v>
      </c>
    </row>
    <row r="1102" spans="1:16" ht="33.75">
      <c r="A1102" s="319" t="s">
        <v>7172</v>
      </c>
      <c r="B1102" s="319" t="s">
        <v>7173</v>
      </c>
      <c r="C1102" s="319"/>
      <c r="D1102" s="319"/>
      <c r="E1102" s="319" t="s">
        <v>242</v>
      </c>
      <c r="F1102" s="319"/>
      <c r="G1102" s="318" t="s">
        <v>4439</v>
      </c>
      <c r="H1102" s="319" t="s">
        <v>7174</v>
      </c>
      <c r="I1102" s="319"/>
      <c r="J1102" s="319" t="s">
        <v>7094</v>
      </c>
      <c r="K1102" s="319" t="s">
        <v>191</v>
      </c>
      <c r="L1102" s="320">
        <v>4</v>
      </c>
      <c r="M1102" s="320">
        <v>4</v>
      </c>
      <c r="N1102" s="322" t="s">
        <v>12</v>
      </c>
      <c r="O1102" s="151">
        <v>5</v>
      </c>
      <c r="P1102" s="151" t="s">
        <v>199</v>
      </c>
    </row>
    <row r="1103" spans="1:16" ht="22.5">
      <c r="A1103" s="319" t="s">
        <v>7175</v>
      </c>
      <c r="B1103" s="319" t="s">
        <v>7176</v>
      </c>
      <c r="C1103" s="319"/>
      <c r="D1103" s="319"/>
      <c r="E1103" s="319" t="s">
        <v>242</v>
      </c>
      <c r="F1103" s="319"/>
      <c r="G1103" s="318" t="s">
        <v>1890</v>
      </c>
      <c r="H1103" s="324" t="s">
        <v>5464</v>
      </c>
      <c r="I1103" s="319" t="s">
        <v>204</v>
      </c>
      <c r="J1103" s="324" t="s">
        <v>6316</v>
      </c>
      <c r="K1103" s="319" t="s">
        <v>191</v>
      </c>
      <c r="L1103" s="320">
        <v>4</v>
      </c>
      <c r="M1103" s="320">
        <v>4</v>
      </c>
      <c r="N1103" s="322" t="s">
        <v>12</v>
      </c>
      <c r="O1103" s="151">
        <v>5</v>
      </c>
      <c r="P1103" s="151" t="s">
        <v>199</v>
      </c>
    </row>
    <row r="1104" spans="1:16" ht="33.75">
      <c r="A1104" s="319" t="str">
        <f>CONCATENATE("KS4_",B1104)</f>
        <v>KS4_APPOR_91</v>
      </c>
      <c r="B1104" s="319" t="s">
        <v>7177</v>
      </c>
      <c r="C1104" s="319"/>
      <c r="D1104" s="319"/>
      <c r="E1104" s="319" t="s">
        <v>242</v>
      </c>
      <c r="F1104" s="319"/>
      <c r="G1104" s="318" t="s">
        <v>597</v>
      </c>
      <c r="H1104" s="319" t="s">
        <v>7178</v>
      </c>
      <c r="I1104" s="319" t="s">
        <v>204</v>
      </c>
      <c r="J1104" s="319" t="s">
        <v>7094</v>
      </c>
      <c r="K1104" s="319" t="s">
        <v>191</v>
      </c>
      <c r="L1104" s="320">
        <v>4</v>
      </c>
      <c r="M1104" s="320">
        <v>4</v>
      </c>
      <c r="N1104" s="322" t="s">
        <v>14</v>
      </c>
      <c r="O1104" s="151">
        <v>5</v>
      </c>
      <c r="P1104" s="151" t="s">
        <v>199</v>
      </c>
    </row>
    <row r="1105" spans="1:16" ht="22.5">
      <c r="A1105" s="319" t="s">
        <v>7179</v>
      </c>
      <c r="B1105" s="319" t="s">
        <v>7180</v>
      </c>
      <c r="C1105" s="319"/>
      <c r="D1105" s="319"/>
      <c r="E1105" s="319" t="s">
        <v>242</v>
      </c>
      <c r="F1105" s="319"/>
      <c r="G1105" s="318" t="s">
        <v>1890</v>
      </c>
      <c r="H1105" s="324" t="s">
        <v>5467</v>
      </c>
      <c r="I1105" s="319" t="s">
        <v>204</v>
      </c>
      <c r="J1105" s="324" t="s">
        <v>6316</v>
      </c>
      <c r="K1105" s="319" t="s">
        <v>191</v>
      </c>
      <c r="L1105" s="320">
        <v>4</v>
      </c>
      <c r="M1105" s="320">
        <v>4</v>
      </c>
      <c r="N1105" s="322" t="s">
        <v>12</v>
      </c>
      <c r="O1105" s="151">
        <v>5</v>
      </c>
      <c r="P1105" s="151" t="s">
        <v>199</v>
      </c>
    </row>
    <row r="1106" spans="1:16" s="546" customFormat="1" ht="23.25" customHeight="1">
      <c r="A1106" s="515" t="s">
        <v>7181</v>
      </c>
      <c r="B1106" s="516" t="s">
        <v>7182</v>
      </c>
      <c r="C1106" s="515"/>
      <c r="D1106" s="516"/>
      <c r="E1106" s="516" t="s">
        <v>242</v>
      </c>
      <c r="F1106" s="516"/>
      <c r="G1106" s="517" t="s">
        <v>4439</v>
      </c>
      <c r="H1106" s="518" t="s">
        <v>7183</v>
      </c>
      <c r="I1106" s="516" t="s">
        <v>204</v>
      </c>
      <c r="J1106" s="516" t="s">
        <v>7094</v>
      </c>
      <c r="K1106" s="515" t="s">
        <v>191</v>
      </c>
      <c r="L1106" s="519">
        <v>4</v>
      </c>
      <c r="M1106" s="519">
        <v>4</v>
      </c>
      <c r="N1106" s="520" t="s">
        <v>12</v>
      </c>
      <c r="O1106" s="521">
        <v>5</v>
      </c>
      <c r="P1106" s="521" t="s">
        <v>199</v>
      </c>
    </row>
    <row r="1107" spans="1:16" ht="22.5">
      <c r="A1107" s="319" t="s">
        <v>7184</v>
      </c>
      <c r="B1107" s="319" t="s">
        <v>7185</v>
      </c>
      <c r="C1107" s="319"/>
      <c r="D1107" s="319"/>
      <c r="E1107" s="319" t="s">
        <v>242</v>
      </c>
      <c r="F1107" s="319"/>
      <c r="G1107" s="318" t="s">
        <v>1890</v>
      </c>
      <c r="H1107" s="324" t="s">
        <v>5470</v>
      </c>
      <c r="I1107" s="319" t="s">
        <v>204</v>
      </c>
      <c r="J1107" s="324" t="s">
        <v>6316</v>
      </c>
      <c r="K1107" s="319" t="s">
        <v>191</v>
      </c>
      <c r="L1107" s="320">
        <v>4</v>
      </c>
      <c r="M1107" s="320">
        <v>4</v>
      </c>
      <c r="N1107" s="322" t="s">
        <v>12</v>
      </c>
      <c r="O1107" s="151">
        <v>5</v>
      </c>
      <c r="P1107" s="151" t="s">
        <v>199</v>
      </c>
    </row>
    <row r="1108" spans="1:16" s="546" customFormat="1" ht="23.25" customHeight="1">
      <c r="A1108" s="515" t="s">
        <v>7186</v>
      </c>
      <c r="B1108" s="516" t="s">
        <v>7187</v>
      </c>
      <c r="C1108" s="515"/>
      <c r="D1108" s="516"/>
      <c r="E1108" s="516" t="s">
        <v>242</v>
      </c>
      <c r="F1108" s="516"/>
      <c r="G1108" s="517" t="s">
        <v>4439</v>
      </c>
      <c r="H1108" s="518" t="s">
        <v>7188</v>
      </c>
      <c r="I1108" s="516" t="s">
        <v>204</v>
      </c>
      <c r="J1108" s="516" t="s">
        <v>7094</v>
      </c>
      <c r="K1108" s="515" t="s">
        <v>191</v>
      </c>
      <c r="L1108" s="519">
        <v>4</v>
      </c>
      <c r="M1108" s="519">
        <v>4</v>
      </c>
      <c r="N1108" s="520" t="s">
        <v>12</v>
      </c>
      <c r="O1108" s="521">
        <v>5</v>
      </c>
      <c r="P1108" s="521" t="s">
        <v>199</v>
      </c>
    </row>
    <row r="1109" spans="1:16" ht="22.5">
      <c r="A1109" s="319" t="s">
        <v>7189</v>
      </c>
      <c r="B1109" s="319" t="s">
        <v>7190</v>
      </c>
      <c r="C1109" s="319"/>
      <c r="D1109" s="319"/>
      <c r="E1109" s="319" t="s">
        <v>242</v>
      </c>
      <c r="F1109" s="319"/>
      <c r="G1109" s="318" t="s">
        <v>1890</v>
      </c>
      <c r="H1109" s="324" t="s">
        <v>5473</v>
      </c>
      <c r="I1109" s="319" t="s">
        <v>204</v>
      </c>
      <c r="J1109" s="324" t="s">
        <v>6316</v>
      </c>
      <c r="K1109" s="319" t="s">
        <v>191</v>
      </c>
      <c r="L1109" s="320">
        <v>4</v>
      </c>
      <c r="M1109" s="320">
        <v>4</v>
      </c>
      <c r="N1109" s="322" t="s">
        <v>12</v>
      </c>
      <c r="O1109" s="151">
        <v>5</v>
      </c>
      <c r="P1109" s="151" t="s">
        <v>199</v>
      </c>
    </row>
    <row r="1110" spans="1:16" s="546" customFormat="1" ht="23.25" customHeight="1">
      <c r="A1110" s="515" t="s">
        <v>7191</v>
      </c>
      <c r="B1110" s="516" t="s">
        <v>7192</v>
      </c>
      <c r="C1110" s="515"/>
      <c r="D1110" s="516"/>
      <c r="E1110" s="516" t="s">
        <v>242</v>
      </c>
      <c r="F1110" s="516"/>
      <c r="G1110" s="517" t="s">
        <v>4439</v>
      </c>
      <c r="H1110" s="518" t="s">
        <v>7193</v>
      </c>
      <c r="I1110" s="516" t="s">
        <v>204</v>
      </c>
      <c r="J1110" s="516" t="s">
        <v>7094</v>
      </c>
      <c r="K1110" s="515" t="s">
        <v>191</v>
      </c>
      <c r="L1110" s="519">
        <v>4</v>
      </c>
      <c r="M1110" s="519">
        <v>4</v>
      </c>
      <c r="N1110" s="520" t="s">
        <v>12</v>
      </c>
      <c r="O1110" s="521">
        <v>5</v>
      </c>
      <c r="P1110" s="521" t="s">
        <v>199</v>
      </c>
    </row>
    <row r="1111" spans="1:16" ht="22.5">
      <c r="A1111" s="319" t="s">
        <v>7194</v>
      </c>
      <c r="B1111" s="319" t="s">
        <v>7195</v>
      </c>
      <c r="C1111" s="319"/>
      <c r="D1111" s="319"/>
      <c r="E1111" s="319" t="s">
        <v>242</v>
      </c>
      <c r="F1111" s="319"/>
      <c r="G1111" s="318" t="s">
        <v>1890</v>
      </c>
      <c r="H1111" s="324" t="s">
        <v>5476</v>
      </c>
      <c r="I1111" s="319" t="s">
        <v>204</v>
      </c>
      <c r="J1111" s="324" t="s">
        <v>6316</v>
      </c>
      <c r="K1111" s="319" t="s">
        <v>191</v>
      </c>
      <c r="L1111" s="320">
        <v>4</v>
      </c>
      <c r="M1111" s="320">
        <v>4</v>
      </c>
      <c r="N1111" s="322" t="s">
        <v>12</v>
      </c>
      <c r="O1111" s="151">
        <v>5</v>
      </c>
      <c r="P1111" s="151" t="s">
        <v>199</v>
      </c>
    </row>
    <row r="1112" spans="1:16" ht="33.75">
      <c r="A1112" s="319" t="str">
        <f>CONCATENATE("KS4_",B1112)</f>
        <v>KS4_APGUJ_91</v>
      </c>
      <c r="B1112" s="319" t="s">
        <v>7196</v>
      </c>
      <c r="C1112" s="319"/>
      <c r="D1112" s="319"/>
      <c r="E1112" s="319" t="s">
        <v>242</v>
      </c>
      <c r="F1112" s="319"/>
      <c r="G1112" s="318" t="s">
        <v>597</v>
      </c>
      <c r="H1112" s="319" t="s">
        <v>7197</v>
      </c>
      <c r="I1112" s="319" t="s">
        <v>204</v>
      </c>
      <c r="J1112" s="319" t="s">
        <v>7094</v>
      </c>
      <c r="K1112" s="319" t="s">
        <v>191</v>
      </c>
      <c r="L1112" s="320">
        <v>4</v>
      </c>
      <c r="M1112" s="320">
        <v>4</v>
      </c>
      <c r="N1112" s="322" t="s">
        <v>14</v>
      </c>
      <c r="O1112" s="151">
        <v>5</v>
      </c>
      <c r="P1112" s="151" t="s">
        <v>199</v>
      </c>
    </row>
    <row r="1113" spans="1:16" s="268" customFormat="1" ht="23.25" customHeight="1">
      <c r="A1113" s="515" t="s">
        <v>7198</v>
      </c>
      <c r="B1113" s="516" t="s">
        <v>7199</v>
      </c>
      <c r="C1113" s="515"/>
      <c r="D1113" s="516"/>
      <c r="E1113" s="516" t="s">
        <v>242</v>
      </c>
      <c r="F1113" s="516"/>
      <c r="G1113" s="517" t="s">
        <v>7200</v>
      </c>
      <c r="H1113" s="518" t="s">
        <v>5483</v>
      </c>
      <c r="I1113" s="516" t="s">
        <v>204</v>
      </c>
      <c r="J1113" s="516" t="s">
        <v>5345</v>
      </c>
      <c r="K1113" s="515" t="s">
        <v>191</v>
      </c>
      <c r="L1113" s="519">
        <v>4</v>
      </c>
      <c r="M1113" s="519">
        <v>4</v>
      </c>
      <c r="N1113" s="520" t="s">
        <v>12</v>
      </c>
      <c r="O1113" s="521">
        <v>5</v>
      </c>
      <c r="P1113" s="521" t="s">
        <v>199</v>
      </c>
    </row>
    <row r="1114" spans="1:16" s="546" customFormat="1" ht="23.25" customHeight="1">
      <c r="A1114" s="515" t="s">
        <v>7201</v>
      </c>
      <c r="B1114" s="516" t="s">
        <v>7202</v>
      </c>
      <c r="C1114" s="515"/>
      <c r="D1114" s="516"/>
      <c r="E1114" s="516" t="s">
        <v>242</v>
      </c>
      <c r="F1114" s="516"/>
      <c r="G1114" s="517" t="s">
        <v>4439</v>
      </c>
      <c r="H1114" s="518" t="s">
        <v>7203</v>
      </c>
      <c r="I1114" s="516" t="s">
        <v>204</v>
      </c>
      <c r="J1114" s="516" t="s">
        <v>7094</v>
      </c>
      <c r="K1114" s="515" t="s">
        <v>191</v>
      </c>
      <c r="L1114" s="519">
        <v>4</v>
      </c>
      <c r="M1114" s="519">
        <v>4</v>
      </c>
      <c r="N1114" s="520" t="s">
        <v>12</v>
      </c>
      <c r="O1114" s="521">
        <v>5</v>
      </c>
      <c r="P1114" s="521" t="s">
        <v>199</v>
      </c>
    </row>
    <row r="1115" spans="1:16" s="268" customFormat="1" ht="23.25" customHeight="1">
      <c r="A1115" s="515" t="s">
        <v>7204</v>
      </c>
      <c r="B1115" s="516" t="s">
        <v>7205</v>
      </c>
      <c r="C1115" s="515"/>
      <c r="D1115" s="516"/>
      <c r="E1115" s="516" t="s">
        <v>242</v>
      </c>
      <c r="F1115" s="516"/>
      <c r="G1115" s="517" t="s">
        <v>7200</v>
      </c>
      <c r="H1115" s="518" t="s">
        <v>5486</v>
      </c>
      <c r="I1115" s="516" t="s">
        <v>204</v>
      </c>
      <c r="J1115" s="516" t="s">
        <v>5345</v>
      </c>
      <c r="K1115" s="515" t="s">
        <v>191</v>
      </c>
      <c r="L1115" s="519">
        <v>4</v>
      </c>
      <c r="M1115" s="519">
        <v>4</v>
      </c>
      <c r="N1115" s="520" t="s">
        <v>12</v>
      </c>
      <c r="O1115" s="521">
        <v>5</v>
      </c>
      <c r="P1115" s="521" t="s">
        <v>199</v>
      </c>
    </row>
    <row r="1116" spans="1:16" s="546" customFormat="1" ht="23.25" customHeight="1">
      <c r="A1116" s="515" t="s">
        <v>7206</v>
      </c>
      <c r="B1116" s="516" t="s">
        <v>7207</v>
      </c>
      <c r="C1116" s="515"/>
      <c r="D1116" s="516"/>
      <c r="E1116" s="516" t="s">
        <v>242</v>
      </c>
      <c r="F1116" s="516"/>
      <c r="G1116" s="517" t="s">
        <v>4439</v>
      </c>
      <c r="H1116" s="518" t="s">
        <v>7208</v>
      </c>
      <c r="I1116" s="516" t="s">
        <v>204</v>
      </c>
      <c r="J1116" s="516" t="s">
        <v>7094</v>
      </c>
      <c r="K1116" s="515" t="s">
        <v>191</v>
      </c>
      <c r="L1116" s="519">
        <v>4</v>
      </c>
      <c r="M1116" s="519">
        <v>4</v>
      </c>
      <c r="N1116" s="520" t="s">
        <v>12</v>
      </c>
      <c r="O1116" s="521">
        <v>5</v>
      </c>
      <c r="P1116" s="521" t="s">
        <v>199</v>
      </c>
    </row>
    <row r="1117" spans="1:16" s="268" customFormat="1" ht="23.25" customHeight="1">
      <c r="A1117" s="515" t="s">
        <v>7209</v>
      </c>
      <c r="B1117" s="516" t="s">
        <v>7210</v>
      </c>
      <c r="C1117" s="515"/>
      <c r="D1117" s="516"/>
      <c r="E1117" s="516" t="s">
        <v>242</v>
      </c>
      <c r="F1117" s="516"/>
      <c r="G1117" s="517" t="s">
        <v>7200</v>
      </c>
      <c r="H1117" s="518" t="s">
        <v>5489</v>
      </c>
      <c r="I1117" s="516" t="s">
        <v>204</v>
      </c>
      <c r="J1117" s="516" t="s">
        <v>5345</v>
      </c>
      <c r="K1117" s="515" t="s">
        <v>191</v>
      </c>
      <c r="L1117" s="519">
        <v>4</v>
      </c>
      <c r="M1117" s="519">
        <v>4</v>
      </c>
      <c r="N1117" s="520" t="s">
        <v>12</v>
      </c>
      <c r="O1117" s="521">
        <v>5</v>
      </c>
      <c r="P1117" s="521" t="s">
        <v>199</v>
      </c>
    </row>
    <row r="1118" spans="1:16" s="546" customFormat="1" ht="23.25" customHeight="1">
      <c r="A1118" s="515" t="s">
        <v>7211</v>
      </c>
      <c r="B1118" s="516" t="s">
        <v>7212</v>
      </c>
      <c r="C1118" s="515"/>
      <c r="D1118" s="516"/>
      <c r="E1118" s="516" t="s">
        <v>242</v>
      </c>
      <c r="F1118" s="516"/>
      <c r="G1118" s="517" t="s">
        <v>4439</v>
      </c>
      <c r="H1118" s="518" t="s">
        <v>7213</v>
      </c>
      <c r="I1118" s="516" t="s">
        <v>204</v>
      </c>
      <c r="J1118" s="516" t="s">
        <v>7094</v>
      </c>
      <c r="K1118" s="515" t="s">
        <v>191</v>
      </c>
      <c r="L1118" s="519">
        <v>4</v>
      </c>
      <c r="M1118" s="519">
        <v>4</v>
      </c>
      <c r="N1118" s="520" t="s">
        <v>12</v>
      </c>
      <c r="O1118" s="521">
        <v>5</v>
      </c>
      <c r="P1118" s="521" t="s">
        <v>199</v>
      </c>
    </row>
    <row r="1119" spans="1:16" s="268" customFormat="1" ht="23.25" customHeight="1">
      <c r="A1119" s="515" t="s">
        <v>7214</v>
      </c>
      <c r="B1119" s="516" t="s">
        <v>7215</v>
      </c>
      <c r="C1119" s="515"/>
      <c r="D1119" s="516"/>
      <c r="E1119" s="516" t="s">
        <v>242</v>
      </c>
      <c r="F1119" s="516"/>
      <c r="G1119" s="517" t="s">
        <v>7200</v>
      </c>
      <c r="H1119" s="518" t="s">
        <v>5492</v>
      </c>
      <c r="I1119" s="516" t="s">
        <v>204</v>
      </c>
      <c r="J1119" s="516" t="s">
        <v>5345</v>
      </c>
      <c r="K1119" s="515" t="s">
        <v>191</v>
      </c>
      <c r="L1119" s="519">
        <v>4</v>
      </c>
      <c r="M1119" s="519">
        <v>4</v>
      </c>
      <c r="N1119" s="520" t="s">
        <v>12</v>
      </c>
      <c r="O1119" s="521">
        <v>5</v>
      </c>
      <c r="P1119" s="521" t="s">
        <v>199</v>
      </c>
    </row>
    <row r="1120" spans="1:16" s="546" customFormat="1" ht="23.25" customHeight="1">
      <c r="A1120" s="515" t="s">
        <v>7216</v>
      </c>
      <c r="B1120" s="516" t="s">
        <v>7217</v>
      </c>
      <c r="C1120" s="515"/>
      <c r="D1120" s="516"/>
      <c r="E1120" s="516" t="s">
        <v>242</v>
      </c>
      <c r="F1120" s="516"/>
      <c r="G1120" s="517" t="s">
        <v>4439</v>
      </c>
      <c r="H1120" s="518" t="s">
        <v>7218</v>
      </c>
      <c r="I1120" s="516" t="s">
        <v>204</v>
      </c>
      <c r="J1120" s="516" t="s">
        <v>7094</v>
      </c>
      <c r="K1120" s="515" t="s">
        <v>191</v>
      </c>
      <c r="L1120" s="519">
        <v>4</v>
      </c>
      <c r="M1120" s="519">
        <v>4</v>
      </c>
      <c r="N1120" s="520" t="s">
        <v>12</v>
      </c>
      <c r="O1120" s="521">
        <v>5</v>
      </c>
      <c r="P1120" s="521" t="s">
        <v>199</v>
      </c>
    </row>
    <row r="1121" spans="1:16" s="268" customFormat="1" ht="23.25" customHeight="1">
      <c r="A1121" s="515" t="s">
        <v>7219</v>
      </c>
      <c r="B1121" s="516" t="s">
        <v>7220</v>
      </c>
      <c r="C1121" s="515"/>
      <c r="D1121" s="516"/>
      <c r="E1121" s="516" t="s">
        <v>242</v>
      </c>
      <c r="F1121" s="516"/>
      <c r="G1121" s="517" t="s">
        <v>7200</v>
      </c>
      <c r="H1121" s="518" t="s">
        <v>5495</v>
      </c>
      <c r="I1121" s="516" t="s">
        <v>204</v>
      </c>
      <c r="J1121" s="516" t="s">
        <v>5345</v>
      </c>
      <c r="K1121" s="515" t="s">
        <v>191</v>
      </c>
      <c r="L1121" s="519">
        <v>4</v>
      </c>
      <c r="M1121" s="519">
        <v>4</v>
      </c>
      <c r="N1121" s="520" t="s">
        <v>12</v>
      </c>
      <c r="O1121" s="521">
        <v>5</v>
      </c>
      <c r="P1121" s="521" t="s">
        <v>199</v>
      </c>
    </row>
    <row r="1122" spans="1:16" s="546" customFormat="1" ht="23.25" customHeight="1">
      <c r="A1122" s="515" t="s">
        <v>7221</v>
      </c>
      <c r="B1122" s="516" t="s">
        <v>7222</v>
      </c>
      <c r="C1122" s="515"/>
      <c r="D1122" s="516"/>
      <c r="E1122" s="516" t="s">
        <v>242</v>
      </c>
      <c r="F1122" s="516"/>
      <c r="G1122" s="517" t="s">
        <v>4439</v>
      </c>
      <c r="H1122" s="518" t="s">
        <v>7223</v>
      </c>
      <c r="I1122" s="516" t="s">
        <v>204</v>
      </c>
      <c r="J1122" s="516" t="s">
        <v>7094</v>
      </c>
      <c r="K1122" s="515" t="s">
        <v>191</v>
      </c>
      <c r="L1122" s="519">
        <v>4</v>
      </c>
      <c r="M1122" s="519">
        <v>4</v>
      </c>
      <c r="N1122" s="520" t="s">
        <v>12</v>
      </c>
      <c r="O1122" s="521">
        <v>5</v>
      </c>
      <c r="P1122" s="521" t="s">
        <v>199</v>
      </c>
    </row>
    <row r="1123" spans="1:16" s="268" customFormat="1" ht="23.25" customHeight="1">
      <c r="A1123" s="515" t="s">
        <v>7224</v>
      </c>
      <c r="B1123" s="516" t="s">
        <v>7225</v>
      </c>
      <c r="C1123" s="515"/>
      <c r="D1123" s="516"/>
      <c r="E1123" s="516" t="s">
        <v>242</v>
      </c>
      <c r="F1123" s="516"/>
      <c r="G1123" s="517" t="s">
        <v>7226</v>
      </c>
      <c r="H1123" s="518" t="s">
        <v>5498</v>
      </c>
      <c r="I1123" s="516" t="s">
        <v>204</v>
      </c>
      <c r="J1123" s="516" t="s">
        <v>5345</v>
      </c>
      <c r="K1123" s="515" t="s">
        <v>191</v>
      </c>
      <c r="L1123" s="519">
        <v>4</v>
      </c>
      <c r="M1123" s="519">
        <v>4</v>
      </c>
      <c r="N1123" s="520" t="s">
        <v>12</v>
      </c>
      <c r="O1123" s="521">
        <v>5</v>
      </c>
      <c r="P1123" s="521" t="s">
        <v>199</v>
      </c>
    </row>
    <row r="1124" spans="1:16" ht="33.75">
      <c r="A1124" s="319" t="str">
        <f>CONCATENATE("KS4_",B1124)</f>
        <v>KS4_APTUR_91</v>
      </c>
      <c r="B1124" s="319" t="s">
        <v>7227</v>
      </c>
      <c r="C1124" s="319"/>
      <c r="D1124" s="319"/>
      <c r="E1124" s="319" t="s">
        <v>242</v>
      </c>
      <c r="F1124" s="319"/>
      <c r="G1124" s="318" t="s">
        <v>597</v>
      </c>
      <c r="H1124" s="319" t="s">
        <v>7228</v>
      </c>
      <c r="I1124" s="319" t="s">
        <v>204</v>
      </c>
      <c r="J1124" s="319" t="s">
        <v>7094</v>
      </c>
      <c r="K1124" s="319" t="s">
        <v>191</v>
      </c>
      <c r="L1124" s="320">
        <v>4</v>
      </c>
      <c r="M1124" s="320">
        <v>4</v>
      </c>
      <c r="N1124" s="322" t="s">
        <v>14</v>
      </c>
      <c r="O1124" s="151">
        <v>5</v>
      </c>
      <c r="P1124" s="151" t="s">
        <v>199</v>
      </c>
    </row>
    <row r="1125" spans="1:16" s="268" customFormat="1" ht="23.25" customHeight="1">
      <c r="A1125" s="515" t="s">
        <v>7229</v>
      </c>
      <c r="B1125" s="516" t="s">
        <v>7230</v>
      </c>
      <c r="C1125" s="515"/>
      <c r="D1125" s="516"/>
      <c r="E1125" s="516" t="s">
        <v>242</v>
      </c>
      <c r="F1125" s="516"/>
      <c r="G1125" s="517" t="s">
        <v>7200</v>
      </c>
      <c r="H1125" s="518" t="s">
        <v>5501</v>
      </c>
      <c r="I1125" s="516" t="s">
        <v>204</v>
      </c>
      <c r="J1125" s="516" t="s">
        <v>5345</v>
      </c>
      <c r="K1125" s="515" t="s">
        <v>191</v>
      </c>
      <c r="L1125" s="519">
        <v>4</v>
      </c>
      <c r="M1125" s="519">
        <v>4</v>
      </c>
      <c r="N1125" s="520" t="s">
        <v>12</v>
      </c>
      <c r="O1125" s="521">
        <v>5</v>
      </c>
      <c r="P1125" s="521" t="s">
        <v>199</v>
      </c>
    </row>
    <row r="1126" spans="1:16" s="546" customFormat="1" ht="23.25" customHeight="1">
      <c r="A1126" s="515" t="s">
        <v>7231</v>
      </c>
      <c r="B1126" s="516" t="s">
        <v>7232</v>
      </c>
      <c r="C1126" s="515"/>
      <c r="D1126" s="516"/>
      <c r="E1126" s="516" t="s">
        <v>242</v>
      </c>
      <c r="F1126" s="516"/>
      <c r="G1126" s="517" t="s">
        <v>4439</v>
      </c>
      <c r="H1126" s="518" t="s">
        <v>7233</v>
      </c>
      <c r="I1126" s="516" t="s">
        <v>204</v>
      </c>
      <c r="J1126" s="516" t="s">
        <v>7094</v>
      </c>
      <c r="K1126" s="515" t="s">
        <v>191</v>
      </c>
      <c r="L1126" s="519">
        <v>4</v>
      </c>
      <c r="M1126" s="519">
        <v>4</v>
      </c>
      <c r="N1126" s="520" t="s">
        <v>12</v>
      </c>
      <c r="O1126" s="521">
        <v>5</v>
      </c>
      <c r="P1126" s="521" t="s">
        <v>199</v>
      </c>
    </row>
    <row r="1127" spans="1:16" s="268" customFormat="1" ht="23.25" customHeight="1">
      <c r="A1127" s="515" t="s">
        <v>7234</v>
      </c>
      <c r="B1127" s="516" t="s">
        <v>7235</v>
      </c>
      <c r="C1127" s="515"/>
      <c r="D1127" s="516"/>
      <c r="E1127" s="516" t="s">
        <v>242</v>
      </c>
      <c r="F1127" s="516"/>
      <c r="G1127" s="517" t="s">
        <v>7226</v>
      </c>
      <c r="H1127" s="518" t="s">
        <v>5504</v>
      </c>
      <c r="I1127" s="516" t="s">
        <v>204</v>
      </c>
      <c r="J1127" s="516" t="s">
        <v>5345</v>
      </c>
      <c r="K1127" s="515" t="s">
        <v>191</v>
      </c>
      <c r="L1127" s="519">
        <v>4</v>
      </c>
      <c r="M1127" s="519">
        <v>4</v>
      </c>
      <c r="N1127" s="520" t="s">
        <v>12</v>
      </c>
      <c r="O1127" s="521">
        <v>5</v>
      </c>
      <c r="P1127" s="521" t="s">
        <v>199</v>
      </c>
    </row>
    <row r="1128" spans="1:16" ht="33.75">
      <c r="A1128" s="319" t="str">
        <f>CONCATENATE("KS4_",B1128)</f>
        <v>KS4_APPER_91</v>
      </c>
      <c r="B1128" s="319" t="s">
        <v>7236</v>
      </c>
      <c r="C1128" s="319"/>
      <c r="D1128" s="319"/>
      <c r="E1128" s="319" t="s">
        <v>242</v>
      </c>
      <c r="F1128" s="319"/>
      <c r="G1128" s="318" t="s">
        <v>597</v>
      </c>
      <c r="H1128" s="319" t="s">
        <v>7237</v>
      </c>
      <c r="I1128" s="319" t="s">
        <v>204</v>
      </c>
      <c r="J1128" s="319" t="s">
        <v>7094</v>
      </c>
      <c r="K1128" s="319" t="s">
        <v>191</v>
      </c>
      <c r="L1128" s="320">
        <v>4</v>
      </c>
      <c r="M1128" s="320">
        <v>4</v>
      </c>
      <c r="N1128" s="322" t="s">
        <v>14</v>
      </c>
      <c r="O1128" s="151">
        <v>5</v>
      </c>
      <c r="P1128" s="151" t="s">
        <v>199</v>
      </c>
    </row>
    <row r="1129" spans="1:16" s="268" customFormat="1" ht="23.25" customHeight="1">
      <c r="A1129" s="515" t="s">
        <v>7238</v>
      </c>
      <c r="B1129" s="516" t="s">
        <v>7239</v>
      </c>
      <c r="C1129" s="515"/>
      <c r="D1129" s="516"/>
      <c r="E1129" s="516" t="s">
        <v>242</v>
      </c>
      <c r="F1129" s="516"/>
      <c r="G1129" s="517" t="s">
        <v>7200</v>
      </c>
      <c r="H1129" s="518" t="s">
        <v>5507</v>
      </c>
      <c r="I1129" s="516" t="s">
        <v>204</v>
      </c>
      <c r="J1129" s="516" t="s">
        <v>5345</v>
      </c>
      <c r="K1129" s="515" t="s">
        <v>191</v>
      </c>
      <c r="L1129" s="519">
        <v>4</v>
      </c>
      <c r="M1129" s="519">
        <v>4</v>
      </c>
      <c r="N1129" s="520" t="s">
        <v>12</v>
      </c>
      <c r="O1129" s="521">
        <v>5</v>
      </c>
      <c r="P1129" s="521" t="s">
        <v>199</v>
      </c>
    </row>
    <row r="1130" spans="1:16" s="546" customFormat="1" ht="23.25" customHeight="1">
      <c r="A1130" s="515" t="s">
        <v>7240</v>
      </c>
      <c r="B1130" s="516" t="s">
        <v>7241</v>
      </c>
      <c r="C1130" s="515"/>
      <c r="D1130" s="516"/>
      <c r="E1130" s="516" t="s">
        <v>242</v>
      </c>
      <c r="F1130" s="516"/>
      <c r="G1130" s="517" t="s">
        <v>4439</v>
      </c>
      <c r="H1130" s="518" t="s">
        <v>7242</v>
      </c>
      <c r="I1130" s="516" t="s">
        <v>204</v>
      </c>
      <c r="J1130" s="516" t="s">
        <v>7094</v>
      </c>
      <c r="K1130" s="515" t="s">
        <v>191</v>
      </c>
      <c r="L1130" s="519">
        <v>4</v>
      </c>
      <c r="M1130" s="519">
        <v>4</v>
      </c>
      <c r="N1130" s="520" t="s">
        <v>12</v>
      </c>
      <c r="O1130" s="521">
        <v>5</v>
      </c>
      <c r="P1130" s="521" t="s">
        <v>199</v>
      </c>
    </row>
    <row r="1131" spans="1:16" s="268" customFormat="1" ht="23.25" customHeight="1">
      <c r="A1131" s="515" t="s">
        <v>7243</v>
      </c>
      <c r="B1131" s="516" t="s">
        <v>7244</v>
      </c>
      <c r="C1131" s="515"/>
      <c r="D1131" s="516"/>
      <c r="E1131" s="516" t="s">
        <v>242</v>
      </c>
      <c r="F1131" s="516"/>
      <c r="G1131" s="517" t="s">
        <v>7200</v>
      </c>
      <c r="H1131" s="518" t="s">
        <v>5510</v>
      </c>
      <c r="I1131" s="516" t="s">
        <v>204</v>
      </c>
      <c r="J1131" s="516" t="s">
        <v>5345</v>
      </c>
      <c r="K1131" s="515" t="s">
        <v>191</v>
      </c>
      <c r="L1131" s="519">
        <v>4</v>
      </c>
      <c r="M1131" s="519">
        <v>4</v>
      </c>
      <c r="N1131" s="520" t="s">
        <v>12</v>
      </c>
      <c r="O1131" s="521">
        <v>5</v>
      </c>
      <c r="P1131" s="521" t="s">
        <v>199</v>
      </c>
    </row>
    <row r="1132" spans="1:16" s="546" customFormat="1" ht="23.25" customHeight="1">
      <c r="A1132" s="515" t="s">
        <v>7245</v>
      </c>
      <c r="B1132" s="516" t="s">
        <v>7246</v>
      </c>
      <c r="C1132" s="515"/>
      <c r="D1132" s="516"/>
      <c r="E1132" s="516" t="s">
        <v>242</v>
      </c>
      <c r="F1132" s="516"/>
      <c r="G1132" s="517" t="s">
        <v>4439</v>
      </c>
      <c r="H1132" s="518" t="s">
        <v>7247</v>
      </c>
      <c r="I1132" s="516" t="s">
        <v>204</v>
      </c>
      <c r="J1132" s="516" t="s">
        <v>7094</v>
      </c>
      <c r="K1132" s="515" t="s">
        <v>191</v>
      </c>
      <c r="L1132" s="519">
        <v>4</v>
      </c>
      <c r="M1132" s="519">
        <v>4</v>
      </c>
      <c r="N1132" s="520" t="s">
        <v>12</v>
      </c>
      <c r="O1132" s="521">
        <v>5</v>
      </c>
      <c r="P1132" s="521" t="s">
        <v>199</v>
      </c>
    </row>
    <row r="1133" spans="1:16" s="268" customFormat="1" ht="23.25" customHeight="1">
      <c r="A1133" s="515" t="s">
        <v>7248</v>
      </c>
      <c r="B1133" s="516" t="s">
        <v>7249</v>
      </c>
      <c r="C1133" s="515"/>
      <c r="D1133" s="516"/>
      <c r="E1133" s="516" t="s">
        <v>242</v>
      </c>
      <c r="F1133" s="516"/>
      <c r="G1133" s="517" t="s">
        <v>7226</v>
      </c>
      <c r="H1133" s="518" t="s">
        <v>5513</v>
      </c>
      <c r="I1133" s="516" t="s">
        <v>204</v>
      </c>
      <c r="J1133" s="516" t="s">
        <v>5345</v>
      </c>
      <c r="K1133" s="515" t="s">
        <v>191</v>
      </c>
      <c r="L1133" s="519">
        <v>4</v>
      </c>
      <c r="M1133" s="519">
        <v>4</v>
      </c>
      <c r="N1133" s="520" t="s">
        <v>12</v>
      </c>
      <c r="O1133" s="521">
        <v>5</v>
      </c>
      <c r="P1133" s="521" t="s">
        <v>199</v>
      </c>
    </row>
    <row r="1134" spans="1:16" ht="33.75">
      <c r="A1134" s="319" t="str">
        <f>CONCATENATE("KS4_",B1134)</f>
        <v>KS4_APBHEB_91</v>
      </c>
      <c r="B1134" s="319" t="s">
        <v>7250</v>
      </c>
      <c r="C1134" s="319"/>
      <c r="D1134" s="319"/>
      <c r="E1134" s="319" t="s">
        <v>242</v>
      </c>
      <c r="F1134" s="319"/>
      <c r="G1134" s="318" t="s">
        <v>597</v>
      </c>
      <c r="H1134" s="319" t="s">
        <v>7251</v>
      </c>
      <c r="I1134" s="319" t="s">
        <v>204</v>
      </c>
      <c r="J1134" s="319" t="s">
        <v>7094</v>
      </c>
      <c r="K1134" s="319" t="s">
        <v>191</v>
      </c>
      <c r="L1134" s="320">
        <v>4</v>
      </c>
      <c r="M1134" s="320">
        <v>4</v>
      </c>
      <c r="N1134" s="322" t="s">
        <v>14</v>
      </c>
      <c r="O1134" s="151">
        <v>5</v>
      </c>
      <c r="P1134" s="151" t="s">
        <v>199</v>
      </c>
    </row>
    <row r="1135" spans="1:16" ht="45">
      <c r="A1135" s="319" t="s">
        <v>7252</v>
      </c>
      <c r="B1135" s="319" t="s">
        <v>7253</v>
      </c>
      <c r="C1135" s="319"/>
      <c r="D1135" s="319"/>
      <c r="E1135" s="319" t="s">
        <v>242</v>
      </c>
      <c r="F1135" s="319"/>
      <c r="G1135" s="318" t="s">
        <v>1890</v>
      </c>
      <c r="H1135" s="324" t="s">
        <v>5522</v>
      </c>
      <c r="I1135" s="319" t="s">
        <v>204</v>
      </c>
      <c r="J1135" s="324" t="s">
        <v>6417</v>
      </c>
      <c r="K1135" s="319" t="s">
        <v>191</v>
      </c>
      <c r="L1135" s="320">
        <v>4</v>
      </c>
      <c r="M1135" s="320">
        <v>4</v>
      </c>
      <c r="N1135" s="322" t="s">
        <v>12</v>
      </c>
      <c r="O1135" s="151">
        <v>5</v>
      </c>
      <c r="P1135" s="151" t="s">
        <v>199</v>
      </c>
    </row>
    <row r="1136" spans="1:16" ht="22.5">
      <c r="A1136" s="319" t="s">
        <v>7254</v>
      </c>
      <c r="B1136" s="319" t="s">
        <v>7255</v>
      </c>
      <c r="C1136" s="319"/>
      <c r="D1136" s="319"/>
      <c r="E1136" s="319" t="s">
        <v>242</v>
      </c>
      <c r="F1136" s="319"/>
      <c r="G1136" s="318" t="s">
        <v>1890</v>
      </c>
      <c r="H1136" s="324" t="s">
        <v>5526</v>
      </c>
      <c r="I1136" s="319" t="s">
        <v>204</v>
      </c>
      <c r="J1136" s="324" t="s">
        <v>6420</v>
      </c>
      <c r="K1136" s="319" t="s">
        <v>191</v>
      </c>
      <c r="L1136" s="320">
        <v>4</v>
      </c>
      <c r="M1136" s="320">
        <v>4</v>
      </c>
      <c r="N1136" s="322" t="s">
        <v>12</v>
      </c>
      <c r="O1136" s="151">
        <v>5</v>
      </c>
      <c r="P1136" s="151" t="s">
        <v>199</v>
      </c>
    </row>
    <row r="1137" spans="1:16" ht="22.5">
      <c r="A1137" s="319" t="s">
        <v>7256</v>
      </c>
      <c r="B1137" s="319" t="s">
        <v>7257</v>
      </c>
      <c r="C1137" s="319"/>
      <c r="D1137" s="319"/>
      <c r="E1137" s="319" t="s">
        <v>242</v>
      </c>
      <c r="F1137" s="319"/>
      <c r="G1137" s="318" t="s">
        <v>1890</v>
      </c>
      <c r="H1137" s="324" t="s">
        <v>5530</v>
      </c>
      <c r="I1137" s="319" t="s">
        <v>204</v>
      </c>
      <c r="J1137" s="324" t="s">
        <v>6420</v>
      </c>
      <c r="K1137" s="319" t="s">
        <v>191</v>
      </c>
      <c r="L1137" s="320">
        <v>4</v>
      </c>
      <c r="M1137" s="320">
        <v>4</v>
      </c>
      <c r="N1137" s="322" t="s">
        <v>12</v>
      </c>
      <c r="O1137" s="151">
        <v>5</v>
      </c>
      <c r="P1137" s="151" t="s">
        <v>199</v>
      </c>
    </row>
    <row r="1138" spans="1:16">
      <c r="A1138" s="319" t="s">
        <v>7258</v>
      </c>
      <c r="B1138" s="319" t="s">
        <v>7259</v>
      </c>
      <c r="C1138" s="319"/>
      <c r="D1138" s="319"/>
      <c r="E1138" s="319" t="s">
        <v>242</v>
      </c>
      <c r="F1138" s="319"/>
      <c r="G1138" s="318" t="s">
        <v>1890</v>
      </c>
      <c r="H1138" s="324" t="s">
        <v>5533</v>
      </c>
      <c r="I1138" s="319" t="s">
        <v>204</v>
      </c>
      <c r="J1138" s="324" t="s">
        <v>6420</v>
      </c>
      <c r="K1138" s="319" t="s">
        <v>191</v>
      </c>
      <c r="L1138" s="320">
        <v>4</v>
      </c>
      <c r="M1138" s="320">
        <v>4</v>
      </c>
      <c r="N1138" s="322" t="s">
        <v>12</v>
      </c>
      <c r="O1138" s="151">
        <v>5</v>
      </c>
      <c r="P1138" s="151" t="s">
        <v>199</v>
      </c>
    </row>
    <row r="1139" spans="1:16" ht="45">
      <c r="A1139" s="319" t="s">
        <v>7260</v>
      </c>
      <c r="B1139" s="319" t="s">
        <v>7261</v>
      </c>
      <c r="C1139" s="319"/>
      <c r="D1139" s="319"/>
      <c r="E1139" s="319" t="s">
        <v>242</v>
      </c>
      <c r="F1139" s="319"/>
      <c r="G1139" s="318" t="s">
        <v>1890</v>
      </c>
      <c r="H1139" s="324" t="s">
        <v>5536</v>
      </c>
      <c r="I1139" s="319" t="s">
        <v>204</v>
      </c>
      <c r="J1139" s="324" t="s">
        <v>6427</v>
      </c>
      <c r="K1139" s="319" t="s">
        <v>191</v>
      </c>
      <c r="L1139" s="320">
        <v>4</v>
      </c>
      <c r="M1139" s="320">
        <v>4</v>
      </c>
      <c r="N1139" s="322" t="s">
        <v>12</v>
      </c>
      <c r="O1139" s="151">
        <v>5</v>
      </c>
      <c r="P1139" s="151" t="s">
        <v>199</v>
      </c>
    </row>
    <row r="1140" spans="1:16">
      <c r="A1140" s="319" t="s">
        <v>7262</v>
      </c>
      <c r="B1140" s="319" t="s">
        <v>7263</v>
      </c>
      <c r="C1140" s="319"/>
      <c r="D1140" s="319"/>
      <c r="E1140" s="319" t="s">
        <v>242</v>
      </c>
      <c r="F1140" s="319"/>
      <c r="G1140" s="318" t="s">
        <v>1890</v>
      </c>
      <c r="H1140" s="346" t="s">
        <v>5539</v>
      </c>
      <c r="I1140" s="319" t="s">
        <v>204</v>
      </c>
      <c r="J1140" s="324" t="s">
        <v>6420</v>
      </c>
      <c r="K1140" s="319" t="s">
        <v>191</v>
      </c>
      <c r="L1140" s="320">
        <v>4</v>
      </c>
      <c r="M1140" s="320">
        <v>4</v>
      </c>
      <c r="N1140" s="322" t="s">
        <v>12</v>
      </c>
      <c r="O1140" s="151">
        <v>5</v>
      </c>
      <c r="P1140" s="151" t="s">
        <v>199</v>
      </c>
    </row>
    <row r="1141" spans="1:16" ht="22.5">
      <c r="A1141" s="319" t="s">
        <v>7264</v>
      </c>
      <c r="B1141" s="319" t="s">
        <v>7265</v>
      </c>
      <c r="C1141" s="319"/>
      <c r="D1141" s="319"/>
      <c r="E1141" s="319" t="s">
        <v>242</v>
      </c>
      <c r="F1141" s="319"/>
      <c r="G1141" s="318" t="s">
        <v>6464</v>
      </c>
      <c r="H1141" s="324" t="s">
        <v>5559</v>
      </c>
      <c r="I1141" s="319" t="s">
        <v>204</v>
      </c>
      <c r="J1141" s="324" t="s">
        <v>5560</v>
      </c>
      <c r="K1141" s="319" t="s">
        <v>191</v>
      </c>
      <c r="L1141" s="320">
        <v>4</v>
      </c>
      <c r="M1141" s="320">
        <v>4</v>
      </c>
      <c r="N1141" s="322" t="s">
        <v>12</v>
      </c>
      <c r="O1141" s="151">
        <v>5</v>
      </c>
      <c r="P1141" s="151" t="s">
        <v>199</v>
      </c>
    </row>
    <row r="1142" spans="1:16" ht="22.5">
      <c r="A1142" s="319" t="s">
        <v>7266</v>
      </c>
      <c r="B1142" s="319" t="s">
        <v>7267</v>
      </c>
      <c r="C1142" s="319"/>
      <c r="D1142" s="319"/>
      <c r="E1142" s="319" t="s">
        <v>242</v>
      </c>
      <c r="F1142" s="319"/>
      <c r="G1142" s="318" t="s">
        <v>6464</v>
      </c>
      <c r="H1142" s="347" t="s">
        <v>5563</v>
      </c>
      <c r="I1142" s="319" t="s">
        <v>204</v>
      </c>
      <c r="J1142" s="324" t="s">
        <v>5560</v>
      </c>
      <c r="K1142" s="319" t="s">
        <v>191</v>
      </c>
      <c r="L1142" s="320">
        <v>4</v>
      </c>
      <c r="M1142" s="320">
        <v>4</v>
      </c>
      <c r="N1142" s="322" t="s">
        <v>12</v>
      </c>
      <c r="O1142" s="151">
        <v>5</v>
      </c>
      <c r="P1142" s="151" t="s">
        <v>199</v>
      </c>
    </row>
    <row r="1143" spans="1:16" ht="22.5">
      <c r="A1143" s="319" t="s">
        <v>7268</v>
      </c>
      <c r="B1143" s="319" t="s">
        <v>7269</v>
      </c>
      <c r="C1143" s="319"/>
      <c r="D1143" s="319"/>
      <c r="E1143" s="319" t="s">
        <v>242</v>
      </c>
      <c r="F1143" s="319"/>
      <c r="G1143" s="318" t="s">
        <v>6464</v>
      </c>
      <c r="H1143" s="324" t="s">
        <v>5566</v>
      </c>
      <c r="I1143" s="319" t="s">
        <v>204</v>
      </c>
      <c r="J1143" s="324" t="s">
        <v>5567</v>
      </c>
      <c r="K1143" s="319" t="s">
        <v>191</v>
      </c>
      <c r="L1143" s="320">
        <v>4</v>
      </c>
      <c r="M1143" s="320">
        <v>4</v>
      </c>
      <c r="N1143" s="322" t="s">
        <v>12</v>
      </c>
      <c r="O1143" s="151">
        <v>5</v>
      </c>
      <c r="P1143" s="151" t="s">
        <v>199</v>
      </c>
    </row>
    <row r="1144" spans="1:16" ht="22.5">
      <c r="A1144" s="319" t="s">
        <v>7270</v>
      </c>
      <c r="B1144" s="319" t="s">
        <v>7271</v>
      </c>
      <c r="C1144" s="319"/>
      <c r="D1144" s="319"/>
      <c r="E1144" s="319" t="s">
        <v>242</v>
      </c>
      <c r="F1144" s="319"/>
      <c r="G1144" s="318" t="s">
        <v>1962</v>
      </c>
      <c r="H1144" s="324" t="s">
        <v>5731</v>
      </c>
      <c r="I1144" s="319" t="s">
        <v>204</v>
      </c>
      <c r="J1144" s="324"/>
      <c r="K1144" s="319" t="s">
        <v>191</v>
      </c>
      <c r="L1144" s="320">
        <v>4</v>
      </c>
      <c r="M1144" s="320">
        <v>4</v>
      </c>
      <c r="N1144" s="322" t="s">
        <v>12</v>
      </c>
      <c r="O1144" s="151">
        <v>5</v>
      </c>
      <c r="P1144" s="151" t="s">
        <v>199</v>
      </c>
    </row>
    <row r="1145" spans="1:16" ht="22.5">
      <c r="A1145" s="319" t="s">
        <v>7272</v>
      </c>
      <c r="B1145" s="319" t="s">
        <v>7273</v>
      </c>
      <c r="C1145" s="319"/>
      <c r="D1145" s="319"/>
      <c r="E1145" s="319" t="s">
        <v>242</v>
      </c>
      <c r="F1145" s="319"/>
      <c r="G1145" s="318" t="s">
        <v>1962</v>
      </c>
      <c r="H1145" s="324" t="s">
        <v>5735</v>
      </c>
      <c r="I1145" s="319" t="s">
        <v>204</v>
      </c>
      <c r="J1145" s="324"/>
      <c r="K1145" s="319" t="s">
        <v>191</v>
      </c>
      <c r="L1145" s="320">
        <v>4</v>
      </c>
      <c r="M1145" s="320">
        <v>4</v>
      </c>
      <c r="N1145" s="322" t="s">
        <v>12</v>
      </c>
      <c r="O1145" s="151">
        <v>5</v>
      </c>
      <c r="P1145" s="151" t="s">
        <v>199</v>
      </c>
    </row>
    <row r="1146" spans="1:16" ht="22.5">
      <c r="A1146" s="319" t="s">
        <v>7274</v>
      </c>
      <c r="B1146" s="319" t="s">
        <v>7275</v>
      </c>
      <c r="C1146" s="319"/>
      <c r="D1146" s="319"/>
      <c r="E1146" s="319" t="s">
        <v>242</v>
      </c>
      <c r="F1146" s="319"/>
      <c r="G1146" s="318" t="s">
        <v>1890</v>
      </c>
      <c r="H1146" s="319" t="s">
        <v>5748</v>
      </c>
      <c r="I1146" s="319"/>
      <c r="J1146" s="324"/>
      <c r="K1146" s="319" t="s">
        <v>191</v>
      </c>
      <c r="L1146" s="320">
        <v>4</v>
      </c>
      <c r="M1146" s="320">
        <v>4</v>
      </c>
      <c r="N1146" s="322" t="s">
        <v>12</v>
      </c>
      <c r="O1146" s="151">
        <v>5</v>
      </c>
      <c r="P1146" s="151" t="s">
        <v>199</v>
      </c>
    </row>
    <row r="1147" spans="1:16" ht="22.5">
      <c r="A1147" s="319" t="s">
        <v>7276</v>
      </c>
      <c r="B1147" s="319" t="s">
        <v>7277</v>
      </c>
      <c r="C1147" s="319"/>
      <c r="D1147" s="319"/>
      <c r="E1147" s="319" t="s">
        <v>242</v>
      </c>
      <c r="F1147" s="319"/>
      <c r="G1147" s="318" t="s">
        <v>1890</v>
      </c>
      <c r="H1147" s="319" t="s">
        <v>5752</v>
      </c>
      <c r="I1147" s="319"/>
      <c r="J1147" s="324"/>
      <c r="K1147" s="319" t="s">
        <v>191</v>
      </c>
      <c r="L1147" s="320">
        <v>4</v>
      </c>
      <c r="M1147" s="320">
        <v>4</v>
      </c>
      <c r="N1147" s="322" t="s">
        <v>12</v>
      </c>
      <c r="O1147" s="151">
        <v>5</v>
      </c>
      <c r="P1147" s="151" t="s">
        <v>199</v>
      </c>
    </row>
    <row r="1148" spans="1:16">
      <c r="A1148" s="319" t="s">
        <v>7278</v>
      </c>
      <c r="B1148" s="319" t="s">
        <v>7279</v>
      </c>
      <c r="C1148" s="319"/>
      <c r="D1148" s="319"/>
      <c r="E1148" s="319" t="s">
        <v>242</v>
      </c>
      <c r="F1148" s="319"/>
      <c r="G1148" s="318" t="s">
        <v>1890</v>
      </c>
      <c r="H1148" s="319" t="s">
        <v>5759</v>
      </c>
      <c r="I1148" s="319" t="s">
        <v>198</v>
      </c>
      <c r="J1148" s="324"/>
      <c r="K1148" s="319" t="s">
        <v>191</v>
      </c>
      <c r="L1148" s="320">
        <v>4</v>
      </c>
      <c r="M1148" s="320">
        <v>4</v>
      </c>
      <c r="N1148" s="322" t="s">
        <v>12</v>
      </c>
      <c r="O1148" s="151">
        <v>5</v>
      </c>
      <c r="P1148" s="151" t="s">
        <v>199</v>
      </c>
    </row>
    <row r="1149" spans="1:16" ht="22.5">
      <c r="A1149" s="319" t="s">
        <v>7280</v>
      </c>
      <c r="B1149" s="319" t="s">
        <v>7281</v>
      </c>
      <c r="C1149" s="319"/>
      <c r="D1149" s="319"/>
      <c r="E1149" s="319" t="s">
        <v>242</v>
      </c>
      <c r="F1149" s="319"/>
      <c r="G1149" s="318" t="s">
        <v>1890</v>
      </c>
      <c r="H1149" s="319" t="s">
        <v>5766</v>
      </c>
      <c r="I1149" s="319" t="s">
        <v>198</v>
      </c>
      <c r="J1149" s="324"/>
      <c r="K1149" s="319" t="s">
        <v>191</v>
      </c>
      <c r="L1149" s="320">
        <v>4</v>
      </c>
      <c r="M1149" s="320">
        <v>4</v>
      </c>
      <c r="N1149" s="322" t="s">
        <v>12</v>
      </c>
      <c r="O1149" s="151">
        <v>5</v>
      </c>
      <c r="P1149" s="151" t="s">
        <v>199</v>
      </c>
    </row>
    <row r="1150" spans="1:16" ht="22.5">
      <c r="A1150" s="319" t="s">
        <v>7282</v>
      </c>
      <c r="B1150" s="319" t="s">
        <v>7283</v>
      </c>
      <c r="C1150" s="319"/>
      <c r="D1150" s="319"/>
      <c r="E1150" s="319" t="s">
        <v>242</v>
      </c>
      <c r="F1150" s="319"/>
      <c r="G1150" s="318" t="s">
        <v>1890</v>
      </c>
      <c r="H1150" s="319" t="s">
        <v>5798</v>
      </c>
      <c r="I1150" s="319" t="s">
        <v>204</v>
      </c>
      <c r="J1150" s="324" t="s">
        <v>5799</v>
      </c>
      <c r="K1150" s="319" t="s">
        <v>191</v>
      </c>
      <c r="L1150" s="320">
        <v>4</v>
      </c>
      <c r="M1150" s="320">
        <v>4</v>
      </c>
      <c r="N1150" s="322" t="s">
        <v>12</v>
      </c>
      <c r="O1150" s="151">
        <v>5</v>
      </c>
      <c r="P1150" s="151" t="s">
        <v>199</v>
      </c>
    </row>
    <row r="1151" spans="1:16" ht="22.5">
      <c r="A1151" s="319" t="s">
        <v>7284</v>
      </c>
      <c r="B1151" s="319" t="s">
        <v>7285</v>
      </c>
      <c r="C1151" s="319"/>
      <c r="D1151" s="319"/>
      <c r="E1151" s="319" t="s">
        <v>242</v>
      </c>
      <c r="F1151" s="319"/>
      <c r="G1151" s="318" t="s">
        <v>1890</v>
      </c>
      <c r="H1151" s="319" t="s">
        <v>5802</v>
      </c>
      <c r="I1151" s="319" t="s">
        <v>204</v>
      </c>
      <c r="J1151" s="324" t="s">
        <v>5799</v>
      </c>
      <c r="K1151" s="319" t="s">
        <v>191</v>
      </c>
      <c r="L1151" s="320">
        <v>4</v>
      </c>
      <c r="M1151" s="320">
        <v>4</v>
      </c>
      <c r="N1151" s="322" t="s">
        <v>12</v>
      </c>
      <c r="O1151" s="151">
        <v>5</v>
      </c>
      <c r="P1151" s="151" t="s">
        <v>199</v>
      </c>
    </row>
    <row r="1152" spans="1:16" ht="33.75">
      <c r="A1152" s="319" t="s">
        <v>7286</v>
      </c>
      <c r="B1152" s="319" t="s">
        <v>7287</v>
      </c>
      <c r="C1152" s="319"/>
      <c r="D1152" s="319"/>
      <c r="E1152" s="319" t="s">
        <v>242</v>
      </c>
      <c r="F1152" s="319"/>
      <c r="G1152" s="318" t="s">
        <v>1962</v>
      </c>
      <c r="H1152" s="319" t="s">
        <v>5805</v>
      </c>
      <c r="I1152" s="319" t="s">
        <v>188</v>
      </c>
      <c r="J1152" s="324" t="s">
        <v>5775</v>
      </c>
      <c r="K1152" s="319" t="s">
        <v>191</v>
      </c>
      <c r="L1152" s="320">
        <v>4</v>
      </c>
      <c r="M1152" s="320">
        <v>4</v>
      </c>
      <c r="N1152" s="322" t="s">
        <v>12</v>
      </c>
      <c r="O1152" s="151">
        <v>5</v>
      </c>
      <c r="P1152" s="151" t="s">
        <v>199</v>
      </c>
    </row>
    <row r="1153" spans="1:16" ht="33.75">
      <c r="A1153" s="319" t="s">
        <v>7288</v>
      </c>
      <c r="B1153" s="319" t="s">
        <v>7289</v>
      </c>
      <c r="C1153" s="319"/>
      <c r="D1153" s="319"/>
      <c r="E1153" s="319" t="s">
        <v>242</v>
      </c>
      <c r="F1153" s="319"/>
      <c r="G1153" s="318" t="s">
        <v>1962</v>
      </c>
      <c r="H1153" s="319" t="s">
        <v>5808</v>
      </c>
      <c r="I1153" s="319" t="s">
        <v>188</v>
      </c>
      <c r="J1153" s="324" t="s">
        <v>5775</v>
      </c>
      <c r="K1153" s="319" t="s">
        <v>191</v>
      </c>
      <c r="L1153" s="320">
        <v>4</v>
      </c>
      <c r="M1153" s="320">
        <v>4</v>
      </c>
      <c r="N1153" s="322" t="s">
        <v>12</v>
      </c>
      <c r="O1153" s="151">
        <v>5</v>
      </c>
      <c r="P1153" s="151" t="s">
        <v>199</v>
      </c>
    </row>
    <row r="1154" spans="1:16">
      <c r="A1154" s="319" t="s">
        <v>7290</v>
      </c>
      <c r="B1154" s="319" t="s">
        <v>7291</v>
      </c>
      <c r="C1154" s="319"/>
      <c r="D1154" s="319"/>
      <c r="E1154" s="319" t="s">
        <v>242</v>
      </c>
      <c r="F1154" s="319"/>
      <c r="G1154" s="318" t="s">
        <v>1946</v>
      </c>
      <c r="H1154" s="319" t="s">
        <v>7292</v>
      </c>
      <c r="I1154" s="319" t="s">
        <v>198</v>
      </c>
      <c r="J1154" s="324" t="s">
        <v>7293</v>
      </c>
      <c r="K1154" s="319" t="s">
        <v>191</v>
      </c>
      <c r="L1154" s="320">
        <v>4</v>
      </c>
      <c r="M1154" s="320">
        <v>4</v>
      </c>
      <c r="N1154" s="322" t="s">
        <v>14</v>
      </c>
      <c r="O1154" s="151">
        <v>5</v>
      </c>
      <c r="P1154" s="151" t="s">
        <v>199</v>
      </c>
    </row>
    <row r="1155" spans="1:16" ht="22.5">
      <c r="A1155" s="319" t="s">
        <v>7294</v>
      </c>
      <c r="B1155" s="319" t="s">
        <v>7295</v>
      </c>
      <c r="C1155" s="319"/>
      <c r="D1155" s="319"/>
      <c r="E1155" s="319" t="s">
        <v>242</v>
      </c>
      <c r="F1155" s="319"/>
      <c r="G1155" s="318" t="s">
        <v>1946</v>
      </c>
      <c r="H1155" s="319" t="s">
        <v>7296</v>
      </c>
      <c r="I1155" s="319" t="s">
        <v>198</v>
      </c>
      <c r="J1155" s="324" t="s">
        <v>7293</v>
      </c>
      <c r="K1155" s="319" t="s">
        <v>191</v>
      </c>
      <c r="L1155" s="320">
        <v>4</v>
      </c>
      <c r="M1155" s="320">
        <v>4</v>
      </c>
      <c r="N1155" s="322" t="s">
        <v>14</v>
      </c>
      <c r="O1155" s="151">
        <v>5</v>
      </c>
      <c r="P1155" s="151" t="s">
        <v>199</v>
      </c>
    </row>
    <row r="1156" spans="1:16">
      <c r="A1156" s="319" t="s">
        <v>7297</v>
      </c>
      <c r="B1156" s="319" t="s">
        <v>7298</v>
      </c>
      <c r="C1156" s="319"/>
      <c r="D1156" s="319"/>
      <c r="E1156" s="319" t="s">
        <v>242</v>
      </c>
      <c r="F1156" s="319"/>
      <c r="G1156" s="318" t="s">
        <v>1946</v>
      </c>
      <c r="H1156" s="319" t="s">
        <v>7299</v>
      </c>
      <c r="I1156" s="319" t="s">
        <v>188</v>
      </c>
      <c r="J1156" s="324" t="s">
        <v>7300</v>
      </c>
      <c r="K1156" s="319" t="s">
        <v>191</v>
      </c>
      <c r="L1156" s="320">
        <v>4</v>
      </c>
      <c r="M1156" s="320">
        <v>4</v>
      </c>
      <c r="N1156" s="322" t="s">
        <v>14</v>
      </c>
      <c r="O1156" s="151">
        <v>5</v>
      </c>
      <c r="P1156" s="151" t="s">
        <v>199</v>
      </c>
    </row>
    <row r="1157" spans="1:16">
      <c r="A1157" s="319" t="s">
        <v>7301</v>
      </c>
      <c r="B1157" s="319" t="s">
        <v>7302</v>
      </c>
      <c r="C1157" s="319"/>
      <c r="D1157" s="319"/>
      <c r="E1157" s="319" t="s">
        <v>242</v>
      </c>
      <c r="F1157" s="319"/>
      <c r="G1157" s="318" t="s">
        <v>1946</v>
      </c>
      <c r="H1157" s="319" t="s">
        <v>7303</v>
      </c>
      <c r="I1157" s="319" t="s">
        <v>188</v>
      </c>
      <c r="J1157" s="324" t="s">
        <v>7300</v>
      </c>
      <c r="K1157" s="319" t="s">
        <v>191</v>
      </c>
      <c r="L1157" s="320">
        <v>4</v>
      </c>
      <c r="M1157" s="320">
        <v>4</v>
      </c>
      <c r="N1157" s="322" t="s">
        <v>14</v>
      </c>
      <c r="O1157" s="151">
        <v>5</v>
      </c>
      <c r="P1157" s="151" t="s">
        <v>199</v>
      </c>
    </row>
    <row r="1158" spans="1:16">
      <c r="A1158" s="319" t="s">
        <v>7304</v>
      </c>
      <c r="B1158" s="319" t="s">
        <v>7305</v>
      </c>
      <c r="C1158" s="319"/>
      <c r="D1158" s="319"/>
      <c r="E1158" s="319" t="s">
        <v>242</v>
      </c>
      <c r="F1158" s="319"/>
      <c r="G1158" s="318" t="s">
        <v>1946</v>
      </c>
      <c r="H1158" s="319" t="s">
        <v>7306</v>
      </c>
      <c r="I1158" s="319" t="s">
        <v>198</v>
      </c>
      <c r="J1158" s="324" t="s">
        <v>7307</v>
      </c>
      <c r="K1158" s="319" t="s">
        <v>191</v>
      </c>
      <c r="L1158" s="320">
        <v>4</v>
      </c>
      <c r="M1158" s="320">
        <v>4</v>
      </c>
      <c r="N1158" s="322" t="s">
        <v>14</v>
      </c>
      <c r="O1158" s="151">
        <v>5</v>
      </c>
      <c r="P1158" s="151" t="s">
        <v>199</v>
      </c>
    </row>
    <row r="1159" spans="1:16">
      <c r="A1159" s="319" t="s">
        <v>7308</v>
      </c>
      <c r="B1159" s="319" t="s">
        <v>7309</v>
      </c>
      <c r="C1159" s="319"/>
      <c r="D1159" s="319"/>
      <c r="E1159" s="319" t="s">
        <v>242</v>
      </c>
      <c r="F1159" s="319"/>
      <c r="G1159" s="318" t="s">
        <v>1946</v>
      </c>
      <c r="H1159" s="319" t="s">
        <v>7310</v>
      </c>
      <c r="I1159" s="319" t="s">
        <v>188</v>
      </c>
      <c r="J1159" s="324" t="s">
        <v>7311</v>
      </c>
      <c r="K1159" s="319" t="s">
        <v>191</v>
      </c>
      <c r="L1159" s="320">
        <v>4</v>
      </c>
      <c r="M1159" s="320">
        <v>4</v>
      </c>
      <c r="N1159" s="322" t="s">
        <v>14</v>
      </c>
      <c r="O1159" s="151">
        <v>5</v>
      </c>
      <c r="P1159" s="151" t="s">
        <v>199</v>
      </c>
    </row>
    <row r="1160" spans="1:16">
      <c r="A1160" s="319" t="s">
        <v>7312</v>
      </c>
      <c r="B1160" s="319" t="s">
        <v>7313</v>
      </c>
      <c r="C1160" s="319"/>
      <c r="D1160" s="319"/>
      <c r="E1160" s="319" t="s">
        <v>242</v>
      </c>
      <c r="F1160" s="319"/>
      <c r="G1160" s="318" t="s">
        <v>1946</v>
      </c>
      <c r="H1160" s="319" t="s">
        <v>7314</v>
      </c>
      <c r="I1160" s="319" t="s">
        <v>198</v>
      </c>
      <c r="J1160" s="324" t="s">
        <v>7307</v>
      </c>
      <c r="K1160" s="319" t="s">
        <v>191</v>
      </c>
      <c r="L1160" s="320">
        <v>4</v>
      </c>
      <c r="M1160" s="320">
        <v>4</v>
      </c>
      <c r="N1160" s="322" t="s">
        <v>14</v>
      </c>
      <c r="O1160" s="151">
        <v>5</v>
      </c>
      <c r="P1160" s="151" t="s">
        <v>199</v>
      </c>
    </row>
    <row r="1161" spans="1:16">
      <c r="A1161" s="319" t="s">
        <v>7315</v>
      </c>
      <c r="B1161" s="319" t="s">
        <v>7316</v>
      </c>
      <c r="C1161" s="319"/>
      <c r="D1161" s="319"/>
      <c r="E1161" s="319" t="s">
        <v>242</v>
      </c>
      <c r="F1161" s="319"/>
      <c r="G1161" s="318" t="s">
        <v>1946</v>
      </c>
      <c r="H1161" s="319" t="s">
        <v>7317</v>
      </c>
      <c r="I1161" s="319" t="s">
        <v>198</v>
      </c>
      <c r="J1161" s="324" t="s">
        <v>7307</v>
      </c>
      <c r="K1161" s="319" t="s">
        <v>191</v>
      </c>
      <c r="L1161" s="320">
        <v>4</v>
      </c>
      <c r="M1161" s="320">
        <v>4</v>
      </c>
      <c r="N1161" s="322" t="s">
        <v>14</v>
      </c>
      <c r="O1161" s="151">
        <v>5</v>
      </c>
      <c r="P1161" s="151" t="s">
        <v>199</v>
      </c>
    </row>
    <row r="1162" spans="1:16">
      <c r="A1162" s="319" t="s">
        <v>7318</v>
      </c>
      <c r="B1162" s="319" t="s">
        <v>7319</v>
      </c>
      <c r="C1162" s="319"/>
      <c r="D1162" s="319"/>
      <c r="E1162" s="319" t="s">
        <v>242</v>
      </c>
      <c r="F1162" s="319"/>
      <c r="G1162" s="318" t="s">
        <v>1946</v>
      </c>
      <c r="H1162" s="319" t="s">
        <v>7320</v>
      </c>
      <c r="I1162" s="319" t="s">
        <v>198</v>
      </c>
      <c r="J1162" s="324" t="s">
        <v>7307</v>
      </c>
      <c r="K1162" s="319" t="s">
        <v>191</v>
      </c>
      <c r="L1162" s="320">
        <v>4</v>
      </c>
      <c r="M1162" s="320">
        <v>4</v>
      </c>
      <c r="N1162" s="322" t="s">
        <v>14</v>
      </c>
      <c r="O1162" s="151">
        <v>5</v>
      </c>
      <c r="P1162" s="151" t="s">
        <v>199</v>
      </c>
    </row>
    <row r="1163" spans="1:16">
      <c r="A1163" s="319" t="s">
        <v>7321</v>
      </c>
      <c r="B1163" s="319" t="s">
        <v>7322</v>
      </c>
      <c r="C1163" s="319"/>
      <c r="D1163" s="319"/>
      <c r="E1163" s="319" t="s">
        <v>242</v>
      </c>
      <c r="F1163" s="319"/>
      <c r="G1163" s="318" t="s">
        <v>1946</v>
      </c>
      <c r="H1163" s="319" t="s">
        <v>7323</v>
      </c>
      <c r="I1163" s="319" t="s">
        <v>188</v>
      </c>
      <c r="J1163" s="324" t="s">
        <v>7311</v>
      </c>
      <c r="K1163" s="319" t="s">
        <v>191</v>
      </c>
      <c r="L1163" s="320">
        <v>4</v>
      </c>
      <c r="M1163" s="320">
        <v>4</v>
      </c>
      <c r="N1163" s="322" t="s">
        <v>14</v>
      </c>
      <c r="O1163" s="151">
        <v>5</v>
      </c>
      <c r="P1163" s="151" t="s">
        <v>199</v>
      </c>
    </row>
    <row r="1164" spans="1:16">
      <c r="A1164" s="319" t="s">
        <v>7324</v>
      </c>
      <c r="B1164" s="319" t="s">
        <v>7325</v>
      </c>
      <c r="C1164" s="319"/>
      <c r="D1164" s="319"/>
      <c r="E1164" s="319" t="s">
        <v>242</v>
      </c>
      <c r="F1164" s="319"/>
      <c r="G1164" s="318" t="s">
        <v>1946</v>
      </c>
      <c r="H1164" s="319" t="s">
        <v>7326</v>
      </c>
      <c r="I1164" s="319" t="s">
        <v>188</v>
      </c>
      <c r="J1164" s="324" t="s">
        <v>7311</v>
      </c>
      <c r="K1164" s="319" t="s">
        <v>191</v>
      </c>
      <c r="L1164" s="320">
        <v>4</v>
      </c>
      <c r="M1164" s="320">
        <v>4</v>
      </c>
      <c r="N1164" s="322" t="s">
        <v>14</v>
      </c>
      <c r="O1164" s="151">
        <v>5</v>
      </c>
      <c r="P1164" s="151" t="s">
        <v>199</v>
      </c>
    </row>
    <row r="1165" spans="1:16">
      <c r="A1165" s="319" t="s">
        <v>7327</v>
      </c>
      <c r="B1165" s="319" t="s">
        <v>7328</v>
      </c>
      <c r="C1165" s="319"/>
      <c r="D1165" s="319"/>
      <c r="E1165" s="319" t="s">
        <v>242</v>
      </c>
      <c r="F1165" s="319"/>
      <c r="G1165" s="318" t="s">
        <v>1946</v>
      </c>
      <c r="H1165" s="319" t="s">
        <v>7329</v>
      </c>
      <c r="I1165" s="319" t="s">
        <v>188</v>
      </c>
      <c r="J1165" s="324" t="s">
        <v>7311</v>
      </c>
      <c r="K1165" s="319" t="s">
        <v>191</v>
      </c>
      <c r="L1165" s="320">
        <v>4</v>
      </c>
      <c r="M1165" s="320">
        <v>4</v>
      </c>
      <c r="N1165" s="322" t="s">
        <v>14</v>
      </c>
      <c r="O1165" s="151">
        <v>5</v>
      </c>
      <c r="P1165" s="151" t="s">
        <v>199</v>
      </c>
    </row>
    <row r="1166" spans="1:16">
      <c r="A1166" s="319" t="s">
        <v>7330</v>
      </c>
      <c r="B1166" s="319" t="s">
        <v>7331</v>
      </c>
      <c r="C1166" s="319"/>
      <c r="D1166" s="319"/>
      <c r="E1166" s="319" t="s">
        <v>242</v>
      </c>
      <c r="F1166" s="319"/>
      <c r="G1166" s="318" t="s">
        <v>1946</v>
      </c>
      <c r="H1166" s="319" t="s">
        <v>7332</v>
      </c>
      <c r="I1166" s="319" t="s">
        <v>198</v>
      </c>
      <c r="J1166" s="324" t="s">
        <v>7307</v>
      </c>
      <c r="K1166" s="319" t="s">
        <v>191</v>
      </c>
      <c r="L1166" s="320">
        <v>4</v>
      </c>
      <c r="M1166" s="320">
        <v>4</v>
      </c>
      <c r="N1166" s="322" t="s">
        <v>14</v>
      </c>
      <c r="O1166" s="151">
        <v>5</v>
      </c>
      <c r="P1166" s="151" t="s">
        <v>199</v>
      </c>
    </row>
    <row r="1167" spans="1:16">
      <c r="A1167" s="319" t="s">
        <v>7333</v>
      </c>
      <c r="B1167" s="319" t="s">
        <v>7334</v>
      </c>
      <c r="C1167" s="319"/>
      <c r="D1167" s="319"/>
      <c r="E1167" s="319" t="s">
        <v>242</v>
      </c>
      <c r="F1167" s="319"/>
      <c r="G1167" s="318" t="s">
        <v>1946</v>
      </c>
      <c r="H1167" s="319" t="s">
        <v>7335</v>
      </c>
      <c r="I1167" s="319" t="s">
        <v>198</v>
      </c>
      <c r="J1167" s="324" t="s">
        <v>7307</v>
      </c>
      <c r="K1167" s="319" t="s">
        <v>191</v>
      </c>
      <c r="L1167" s="320">
        <v>4</v>
      </c>
      <c r="M1167" s="320">
        <v>4</v>
      </c>
      <c r="N1167" s="322" t="s">
        <v>14</v>
      </c>
      <c r="O1167" s="151">
        <v>5</v>
      </c>
      <c r="P1167" s="151" t="s">
        <v>199</v>
      </c>
    </row>
    <row r="1168" spans="1:16">
      <c r="A1168" s="319" t="s">
        <v>7336</v>
      </c>
      <c r="B1168" s="319" t="s">
        <v>7337</v>
      </c>
      <c r="C1168" s="319"/>
      <c r="D1168" s="319"/>
      <c r="E1168" s="319" t="s">
        <v>242</v>
      </c>
      <c r="F1168" s="319"/>
      <c r="G1168" s="318" t="s">
        <v>1946</v>
      </c>
      <c r="H1168" s="319" t="s">
        <v>7338</v>
      </c>
      <c r="I1168" s="319" t="s">
        <v>198</v>
      </c>
      <c r="J1168" s="324" t="s">
        <v>7307</v>
      </c>
      <c r="K1168" s="319" t="s">
        <v>191</v>
      </c>
      <c r="L1168" s="320">
        <v>4</v>
      </c>
      <c r="M1168" s="320">
        <v>4</v>
      </c>
      <c r="N1168" s="322" t="s">
        <v>14</v>
      </c>
      <c r="O1168" s="151">
        <v>5</v>
      </c>
      <c r="P1168" s="151" t="s">
        <v>199</v>
      </c>
    </row>
    <row r="1169" spans="1:16">
      <c r="A1169" s="319" t="s">
        <v>7339</v>
      </c>
      <c r="B1169" s="319" t="s">
        <v>7340</v>
      </c>
      <c r="C1169" s="319"/>
      <c r="D1169" s="319"/>
      <c r="E1169" s="319" t="s">
        <v>242</v>
      </c>
      <c r="F1169" s="319"/>
      <c r="G1169" s="318" t="s">
        <v>1946</v>
      </c>
      <c r="H1169" s="319" t="s">
        <v>7341</v>
      </c>
      <c r="I1169" s="319" t="s">
        <v>188</v>
      </c>
      <c r="J1169" s="324" t="s">
        <v>7311</v>
      </c>
      <c r="K1169" s="319" t="s">
        <v>191</v>
      </c>
      <c r="L1169" s="320">
        <v>4</v>
      </c>
      <c r="M1169" s="320">
        <v>4</v>
      </c>
      <c r="N1169" s="322" t="s">
        <v>14</v>
      </c>
      <c r="O1169" s="151">
        <v>5</v>
      </c>
      <c r="P1169" s="151" t="s">
        <v>199</v>
      </c>
    </row>
    <row r="1170" spans="1:16">
      <c r="A1170" s="319" t="s">
        <v>7342</v>
      </c>
      <c r="B1170" s="319" t="s">
        <v>7343</v>
      </c>
      <c r="C1170" s="319"/>
      <c r="D1170" s="319"/>
      <c r="E1170" s="319" t="s">
        <v>242</v>
      </c>
      <c r="F1170" s="319"/>
      <c r="G1170" s="318" t="s">
        <v>1946</v>
      </c>
      <c r="H1170" s="319" t="s">
        <v>7344</v>
      </c>
      <c r="I1170" s="319" t="s">
        <v>188</v>
      </c>
      <c r="J1170" s="324" t="s">
        <v>7311</v>
      </c>
      <c r="K1170" s="319" t="s">
        <v>191</v>
      </c>
      <c r="L1170" s="320">
        <v>4</v>
      </c>
      <c r="M1170" s="320">
        <v>4</v>
      </c>
      <c r="N1170" s="322" t="s">
        <v>14</v>
      </c>
      <c r="O1170" s="151">
        <v>5</v>
      </c>
      <c r="P1170" s="151" t="s">
        <v>199</v>
      </c>
    </row>
    <row r="1171" spans="1:16">
      <c r="A1171" s="319" t="s">
        <v>7345</v>
      </c>
      <c r="B1171" s="319" t="s">
        <v>7346</v>
      </c>
      <c r="C1171" s="319"/>
      <c r="D1171" s="319"/>
      <c r="E1171" s="319" t="s">
        <v>242</v>
      </c>
      <c r="F1171" s="319"/>
      <c r="G1171" s="318" t="s">
        <v>1946</v>
      </c>
      <c r="H1171" s="319" t="s">
        <v>7347</v>
      </c>
      <c r="I1171" s="319" t="s">
        <v>188</v>
      </c>
      <c r="J1171" s="324" t="s">
        <v>7311</v>
      </c>
      <c r="K1171" s="319" t="s">
        <v>191</v>
      </c>
      <c r="L1171" s="320">
        <v>4</v>
      </c>
      <c r="M1171" s="320">
        <v>4</v>
      </c>
      <c r="N1171" s="322" t="s">
        <v>14</v>
      </c>
      <c r="O1171" s="151">
        <v>5</v>
      </c>
      <c r="P1171" s="151" t="s">
        <v>199</v>
      </c>
    </row>
    <row r="1172" spans="1:16">
      <c r="A1172" s="319" t="s">
        <v>7348</v>
      </c>
      <c r="B1172" s="319" t="s">
        <v>7349</v>
      </c>
      <c r="C1172" s="319"/>
      <c r="D1172" s="319"/>
      <c r="E1172" s="319" t="s">
        <v>242</v>
      </c>
      <c r="F1172" s="319"/>
      <c r="G1172" s="318" t="s">
        <v>1946</v>
      </c>
      <c r="H1172" s="319" t="s">
        <v>7350</v>
      </c>
      <c r="I1172" s="319" t="s">
        <v>198</v>
      </c>
      <c r="J1172" s="324" t="s">
        <v>7307</v>
      </c>
      <c r="K1172" s="319" t="s">
        <v>191</v>
      </c>
      <c r="L1172" s="320">
        <v>4</v>
      </c>
      <c r="M1172" s="320">
        <v>4</v>
      </c>
      <c r="N1172" s="322" t="s">
        <v>14</v>
      </c>
      <c r="O1172" s="151">
        <v>5</v>
      </c>
      <c r="P1172" s="151" t="s">
        <v>199</v>
      </c>
    </row>
    <row r="1173" spans="1:16">
      <c r="A1173" s="319" t="s">
        <v>7351</v>
      </c>
      <c r="B1173" s="319" t="s">
        <v>7352</v>
      </c>
      <c r="C1173" s="319"/>
      <c r="D1173" s="319"/>
      <c r="E1173" s="319" t="s">
        <v>242</v>
      </c>
      <c r="F1173" s="319"/>
      <c r="G1173" s="318" t="s">
        <v>1946</v>
      </c>
      <c r="H1173" s="319" t="s">
        <v>7353</v>
      </c>
      <c r="I1173" s="319" t="s">
        <v>198</v>
      </c>
      <c r="J1173" s="324" t="s">
        <v>7307</v>
      </c>
      <c r="K1173" s="319" t="s">
        <v>191</v>
      </c>
      <c r="L1173" s="320">
        <v>4</v>
      </c>
      <c r="M1173" s="320">
        <v>4</v>
      </c>
      <c r="N1173" s="322" t="s">
        <v>14</v>
      </c>
      <c r="O1173" s="151">
        <v>5</v>
      </c>
      <c r="P1173" s="151" t="s">
        <v>199</v>
      </c>
    </row>
    <row r="1174" spans="1:16">
      <c r="A1174" s="319" t="s">
        <v>7354</v>
      </c>
      <c r="B1174" s="319" t="s">
        <v>7355</v>
      </c>
      <c r="C1174" s="319"/>
      <c r="D1174" s="319"/>
      <c r="E1174" s="319" t="s">
        <v>242</v>
      </c>
      <c r="F1174" s="319"/>
      <c r="G1174" s="318" t="s">
        <v>1946</v>
      </c>
      <c r="H1174" s="319" t="s">
        <v>7356</v>
      </c>
      <c r="I1174" s="319" t="s">
        <v>198</v>
      </c>
      <c r="J1174" s="324" t="s">
        <v>7307</v>
      </c>
      <c r="K1174" s="319" t="s">
        <v>191</v>
      </c>
      <c r="L1174" s="320">
        <v>4</v>
      </c>
      <c r="M1174" s="320">
        <v>4</v>
      </c>
      <c r="N1174" s="322" t="s">
        <v>14</v>
      </c>
      <c r="O1174" s="151">
        <v>5</v>
      </c>
      <c r="P1174" s="151" t="s">
        <v>199</v>
      </c>
    </row>
    <row r="1175" spans="1:16">
      <c r="A1175" s="319" t="s">
        <v>7357</v>
      </c>
      <c r="B1175" s="319" t="s">
        <v>7358</v>
      </c>
      <c r="C1175" s="319"/>
      <c r="D1175" s="319"/>
      <c r="E1175" s="319" t="s">
        <v>242</v>
      </c>
      <c r="F1175" s="319"/>
      <c r="G1175" s="318" t="s">
        <v>1946</v>
      </c>
      <c r="H1175" s="319" t="s">
        <v>7359</v>
      </c>
      <c r="I1175" s="319" t="s">
        <v>198</v>
      </c>
      <c r="J1175" s="324" t="s">
        <v>7307</v>
      </c>
      <c r="K1175" s="319" t="s">
        <v>191</v>
      </c>
      <c r="L1175" s="320">
        <v>4</v>
      </c>
      <c r="M1175" s="320">
        <v>4</v>
      </c>
      <c r="N1175" s="322" t="s">
        <v>14</v>
      </c>
      <c r="O1175" s="151">
        <v>5</v>
      </c>
      <c r="P1175" s="151" t="s">
        <v>199</v>
      </c>
    </row>
    <row r="1176" spans="1:16">
      <c r="A1176" s="319" t="s">
        <v>7360</v>
      </c>
      <c r="B1176" s="319" t="s">
        <v>7361</v>
      </c>
      <c r="C1176" s="319"/>
      <c r="D1176" s="319"/>
      <c r="E1176" s="319" t="s">
        <v>242</v>
      </c>
      <c r="F1176" s="319"/>
      <c r="G1176" s="318" t="s">
        <v>1946</v>
      </c>
      <c r="H1176" s="319" t="s">
        <v>7362</v>
      </c>
      <c r="I1176" s="319" t="s">
        <v>198</v>
      </c>
      <c r="J1176" s="324" t="s">
        <v>7307</v>
      </c>
      <c r="K1176" s="319" t="s">
        <v>191</v>
      </c>
      <c r="L1176" s="320">
        <v>4</v>
      </c>
      <c r="M1176" s="320">
        <v>4</v>
      </c>
      <c r="N1176" s="322" t="s">
        <v>14</v>
      </c>
      <c r="O1176" s="151">
        <v>5</v>
      </c>
      <c r="P1176" s="151" t="s">
        <v>199</v>
      </c>
    </row>
    <row r="1177" spans="1:16">
      <c r="A1177" s="319" t="s">
        <v>7363</v>
      </c>
      <c r="B1177" s="319" t="s">
        <v>7364</v>
      </c>
      <c r="C1177" s="319"/>
      <c r="D1177" s="319"/>
      <c r="E1177" s="319" t="s">
        <v>242</v>
      </c>
      <c r="F1177" s="319"/>
      <c r="G1177" s="318" t="s">
        <v>1946</v>
      </c>
      <c r="H1177" s="319" t="s">
        <v>7365</v>
      </c>
      <c r="I1177" s="319" t="s">
        <v>198</v>
      </c>
      <c r="J1177" s="324" t="s">
        <v>7307</v>
      </c>
      <c r="K1177" s="319" t="s">
        <v>191</v>
      </c>
      <c r="L1177" s="320">
        <v>4</v>
      </c>
      <c r="M1177" s="320">
        <v>4</v>
      </c>
      <c r="N1177" s="322" t="s">
        <v>14</v>
      </c>
      <c r="O1177" s="151">
        <v>5</v>
      </c>
      <c r="P1177" s="151" t="s">
        <v>199</v>
      </c>
    </row>
    <row r="1178" spans="1:16">
      <c r="A1178" s="319" t="s">
        <v>7366</v>
      </c>
      <c r="B1178" s="319" t="s">
        <v>7367</v>
      </c>
      <c r="C1178" s="319"/>
      <c r="D1178" s="319"/>
      <c r="E1178" s="319" t="s">
        <v>242</v>
      </c>
      <c r="F1178" s="319"/>
      <c r="G1178" s="318" t="s">
        <v>1946</v>
      </c>
      <c r="H1178" s="319" t="s">
        <v>7368</v>
      </c>
      <c r="I1178" s="319" t="s">
        <v>198</v>
      </c>
      <c r="J1178" s="324" t="s">
        <v>7307</v>
      </c>
      <c r="K1178" s="319" t="s">
        <v>191</v>
      </c>
      <c r="L1178" s="320">
        <v>4</v>
      </c>
      <c r="M1178" s="320">
        <v>4</v>
      </c>
      <c r="N1178" s="322" t="s">
        <v>14</v>
      </c>
      <c r="O1178" s="151">
        <v>5</v>
      </c>
      <c r="P1178" s="151" t="s">
        <v>199</v>
      </c>
    </row>
    <row r="1179" spans="1:16">
      <c r="A1179" s="319" t="s">
        <v>7369</v>
      </c>
      <c r="B1179" s="319" t="s">
        <v>7370</v>
      </c>
      <c r="C1179" s="319"/>
      <c r="D1179" s="319"/>
      <c r="E1179" s="319" t="s">
        <v>242</v>
      </c>
      <c r="F1179" s="319"/>
      <c r="G1179" s="318" t="s">
        <v>1946</v>
      </c>
      <c r="H1179" s="319" t="s">
        <v>7371</v>
      </c>
      <c r="I1179" s="319" t="s">
        <v>198</v>
      </c>
      <c r="J1179" s="324" t="s">
        <v>7307</v>
      </c>
      <c r="K1179" s="319" t="s">
        <v>191</v>
      </c>
      <c r="L1179" s="320">
        <v>4</v>
      </c>
      <c r="M1179" s="320">
        <v>4</v>
      </c>
      <c r="N1179" s="322" t="s">
        <v>14</v>
      </c>
      <c r="O1179" s="151">
        <v>5</v>
      </c>
      <c r="P1179" s="151" t="s">
        <v>199</v>
      </c>
    </row>
    <row r="1180" spans="1:16">
      <c r="A1180" s="319" t="s">
        <v>7372</v>
      </c>
      <c r="B1180" s="319" t="s">
        <v>7373</v>
      </c>
      <c r="C1180" s="319"/>
      <c r="D1180" s="319"/>
      <c r="E1180" s="319" t="s">
        <v>242</v>
      </c>
      <c r="F1180" s="319"/>
      <c r="G1180" s="318" t="s">
        <v>1946</v>
      </c>
      <c r="H1180" s="319" t="s">
        <v>7374</v>
      </c>
      <c r="I1180" s="319" t="s">
        <v>188</v>
      </c>
      <c r="J1180" s="324" t="s">
        <v>7311</v>
      </c>
      <c r="K1180" s="319" t="s">
        <v>191</v>
      </c>
      <c r="L1180" s="320">
        <v>4</v>
      </c>
      <c r="M1180" s="320">
        <v>4</v>
      </c>
      <c r="N1180" s="322" t="s">
        <v>14</v>
      </c>
      <c r="O1180" s="151">
        <v>5</v>
      </c>
      <c r="P1180" s="151" t="s">
        <v>199</v>
      </c>
    </row>
    <row r="1181" spans="1:16">
      <c r="A1181" s="319" t="s">
        <v>7375</v>
      </c>
      <c r="B1181" s="319" t="s">
        <v>7376</v>
      </c>
      <c r="C1181" s="319"/>
      <c r="D1181" s="319"/>
      <c r="E1181" s="319" t="s">
        <v>242</v>
      </c>
      <c r="F1181" s="319"/>
      <c r="G1181" s="318" t="s">
        <v>1946</v>
      </c>
      <c r="H1181" s="319" t="s">
        <v>7377</v>
      </c>
      <c r="I1181" s="319" t="s">
        <v>188</v>
      </c>
      <c r="J1181" s="324" t="s">
        <v>7311</v>
      </c>
      <c r="K1181" s="319" t="s">
        <v>191</v>
      </c>
      <c r="L1181" s="320">
        <v>4</v>
      </c>
      <c r="M1181" s="320">
        <v>4</v>
      </c>
      <c r="N1181" s="322" t="s">
        <v>14</v>
      </c>
      <c r="O1181" s="151">
        <v>5</v>
      </c>
      <c r="P1181" s="151" t="s">
        <v>199</v>
      </c>
    </row>
    <row r="1182" spans="1:16">
      <c r="A1182" s="319" t="s">
        <v>7378</v>
      </c>
      <c r="B1182" s="319" t="s">
        <v>7379</v>
      </c>
      <c r="C1182" s="319"/>
      <c r="D1182" s="319"/>
      <c r="E1182" s="319" t="s">
        <v>242</v>
      </c>
      <c r="F1182" s="319"/>
      <c r="G1182" s="318" t="s">
        <v>1946</v>
      </c>
      <c r="H1182" s="319" t="s">
        <v>7380</v>
      </c>
      <c r="I1182" s="319" t="s">
        <v>188</v>
      </c>
      <c r="J1182" s="324" t="s">
        <v>7311</v>
      </c>
      <c r="K1182" s="319" t="s">
        <v>191</v>
      </c>
      <c r="L1182" s="320">
        <v>4</v>
      </c>
      <c r="M1182" s="320">
        <v>4</v>
      </c>
      <c r="N1182" s="322" t="s">
        <v>14</v>
      </c>
      <c r="O1182" s="151">
        <v>5</v>
      </c>
      <c r="P1182" s="151" t="s">
        <v>199</v>
      </c>
    </row>
    <row r="1183" spans="1:16">
      <c r="A1183" s="319" t="s">
        <v>7381</v>
      </c>
      <c r="B1183" s="319" t="s">
        <v>7382</v>
      </c>
      <c r="C1183" s="319"/>
      <c r="D1183" s="319"/>
      <c r="E1183" s="319" t="s">
        <v>242</v>
      </c>
      <c r="F1183" s="319"/>
      <c r="G1183" s="318" t="s">
        <v>1946</v>
      </c>
      <c r="H1183" s="319" t="s">
        <v>7383</v>
      </c>
      <c r="I1183" s="319" t="s">
        <v>198</v>
      </c>
      <c r="J1183" s="324" t="s">
        <v>7307</v>
      </c>
      <c r="K1183" s="319" t="s">
        <v>191</v>
      </c>
      <c r="L1183" s="320">
        <v>4</v>
      </c>
      <c r="M1183" s="320">
        <v>4</v>
      </c>
      <c r="N1183" s="322" t="s">
        <v>14</v>
      </c>
      <c r="O1183" s="151">
        <v>5</v>
      </c>
      <c r="P1183" s="151" t="s">
        <v>199</v>
      </c>
    </row>
    <row r="1184" spans="1:16">
      <c r="A1184" s="319" t="s">
        <v>7384</v>
      </c>
      <c r="B1184" s="319" t="s">
        <v>7385</v>
      </c>
      <c r="C1184" s="319"/>
      <c r="D1184" s="319"/>
      <c r="E1184" s="319" t="s">
        <v>242</v>
      </c>
      <c r="F1184" s="319"/>
      <c r="G1184" s="318" t="s">
        <v>1946</v>
      </c>
      <c r="H1184" s="319" t="s">
        <v>7386</v>
      </c>
      <c r="I1184" s="319" t="s">
        <v>198</v>
      </c>
      <c r="J1184" s="324" t="s">
        <v>7387</v>
      </c>
      <c r="K1184" s="319" t="s">
        <v>191</v>
      </c>
      <c r="L1184" s="320">
        <v>4</v>
      </c>
      <c r="M1184" s="320">
        <v>4</v>
      </c>
      <c r="N1184" s="322" t="s">
        <v>14</v>
      </c>
      <c r="O1184" s="151">
        <v>5</v>
      </c>
      <c r="P1184" s="151" t="s">
        <v>199</v>
      </c>
    </row>
    <row r="1185" spans="1:16">
      <c r="A1185" s="319" t="s">
        <v>7388</v>
      </c>
      <c r="B1185" s="319" t="s">
        <v>7389</v>
      </c>
      <c r="C1185" s="319"/>
      <c r="D1185" s="319"/>
      <c r="E1185" s="319" t="s">
        <v>242</v>
      </c>
      <c r="F1185" s="319"/>
      <c r="G1185" s="318" t="s">
        <v>1946</v>
      </c>
      <c r="H1185" s="319" t="s">
        <v>7390</v>
      </c>
      <c r="I1185" s="319" t="s">
        <v>198</v>
      </c>
      <c r="J1185" s="324" t="s">
        <v>7387</v>
      </c>
      <c r="K1185" s="319" t="s">
        <v>191</v>
      </c>
      <c r="L1185" s="320">
        <v>4</v>
      </c>
      <c r="M1185" s="320">
        <v>4</v>
      </c>
      <c r="N1185" s="322" t="s">
        <v>14</v>
      </c>
      <c r="O1185" s="151">
        <v>5</v>
      </c>
      <c r="P1185" s="151" t="s">
        <v>199</v>
      </c>
    </row>
    <row r="1186" spans="1:16">
      <c r="A1186" s="319" t="s">
        <v>7391</v>
      </c>
      <c r="B1186" s="319" t="s">
        <v>7392</v>
      </c>
      <c r="C1186" s="319"/>
      <c r="D1186" s="319"/>
      <c r="E1186" s="319" t="s">
        <v>242</v>
      </c>
      <c r="F1186" s="319"/>
      <c r="G1186" s="318" t="s">
        <v>1946</v>
      </c>
      <c r="H1186" s="319" t="s">
        <v>7393</v>
      </c>
      <c r="I1186" s="319" t="s">
        <v>198</v>
      </c>
      <c r="J1186" s="324" t="s">
        <v>7307</v>
      </c>
      <c r="K1186" s="319" t="s">
        <v>191</v>
      </c>
      <c r="L1186" s="320">
        <v>4</v>
      </c>
      <c r="M1186" s="320">
        <v>4</v>
      </c>
      <c r="N1186" s="322" t="s">
        <v>14</v>
      </c>
      <c r="O1186" s="151">
        <v>5</v>
      </c>
      <c r="P1186" s="151" t="s">
        <v>199</v>
      </c>
    </row>
    <row r="1187" spans="1:16">
      <c r="A1187" s="319" t="s">
        <v>7394</v>
      </c>
      <c r="B1187" s="319" t="s">
        <v>7395</v>
      </c>
      <c r="C1187" s="319"/>
      <c r="D1187" s="319"/>
      <c r="E1187" s="319" t="s">
        <v>242</v>
      </c>
      <c r="F1187" s="319"/>
      <c r="G1187" s="318" t="s">
        <v>1946</v>
      </c>
      <c r="H1187" s="319" t="s">
        <v>7396</v>
      </c>
      <c r="I1187" s="319" t="s">
        <v>198</v>
      </c>
      <c r="J1187" s="324" t="s">
        <v>7307</v>
      </c>
      <c r="K1187" s="319" t="s">
        <v>191</v>
      </c>
      <c r="L1187" s="320">
        <v>4</v>
      </c>
      <c r="M1187" s="320">
        <v>4</v>
      </c>
      <c r="N1187" s="322" t="s">
        <v>14</v>
      </c>
      <c r="O1187" s="151">
        <v>5</v>
      </c>
      <c r="P1187" s="151" t="s">
        <v>199</v>
      </c>
    </row>
    <row r="1188" spans="1:16">
      <c r="A1188" s="319" t="s">
        <v>7397</v>
      </c>
      <c r="B1188" s="319" t="s">
        <v>7398</v>
      </c>
      <c r="C1188" s="319"/>
      <c r="D1188" s="319"/>
      <c r="E1188" s="319" t="s">
        <v>242</v>
      </c>
      <c r="F1188" s="319"/>
      <c r="G1188" s="318" t="s">
        <v>1946</v>
      </c>
      <c r="H1188" s="319" t="s">
        <v>7399</v>
      </c>
      <c r="I1188" s="319" t="s">
        <v>198</v>
      </c>
      <c r="J1188" s="324" t="s">
        <v>7307</v>
      </c>
      <c r="K1188" s="319" t="s">
        <v>191</v>
      </c>
      <c r="L1188" s="320">
        <v>4</v>
      </c>
      <c r="M1188" s="320">
        <v>4</v>
      </c>
      <c r="N1188" s="322" t="s">
        <v>14</v>
      </c>
      <c r="O1188" s="151">
        <v>5</v>
      </c>
      <c r="P1188" s="151" t="s">
        <v>199</v>
      </c>
    </row>
    <row r="1189" spans="1:16">
      <c r="A1189" s="319" t="s">
        <v>7400</v>
      </c>
      <c r="B1189" s="319" t="s">
        <v>7401</v>
      </c>
      <c r="C1189" s="319"/>
      <c r="D1189" s="319"/>
      <c r="E1189" s="319" t="s">
        <v>242</v>
      </c>
      <c r="F1189" s="319"/>
      <c r="G1189" s="318" t="s">
        <v>1946</v>
      </c>
      <c r="H1189" s="319" t="s">
        <v>7402</v>
      </c>
      <c r="I1189" s="319" t="s">
        <v>198</v>
      </c>
      <c r="J1189" s="324" t="s">
        <v>7307</v>
      </c>
      <c r="K1189" s="319" t="s">
        <v>191</v>
      </c>
      <c r="L1189" s="320">
        <v>4</v>
      </c>
      <c r="M1189" s="320">
        <v>4</v>
      </c>
      <c r="N1189" s="322" t="s">
        <v>14</v>
      </c>
      <c r="O1189" s="151">
        <v>5</v>
      </c>
      <c r="P1189" s="151" t="s">
        <v>199</v>
      </c>
    </row>
    <row r="1190" spans="1:16">
      <c r="A1190" s="319" t="s">
        <v>7403</v>
      </c>
      <c r="B1190" s="319" t="s">
        <v>7404</v>
      </c>
      <c r="C1190" s="319"/>
      <c r="D1190" s="319"/>
      <c r="E1190" s="319" t="s">
        <v>242</v>
      </c>
      <c r="F1190" s="319"/>
      <c r="G1190" s="318" t="s">
        <v>6467</v>
      </c>
      <c r="H1190" s="319" t="s">
        <v>7405</v>
      </c>
      <c r="I1190" s="319" t="s">
        <v>198</v>
      </c>
      <c r="J1190" s="324" t="s">
        <v>7406</v>
      </c>
      <c r="K1190" s="319" t="s">
        <v>191</v>
      </c>
      <c r="L1190" s="320">
        <v>4</v>
      </c>
      <c r="M1190" s="320">
        <v>4</v>
      </c>
      <c r="N1190" s="322" t="s">
        <v>14</v>
      </c>
      <c r="O1190" s="151">
        <v>5</v>
      </c>
      <c r="P1190" s="151" t="s">
        <v>199</v>
      </c>
    </row>
    <row r="1191" spans="1:16" ht="22.5">
      <c r="A1191" s="319" t="s">
        <v>7407</v>
      </c>
      <c r="B1191" s="319" t="s">
        <v>7408</v>
      </c>
      <c r="C1191" s="319"/>
      <c r="D1191" s="319"/>
      <c r="E1191" s="319" t="s">
        <v>242</v>
      </c>
      <c r="F1191" s="319"/>
      <c r="G1191" s="318" t="s">
        <v>6467</v>
      </c>
      <c r="H1191" s="319" t="s">
        <v>7409</v>
      </c>
      <c r="I1191" s="319" t="s">
        <v>198</v>
      </c>
      <c r="J1191" s="324" t="s">
        <v>1453</v>
      </c>
      <c r="K1191" s="319" t="s">
        <v>191</v>
      </c>
      <c r="L1191" s="320">
        <v>4</v>
      </c>
      <c r="M1191" s="320">
        <v>4</v>
      </c>
      <c r="N1191" s="322" t="s">
        <v>14</v>
      </c>
      <c r="O1191" s="151">
        <v>5</v>
      </c>
      <c r="P1191" s="151" t="s">
        <v>199</v>
      </c>
    </row>
    <row r="1192" spans="1:16" ht="22.5">
      <c r="A1192" s="319" t="s">
        <v>7410</v>
      </c>
      <c r="B1192" s="319" t="s">
        <v>7411</v>
      </c>
      <c r="C1192" s="319"/>
      <c r="D1192" s="319"/>
      <c r="E1192" s="319" t="s">
        <v>242</v>
      </c>
      <c r="F1192" s="319"/>
      <c r="G1192" s="318" t="s">
        <v>6467</v>
      </c>
      <c r="H1192" s="319" t="s">
        <v>7412</v>
      </c>
      <c r="I1192" s="319" t="s">
        <v>198</v>
      </c>
      <c r="J1192" s="324" t="s">
        <v>7413</v>
      </c>
      <c r="K1192" s="319" t="s">
        <v>191</v>
      </c>
      <c r="L1192" s="320">
        <v>4</v>
      </c>
      <c r="M1192" s="320">
        <v>4</v>
      </c>
      <c r="N1192" s="322" t="s">
        <v>14</v>
      </c>
      <c r="O1192" s="151">
        <v>5</v>
      </c>
      <c r="P1192" s="151" t="s">
        <v>199</v>
      </c>
    </row>
    <row r="1193" spans="1:16" ht="22.5">
      <c r="A1193" s="319" t="s">
        <v>7414</v>
      </c>
      <c r="B1193" s="319" t="s">
        <v>7415</v>
      </c>
      <c r="C1193" s="319"/>
      <c r="D1193" s="319"/>
      <c r="E1193" s="319" t="s">
        <v>242</v>
      </c>
      <c r="F1193" s="319"/>
      <c r="G1193" s="318" t="s">
        <v>6467</v>
      </c>
      <c r="H1193" s="319" t="s">
        <v>7416</v>
      </c>
      <c r="I1193" s="319" t="s">
        <v>198</v>
      </c>
      <c r="J1193" s="324" t="s">
        <v>7413</v>
      </c>
      <c r="K1193" s="319" t="s">
        <v>191</v>
      </c>
      <c r="L1193" s="320">
        <v>4</v>
      </c>
      <c r="M1193" s="320">
        <v>4</v>
      </c>
      <c r="N1193" s="322" t="s">
        <v>14</v>
      </c>
      <c r="O1193" s="151">
        <v>5</v>
      </c>
      <c r="P1193" s="151" t="s">
        <v>199</v>
      </c>
    </row>
    <row r="1194" spans="1:16" ht="22.5">
      <c r="A1194" s="319" t="s">
        <v>7417</v>
      </c>
      <c r="B1194" s="319" t="s">
        <v>7418</v>
      </c>
      <c r="C1194" s="319"/>
      <c r="D1194" s="319"/>
      <c r="E1194" s="319" t="s">
        <v>242</v>
      </c>
      <c r="F1194" s="319"/>
      <c r="G1194" s="318" t="s">
        <v>6467</v>
      </c>
      <c r="H1194" s="319" t="s">
        <v>7419</v>
      </c>
      <c r="I1194" s="319" t="s">
        <v>198</v>
      </c>
      <c r="J1194" s="324" t="s">
        <v>7406</v>
      </c>
      <c r="K1194" s="319" t="s">
        <v>191</v>
      </c>
      <c r="L1194" s="320">
        <v>4</v>
      </c>
      <c r="M1194" s="320">
        <v>4</v>
      </c>
      <c r="N1194" s="322" t="s">
        <v>14</v>
      </c>
      <c r="O1194" s="151">
        <v>5</v>
      </c>
      <c r="P1194" s="151" t="s">
        <v>199</v>
      </c>
    </row>
    <row r="1195" spans="1:16" ht="22.5">
      <c r="A1195" s="319" t="s">
        <v>7420</v>
      </c>
      <c r="B1195" s="319" t="s">
        <v>7421</v>
      </c>
      <c r="C1195" s="319"/>
      <c r="D1195" s="319"/>
      <c r="E1195" s="319" t="s">
        <v>242</v>
      </c>
      <c r="F1195" s="319"/>
      <c r="G1195" s="318" t="s">
        <v>1946</v>
      </c>
      <c r="H1195" s="319" t="s">
        <v>7422</v>
      </c>
      <c r="I1195" s="319" t="s">
        <v>198</v>
      </c>
      <c r="J1195" s="324" t="s">
        <v>7307</v>
      </c>
      <c r="K1195" s="319" t="s">
        <v>191</v>
      </c>
      <c r="L1195" s="320">
        <v>4</v>
      </c>
      <c r="M1195" s="320">
        <v>4</v>
      </c>
      <c r="N1195" s="322" t="s">
        <v>14</v>
      </c>
      <c r="O1195" s="151">
        <v>5</v>
      </c>
      <c r="P1195" s="151" t="s">
        <v>199</v>
      </c>
    </row>
    <row r="1196" spans="1:16">
      <c r="A1196" s="319" t="s">
        <v>7423</v>
      </c>
      <c r="B1196" s="319" t="s">
        <v>7424</v>
      </c>
      <c r="C1196" s="319"/>
      <c r="D1196" s="319"/>
      <c r="E1196" s="319" t="s">
        <v>242</v>
      </c>
      <c r="F1196" s="319"/>
      <c r="G1196" s="318" t="s">
        <v>1946</v>
      </c>
      <c r="H1196" s="319" t="s">
        <v>7425</v>
      </c>
      <c r="I1196" s="319" t="s">
        <v>198</v>
      </c>
      <c r="J1196" s="324" t="s">
        <v>7307</v>
      </c>
      <c r="K1196" s="319" t="s">
        <v>191</v>
      </c>
      <c r="L1196" s="320">
        <v>4</v>
      </c>
      <c r="M1196" s="320">
        <v>4</v>
      </c>
      <c r="N1196" s="322" t="s">
        <v>14</v>
      </c>
      <c r="O1196" s="151">
        <v>5</v>
      </c>
      <c r="P1196" s="151" t="s">
        <v>199</v>
      </c>
    </row>
    <row r="1197" spans="1:16" ht="22.5">
      <c r="A1197" s="319" t="s">
        <v>7426</v>
      </c>
      <c r="B1197" s="319" t="s">
        <v>7427</v>
      </c>
      <c r="C1197" s="319"/>
      <c r="D1197" s="319"/>
      <c r="E1197" s="319" t="s">
        <v>242</v>
      </c>
      <c r="F1197" s="319"/>
      <c r="G1197" s="318" t="s">
        <v>1946</v>
      </c>
      <c r="H1197" s="319" t="s">
        <v>7428</v>
      </c>
      <c r="I1197" s="319" t="s">
        <v>198</v>
      </c>
      <c r="J1197" s="324" t="s">
        <v>7307</v>
      </c>
      <c r="K1197" s="319" t="s">
        <v>191</v>
      </c>
      <c r="L1197" s="320">
        <v>4</v>
      </c>
      <c r="M1197" s="320">
        <v>4</v>
      </c>
      <c r="N1197" s="322" t="s">
        <v>14</v>
      </c>
      <c r="O1197" s="151">
        <v>5</v>
      </c>
      <c r="P1197" s="151" t="s">
        <v>199</v>
      </c>
    </row>
    <row r="1198" spans="1:16">
      <c r="A1198" s="319" t="s">
        <v>7429</v>
      </c>
      <c r="B1198" s="319" t="s">
        <v>7430</v>
      </c>
      <c r="C1198" s="319"/>
      <c r="D1198" s="319"/>
      <c r="E1198" s="319" t="s">
        <v>242</v>
      </c>
      <c r="F1198" s="319"/>
      <c r="G1198" s="318" t="s">
        <v>1946</v>
      </c>
      <c r="H1198" s="319" t="s">
        <v>7431</v>
      </c>
      <c r="I1198" s="319" t="s">
        <v>198</v>
      </c>
      <c r="J1198" s="324" t="s">
        <v>7307</v>
      </c>
      <c r="K1198" s="319" t="s">
        <v>191</v>
      </c>
      <c r="L1198" s="320">
        <v>4</v>
      </c>
      <c r="M1198" s="320">
        <v>4</v>
      </c>
      <c r="N1198" s="322" t="s">
        <v>14</v>
      </c>
      <c r="O1198" s="151">
        <v>5</v>
      </c>
      <c r="P1198" s="151" t="s">
        <v>199</v>
      </c>
    </row>
    <row r="1199" spans="1:16" ht="22.5">
      <c r="A1199" s="319" t="s">
        <v>7432</v>
      </c>
      <c r="B1199" s="319" t="s">
        <v>7433</v>
      </c>
      <c r="C1199" s="319"/>
      <c r="D1199" s="319"/>
      <c r="E1199" s="319" t="s">
        <v>242</v>
      </c>
      <c r="F1199" s="319"/>
      <c r="G1199" s="318" t="s">
        <v>1946</v>
      </c>
      <c r="H1199" s="319" t="s">
        <v>7434</v>
      </c>
      <c r="I1199" s="319" t="s">
        <v>198</v>
      </c>
      <c r="J1199" s="324" t="s">
        <v>7307</v>
      </c>
      <c r="K1199" s="319" t="s">
        <v>191</v>
      </c>
      <c r="L1199" s="320">
        <v>4</v>
      </c>
      <c r="M1199" s="320">
        <v>4</v>
      </c>
      <c r="N1199" s="322" t="s">
        <v>14</v>
      </c>
      <c r="O1199" s="151">
        <v>5</v>
      </c>
      <c r="P1199" s="151" t="s">
        <v>199</v>
      </c>
    </row>
    <row r="1200" spans="1:16">
      <c r="A1200" s="319" t="s">
        <v>7435</v>
      </c>
      <c r="B1200" s="319" t="s">
        <v>7436</v>
      </c>
      <c r="C1200" s="319"/>
      <c r="D1200" s="319"/>
      <c r="E1200" s="319" t="s">
        <v>242</v>
      </c>
      <c r="F1200" s="319"/>
      <c r="G1200" s="318" t="s">
        <v>1946</v>
      </c>
      <c r="H1200" s="319" t="s">
        <v>7437</v>
      </c>
      <c r="I1200" s="319" t="s">
        <v>198</v>
      </c>
      <c r="J1200" s="324" t="s">
        <v>7307</v>
      </c>
      <c r="K1200" s="319" t="s">
        <v>191</v>
      </c>
      <c r="L1200" s="320">
        <v>4</v>
      </c>
      <c r="M1200" s="320">
        <v>4</v>
      </c>
      <c r="N1200" s="322" t="s">
        <v>14</v>
      </c>
      <c r="O1200" s="151">
        <v>5</v>
      </c>
      <c r="P1200" s="151" t="s">
        <v>199</v>
      </c>
    </row>
    <row r="1201" spans="1:16" ht="22.5">
      <c r="A1201" s="319" t="s">
        <v>7438</v>
      </c>
      <c r="B1201" s="319" t="s">
        <v>7439</v>
      </c>
      <c r="C1201" s="319"/>
      <c r="D1201" s="319"/>
      <c r="E1201" s="319" t="s">
        <v>242</v>
      </c>
      <c r="F1201" s="319"/>
      <c r="G1201" s="318" t="s">
        <v>1946</v>
      </c>
      <c r="H1201" s="319" t="s">
        <v>7440</v>
      </c>
      <c r="I1201" s="319" t="s">
        <v>198</v>
      </c>
      <c r="J1201" s="324" t="s">
        <v>7307</v>
      </c>
      <c r="K1201" s="319" t="s">
        <v>191</v>
      </c>
      <c r="L1201" s="320">
        <v>4</v>
      </c>
      <c r="M1201" s="320">
        <v>4</v>
      </c>
      <c r="N1201" s="322" t="s">
        <v>14</v>
      </c>
      <c r="O1201" s="151">
        <v>5</v>
      </c>
      <c r="P1201" s="151" t="s">
        <v>199</v>
      </c>
    </row>
    <row r="1202" spans="1:16">
      <c r="A1202" s="319" t="s">
        <v>7441</v>
      </c>
      <c r="B1202" s="319" t="s">
        <v>7442</v>
      </c>
      <c r="C1202" s="319"/>
      <c r="D1202" s="319"/>
      <c r="E1202" s="319" t="s">
        <v>242</v>
      </c>
      <c r="F1202" s="319"/>
      <c r="G1202" s="318" t="s">
        <v>1946</v>
      </c>
      <c r="H1202" s="319" t="s">
        <v>7443</v>
      </c>
      <c r="I1202" s="319" t="s">
        <v>198</v>
      </c>
      <c r="J1202" s="324" t="s">
        <v>7307</v>
      </c>
      <c r="K1202" s="319" t="s">
        <v>191</v>
      </c>
      <c r="L1202" s="320">
        <v>4</v>
      </c>
      <c r="M1202" s="320">
        <v>4</v>
      </c>
      <c r="N1202" s="322" t="s">
        <v>14</v>
      </c>
      <c r="O1202" s="151">
        <v>5</v>
      </c>
      <c r="P1202" s="151" t="s">
        <v>199</v>
      </c>
    </row>
    <row r="1203" spans="1:16">
      <c r="A1203" s="319" t="s">
        <v>7444</v>
      </c>
      <c r="B1203" s="319" t="s">
        <v>7445</v>
      </c>
      <c r="C1203" s="319"/>
      <c r="D1203" s="319"/>
      <c r="E1203" s="319" t="s">
        <v>242</v>
      </c>
      <c r="F1203" s="319"/>
      <c r="G1203" s="318" t="s">
        <v>1946</v>
      </c>
      <c r="H1203" s="319" t="s">
        <v>7446</v>
      </c>
      <c r="I1203" s="319" t="s">
        <v>198</v>
      </c>
      <c r="J1203" s="324" t="s">
        <v>7307</v>
      </c>
      <c r="K1203" s="319" t="s">
        <v>191</v>
      </c>
      <c r="L1203" s="320">
        <v>4</v>
      </c>
      <c r="M1203" s="320">
        <v>4</v>
      </c>
      <c r="N1203" s="322" t="s">
        <v>14</v>
      </c>
      <c r="O1203" s="151">
        <v>5</v>
      </c>
      <c r="P1203" s="151" t="s">
        <v>199</v>
      </c>
    </row>
    <row r="1204" spans="1:16">
      <c r="A1204" s="319" t="s">
        <v>7447</v>
      </c>
      <c r="B1204" s="319" t="s">
        <v>7448</v>
      </c>
      <c r="C1204" s="319"/>
      <c r="D1204" s="319"/>
      <c r="E1204" s="319" t="s">
        <v>242</v>
      </c>
      <c r="F1204" s="319"/>
      <c r="G1204" s="318" t="s">
        <v>1946</v>
      </c>
      <c r="H1204" s="319" t="s">
        <v>7449</v>
      </c>
      <c r="I1204" s="319" t="s">
        <v>198</v>
      </c>
      <c r="J1204" s="324" t="s">
        <v>7307</v>
      </c>
      <c r="K1204" s="319" t="s">
        <v>191</v>
      </c>
      <c r="L1204" s="320">
        <v>4</v>
      </c>
      <c r="M1204" s="320">
        <v>4</v>
      </c>
      <c r="N1204" s="322" t="s">
        <v>14</v>
      </c>
      <c r="O1204" s="151">
        <v>5</v>
      </c>
      <c r="P1204" s="151" t="s">
        <v>199</v>
      </c>
    </row>
    <row r="1205" spans="1:16">
      <c r="A1205" s="338" t="s">
        <v>7450</v>
      </c>
      <c r="B1205" s="338" t="s">
        <v>7451</v>
      </c>
      <c r="C1205" s="338"/>
      <c r="D1205" s="338"/>
      <c r="E1205" s="319" t="s">
        <v>242</v>
      </c>
      <c r="F1205" s="338"/>
      <c r="G1205" s="348" t="s">
        <v>6627</v>
      </c>
      <c r="H1205" s="338" t="s">
        <v>7452</v>
      </c>
      <c r="I1205" s="338" t="s">
        <v>204</v>
      </c>
      <c r="J1205" s="343" t="s">
        <v>7453</v>
      </c>
      <c r="K1205" s="319" t="s">
        <v>191</v>
      </c>
      <c r="L1205" s="320">
        <v>4</v>
      </c>
      <c r="M1205" s="320">
        <v>4</v>
      </c>
      <c r="N1205" s="322" t="s">
        <v>14</v>
      </c>
      <c r="O1205" s="151">
        <v>5</v>
      </c>
      <c r="P1205" s="151" t="s">
        <v>199</v>
      </c>
    </row>
    <row r="1206" spans="1:16" s="546" customFormat="1" ht="23.25" customHeight="1">
      <c r="A1206" s="547" t="s">
        <v>7454</v>
      </c>
      <c r="B1206" s="547" t="s">
        <v>7455</v>
      </c>
      <c r="C1206" s="547"/>
      <c r="D1206" s="548"/>
      <c r="E1206" s="516"/>
      <c r="F1206" s="548"/>
      <c r="G1206" s="549" t="s">
        <v>4439</v>
      </c>
      <c r="H1206" s="548" t="s">
        <v>7456</v>
      </c>
      <c r="I1206" s="548"/>
      <c r="J1206" s="550" t="s">
        <v>7453</v>
      </c>
      <c r="K1206" s="515" t="s">
        <v>191</v>
      </c>
      <c r="L1206" s="519">
        <v>4</v>
      </c>
      <c r="M1206" s="519">
        <v>4</v>
      </c>
      <c r="N1206" s="520" t="s">
        <v>14</v>
      </c>
      <c r="O1206" s="521">
        <v>5</v>
      </c>
      <c r="P1206" s="521" t="s">
        <v>199</v>
      </c>
    </row>
    <row r="1207" spans="1:16" ht="22.5">
      <c r="A1207" s="338" t="s">
        <v>7457</v>
      </c>
      <c r="B1207" s="338" t="s">
        <v>7458</v>
      </c>
      <c r="C1207" s="338"/>
      <c r="D1207" s="338"/>
      <c r="E1207" s="319" t="s">
        <v>242</v>
      </c>
      <c r="F1207" s="338"/>
      <c r="G1207" s="348" t="s">
        <v>6464</v>
      </c>
      <c r="H1207" s="338" t="s">
        <v>7459</v>
      </c>
      <c r="I1207" s="319" t="s">
        <v>198</v>
      </c>
      <c r="J1207" s="343" t="s">
        <v>7307</v>
      </c>
      <c r="K1207" s="319" t="s">
        <v>191</v>
      </c>
      <c r="L1207" s="320">
        <v>4</v>
      </c>
      <c r="M1207" s="320">
        <v>4</v>
      </c>
      <c r="N1207" s="322" t="s">
        <v>14</v>
      </c>
      <c r="O1207" s="151">
        <v>5</v>
      </c>
      <c r="P1207" s="151" t="s">
        <v>199</v>
      </c>
    </row>
    <row r="1208" spans="1:16" ht="22.5">
      <c r="A1208" s="338" t="s">
        <v>7460</v>
      </c>
      <c r="B1208" s="338" t="s">
        <v>7461</v>
      </c>
      <c r="C1208" s="338"/>
      <c r="D1208" s="338"/>
      <c r="E1208" s="319" t="s">
        <v>242</v>
      </c>
      <c r="F1208" s="338"/>
      <c r="G1208" s="348" t="s">
        <v>6464</v>
      </c>
      <c r="H1208" s="338" t="s">
        <v>7462</v>
      </c>
      <c r="I1208" s="319" t="s">
        <v>198</v>
      </c>
      <c r="J1208" s="343" t="s">
        <v>7307</v>
      </c>
      <c r="K1208" s="319" t="s">
        <v>191</v>
      </c>
      <c r="L1208" s="320">
        <v>4</v>
      </c>
      <c r="M1208" s="320">
        <v>4</v>
      </c>
      <c r="N1208" s="322" t="s">
        <v>14</v>
      </c>
      <c r="O1208" s="151">
        <v>5</v>
      </c>
      <c r="P1208" s="151" t="s">
        <v>199</v>
      </c>
    </row>
    <row r="1209" spans="1:16" ht="22.5">
      <c r="A1209" s="338" t="s">
        <v>7463</v>
      </c>
      <c r="B1209" s="338" t="s">
        <v>7464</v>
      </c>
      <c r="C1209" s="338"/>
      <c r="D1209" s="338"/>
      <c r="E1209" s="319" t="s">
        <v>242</v>
      </c>
      <c r="F1209" s="338"/>
      <c r="G1209" s="348" t="s">
        <v>6464</v>
      </c>
      <c r="H1209" s="338" t="s">
        <v>7465</v>
      </c>
      <c r="I1209" s="319" t="s">
        <v>198</v>
      </c>
      <c r="J1209" s="343" t="s">
        <v>7307</v>
      </c>
      <c r="K1209" s="319" t="s">
        <v>191</v>
      </c>
      <c r="L1209" s="320">
        <v>4</v>
      </c>
      <c r="M1209" s="320">
        <v>4</v>
      </c>
      <c r="N1209" s="322" t="s">
        <v>14</v>
      </c>
      <c r="O1209" s="151">
        <v>5</v>
      </c>
      <c r="P1209" s="151" t="s">
        <v>199</v>
      </c>
    </row>
    <row r="1210" spans="1:16" ht="22.5">
      <c r="A1210" s="338" t="s">
        <v>7466</v>
      </c>
      <c r="B1210" s="338" t="s">
        <v>7467</v>
      </c>
      <c r="C1210" s="338"/>
      <c r="D1210" s="338"/>
      <c r="E1210" s="319" t="s">
        <v>242</v>
      </c>
      <c r="F1210" s="338"/>
      <c r="G1210" s="348" t="s">
        <v>6464</v>
      </c>
      <c r="H1210" s="338" t="s">
        <v>7468</v>
      </c>
      <c r="I1210" s="319" t="s">
        <v>198</v>
      </c>
      <c r="J1210" s="343" t="s">
        <v>7307</v>
      </c>
      <c r="K1210" s="319" t="s">
        <v>191</v>
      </c>
      <c r="L1210" s="320">
        <v>4</v>
      </c>
      <c r="M1210" s="320">
        <v>4</v>
      </c>
      <c r="N1210" s="322" t="s">
        <v>14</v>
      </c>
      <c r="O1210" s="151">
        <v>5</v>
      </c>
      <c r="P1210" s="151" t="s">
        <v>199</v>
      </c>
    </row>
    <row r="1211" spans="1:16" ht="22.5">
      <c r="A1211" s="338" t="s">
        <v>7469</v>
      </c>
      <c r="B1211" s="338" t="s">
        <v>7470</v>
      </c>
      <c r="C1211" s="338"/>
      <c r="D1211" s="338"/>
      <c r="E1211" s="319" t="s">
        <v>242</v>
      </c>
      <c r="F1211" s="338"/>
      <c r="G1211" s="348" t="s">
        <v>1946</v>
      </c>
      <c r="H1211" s="338" t="s">
        <v>7471</v>
      </c>
      <c r="I1211" s="319" t="s">
        <v>198</v>
      </c>
      <c r="J1211" s="343" t="s">
        <v>7472</v>
      </c>
      <c r="K1211" s="319" t="s">
        <v>191</v>
      </c>
      <c r="L1211" s="320">
        <v>4</v>
      </c>
      <c r="M1211" s="320">
        <v>4</v>
      </c>
      <c r="N1211" s="322" t="s">
        <v>14</v>
      </c>
      <c r="O1211" s="151">
        <v>5</v>
      </c>
      <c r="P1211" s="151" t="s">
        <v>199</v>
      </c>
    </row>
    <row r="1212" spans="1:16" ht="22.5">
      <c r="A1212" s="338" t="s">
        <v>7473</v>
      </c>
      <c r="B1212" s="338" t="s">
        <v>7474</v>
      </c>
      <c r="C1212" s="338"/>
      <c r="D1212" s="338"/>
      <c r="E1212" s="319" t="s">
        <v>242</v>
      </c>
      <c r="F1212" s="338"/>
      <c r="G1212" s="348" t="s">
        <v>1890</v>
      </c>
      <c r="H1212" s="338" t="s">
        <v>7475</v>
      </c>
      <c r="I1212" s="319" t="s">
        <v>198</v>
      </c>
      <c r="J1212" s="343" t="s">
        <v>7307</v>
      </c>
      <c r="K1212" s="319" t="s">
        <v>191</v>
      </c>
      <c r="L1212" s="320">
        <v>4</v>
      </c>
      <c r="M1212" s="320">
        <v>4</v>
      </c>
      <c r="N1212" s="322" t="s">
        <v>14</v>
      </c>
      <c r="O1212" s="151">
        <v>5</v>
      </c>
      <c r="P1212" s="151" t="s">
        <v>199</v>
      </c>
    </row>
    <row r="1213" spans="1:16" ht="22.5">
      <c r="A1213" s="338" t="s">
        <v>7476</v>
      </c>
      <c r="B1213" s="338" t="s">
        <v>7477</v>
      </c>
      <c r="C1213" s="338"/>
      <c r="D1213" s="338"/>
      <c r="E1213" s="319" t="s">
        <v>242</v>
      </c>
      <c r="F1213" s="338"/>
      <c r="G1213" s="348" t="s">
        <v>1890</v>
      </c>
      <c r="H1213" s="338" t="s">
        <v>7478</v>
      </c>
      <c r="I1213" s="319" t="s">
        <v>198</v>
      </c>
      <c r="J1213" s="343" t="s">
        <v>7307</v>
      </c>
      <c r="K1213" s="319" t="s">
        <v>191</v>
      </c>
      <c r="L1213" s="320">
        <v>4</v>
      </c>
      <c r="M1213" s="320">
        <v>4</v>
      </c>
      <c r="N1213" s="322" t="s">
        <v>14</v>
      </c>
      <c r="O1213" s="151">
        <v>5</v>
      </c>
      <c r="P1213" s="151" t="s">
        <v>199</v>
      </c>
    </row>
    <row r="1214" spans="1:16" ht="22.5">
      <c r="A1214" s="319" t="str">
        <f>CONCATENATE("KS4_",B1214)</f>
        <v>KS4_AMDFLAG2</v>
      </c>
      <c r="B1214" s="319" t="s">
        <v>7479</v>
      </c>
      <c r="C1214" s="319"/>
      <c r="D1214" s="319"/>
      <c r="E1214" s="319" t="s">
        <v>242</v>
      </c>
      <c r="F1214" s="319"/>
      <c r="G1214" s="318" t="s">
        <v>597</v>
      </c>
      <c r="H1214" s="319" t="s">
        <v>7480</v>
      </c>
      <c r="I1214" s="319" t="s">
        <v>204</v>
      </c>
      <c r="J1214" s="319"/>
      <c r="K1214" s="319" t="s">
        <v>191</v>
      </c>
      <c r="L1214" s="320">
        <v>4</v>
      </c>
      <c r="M1214" s="320">
        <v>4</v>
      </c>
      <c r="N1214" s="322" t="s">
        <v>14</v>
      </c>
      <c r="O1214" s="151">
        <v>5</v>
      </c>
      <c r="P1214" s="151" t="s">
        <v>199</v>
      </c>
    </row>
    <row r="1215" spans="1:16" ht="22.5">
      <c r="A1215" s="319" t="str">
        <f t="shared" ref="A1215:A1240" si="3">CONCATENATE("KS4_",B1215)</f>
        <v>KS4_AMDFLAG3</v>
      </c>
      <c r="B1215" s="319" t="s">
        <v>7481</v>
      </c>
      <c r="C1215" s="319"/>
      <c r="D1215" s="319"/>
      <c r="E1215" s="319" t="s">
        <v>242</v>
      </c>
      <c r="F1215" s="319"/>
      <c r="G1215" s="318" t="s">
        <v>597</v>
      </c>
      <c r="H1215" s="319" t="s">
        <v>7480</v>
      </c>
      <c r="I1215" s="319" t="s">
        <v>204</v>
      </c>
      <c r="J1215" s="319"/>
      <c r="K1215" s="319" t="s">
        <v>191</v>
      </c>
      <c r="L1215" s="320">
        <v>4</v>
      </c>
      <c r="M1215" s="320">
        <v>4</v>
      </c>
      <c r="N1215" s="322" t="s">
        <v>14</v>
      </c>
      <c r="O1215" s="151">
        <v>5</v>
      </c>
      <c r="P1215" s="151" t="s">
        <v>199</v>
      </c>
    </row>
    <row r="1216" spans="1:16" ht="22.5">
      <c r="A1216" s="319" t="str">
        <f t="shared" si="3"/>
        <v>KS4_ACTYRGRP_Flag_Calculated</v>
      </c>
      <c r="B1216" s="319" t="s">
        <v>7482</v>
      </c>
      <c r="C1216" s="319"/>
      <c r="D1216" s="319"/>
      <c r="E1216" s="319" t="s">
        <v>242</v>
      </c>
      <c r="F1216" s="319"/>
      <c r="G1216" s="318" t="s">
        <v>597</v>
      </c>
      <c r="H1216" s="319" t="s">
        <v>7483</v>
      </c>
      <c r="I1216" s="319" t="s">
        <v>198</v>
      </c>
      <c r="J1216" s="319" t="s">
        <v>7484</v>
      </c>
      <c r="K1216" s="319" t="s">
        <v>191</v>
      </c>
      <c r="L1216" s="320">
        <v>4</v>
      </c>
      <c r="M1216" s="320">
        <v>4</v>
      </c>
      <c r="N1216" s="322" t="s">
        <v>14</v>
      </c>
      <c r="O1216" s="151">
        <v>5</v>
      </c>
      <c r="P1216" s="151" t="s">
        <v>199</v>
      </c>
    </row>
    <row r="1217" spans="1:16" ht="22.5">
      <c r="A1217" s="319" t="str">
        <f t="shared" si="3"/>
        <v>KS4_ACTYRGRP_Flag_CalcCorrection</v>
      </c>
      <c r="B1217" s="319" t="s">
        <v>7485</v>
      </c>
      <c r="C1217" s="319"/>
      <c r="D1217" s="319"/>
      <c r="E1217" s="319" t="s">
        <v>242</v>
      </c>
      <c r="F1217" s="319"/>
      <c r="G1217" s="318" t="s">
        <v>597</v>
      </c>
      <c r="H1217" s="319" t="s">
        <v>7486</v>
      </c>
      <c r="I1217" s="319" t="s">
        <v>198</v>
      </c>
      <c r="J1217" s="319" t="s">
        <v>7487</v>
      </c>
      <c r="K1217" s="319" t="s">
        <v>191</v>
      </c>
      <c r="L1217" s="320">
        <v>4</v>
      </c>
      <c r="M1217" s="320">
        <v>4</v>
      </c>
      <c r="N1217" s="322" t="s">
        <v>14</v>
      </c>
      <c r="O1217" s="151">
        <v>5</v>
      </c>
      <c r="P1217" s="151" t="s">
        <v>199</v>
      </c>
    </row>
    <row r="1218" spans="1:16" ht="22.5">
      <c r="A1218" s="319" t="str">
        <f t="shared" si="3"/>
        <v xml:space="preserve">KS4_ACTYRGRP_AllFlags_Calculated </v>
      </c>
      <c r="B1218" s="319" t="s">
        <v>7488</v>
      </c>
      <c r="C1218" s="319"/>
      <c r="D1218" s="319"/>
      <c r="E1218" s="319" t="s">
        <v>242</v>
      </c>
      <c r="F1218" s="319"/>
      <c r="G1218" s="318" t="s">
        <v>601</v>
      </c>
      <c r="H1218" s="319" t="s">
        <v>7489</v>
      </c>
      <c r="I1218" s="319" t="s">
        <v>198</v>
      </c>
      <c r="J1218" s="319" t="s">
        <v>7484</v>
      </c>
      <c r="K1218" s="319" t="s">
        <v>191</v>
      </c>
      <c r="L1218" s="320">
        <v>4</v>
      </c>
      <c r="M1218" s="320">
        <v>4</v>
      </c>
      <c r="N1218" s="322" t="s">
        <v>14</v>
      </c>
      <c r="O1218" s="151">
        <v>5</v>
      </c>
      <c r="P1218" s="151" t="s">
        <v>199</v>
      </c>
    </row>
    <row r="1219" spans="1:16" ht="22.5">
      <c r="A1219" s="319" t="str">
        <f t="shared" si="3"/>
        <v>KS4_ACTYRGRP_Census</v>
      </c>
      <c r="B1219" s="319" t="s">
        <v>7490</v>
      </c>
      <c r="C1219" s="319"/>
      <c r="D1219" s="319"/>
      <c r="E1219" s="319" t="s">
        <v>242</v>
      </c>
      <c r="F1219" s="319"/>
      <c r="G1219" s="318" t="s">
        <v>597</v>
      </c>
      <c r="H1219" s="319" t="s">
        <v>7491</v>
      </c>
      <c r="I1219" s="319" t="s">
        <v>198</v>
      </c>
      <c r="J1219" s="319" t="s">
        <v>7492</v>
      </c>
      <c r="K1219" s="319" t="s">
        <v>191</v>
      </c>
      <c r="L1219" s="320">
        <v>4</v>
      </c>
      <c r="M1219" s="320">
        <v>4</v>
      </c>
      <c r="N1219" s="322" t="s">
        <v>14</v>
      </c>
      <c r="O1219" s="151">
        <v>5</v>
      </c>
      <c r="P1219" s="151" t="s">
        <v>199</v>
      </c>
    </row>
    <row r="1220" spans="1:16" ht="22.5">
      <c r="A1220" s="319" t="str">
        <f t="shared" si="3"/>
        <v>KS4_ACTYRGRP_DuallyReg</v>
      </c>
      <c r="B1220" s="319" t="s">
        <v>7493</v>
      </c>
      <c r="C1220" s="319"/>
      <c r="D1220" s="319"/>
      <c r="E1220" s="319" t="s">
        <v>242</v>
      </c>
      <c r="F1220" s="319"/>
      <c r="G1220" s="318" t="s">
        <v>597</v>
      </c>
      <c r="H1220" s="319" t="s">
        <v>7494</v>
      </c>
      <c r="I1220" s="319" t="s">
        <v>198</v>
      </c>
      <c r="J1220" s="319" t="s">
        <v>7495</v>
      </c>
      <c r="K1220" s="319" t="s">
        <v>191</v>
      </c>
      <c r="L1220" s="320">
        <v>4</v>
      </c>
      <c r="M1220" s="320">
        <v>4</v>
      </c>
      <c r="N1220" s="322" t="s">
        <v>14</v>
      </c>
      <c r="O1220" s="151">
        <v>5</v>
      </c>
      <c r="P1220" s="151" t="s">
        <v>199</v>
      </c>
    </row>
    <row r="1221" spans="1:16" ht="22.5">
      <c r="A1221" s="319" t="str">
        <f t="shared" si="3"/>
        <v>KS4_ACTYRGRP_PenaltyAddback</v>
      </c>
      <c r="B1221" s="319" t="s">
        <v>7496</v>
      </c>
      <c r="C1221" s="319"/>
      <c r="D1221" s="319"/>
      <c r="E1221" s="319" t="s">
        <v>242</v>
      </c>
      <c r="F1221" s="319"/>
      <c r="G1221" s="318" t="s">
        <v>597</v>
      </c>
      <c r="H1221" s="319" t="s">
        <v>7497</v>
      </c>
      <c r="I1221" s="319" t="s">
        <v>198</v>
      </c>
      <c r="J1221" s="319" t="s">
        <v>7495</v>
      </c>
      <c r="K1221" s="319" t="s">
        <v>191</v>
      </c>
      <c r="L1221" s="320">
        <v>4</v>
      </c>
      <c r="M1221" s="320">
        <v>4</v>
      </c>
      <c r="N1221" s="322" t="s">
        <v>14</v>
      </c>
      <c r="O1221" s="151">
        <v>5</v>
      </c>
      <c r="P1221" s="151" t="s">
        <v>199</v>
      </c>
    </row>
    <row r="1222" spans="1:16" ht="22.5">
      <c r="A1222" s="319" t="str">
        <f t="shared" si="3"/>
        <v>KS4_ACTYRGRP_Calculated</v>
      </c>
      <c r="B1222" s="319" t="s">
        <v>7498</v>
      </c>
      <c r="C1222" s="319"/>
      <c r="D1222" s="319"/>
      <c r="E1222" s="319" t="s">
        <v>242</v>
      </c>
      <c r="F1222" s="319"/>
      <c r="G1222" s="318" t="s">
        <v>597</v>
      </c>
      <c r="H1222" s="319" t="s">
        <v>7499</v>
      </c>
      <c r="I1222" s="319" t="s">
        <v>198</v>
      </c>
      <c r="J1222" s="319" t="s">
        <v>7500</v>
      </c>
      <c r="K1222" s="319" t="s">
        <v>191</v>
      </c>
      <c r="L1222" s="320">
        <v>4</v>
      </c>
      <c r="M1222" s="320">
        <v>4</v>
      </c>
      <c r="N1222" s="322" t="s">
        <v>14</v>
      </c>
      <c r="O1222" s="151">
        <v>5</v>
      </c>
      <c r="P1222" s="151" t="s">
        <v>199</v>
      </c>
    </row>
    <row r="1223" spans="1:16" ht="22.5">
      <c r="A1223" s="319" t="str">
        <f t="shared" si="3"/>
        <v>KS4_ACTYRGRP_WebChanges</v>
      </c>
      <c r="B1223" s="319" t="s">
        <v>7501</v>
      </c>
      <c r="C1223" s="319"/>
      <c r="D1223" s="319"/>
      <c r="E1223" s="319" t="s">
        <v>242</v>
      </c>
      <c r="F1223" s="319"/>
      <c r="G1223" s="318" t="s">
        <v>597</v>
      </c>
      <c r="H1223" s="319" t="s">
        <v>7502</v>
      </c>
      <c r="I1223" s="319" t="s">
        <v>198</v>
      </c>
      <c r="J1223" s="319" t="s">
        <v>7495</v>
      </c>
      <c r="K1223" s="319" t="s">
        <v>191</v>
      </c>
      <c r="L1223" s="320">
        <v>4</v>
      </c>
      <c r="M1223" s="320">
        <v>4</v>
      </c>
      <c r="N1223" s="322" t="s">
        <v>14</v>
      </c>
      <c r="O1223" s="151">
        <v>5</v>
      </c>
      <c r="P1223" s="151" t="s">
        <v>199</v>
      </c>
    </row>
    <row r="1224" spans="1:16" ht="22.5">
      <c r="A1224" s="319" t="str">
        <f t="shared" si="3"/>
        <v>KS4_ACTYRGRP_WebResults</v>
      </c>
      <c r="B1224" s="319" t="s">
        <v>7503</v>
      </c>
      <c r="C1224" s="319"/>
      <c r="D1224" s="319"/>
      <c r="E1224" s="319" t="s">
        <v>242</v>
      </c>
      <c r="F1224" s="319"/>
      <c r="G1224" s="318" t="s">
        <v>601</v>
      </c>
      <c r="H1224" s="319" t="s">
        <v>7504</v>
      </c>
      <c r="I1224" s="319" t="s">
        <v>198</v>
      </c>
      <c r="J1224" s="319" t="s">
        <v>7495</v>
      </c>
      <c r="K1224" s="319" t="s">
        <v>191</v>
      </c>
      <c r="L1224" s="320">
        <v>4</v>
      </c>
      <c r="M1224" s="320">
        <v>4</v>
      </c>
      <c r="N1224" s="322" t="s">
        <v>14</v>
      </c>
      <c r="O1224" s="151">
        <v>5</v>
      </c>
      <c r="P1224" s="151" t="s">
        <v>199</v>
      </c>
    </row>
    <row r="1225" spans="1:16" ht="22.5">
      <c r="A1225" s="319" t="str">
        <f t="shared" si="3"/>
        <v>KS4_ACTYRGRP_Manual_Override</v>
      </c>
      <c r="B1225" s="319" t="s">
        <v>7505</v>
      </c>
      <c r="C1225" s="319"/>
      <c r="D1225" s="319"/>
      <c r="E1225" s="319" t="s">
        <v>242</v>
      </c>
      <c r="F1225" s="319"/>
      <c r="G1225" s="318" t="s">
        <v>597</v>
      </c>
      <c r="H1225" s="319" t="s">
        <v>7506</v>
      </c>
      <c r="I1225" s="319" t="s">
        <v>198</v>
      </c>
      <c r="J1225" s="319" t="s">
        <v>7495</v>
      </c>
      <c r="K1225" s="319" t="s">
        <v>191</v>
      </c>
      <c r="L1225" s="320">
        <v>4</v>
      </c>
      <c r="M1225" s="320">
        <v>4</v>
      </c>
      <c r="N1225" s="322" t="s">
        <v>14</v>
      </c>
      <c r="O1225" s="151">
        <v>5</v>
      </c>
      <c r="P1225" s="151" t="s">
        <v>199</v>
      </c>
    </row>
    <row r="1226" spans="1:16" ht="22.5">
      <c r="A1226" s="319" t="str">
        <f t="shared" si="3"/>
        <v>KS4_ACTYRGRP_KS2YEAR</v>
      </c>
      <c r="B1226" s="319" t="s">
        <v>7507</v>
      </c>
      <c r="C1226" s="319"/>
      <c r="D1226" s="319"/>
      <c r="E1226" s="319" t="s">
        <v>242</v>
      </c>
      <c r="F1226" s="319"/>
      <c r="G1226" s="318" t="s">
        <v>601</v>
      </c>
      <c r="H1226" s="319" t="s">
        <v>7508</v>
      </c>
      <c r="I1226" s="319" t="s">
        <v>198</v>
      </c>
      <c r="J1226" s="319" t="s">
        <v>7509</v>
      </c>
      <c r="K1226" s="319" t="s">
        <v>191</v>
      </c>
      <c r="L1226" s="320">
        <v>4</v>
      </c>
      <c r="M1226" s="320">
        <v>4</v>
      </c>
      <c r="N1226" s="322" t="s">
        <v>14</v>
      </c>
      <c r="O1226" s="151">
        <v>5</v>
      </c>
      <c r="P1226" s="151" t="s">
        <v>199</v>
      </c>
    </row>
    <row r="1227" spans="1:16" ht="22.5">
      <c r="A1227" s="319" t="str">
        <f t="shared" si="3"/>
        <v>KS4_ACTYRGRP_NCYEAR</v>
      </c>
      <c r="B1227" s="319" t="s">
        <v>7510</v>
      </c>
      <c r="C1227" s="319"/>
      <c r="D1227" s="319"/>
      <c r="E1227" s="319" t="s">
        <v>242</v>
      </c>
      <c r="F1227" s="319"/>
      <c r="G1227" s="318" t="s">
        <v>601</v>
      </c>
      <c r="H1227" s="319" t="s">
        <v>7511</v>
      </c>
      <c r="I1227" s="319" t="s">
        <v>198</v>
      </c>
      <c r="J1227" s="319" t="s">
        <v>7495</v>
      </c>
      <c r="K1227" s="319" t="s">
        <v>191</v>
      </c>
      <c r="L1227" s="320">
        <v>4</v>
      </c>
      <c r="M1227" s="320">
        <v>4</v>
      </c>
      <c r="N1227" s="322" t="s">
        <v>14</v>
      </c>
      <c r="O1227" s="151">
        <v>5</v>
      </c>
      <c r="P1227" s="151" t="s">
        <v>199</v>
      </c>
    </row>
    <row r="1228" spans="1:16" ht="22.5">
      <c r="A1228" s="319" t="str">
        <f t="shared" si="3"/>
        <v>KS4_ACTYRGRP_NCYEAR_1</v>
      </c>
      <c r="B1228" s="319" t="s">
        <v>7512</v>
      </c>
      <c r="C1228" s="319"/>
      <c r="D1228" s="319"/>
      <c r="E1228" s="319" t="s">
        <v>242</v>
      </c>
      <c r="F1228" s="319"/>
      <c r="G1228" s="318" t="s">
        <v>601</v>
      </c>
      <c r="H1228" s="319" t="s">
        <v>7513</v>
      </c>
      <c r="I1228" s="319" t="s">
        <v>198</v>
      </c>
      <c r="J1228" s="319" t="s">
        <v>7495</v>
      </c>
      <c r="K1228" s="319" t="s">
        <v>191</v>
      </c>
      <c r="L1228" s="320">
        <v>4</v>
      </c>
      <c r="M1228" s="320">
        <v>4</v>
      </c>
      <c r="N1228" s="322" t="s">
        <v>14</v>
      </c>
      <c r="O1228" s="151">
        <v>5</v>
      </c>
      <c r="P1228" s="151" t="s">
        <v>199</v>
      </c>
    </row>
    <row r="1229" spans="1:16" ht="22.5">
      <c r="A1229" s="319" t="str">
        <f t="shared" si="3"/>
        <v>KS4_ACTYRGRP_NCYEAR_2</v>
      </c>
      <c r="B1229" s="319" t="s">
        <v>7514</v>
      </c>
      <c r="C1229" s="319"/>
      <c r="D1229" s="319"/>
      <c r="E1229" s="319" t="s">
        <v>242</v>
      </c>
      <c r="F1229" s="319"/>
      <c r="G1229" s="318" t="s">
        <v>601</v>
      </c>
      <c r="H1229" s="319" t="s">
        <v>7515</v>
      </c>
      <c r="I1229" s="319" t="s">
        <v>198</v>
      </c>
      <c r="J1229" s="319" t="s">
        <v>7495</v>
      </c>
      <c r="K1229" s="319" t="s">
        <v>191</v>
      </c>
      <c r="L1229" s="320">
        <v>4</v>
      </c>
      <c r="M1229" s="320">
        <v>4</v>
      </c>
      <c r="N1229" s="322" t="s">
        <v>14</v>
      </c>
      <c r="O1229" s="151">
        <v>5</v>
      </c>
      <c r="P1229" s="151" t="s">
        <v>199</v>
      </c>
    </row>
    <row r="1230" spans="1:16" ht="22.5">
      <c r="A1230" s="319" t="str">
        <f t="shared" si="3"/>
        <v>KS4_ACTYRGRP_GSIZE</v>
      </c>
      <c r="B1230" s="319" t="s">
        <v>7516</v>
      </c>
      <c r="C1230" s="319"/>
      <c r="D1230" s="319"/>
      <c r="E1230" s="319" t="s">
        <v>242</v>
      </c>
      <c r="F1230" s="319"/>
      <c r="G1230" s="318" t="s">
        <v>597</v>
      </c>
      <c r="H1230" s="319" t="s">
        <v>7517</v>
      </c>
      <c r="I1230" s="319" t="s">
        <v>204</v>
      </c>
      <c r="J1230" s="319"/>
      <c r="K1230" s="319" t="s">
        <v>191</v>
      </c>
      <c r="L1230" s="320">
        <v>4</v>
      </c>
      <c r="M1230" s="320">
        <v>4</v>
      </c>
      <c r="N1230" s="322" t="s">
        <v>14</v>
      </c>
      <c r="O1230" s="151">
        <v>5</v>
      </c>
      <c r="P1230" s="151" t="s">
        <v>199</v>
      </c>
    </row>
    <row r="1231" spans="1:16" ht="22.5">
      <c r="A1231" s="319" t="str">
        <f t="shared" si="3"/>
        <v>KS4_ACTYRGRP_GSIZE_1</v>
      </c>
      <c r="B1231" s="319" t="s">
        <v>7518</v>
      </c>
      <c r="C1231" s="319"/>
      <c r="D1231" s="319"/>
      <c r="E1231" s="319" t="s">
        <v>242</v>
      </c>
      <c r="F1231" s="319"/>
      <c r="G1231" s="318" t="s">
        <v>597</v>
      </c>
      <c r="H1231" s="319" t="s">
        <v>7519</v>
      </c>
      <c r="I1231" s="319" t="s">
        <v>204</v>
      </c>
      <c r="J1231" s="319"/>
      <c r="K1231" s="319" t="s">
        <v>191</v>
      </c>
      <c r="L1231" s="320">
        <v>4</v>
      </c>
      <c r="M1231" s="320">
        <v>4</v>
      </c>
      <c r="N1231" s="322" t="s">
        <v>14</v>
      </c>
      <c r="O1231" s="151">
        <v>5</v>
      </c>
      <c r="P1231" s="151" t="s">
        <v>199</v>
      </c>
    </row>
    <row r="1232" spans="1:16" ht="22.5">
      <c r="A1232" s="319" t="str">
        <f t="shared" si="3"/>
        <v>KS4_ACTYRGRP_GSIZE_2</v>
      </c>
      <c r="B1232" s="319" t="s">
        <v>7520</v>
      </c>
      <c r="C1232" s="319"/>
      <c r="D1232" s="319"/>
      <c r="E1232" s="319" t="s">
        <v>242</v>
      </c>
      <c r="F1232" s="319"/>
      <c r="G1232" s="318" t="s">
        <v>597</v>
      </c>
      <c r="H1232" s="319" t="s">
        <v>7521</v>
      </c>
      <c r="I1232" s="319" t="s">
        <v>204</v>
      </c>
      <c r="J1232" s="319"/>
      <c r="K1232" s="319" t="s">
        <v>191</v>
      </c>
      <c r="L1232" s="320">
        <v>4</v>
      </c>
      <c r="M1232" s="320">
        <v>4</v>
      </c>
      <c r="N1232" s="322" t="s">
        <v>14</v>
      </c>
      <c r="O1232" s="151">
        <v>5</v>
      </c>
      <c r="P1232" s="151" t="s">
        <v>199</v>
      </c>
    </row>
    <row r="1233" spans="1:16" ht="22.5">
      <c r="A1233" s="319" t="str">
        <f t="shared" si="3"/>
        <v>KS4_ACTYRGRP_ASIZE</v>
      </c>
      <c r="B1233" s="319" t="s">
        <v>7522</v>
      </c>
      <c r="C1233" s="319"/>
      <c r="D1233" s="319"/>
      <c r="E1233" s="319" t="s">
        <v>242</v>
      </c>
      <c r="F1233" s="319"/>
      <c r="G1233" s="318" t="s">
        <v>597</v>
      </c>
      <c r="H1233" s="319" t="s">
        <v>7523</v>
      </c>
      <c r="I1233" s="319" t="s">
        <v>204</v>
      </c>
      <c r="J1233" s="319"/>
      <c r="K1233" s="319" t="s">
        <v>191</v>
      </c>
      <c r="L1233" s="320">
        <v>4</v>
      </c>
      <c r="M1233" s="320">
        <v>4</v>
      </c>
      <c r="N1233" s="322" t="s">
        <v>14</v>
      </c>
      <c r="O1233" s="151">
        <v>5</v>
      </c>
      <c r="P1233" s="151" t="s">
        <v>199</v>
      </c>
    </row>
    <row r="1234" spans="1:16">
      <c r="A1234" s="319" t="str">
        <f t="shared" si="3"/>
        <v>KS4_NOR_GSIZE</v>
      </c>
      <c r="B1234" s="319" t="s">
        <v>7524</v>
      </c>
      <c r="C1234" s="319"/>
      <c r="D1234" s="319"/>
      <c r="E1234" s="319" t="s">
        <v>242</v>
      </c>
      <c r="F1234" s="319"/>
      <c r="G1234" s="318" t="s">
        <v>597</v>
      </c>
      <c r="H1234" s="319" t="s">
        <v>7525</v>
      </c>
      <c r="I1234" s="319" t="s">
        <v>204</v>
      </c>
      <c r="J1234" s="319"/>
      <c r="K1234" s="319" t="s">
        <v>191</v>
      </c>
      <c r="L1234" s="320">
        <v>4</v>
      </c>
      <c r="M1234" s="320">
        <v>4</v>
      </c>
      <c r="N1234" s="322" t="s">
        <v>14</v>
      </c>
      <c r="O1234" s="151">
        <v>5</v>
      </c>
      <c r="P1234" s="151" t="s">
        <v>199</v>
      </c>
    </row>
    <row r="1235" spans="1:16" ht="22.5">
      <c r="A1235" s="319" t="str">
        <f t="shared" si="3"/>
        <v>KS4_PrevY11</v>
      </c>
      <c r="B1235" s="319" t="s">
        <v>7526</v>
      </c>
      <c r="C1235" s="319"/>
      <c r="D1235" s="319"/>
      <c r="E1235" s="319" t="s">
        <v>242</v>
      </c>
      <c r="F1235" s="319"/>
      <c r="G1235" s="318" t="s">
        <v>597</v>
      </c>
      <c r="H1235" s="319" t="s">
        <v>7527</v>
      </c>
      <c r="I1235" s="319" t="s">
        <v>204</v>
      </c>
      <c r="J1235" s="319"/>
      <c r="K1235" s="319" t="s">
        <v>191</v>
      </c>
      <c r="L1235" s="320">
        <v>4</v>
      </c>
      <c r="M1235" s="320">
        <v>4</v>
      </c>
      <c r="N1235" s="322" t="s">
        <v>14</v>
      </c>
      <c r="O1235" s="151">
        <v>5</v>
      </c>
      <c r="P1235" s="151" t="s">
        <v>199</v>
      </c>
    </row>
    <row r="1236" spans="1:16" ht="22.5">
      <c r="A1236" s="319" t="str">
        <f t="shared" si="3"/>
        <v>KS4_PrevY11_LAESTAB_anon</v>
      </c>
      <c r="B1236" s="319" t="s">
        <v>7528</v>
      </c>
      <c r="C1236" s="319"/>
      <c r="D1236" s="319"/>
      <c r="E1236" s="319" t="s">
        <v>242</v>
      </c>
      <c r="F1236" s="319"/>
      <c r="G1236" s="318" t="s">
        <v>597</v>
      </c>
      <c r="H1236" s="319" t="s">
        <v>7529</v>
      </c>
      <c r="I1236" s="319" t="s">
        <v>204</v>
      </c>
      <c r="J1236" s="319"/>
      <c r="K1236" s="319" t="s">
        <v>191</v>
      </c>
      <c r="L1236" s="320">
        <v>4</v>
      </c>
      <c r="M1236" s="320">
        <v>4</v>
      </c>
      <c r="N1236" s="322" t="s">
        <v>14</v>
      </c>
      <c r="O1236" s="151">
        <v>5</v>
      </c>
      <c r="P1236" s="151" t="s">
        <v>199</v>
      </c>
    </row>
    <row r="1237" spans="1:16" ht="22.5">
      <c r="A1237" s="319" t="str">
        <f t="shared" si="3"/>
        <v>KS4_PrevY11_LAESTAB_NFTYPE</v>
      </c>
      <c r="B1237" s="319" t="s">
        <v>7530</v>
      </c>
      <c r="C1237" s="319"/>
      <c r="D1237" s="319"/>
      <c r="E1237" s="319" t="s">
        <v>242</v>
      </c>
      <c r="F1237" s="319"/>
      <c r="G1237" s="318" t="s">
        <v>597</v>
      </c>
      <c r="H1237" s="319" t="s">
        <v>7531</v>
      </c>
      <c r="I1237" s="319" t="s">
        <v>204</v>
      </c>
      <c r="J1237" s="319"/>
      <c r="K1237" s="319" t="s">
        <v>191</v>
      </c>
      <c r="L1237" s="320">
        <v>4</v>
      </c>
      <c r="M1237" s="320">
        <v>4</v>
      </c>
      <c r="N1237" s="322" t="s">
        <v>14</v>
      </c>
      <c r="O1237" s="151">
        <v>5</v>
      </c>
      <c r="P1237" s="151" t="s">
        <v>199</v>
      </c>
    </row>
    <row r="1238" spans="1:16">
      <c r="A1238" s="319" t="str">
        <f t="shared" si="3"/>
        <v>KS4_PrevY10</v>
      </c>
      <c r="B1238" s="319" t="s">
        <v>7532</v>
      </c>
      <c r="C1238" s="319"/>
      <c r="D1238" s="319"/>
      <c r="E1238" s="319" t="s">
        <v>242</v>
      </c>
      <c r="F1238" s="319"/>
      <c r="G1238" s="318" t="s">
        <v>597</v>
      </c>
      <c r="H1238" s="319" t="s">
        <v>7533</v>
      </c>
      <c r="I1238" s="319" t="s">
        <v>204</v>
      </c>
      <c r="J1238" s="319"/>
      <c r="K1238" s="319" t="s">
        <v>191</v>
      </c>
      <c r="L1238" s="320">
        <v>4</v>
      </c>
      <c r="M1238" s="320">
        <v>4</v>
      </c>
      <c r="N1238" s="322" t="s">
        <v>14</v>
      </c>
      <c r="O1238" s="151">
        <v>5</v>
      </c>
      <c r="P1238" s="151" t="s">
        <v>199</v>
      </c>
    </row>
    <row r="1239" spans="1:16" ht="22.5">
      <c r="A1239" s="319" t="str">
        <f t="shared" si="3"/>
        <v>KS4_PrevY10_LAESTAB_anon</v>
      </c>
      <c r="B1239" s="319" t="s">
        <v>7534</v>
      </c>
      <c r="C1239" s="319"/>
      <c r="D1239" s="319"/>
      <c r="E1239" s="319" t="s">
        <v>242</v>
      </c>
      <c r="F1239" s="319"/>
      <c r="G1239" s="318" t="s">
        <v>597</v>
      </c>
      <c r="H1239" s="319" t="s">
        <v>7535</v>
      </c>
      <c r="I1239" s="319" t="s">
        <v>204</v>
      </c>
      <c r="J1239" s="319"/>
      <c r="K1239" s="319" t="s">
        <v>191</v>
      </c>
      <c r="L1239" s="320">
        <v>4</v>
      </c>
      <c r="M1239" s="320">
        <v>4</v>
      </c>
      <c r="N1239" s="322" t="s">
        <v>14</v>
      </c>
      <c r="O1239" s="151">
        <v>5</v>
      </c>
      <c r="P1239" s="151" t="s">
        <v>199</v>
      </c>
    </row>
    <row r="1240" spans="1:16" ht="22.5">
      <c r="A1240" s="319" t="str">
        <f t="shared" si="3"/>
        <v>KS4_PrevY10_LAESTAB_NFTYPE</v>
      </c>
      <c r="B1240" s="319" t="s">
        <v>7536</v>
      </c>
      <c r="C1240" s="319"/>
      <c r="D1240" s="319"/>
      <c r="E1240" s="319" t="s">
        <v>242</v>
      </c>
      <c r="F1240" s="319"/>
      <c r="G1240" s="318" t="s">
        <v>597</v>
      </c>
      <c r="H1240" s="319" t="s">
        <v>7537</v>
      </c>
      <c r="I1240" s="319" t="s">
        <v>204</v>
      </c>
      <c r="J1240" s="319"/>
      <c r="K1240" s="319" t="s">
        <v>191</v>
      </c>
      <c r="L1240" s="320">
        <v>4</v>
      </c>
      <c r="M1240" s="320">
        <v>4</v>
      </c>
      <c r="N1240" s="322" t="s">
        <v>14</v>
      </c>
      <c r="O1240" s="151">
        <v>5</v>
      </c>
      <c r="P1240" s="151" t="s">
        <v>199</v>
      </c>
    </row>
    <row r="1241" spans="1:16" ht="78.75">
      <c r="A1241" s="180" t="s">
        <v>7538</v>
      </c>
      <c r="B1241" s="180" t="s">
        <v>1330</v>
      </c>
      <c r="C1241" s="180" t="s">
        <v>7539</v>
      </c>
      <c r="D1241" s="180"/>
      <c r="E1241" s="180" t="s">
        <v>493</v>
      </c>
      <c r="F1241" s="180"/>
      <c r="G1241" s="349" t="s">
        <v>4206</v>
      </c>
      <c r="H1241" s="181" t="s">
        <v>1332</v>
      </c>
      <c r="I1241" s="181" t="s">
        <v>204</v>
      </c>
      <c r="J1241" s="350" t="s">
        <v>2129</v>
      </c>
      <c r="K1241" s="319" t="s">
        <v>191</v>
      </c>
      <c r="L1241" s="351">
        <v>4</v>
      </c>
      <c r="M1241" s="351">
        <v>4</v>
      </c>
      <c r="N1241" s="352" t="s">
        <v>12</v>
      </c>
      <c r="O1241" s="151">
        <v>5</v>
      </c>
      <c r="P1241" s="151" t="s">
        <v>199</v>
      </c>
    </row>
    <row r="1242" spans="1:16">
      <c r="A1242" s="173"/>
      <c r="B1242" s="173"/>
      <c r="C1242" s="173"/>
      <c r="D1242" s="173"/>
      <c r="E1242" s="173"/>
      <c r="F1242" s="173"/>
      <c r="G1242" s="353"/>
      <c r="H1242" s="164"/>
      <c r="I1242" s="164"/>
      <c r="J1242" s="327"/>
      <c r="K1242" s="327"/>
      <c r="L1242" s="327"/>
      <c r="M1242" s="327"/>
      <c r="N1242" s="354"/>
      <c r="O1242" s="166"/>
      <c r="P1242" s="196"/>
    </row>
    <row r="1243" spans="1:16">
      <c r="A1243" s="355" t="s">
        <v>4348</v>
      </c>
      <c r="B1243" s="356"/>
      <c r="C1243" s="355"/>
      <c r="D1243" s="355"/>
      <c r="E1243" s="355"/>
      <c r="F1243" s="355"/>
      <c r="G1243" s="355"/>
      <c r="H1243" s="327"/>
      <c r="I1243" s="327"/>
      <c r="J1243" s="327"/>
      <c r="K1243" s="327"/>
      <c r="L1243" s="327"/>
      <c r="M1243" s="327"/>
      <c r="N1243" s="196"/>
      <c r="O1243" s="166"/>
      <c r="P1243" s="196"/>
    </row>
    <row r="1244" spans="1:16">
      <c r="A1244" s="357" t="s">
        <v>4369</v>
      </c>
      <c r="B1244" s="357" t="s">
        <v>770</v>
      </c>
      <c r="C1244" s="357" t="s">
        <v>7540</v>
      </c>
      <c r="D1244" s="357"/>
      <c r="E1244" s="357" t="s">
        <v>493</v>
      </c>
      <c r="F1244" s="357"/>
      <c r="G1244" s="358" t="s">
        <v>4206</v>
      </c>
      <c r="H1244" s="359" t="s">
        <v>503</v>
      </c>
      <c r="I1244" s="359" t="s">
        <v>198</v>
      </c>
      <c r="J1244" s="357"/>
      <c r="K1244" s="319" t="s">
        <v>191</v>
      </c>
      <c r="L1244" s="360">
        <v>4</v>
      </c>
      <c r="M1244" s="360">
        <v>4</v>
      </c>
      <c r="N1244" s="361" t="s">
        <v>12</v>
      </c>
      <c r="O1244" s="151">
        <v>5</v>
      </c>
      <c r="P1244" s="151" t="s">
        <v>199</v>
      </c>
    </row>
    <row r="1245" spans="1:16" ht="22.5">
      <c r="A1245" s="319" t="s">
        <v>4371</v>
      </c>
      <c r="B1245" s="319" t="s">
        <v>491</v>
      </c>
      <c r="C1245" s="319" t="s">
        <v>4372</v>
      </c>
      <c r="D1245" s="319"/>
      <c r="E1245" s="319" t="s">
        <v>493</v>
      </c>
      <c r="F1245" s="319"/>
      <c r="G1245" s="318" t="s">
        <v>4206</v>
      </c>
      <c r="H1245" s="319" t="s">
        <v>494</v>
      </c>
      <c r="I1245" s="319" t="s">
        <v>466</v>
      </c>
      <c r="J1245" s="319"/>
      <c r="K1245" s="319" t="s">
        <v>191</v>
      </c>
      <c r="L1245" s="320">
        <v>4</v>
      </c>
      <c r="M1245" s="320">
        <v>4</v>
      </c>
      <c r="N1245" s="322" t="s">
        <v>12</v>
      </c>
      <c r="O1245" s="151">
        <v>3</v>
      </c>
      <c r="P1245" s="151" t="s">
        <v>199</v>
      </c>
    </row>
    <row r="1246" spans="1:16">
      <c r="A1246" s="319" t="s">
        <v>7541</v>
      </c>
      <c r="B1246" s="319" t="s">
        <v>7542</v>
      </c>
      <c r="C1246" s="319" t="s">
        <v>7543</v>
      </c>
      <c r="D1246" s="319"/>
      <c r="E1246" s="319" t="s">
        <v>242</v>
      </c>
      <c r="F1246" s="319"/>
      <c r="G1246" s="318" t="s">
        <v>4454</v>
      </c>
      <c r="H1246" s="319" t="s">
        <v>7544</v>
      </c>
      <c r="I1246" s="319" t="s">
        <v>466</v>
      </c>
      <c r="J1246" s="319"/>
      <c r="K1246" s="319" t="s">
        <v>191</v>
      </c>
      <c r="L1246" s="320">
        <v>4</v>
      </c>
      <c r="M1246" s="320">
        <v>4</v>
      </c>
      <c r="N1246" s="322" t="s">
        <v>12</v>
      </c>
      <c r="O1246" s="151">
        <v>5</v>
      </c>
      <c r="P1246" s="151" t="s">
        <v>199</v>
      </c>
    </row>
    <row r="1247" spans="1:16">
      <c r="A1247" s="319" t="s">
        <v>7545</v>
      </c>
      <c r="B1247" s="319" t="s">
        <v>7546</v>
      </c>
      <c r="C1247" s="319" t="s">
        <v>7547</v>
      </c>
      <c r="D1247" s="319"/>
      <c r="E1247" s="319" t="s">
        <v>242</v>
      </c>
      <c r="F1247" s="319"/>
      <c r="G1247" s="318" t="s">
        <v>7548</v>
      </c>
      <c r="H1247" s="319" t="s">
        <v>7549</v>
      </c>
      <c r="I1247" s="319" t="s">
        <v>198</v>
      </c>
      <c r="J1247" s="319"/>
      <c r="K1247" s="319" t="s">
        <v>191</v>
      </c>
      <c r="L1247" s="320">
        <v>4</v>
      </c>
      <c r="M1247" s="320">
        <v>4</v>
      </c>
      <c r="N1247" s="322" t="s">
        <v>12</v>
      </c>
      <c r="O1247" s="151">
        <v>5</v>
      </c>
      <c r="P1247" s="151" t="s">
        <v>199</v>
      </c>
    </row>
    <row r="1248" spans="1:16" ht="22.5">
      <c r="A1248" s="319" t="s">
        <v>7550</v>
      </c>
      <c r="B1248" s="319" t="s">
        <v>7551</v>
      </c>
      <c r="C1248" s="319" t="s">
        <v>7552</v>
      </c>
      <c r="D1248" s="319"/>
      <c r="E1248" s="319" t="s">
        <v>242</v>
      </c>
      <c r="F1248" s="319"/>
      <c r="G1248" s="318" t="s">
        <v>4206</v>
      </c>
      <c r="H1248" s="324" t="s">
        <v>7553</v>
      </c>
      <c r="I1248" s="324" t="s">
        <v>198</v>
      </c>
      <c r="J1248" s="319"/>
      <c r="K1248" s="319" t="s">
        <v>191</v>
      </c>
      <c r="L1248" s="320">
        <v>4</v>
      </c>
      <c r="M1248" s="320">
        <v>4</v>
      </c>
      <c r="N1248" s="322" t="s">
        <v>12</v>
      </c>
      <c r="O1248" s="151">
        <v>5</v>
      </c>
      <c r="P1248" s="151" t="s">
        <v>199</v>
      </c>
    </row>
    <row r="1249" spans="1:16" ht="22.5">
      <c r="A1249" s="319" t="s">
        <v>7554</v>
      </c>
      <c r="B1249" s="319" t="s">
        <v>3413</v>
      </c>
      <c r="C1249" s="319" t="s">
        <v>7555</v>
      </c>
      <c r="D1249" s="319"/>
      <c r="E1249" s="319" t="s">
        <v>242</v>
      </c>
      <c r="F1249" s="319"/>
      <c r="G1249" s="318" t="s">
        <v>4206</v>
      </c>
      <c r="H1249" s="324" t="s">
        <v>7556</v>
      </c>
      <c r="I1249" s="324" t="s">
        <v>188</v>
      </c>
      <c r="J1249" s="319" t="s">
        <v>7557</v>
      </c>
      <c r="K1249" s="319" t="s">
        <v>191</v>
      </c>
      <c r="L1249" s="320">
        <v>4</v>
      </c>
      <c r="M1249" s="320">
        <v>4</v>
      </c>
      <c r="N1249" s="322" t="s">
        <v>12</v>
      </c>
      <c r="O1249" s="151">
        <v>5</v>
      </c>
      <c r="P1249" s="151" t="s">
        <v>199</v>
      </c>
    </row>
    <row r="1250" spans="1:16">
      <c r="A1250" s="319" t="s">
        <v>7558</v>
      </c>
      <c r="B1250" s="319" t="s">
        <v>3406</v>
      </c>
      <c r="C1250" s="319" t="s">
        <v>7559</v>
      </c>
      <c r="D1250" s="319"/>
      <c r="E1250" s="319" t="s">
        <v>242</v>
      </c>
      <c r="F1250" s="319"/>
      <c r="G1250" s="318" t="s">
        <v>4206</v>
      </c>
      <c r="H1250" s="324" t="s">
        <v>7560</v>
      </c>
      <c r="I1250" s="324" t="s">
        <v>466</v>
      </c>
      <c r="J1250" s="319"/>
      <c r="K1250" s="319" t="s">
        <v>191</v>
      </c>
      <c r="L1250" s="320">
        <v>4</v>
      </c>
      <c r="M1250" s="320">
        <v>4</v>
      </c>
      <c r="N1250" s="322" t="s">
        <v>12</v>
      </c>
      <c r="O1250" s="151">
        <v>4</v>
      </c>
      <c r="P1250" s="151" t="s">
        <v>199</v>
      </c>
    </row>
    <row r="1251" spans="1:16">
      <c r="A1251" s="319" t="s">
        <v>7561</v>
      </c>
      <c r="B1251" s="319" t="s">
        <v>3392</v>
      </c>
      <c r="C1251" s="319" t="s">
        <v>7562</v>
      </c>
      <c r="D1251" s="319" t="s">
        <v>7563</v>
      </c>
      <c r="E1251" s="319" t="s">
        <v>242</v>
      </c>
      <c r="F1251" s="319"/>
      <c r="G1251" s="318" t="s">
        <v>4206</v>
      </c>
      <c r="H1251" s="324" t="s">
        <v>7564</v>
      </c>
      <c r="I1251" s="324" t="s">
        <v>466</v>
      </c>
      <c r="J1251" s="319"/>
      <c r="K1251" s="319" t="s">
        <v>191</v>
      </c>
      <c r="L1251" s="320">
        <v>4</v>
      </c>
      <c r="M1251" s="320">
        <v>4</v>
      </c>
      <c r="N1251" s="322" t="s">
        <v>12</v>
      </c>
      <c r="O1251" s="151">
        <v>5</v>
      </c>
      <c r="P1251" s="151" t="s">
        <v>199</v>
      </c>
    </row>
    <row r="1252" spans="1:16">
      <c r="A1252" s="319" t="s">
        <v>7565</v>
      </c>
      <c r="B1252" s="319" t="s">
        <v>7566</v>
      </c>
      <c r="C1252" s="319" t="s">
        <v>7567</v>
      </c>
      <c r="D1252" s="319"/>
      <c r="E1252" s="319" t="s">
        <v>242</v>
      </c>
      <c r="F1252" s="319"/>
      <c r="G1252" s="318" t="s">
        <v>4206</v>
      </c>
      <c r="H1252" s="324" t="s">
        <v>7568</v>
      </c>
      <c r="I1252" s="324" t="s">
        <v>466</v>
      </c>
      <c r="J1252" s="319"/>
      <c r="K1252" s="319" t="s">
        <v>191</v>
      </c>
      <c r="L1252" s="320">
        <v>4</v>
      </c>
      <c r="M1252" s="320">
        <v>4</v>
      </c>
      <c r="N1252" s="322" t="s">
        <v>12</v>
      </c>
      <c r="O1252" s="151">
        <v>5</v>
      </c>
      <c r="P1252" s="151" t="s">
        <v>199</v>
      </c>
    </row>
    <row r="1253" spans="1:16">
      <c r="A1253" s="319" t="s">
        <v>7569</v>
      </c>
      <c r="B1253" s="319" t="s">
        <v>2078</v>
      </c>
      <c r="C1253" s="319" t="s">
        <v>7570</v>
      </c>
      <c r="D1253" s="319"/>
      <c r="E1253" s="319" t="s">
        <v>242</v>
      </c>
      <c r="F1253" s="319"/>
      <c r="G1253" s="318" t="s">
        <v>4206</v>
      </c>
      <c r="H1253" s="324" t="s">
        <v>7571</v>
      </c>
      <c r="I1253" s="324" t="s">
        <v>466</v>
      </c>
      <c r="J1253" s="319"/>
      <c r="K1253" s="319" t="s">
        <v>191</v>
      </c>
      <c r="L1253" s="320">
        <v>4</v>
      </c>
      <c r="M1253" s="320">
        <v>4</v>
      </c>
      <c r="N1253" s="322" t="s">
        <v>12</v>
      </c>
      <c r="O1253" s="151">
        <v>5</v>
      </c>
      <c r="P1253" s="151" t="s">
        <v>199</v>
      </c>
    </row>
    <row r="1254" spans="1:16" ht="22.5">
      <c r="A1254" s="319" t="s">
        <v>7572</v>
      </c>
      <c r="B1254" s="319" t="s">
        <v>7573</v>
      </c>
      <c r="C1254" s="319" t="s">
        <v>7574</v>
      </c>
      <c r="D1254" s="319"/>
      <c r="E1254" s="319" t="s">
        <v>242</v>
      </c>
      <c r="F1254" s="319"/>
      <c r="G1254" s="318" t="s">
        <v>4206</v>
      </c>
      <c r="H1254" s="324" t="s">
        <v>7575</v>
      </c>
      <c r="I1254" s="324" t="s">
        <v>204</v>
      </c>
      <c r="J1254" s="319"/>
      <c r="K1254" s="319" t="s">
        <v>191</v>
      </c>
      <c r="L1254" s="320">
        <v>4</v>
      </c>
      <c r="M1254" s="320">
        <v>4</v>
      </c>
      <c r="N1254" s="322" t="s">
        <v>12</v>
      </c>
      <c r="O1254" s="151">
        <v>5</v>
      </c>
      <c r="P1254" s="151" t="s">
        <v>199</v>
      </c>
    </row>
    <row r="1255" spans="1:16">
      <c r="A1255" s="319" t="s">
        <v>7576</v>
      </c>
      <c r="B1255" s="319" t="s">
        <v>7577</v>
      </c>
      <c r="C1255" s="319" t="s">
        <v>7578</v>
      </c>
      <c r="D1255" s="319"/>
      <c r="E1255" s="319" t="s">
        <v>242</v>
      </c>
      <c r="F1255" s="319"/>
      <c r="G1255" s="318" t="s">
        <v>4227</v>
      </c>
      <c r="H1255" s="319" t="s">
        <v>7579</v>
      </c>
      <c r="I1255" s="319" t="s">
        <v>204</v>
      </c>
      <c r="J1255" s="319"/>
      <c r="K1255" s="319" t="s">
        <v>191</v>
      </c>
      <c r="L1255" s="320">
        <v>4</v>
      </c>
      <c r="M1255" s="320">
        <v>4</v>
      </c>
      <c r="N1255" s="322" t="s">
        <v>12</v>
      </c>
      <c r="O1255" s="151">
        <v>5</v>
      </c>
      <c r="P1255" s="151" t="s">
        <v>199</v>
      </c>
    </row>
    <row r="1256" spans="1:16">
      <c r="A1256" s="319" t="s">
        <v>7580</v>
      </c>
      <c r="B1256" s="319" t="s">
        <v>7581</v>
      </c>
      <c r="C1256" s="319"/>
      <c r="D1256" s="319"/>
      <c r="E1256" s="319" t="s">
        <v>242</v>
      </c>
      <c r="F1256" s="319"/>
      <c r="G1256" s="318" t="s">
        <v>7582</v>
      </c>
      <c r="H1256" s="319" t="s">
        <v>7583</v>
      </c>
      <c r="I1256" s="319" t="s">
        <v>204</v>
      </c>
      <c r="J1256" s="319"/>
      <c r="K1256" s="319" t="s">
        <v>191</v>
      </c>
      <c r="L1256" s="320">
        <v>4</v>
      </c>
      <c r="M1256" s="320">
        <v>4</v>
      </c>
      <c r="N1256" s="322" t="s">
        <v>12</v>
      </c>
      <c r="O1256" s="151">
        <v>5</v>
      </c>
      <c r="P1256" s="151" t="s">
        <v>199</v>
      </c>
    </row>
    <row r="1257" spans="1:16">
      <c r="A1257" s="319" t="s">
        <v>7584</v>
      </c>
      <c r="B1257" s="319" t="s">
        <v>7585</v>
      </c>
      <c r="C1257" s="319"/>
      <c r="D1257" s="319"/>
      <c r="E1257" s="319" t="s">
        <v>242</v>
      </c>
      <c r="F1257" s="319"/>
      <c r="G1257" s="318" t="s">
        <v>1946</v>
      </c>
      <c r="H1257" s="319" t="s">
        <v>7586</v>
      </c>
      <c r="I1257" s="319" t="s">
        <v>204</v>
      </c>
      <c r="J1257" s="319" t="s">
        <v>7587</v>
      </c>
      <c r="K1257" s="319" t="s">
        <v>191</v>
      </c>
      <c r="L1257" s="320">
        <v>4</v>
      </c>
      <c r="M1257" s="320">
        <v>4</v>
      </c>
      <c r="N1257" s="322" t="s">
        <v>14</v>
      </c>
      <c r="O1257" s="151">
        <v>5</v>
      </c>
      <c r="P1257" s="151" t="s">
        <v>199</v>
      </c>
    </row>
    <row r="1258" spans="1:16">
      <c r="A1258" s="319" t="s">
        <v>7588</v>
      </c>
      <c r="B1258" s="319" t="s">
        <v>7589</v>
      </c>
      <c r="C1258" s="319" t="s">
        <v>7590</v>
      </c>
      <c r="D1258" s="319"/>
      <c r="E1258" s="319" t="s">
        <v>242</v>
      </c>
      <c r="F1258" s="319"/>
      <c r="G1258" s="318" t="s">
        <v>4220</v>
      </c>
      <c r="H1258" s="319" t="s">
        <v>7591</v>
      </c>
      <c r="I1258" s="319" t="s">
        <v>204</v>
      </c>
      <c r="J1258" s="319"/>
      <c r="K1258" s="319" t="s">
        <v>191</v>
      </c>
      <c r="L1258" s="320">
        <v>4</v>
      </c>
      <c r="M1258" s="320">
        <v>4</v>
      </c>
      <c r="N1258" s="322" t="s">
        <v>12</v>
      </c>
      <c r="O1258" s="151">
        <v>5</v>
      </c>
      <c r="P1258" s="151" t="s">
        <v>199</v>
      </c>
    </row>
    <row r="1259" spans="1:16">
      <c r="A1259" s="319" t="s">
        <v>7592</v>
      </c>
      <c r="B1259" s="319" t="s">
        <v>7593</v>
      </c>
      <c r="C1259" s="319" t="s">
        <v>7594</v>
      </c>
      <c r="D1259" s="319"/>
      <c r="E1259" s="319" t="s">
        <v>242</v>
      </c>
      <c r="F1259" s="319"/>
      <c r="G1259" s="318" t="s">
        <v>4220</v>
      </c>
      <c r="H1259" s="319" t="s">
        <v>7595</v>
      </c>
      <c r="I1259" s="319" t="s">
        <v>204</v>
      </c>
      <c r="J1259" s="319"/>
      <c r="K1259" s="319" t="s">
        <v>191</v>
      </c>
      <c r="L1259" s="320">
        <v>4</v>
      </c>
      <c r="M1259" s="320">
        <v>4</v>
      </c>
      <c r="N1259" s="322" t="s">
        <v>12</v>
      </c>
      <c r="O1259" s="151">
        <v>5</v>
      </c>
      <c r="P1259" s="151" t="s">
        <v>199</v>
      </c>
    </row>
    <row r="1260" spans="1:16">
      <c r="A1260" s="319" t="s">
        <v>7596</v>
      </c>
      <c r="B1260" s="319" t="s">
        <v>7597</v>
      </c>
      <c r="C1260" s="319" t="s">
        <v>7598</v>
      </c>
      <c r="D1260" s="319"/>
      <c r="E1260" s="319" t="s">
        <v>242</v>
      </c>
      <c r="F1260" s="319"/>
      <c r="G1260" s="318" t="s">
        <v>4220</v>
      </c>
      <c r="H1260" s="319" t="s">
        <v>7599</v>
      </c>
      <c r="I1260" s="319" t="s">
        <v>204</v>
      </c>
      <c r="J1260" s="319"/>
      <c r="K1260" s="319" t="s">
        <v>191</v>
      </c>
      <c r="L1260" s="320">
        <v>4</v>
      </c>
      <c r="M1260" s="320">
        <v>4</v>
      </c>
      <c r="N1260" s="322" t="s">
        <v>12</v>
      </c>
      <c r="O1260" s="151">
        <v>5</v>
      </c>
      <c r="P1260" s="151" t="s">
        <v>199</v>
      </c>
    </row>
    <row r="1261" spans="1:16">
      <c r="A1261" s="319" t="s">
        <v>7600</v>
      </c>
      <c r="B1261" s="319" t="s">
        <v>7601</v>
      </c>
      <c r="C1261" s="319" t="s">
        <v>7602</v>
      </c>
      <c r="D1261" s="319"/>
      <c r="E1261" s="319" t="s">
        <v>242</v>
      </c>
      <c r="F1261" s="319"/>
      <c r="G1261" s="318" t="s">
        <v>2181</v>
      </c>
      <c r="H1261" s="324" t="s">
        <v>7603</v>
      </c>
      <c r="I1261" s="324" t="s">
        <v>198</v>
      </c>
      <c r="J1261" s="319"/>
      <c r="K1261" s="319" t="s">
        <v>191</v>
      </c>
      <c r="L1261" s="320">
        <v>4</v>
      </c>
      <c r="M1261" s="320">
        <v>4</v>
      </c>
      <c r="N1261" s="322" t="s">
        <v>12</v>
      </c>
      <c r="O1261" s="151">
        <v>5</v>
      </c>
      <c r="P1261" s="151" t="s">
        <v>199</v>
      </c>
    </row>
    <row r="1262" spans="1:16">
      <c r="A1262" s="319" t="s">
        <v>7604</v>
      </c>
      <c r="B1262" s="319" t="s">
        <v>7605</v>
      </c>
      <c r="C1262" s="319" t="s">
        <v>7606</v>
      </c>
      <c r="D1262" s="319"/>
      <c r="E1262" s="319" t="s">
        <v>242</v>
      </c>
      <c r="F1262" s="319"/>
      <c r="G1262" s="318" t="s">
        <v>2181</v>
      </c>
      <c r="H1262" s="324" t="s">
        <v>7607</v>
      </c>
      <c r="I1262" s="324" t="s">
        <v>198</v>
      </c>
      <c r="J1262" s="319"/>
      <c r="K1262" s="319" t="s">
        <v>191</v>
      </c>
      <c r="L1262" s="320">
        <v>4</v>
      </c>
      <c r="M1262" s="320">
        <v>4</v>
      </c>
      <c r="N1262" s="322" t="s">
        <v>12</v>
      </c>
      <c r="O1262" s="151">
        <v>5</v>
      </c>
      <c r="P1262" s="151" t="s">
        <v>199</v>
      </c>
    </row>
    <row r="1263" spans="1:16">
      <c r="A1263" s="319" t="s">
        <v>7608</v>
      </c>
      <c r="B1263" s="319" t="s">
        <v>7609</v>
      </c>
      <c r="C1263" s="319" t="s">
        <v>7610</v>
      </c>
      <c r="D1263" s="319"/>
      <c r="E1263" s="319" t="s">
        <v>242</v>
      </c>
      <c r="F1263" s="319"/>
      <c r="G1263" s="318" t="s">
        <v>5636</v>
      </c>
      <c r="H1263" s="324" t="s">
        <v>7611</v>
      </c>
      <c r="I1263" s="324" t="s">
        <v>198</v>
      </c>
      <c r="J1263" s="319"/>
      <c r="K1263" s="319" t="s">
        <v>191</v>
      </c>
      <c r="L1263" s="320">
        <v>4</v>
      </c>
      <c r="M1263" s="320">
        <v>4</v>
      </c>
      <c r="N1263" s="322" t="s">
        <v>12</v>
      </c>
      <c r="O1263" s="151">
        <v>5</v>
      </c>
      <c r="P1263" s="151" t="s">
        <v>199</v>
      </c>
    </row>
    <row r="1264" spans="1:16">
      <c r="A1264" s="319" t="s">
        <v>7612</v>
      </c>
      <c r="B1264" s="319" t="s">
        <v>7613</v>
      </c>
      <c r="C1264" s="319" t="s">
        <v>7614</v>
      </c>
      <c r="D1264" s="319" t="s">
        <v>7615</v>
      </c>
      <c r="E1264" s="319" t="s">
        <v>242</v>
      </c>
      <c r="F1264" s="319"/>
      <c r="G1264" s="318" t="s">
        <v>2181</v>
      </c>
      <c r="H1264" s="324" t="s">
        <v>7616</v>
      </c>
      <c r="I1264" s="324"/>
      <c r="J1264" s="319"/>
      <c r="K1264" s="319" t="s">
        <v>191</v>
      </c>
      <c r="L1264" s="320">
        <v>4</v>
      </c>
      <c r="M1264" s="320">
        <v>4</v>
      </c>
      <c r="N1264" s="322" t="s">
        <v>12</v>
      </c>
      <c r="O1264" s="151">
        <v>5</v>
      </c>
      <c r="P1264" s="151" t="s">
        <v>199</v>
      </c>
    </row>
    <row r="1265" spans="1:16" s="546" customFormat="1" ht="23.25" customHeight="1">
      <c r="A1265" s="515" t="s">
        <v>7617</v>
      </c>
      <c r="B1265" s="516" t="s">
        <v>7618</v>
      </c>
      <c r="C1265" s="515"/>
      <c r="D1265" s="516"/>
      <c r="E1265" s="516" t="s">
        <v>242</v>
      </c>
      <c r="F1265" s="516"/>
      <c r="G1265" s="517" t="s">
        <v>4439</v>
      </c>
      <c r="H1265" s="518" t="s">
        <v>7616</v>
      </c>
      <c r="I1265" s="516" t="s">
        <v>204</v>
      </c>
      <c r="J1265" s="515"/>
      <c r="K1265" s="515" t="s">
        <v>191</v>
      </c>
      <c r="L1265" s="519">
        <v>4</v>
      </c>
      <c r="M1265" s="519">
        <v>4</v>
      </c>
      <c r="N1265" s="520" t="s">
        <v>12</v>
      </c>
      <c r="O1265" s="521">
        <v>5</v>
      </c>
      <c r="P1265" s="521" t="s">
        <v>199</v>
      </c>
    </row>
    <row r="1266" spans="1:16">
      <c r="A1266" s="319" t="s">
        <v>7619</v>
      </c>
      <c r="B1266" s="319" t="s">
        <v>7620</v>
      </c>
      <c r="C1266" s="319"/>
      <c r="D1266" s="319"/>
      <c r="E1266" s="319" t="s">
        <v>242</v>
      </c>
      <c r="F1266" s="319"/>
      <c r="G1266" s="318" t="s">
        <v>601</v>
      </c>
      <c r="H1266" s="319" t="s">
        <v>7621</v>
      </c>
      <c r="I1266" s="319"/>
      <c r="J1266" s="319"/>
      <c r="K1266" s="319" t="s">
        <v>191</v>
      </c>
      <c r="L1266" s="320">
        <v>4</v>
      </c>
      <c r="M1266" s="320">
        <v>4</v>
      </c>
      <c r="N1266" s="322" t="s">
        <v>14</v>
      </c>
      <c r="O1266" s="151">
        <v>5</v>
      </c>
      <c r="P1266" s="151" t="s">
        <v>199</v>
      </c>
    </row>
    <row r="1267" spans="1:16" ht="22.5">
      <c r="A1267" s="319" t="s">
        <v>7622</v>
      </c>
      <c r="B1267" s="319" t="s">
        <v>7623</v>
      </c>
      <c r="C1267" s="319"/>
      <c r="D1267" s="319"/>
      <c r="E1267" s="319" t="s">
        <v>242</v>
      </c>
      <c r="F1267" s="319"/>
      <c r="G1267" s="318" t="s">
        <v>601</v>
      </c>
      <c r="H1267" s="319" t="s">
        <v>7624</v>
      </c>
      <c r="I1267" s="319"/>
      <c r="J1267" s="319"/>
      <c r="K1267" s="319" t="s">
        <v>191</v>
      </c>
      <c r="L1267" s="320">
        <v>4</v>
      </c>
      <c r="M1267" s="320">
        <v>4</v>
      </c>
      <c r="N1267" s="322" t="s">
        <v>14</v>
      </c>
      <c r="O1267" s="151">
        <v>5</v>
      </c>
      <c r="P1267" s="151" t="s">
        <v>199</v>
      </c>
    </row>
    <row r="1268" spans="1:16">
      <c r="A1268" s="319" t="s">
        <v>7625</v>
      </c>
      <c r="B1268" s="319" t="s">
        <v>7626</v>
      </c>
      <c r="C1268" s="319" t="s">
        <v>7627</v>
      </c>
      <c r="D1268" s="319"/>
      <c r="E1268" s="319" t="s">
        <v>242</v>
      </c>
      <c r="F1268" s="319"/>
      <c r="G1268" s="318" t="s">
        <v>7628</v>
      </c>
      <c r="H1268" s="319" t="s">
        <v>7629</v>
      </c>
      <c r="I1268" s="319" t="s">
        <v>204</v>
      </c>
      <c r="J1268" s="319"/>
      <c r="K1268" s="319" t="s">
        <v>191</v>
      </c>
      <c r="L1268" s="320">
        <v>4</v>
      </c>
      <c r="M1268" s="320">
        <v>4</v>
      </c>
      <c r="N1268" s="322" t="s">
        <v>12</v>
      </c>
      <c r="O1268" s="151">
        <v>5</v>
      </c>
      <c r="P1268" s="151" t="s">
        <v>199</v>
      </c>
    </row>
    <row r="1269" spans="1:16">
      <c r="A1269" s="319" t="s">
        <v>7630</v>
      </c>
      <c r="B1269" s="319" t="s">
        <v>7631</v>
      </c>
      <c r="C1269" s="319"/>
      <c r="D1269" s="319"/>
      <c r="E1269" s="319" t="s">
        <v>242</v>
      </c>
      <c r="F1269" s="319"/>
      <c r="G1269" s="318" t="s">
        <v>601</v>
      </c>
      <c r="H1269" s="319" t="s">
        <v>7632</v>
      </c>
      <c r="I1269" s="319" t="s">
        <v>204</v>
      </c>
      <c r="J1269" s="319"/>
      <c r="K1269" s="319" t="s">
        <v>191</v>
      </c>
      <c r="L1269" s="320">
        <v>4</v>
      </c>
      <c r="M1269" s="320">
        <v>4</v>
      </c>
      <c r="N1269" s="322" t="s">
        <v>12</v>
      </c>
      <c r="O1269" s="151">
        <v>5</v>
      </c>
      <c r="P1269" s="151" t="s">
        <v>199</v>
      </c>
    </row>
    <row r="1270" spans="1:16">
      <c r="A1270" s="319" t="s">
        <v>7633</v>
      </c>
      <c r="B1270" s="319" t="s">
        <v>7634</v>
      </c>
      <c r="C1270" s="319"/>
      <c r="D1270" s="319"/>
      <c r="E1270" s="319" t="s">
        <v>242</v>
      </c>
      <c r="F1270" s="319"/>
      <c r="G1270" s="318" t="s">
        <v>601</v>
      </c>
      <c r="H1270" s="319" t="s">
        <v>7635</v>
      </c>
      <c r="I1270" s="319" t="s">
        <v>204</v>
      </c>
      <c r="J1270" s="319"/>
      <c r="K1270" s="319" t="s">
        <v>191</v>
      </c>
      <c r="L1270" s="320">
        <v>4</v>
      </c>
      <c r="M1270" s="320">
        <v>4</v>
      </c>
      <c r="N1270" s="322" t="s">
        <v>12</v>
      </c>
      <c r="O1270" s="151">
        <v>5</v>
      </c>
      <c r="P1270" s="151" t="s">
        <v>199</v>
      </c>
    </row>
    <row r="1271" spans="1:16" ht="270">
      <c r="A1271" s="319" t="s">
        <v>7636</v>
      </c>
      <c r="B1271" s="319" t="s">
        <v>3416</v>
      </c>
      <c r="C1271" s="319" t="s">
        <v>7637</v>
      </c>
      <c r="D1271" s="319"/>
      <c r="E1271" s="319" t="s">
        <v>242</v>
      </c>
      <c r="F1271" s="319"/>
      <c r="G1271" s="318" t="s">
        <v>4206</v>
      </c>
      <c r="H1271" s="324" t="s">
        <v>7638</v>
      </c>
      <c r="I1271" s="324" t="s">
        <v>204</v>
      </c>
      <c r="J1271" s="319" t="s">
        <v>7639</v>
      </c>
      <c r="K1271" s="319" t="s">
        <v>191</v>
      </c>
      <c r="L1271" s="320">
        <v>4</v>
      </c>
      <c r="M1271" s="320">
        <v>4</v>
      </c>
      <c r="N1271" s="322" t="s">
        <v>12</v>
      </c>
      <c r="O1271" s="151">
        <v>5</v>
      </c>
      <c r="P1271" s="151" t="s">
        <v>199</v>
      </c>
    </row>
    <row r="1272" spans="1:16">
      <c r="A1272" s="319" t="s">
        <v>7640</v>
      </c>
      <c r="B1272" s="319" t="s">
        <v>7641</v>
      </c>
      <c r="C1272" s="319" t="s">
        <v>7642</v>
      </c>
      <c r="D1272" s="319"/>
      <c r="E1272" s="319" t="s">
        <v>242</v>
      </c>
      <c r="F1272" s="319"/>
      <c r="G1272" s="318" t="s">
        <v>4220</v>
      </c>
      <c r="H1272" s="319" t="s">
        <v>7643</v>
      </c>
      <c r="I1272" s="319" t="s">
        <v>204</v>
      </c>
      <c r="J1272" s="319"/>
      <c r="K1272" s="319" t="s">
        <v>191</v>
      </c>
      <c r="L1272" s="320">
        <v>4</v>
      </c>
      <c r="M1272" s="320">
        <v>4</v>
      </c>
      <c r="N1272" s="322" t="s">
        <v>12</v>
      </c>
      <c r="O1272" s="151">
        <v>5</v>
      </c>
      <c r="P1272" s="151" t="s">
        <v>199</v>
      </c>
    </row>
    <row r="1273" spans="1:16">
      <c r="A1273" s="319" t="s">
        <v>7644</v>
      </c>
      <c r="B1273" s="319" t="s">
        <v>7645</v>
      </c>
      <c r="C1273" s="319" t="s">
        <v>7646</v>
      </c>
      <c r="D1273" s="319"/>
      <c r="E1273" s="319" t="s">
        <v>242</v>
      </c>
      <c r="F1273" s="319"/>
      <c r="G1273" s="318" t="s">
        <v>4220</v>
      </c>
      <c r="H1273" s="319" t="s">
        <v>7647</v>
      </c>
      <c r="I1273" s="319" t="s">
        <v>204</v>
      </c>
      <c r="J1273" s="319"/>
      <c r="K1273" s="319" t="s">
        <v>191</v>
      </c>
      <c r="L1273" s="320">
        <v>4</v>
      </c>
      <c r="M1273" s="320">
        <v>4</v>
      </c>
      <c r="N1273" s="322" t="s">
        <v>12</v>
      </c>
      <c r="O1273" s="151">
        <v>5</v>
      </c>
      <c r="P1273" s="151" t="s">
        <v>199</v>
      </c>
    </row>
    <row r="1274" spans="1:16">
      <c r="A1274" s="319" t="s">
        <v>7648</v>
      </c>
      <c r="B1274" s="319" t="s">
        <v>3528</v>
      </c>
      <c r="C1274" s="319" t="s">
        <v>7649</v>
      </c>
      <c r="D1274" s="319"/>
      <c r="E1274" s="319" t="s">
        <v>242</v>
      </c>
      <c r="F1274" s="319"/>
      <c r="G1274" s="318" t="s">
        <v>2181</v>
      </c>
      <c r="H1274" s="324" t="s">
        <v>7650</v>
      </c>
      <c r="I1274" s="324" t="s">
        <v>198</v>
      </c>
      <c r="J1274" s="319"/>
      <c r="K1274" s="319" t="s">
        <v>191</v>
      </c>
      <c r="L1274" s="320">
        <v>4</v>
      </c>
      <c r="M1274" s="320">
        <v>4</v>
      </c>
      <c r="N1274" s="322" t="s">
        <v>12</v>
      </c>
      <c r="O1274" s="151">
        <v>5</v>
      </c>
      <c r="P1274" s="151" t="s">
        <v>199</v>
      </c>
    </row>
    <row r="1275" spans="1:16" ht="22.5">
      <c r="A1275" s="319" t="s">
        <v>7651</v>
      </c>
      <c r="B1275" s="319" t="s">
        <v>7652</v>
      </c>
      <c r="C1275" s="319" t="s">
        <v>7653</v>
      </c>
      <c r="D1275" s="319"/>
      <c r="E1275" s="319" t="s">
        <v>242</v>
      </c>
      <c r="F1275" s="319"/>
      <c r="G1275" s="318" t="s">
        <v>2120</v>
      </c>
      <c r="H1275" s="324" t="s">
        <v>7654</v>
      </c>
      <c r="I1275" s="324" t="s">
        <v>198</v>
      </c>
      <c r="J1275" s="319"/>
      <c r="K1275" s="319" t="s">
        <v>191</v>
      </c>
      <c r="L1275" s="320">
        <v>4</v>
      </c>
      <c r="M1275" s="320">
        <v>4</v>
      </c>
      <c r="N1275" s="322" t="s">
        <v>12</v>
      </c>
      <c r="O1275" s="151">
        <v>5</v>
      </c>
      <c r="P1275" s="151" t="s">
        <v>199</v>
      </c>
    </row>
    <row r="1276" spans="1:16" ht="22.5">
      <c r="A1276" s="319" t="s">
        <v>7655</v>
      </c>
      <c r="B1276" s="319" t="s">
        <v>7656</v>
      </c>
      <c r="C1276" s="319"/>
      <c r="D1276" s="319"/>
      <c r="E1276" s="319" t="s">
        <v>242</v>
      </c>
      <c r="F1276" s="319"/>
      <c r="G1276" s="318" t="s">
        <v>601</v>
      </c>
      <c r="H1276" s="319" t="s">
        <v>7657</v>
      </c>
      <c r="I1276" s="319"/>
      <c r="J1276" s="319" t="s">
        <v>1453</v>
      </c>
      <c r="K1276" s="319" t="s">
        <v>191</v>
      </c>
      <c r="L1276" s="320">
        <v>4</v>
      </c>
      <c r="M1276" s="320">
        <v>4</v>
      </c>
      <c r="N1276" s="322" t="s">
        <v>12</v>
      </c>
      <c r="O1276" s="151">
        <v>5</v>
      </c>
      <c r="P1276" s="151" t="s">
        <v>199</v>
      </c>
    </row>
    <row r="1277" spans="1:16" ht="22.5">
      <c r="A1277" s="319" t="s">
        <v>7658</v>
      </c>
      <c r="B1277" s="319" t="s">
        <v>7659</v>
      </c>
      <c r="C1277" s="319"/>
      <c r="D1277" s="319"/>
      <c r="E1277" s="319" t="s">
        <v>242</v>
      </c>
      <c r="F1277" s="319"/>
      <c r="G1277" s="318" t="s">
        <v>6467</v>
      </c>
      <c r="H1277" s="324" t="s">
        <v>7660</v>
      </c>
      <c r="I1277" s="324" t="s">
        <v>188</v>
      </c>
      <c r="J1277" s="319" t="s">
        <v>1453</v>
      </c>
      <c r="K1277" s="319" t="s">
        <v>191</v>
      </c>
      <c r="L1277" s="320">
        <v>4</v>
      </c>
      <c r="M1277" s="320">
        <v>4</v>
      </c>
      <c r="N1277" s="322" t="s">
        <v>14</v>
      </c>
      <c r="O1277" s="151">
        <v>5</v>
      </c>
      <c r="P1277" s="151" t="s">
        <v>199</v>
      </c>
    </row>
    <row r="1278" spans="1:16" ht="22.5">
      <c r="A1278" s="319" t="s">
        <v>7661</v>
      </c>
      <c r="B1278" s="319" t="s">
        <v>7662</v>
      </c>
      <c r="C1278" s="319" t="s">
        <v>7663</v>
      </c>
      <c r="D1278" s="319"/>
      <c r="E1278" s="319" t="s">
        <v>242</v>
      </c>
      <c r="F1278" s="319"/>
      <c r="G1278" s="318" t="s">
        <v>4206</v>
      </c>
      <c r="H1278" s="324" t="s">
        <v>7664</v>
      </c>
      <c r="I1278" s="324" t="s">
        <v>188</v>
      </c>
      <c r="J1278" s="319" t="s">
        <v>7665</v>
      </c>
      <c r="K1278" s="319" t="s">
        <v>191</v>
      </c>
      <c r="L1278" s="320">
        <v>4</v>
      </c>
      <c r="M1278" s="320">
        <v>4</v>
      </c>
      <c r="N1278" s="322" t="s">
        <v>12</v>
      </c>
      <c r="O1278" s="151">
        <v>5</v>
      </c>
      <c r="P1278" s="151" t="s">
        <v>199</v>
      </c>
    </row>
    <row r="1279" spans="1:16" ht="22.5">
      <c r="A1279" s="319" t="s">
        <v>7666</v>
      </c>
      <c r="B1279" s="319" t="s">
        <v>7667</v>
      </c>
      <c r="C1279" s="319" t="s">
        <v>7668</v>
      </c>
      <c r="D1279" s="319"/>
      <c r="E1279" s="319" t="s">
        <v>242</v>
      </c>
      <c r="F1279" s="319"/>
      <c r="G1279" s="318" t="s">
        <v>4449</v>
      </c>
      <c r="H1279" s="324" t="s">
        <v>7669</v>
      </c>
      <c r="I1279" s="324" t="s">
        <v>188</v>
      </c>
      <c r="J1279" s="319" t="s">
        <v>7665</v>
      </c>
      <c r="K1279" s="319" t="s">
        <v>191</v>
      </c>
      <c r="L1279" s="320">
        <v>4</v>
      </c>
      <c r="M1279" s="320">
        <v>4</v>
      </c>
      <c r="N1279" s="322" t="s">
        <v>12</v>
      </c>
      <c r="O1279" s="151">
        <v>5</v>
      </c>
      <c r="P1279" s="151" t="s">
        <v>199</v>
      </c>
    </row>
    <row r="1280" spans="1:16" ht="33.75">
      <c r="A1280" s="319" t="s">
        <v>7670</v>
      </c>
      <c r="B1280" s="319" t="s">
        <v>3421</v>
      </c>
      <c r="C1280" s="319" t="s">
        <v>7671</v>
      </c>
      <c r="D1280" s="319"/>
      <c r="E1280" s="319" t="s">
        <v>242</v>
      </c>
      <c r="F1280" s="319"/>
      <c r="G1280" s="318" t="s">
        <v>4206</v>
      </c>
      <c r="H1280" s="324" t="s">
        <v>7672</v>
      </c>
      <c r="I1280" s="324" t="s">
        <v>188</v>
      </c>
      <c r="J1280" s="319" t="s">
        <v>7665</v>
      </c>
      <c r="K1280" s="319" t="s">
        <v>191</v>
      </c>
      <c r="L1280" s="320">
        <v>4</v>
      </c>
      <c r="M1280" s="320">
        <v>4</v>
      </c>
      <c r="N1280" s="322" t="s">
        <v>12</v>
      </c>
      <c r="O1280" s="151">
        <v>5</v>
      </c>
      <c r="P1280" s="151" t="s">
        <v>199</v>
      </c>
    </row>
    <row r="1281" spans="1:16" ht="33.75">
      <c r="A1281" s="319" t="s">
        <v>7673</v>
      </c>
      <c r="B1281" s="319" t="s">
        <v>7674</v>
      </c>
      <c r="C1281" s="319"/>
      <c r="D1281" s="319"/>
      <c r="E1281" s="319" t="s">
        <v>242</v>
      </c>
      <c r="F1281" s="319"/>
      <c r="G1281" s="318" t="s">
        <v>4332</v>
      </c>
      <c r="H1281" s="324" t="s">
        <v>7675</v>
      </c>
      <c r="I1281" s="324" t="s">
        <v>188</v>
      </c>
      <c r="J1281" s="319" t="s">
        <v>7665</v>
      </c>
      <c r="K1281" s="319" t="s">
        <v>191</v>
      </c>
      <c r="L1281" s="320">
        <v>4</v>
      </c>
      <c r="M1281" s="320">
        <v>4</v>
      </c>
      <c r="N1281" s="322" t="s">
        <v>12</v>
      </c>
      <c r="O1281" s="151">
        <v>5</v>
      </c>
      <c r="P1281" s="151" t="s">
        <v>199</v>
      </c>
    </row>
    <row r="1282" spans="1:16" ht="22.5">
      <c r="A1282" s="319" t="s">
        <v>7676</v>
      </c>
      <c r="B1282" s="319" t="s">
        <v>7677</v>
      </c>
      <c r="C1282" s="319"/>
      <c r="D1282" s="319"/>
      <c r="E1282" s="319" t="s">
        <v>242</v>
      </c>
      <c r="F1282" s="319"/>
      <c r="G1282" s="318" t="s">
        <v>4332</v>
      </c>
      <c r="H1282" s="324" t="s">
        <v>7678</v>
      </c>
      <c r="I1282" s="324" t="s">
        <v>188</v>
      </c>
      <c r="J1282" s="319" t="s">
        <v>7665</v>
      </c>
      <c r="K1282" s="319" t="s">
        <v>191</v>
      </c>
      <c r="L1282" s="320">
        <v>4</v>
      </c>
      <c r="M1282" s="320">
        <v>4</v>
      </c>
      <c r="N1282" s="322" t="s">
        <v>12</v>
      </c>
      <c r="O1282" s="151">
        <v>5</v>
      </c>
      <c r="P1282" s="151" t="s">
        <v>199</v>
      </c>
    </row>
    <row r="1283" spans="1:16" ht="33.75">
      <c r="A1283" s="319" t="s">
        <v>7679</v>
      </c>
      <c r="B1283" s="319" t="s">
        <v>7680</v>
      </c>
      <c r="C1283" s="319"/>
      <c r="D1283" s="319"/>
      <c r="E1283" s="319" t="s">
        <v>242</v>
      </c>
      <c r="F1283" s="319"/>
      <c r="G1283" s="318" t="s">
        <v>4332</v>
      </c>
      <c r="H1283" s="324" t="s">
        <v>7681</v>
      </c>
      <c r="I1283" s="324" t="s">
        <v>188</v>
      </c>
      <c r="J1283" s="319" t="s">
        <v>7665</v>
      </c>
      <c r="K1283" s="319" t="s">
        <v>191</v>
      </c>
      <c r="L1283" s="320">
        <v>4</v>
      </c>
      <c r="M1283" s="320">
        <v>4</v>
      </c>
      <c r="N1283" s="322" t="s">
        <v>12</v>
      </c>
      <c r="O1283" s="151">
        <v>5</v>
      </c>
      <c r="P1283" s="151" t="s">
        <v>199</v>
      </c>
    </row>
    <row r="1284" spans="1:16" ht="22.5">
      <c r="A1284" s="319" t="s">
        <v>7682</v>
      </c>
      <c r="B1284" s="319" t="s">
        <v>7683</v>
      </c>
      <c r="C1284" s="319" t="s">
        <v>7684</v>
      </c>
      <c r="D1284" s="319"/>
      <c r="E1284" s="319" t="s">
        <v>242</v>
      </c>
      <c r="F1284" s="319"/>
      <c r="G1284" s="318" t="s">
        <v>5636</v>
      </c>
      <c r="H1284" s="319" t="s">
        <v>7685</v>
      </c>
      <c r="I1284" s="324" t="s">
        <v>188</v>
      </c>
      <c r="J1284" s="319" t="s">
        <v>7665</v>
      </c>
      <c r="K1284" s="319" t="s">
        <v>191</v>
      </c>
      <c r="L1284" s="320">
        <v>4</v>
      </c>
      <c r="M1284" s="320">
        <v>4</v>
      </c>
      <c r="N1284" s="322" t="s">
        <v>12</v>
      </c>
      <c r="O1284" s="151">
        <v>5</v>
      </c>
      <c r="P1284" s="151" t="s">
        <v>199</v>
      </c>
    </row>
    <row r="1285" spans="1:16" ht="22.5">
      <c r="A1285" s="319" t="s">
        <v>7686</v>
      </c>
      <c r="B1285" s="319" t="s">
        <v>7687</v>
      </c>
      <c r="C1285" s="319" t="s">
        <v>7688</v>
      </c>
      <c r="D1285" s="319"/>
      <c r="E1285" s="319" t="s">
        <v>242</v>
      </c>
      <c r="F1285" s="319"/>
      <c r="G1285" s="318" t="s">
        <v>5636</v>
      </c>
      <c r="H1285" s="319" t="s">
        <v>7685</v>
      </c>
      <c r="I1285" s="324" t="s">
        <v>188</v>
      </c>
      <c r="J1285" s="319" t="s">
        <v>7665</v>
      </c>
      <c r="K1285" s="319" t="s">
        <v>191</v>
      </c>
      <c r="L1285" s="320">
        <v>4</v>
      </c>
      <c r="M1285" s="320">
        <v>4</v>
      </c>
      <c r="N1285" s="322" t="s">
        <v>12</v>
      </c>
      <c r="O1285" s="151">
        <v>5</v>
      </c>
      <c r="P1285" s="151" t="s">
        <v>199</v>
      </c>
    </row>
    <row r="1286" spans="1:16" ht="45">
      <c r="A1286" s="319" t="s">
        <v>7689</v>
      </c>
      <c r="B1286" s="319" t="s">
        <v>7690</v>
      </c>
      <c r="C1286" s="319" t="s">
        <v>7691</v>
      </c>
      <c r="D1286" s="319" t="s">
        <v>7692</v>
      </c>
      <c r="E1286" s="319" t="s">
        <v>242</v>
      </c>
      <c r="F1286" s="319"/>
      <c r="G1286" s="318" t="s">
        <v>2181</v>
      </c>
      <c r="H1286" s="319" t="s">
        <v>7693</v>
      </c>
      <c r="I1286" s="324" t="s">
        <v>188</v>
      </c>
      <c r="J1286" s="319" t="s">
        <v>7665</v>
      </c>
      <c r="K1286" s="319" t="s">
        <v>191</v>
      </c>
      <c r="L1286" s="320">
        <v>4</v>
      </c>
      <c r="M1286" s="320">
        <v>4</v>
      </c>
      <c r="N1286" s="322" t="s">
        <v>12</v>
      </c>
      <c r="O1286" s="151">
        <v>5</v>
      </c>
      <c r="P1286" s="151" t="s">
        <v>199</v>
      </c>
    </row>
    <row r="1287" spans="1:16" ht="22.5">
      <c r="A1287" s="319" t="s">
        <v>7694</v>
      </c>
      <c r="B1287" s="319" t="s">
        <v>7695</v>
      </c>
      <c r="C1287" s="319"/>
      <c r="D1287" s="319"/>
      <c r="E1287" s="319" t="s">
        <v>242</v>
      </c>
      <c r="F1287" s="319"/>
      <c r="G1287" s="318" t="s">
        <v>4332</v>
      </c>
      <c r="H1287" s="319" t="s">
        <v>7696</v>
      </c>
      <c r="I1287" s="324" t="s">
        <v>188</v>
      </c>
      <c r="J1287" s="319" t="s">
        <v>7665</v>
      </c>
      <c r="K1287" s="319" t="s">
        <v>191</v>
      </c>
      <c r="L1287" s="320">
        <v>4</v>
      </c>
      <c r="M1287" s="320">
        <v>4</v>
      </c>
      <c r="N1287" s="322" t="s">
        <v>12</v>
      </c>
      <c r="O1287" s="151">
        <v>5</v>
      </c>
      <c r="P1287" s="151" t="s">
        <v>199</v>
      </c>
    </row>
    <row r="1288" spans="1:16" ht="22.5">
      <c r="A1288" s="319" t="s">
        <v>7697</v>
      </c>
      <c r="B1288" s="319" t="s">
        <v>7698</v>
      </c>
      <c r="C1288" s="319" t="s">
        <v>7699</v>
      </c>
      <c r="D1288" s="319"/>
      <c r="E1288" s="319" t="s">
        <v>242</v>
      </c>
      <c r="F1288" s="319"/>
      <c r="G1288" s="318" t="s">
        <v>4431</v>
      </c>
      <c r="H1288" s="319" t="s">
        <v>7700</v>
      </c>
      <c r="I1288" s="324" t="s">
        <v>188</v>
      </c>
      <c r="J1288" s="319" t="s">
        <v>7665</v>
      </c>
      <c r="K1288" s="319" t="s">
        <v>191</v>
      </c>
      <c r="L1288" s="320">
        <v>4</v>
      </c>
      <c r="M1288" s="320">
        <v>4</v>
      </c>
      <c r="N1288" s="322" t="s">
        <v>12</v>
      </c>
      <c r="O1288" s="151">
        <v>5</v>
      </c>
      <c r="P1288" s="151" t="s">
        <v>199</v>
      </c>
    </row>
    <row r="1289" spans="1:16" ht="33.75">
      <c r="A1289" s="319" t="s">
        <v>7701</v>
      </c>
      <c r="B1289" s="319" t="s">
        <v>3430</v>
      </c>
      <c r="C1289" s="319" t="s">
        <v>7702</v>
      </c>
      <c r="D1289" s="319" t="s">
        <v>4424</v>
      </c>
      <c r="E1289" s="319" t="s">
        <v>242</v>
      </c>
      <c r="F1289" s="319"/>
      <c r="G1289" s="318" t="s">
        <v>2181</v>
      </c>
      <c r="H1289" s="324" t="s">
        <v>7703</v>
      </c>
      <c r="I1289" s="324" t="s">
        <v>204</v>
      </c>
      <c r="J1289" s="319" t="s">
        <v>3667</v>
      </c>
      <c r="K1289" s="319" t="s">
        <v>191</v>
      </c>
      <c r="L1289" s="320">
        <v>4</v>
      </c>
      <c r="M1289" s="320">
        <v>4</v>
      </c>
      <c r="N1289" s="322" t="s">
        <v>12</v>
      </c>
      <c r="O1289" s="151">
        <v>5</v>
      </c>
      <c r="P1289" s="151" t="s">
        <v>199</v>
      </c>
    </row>
    <row r="1290" spans="1:16" ht="22.5">
      <c r="A1290" s="319" t="s">
        <v>7704</v>
      </c>
      <c r="B1290" s="319" t="s">
        <v>7705</v>
      </c>
      <c r="C1290" s="319"/>
      <c r="D1290" s="319"/>
      <c r="E1290" s="319" t="s">
        <v>242</v>
      </c>
      <c r="F1290" s="319"/>
      <c r="G1290" s="318" t="s">
        <v>7706</v>
      </c>
      <c r="H1290" s="324" t="s">
        <v>7707</v>
      </c>
      <c r="I1290" s="324" t="s">
        <v>188</v>
      </c>
      <c r="J1290" s="319" t="s">
        <v>7665</v>
      </c>
      <c r="K1290" s="319" t="s">
        <v>191</v>
      </c>
      <c r="L1290" s="320">
        <v>4</v>
      </c>
      <c r="M1290" s="320">
        <v>4</v>
      </c>
      <c r="N1290" s="322" t="s">
        <v>12</v>
      </c>
      <c r="O1290" s="151">
        <v>5</v>
      </c>
      <c r="P1290" s="151" t="s">
        <v>199</v>
      </c>
    </row>
    <row r="1291" spans="1:16" ht="22.5">
      <c r="A1291" s="319" t="s">
        <v>7708</v>
      </c>
      <c r="B1291" s="319" t="s">
        <v>7709</v>
      </c>
      <c r="C1291" s="319"/>
      <c r="D1291" s="319"/>
      <c r="E1291" s="319" t="s">
        <v>242</v>
      </c>
      <c r="F1291" s="319"/>
      <c r="G1291" s="318" t="s">
        <v>4332</v>
      </c>
      <c r="H1291" s="324" t="s">
        <v>7710</v>
      </c>
      <c r="I1291" s="324" t="s">
        <v>188</v>
      </c>
      <c r="J1291" s="319" t="s">
        <v>7665</v>
      </c>
      <c r="K1291" s="319" t="s">
        <v>191</v>
      </c>
      <c r="L1291" s="320">
        <v>4</v>
      </c>
      <c r="M1291" s="320">
        <v>4</v>
      </c>
      <c r="N1291" s="322" t="s">
        <v>14</v>
      </c>
      <c r="O1291" s="151">
        <v>5</v>
      </c>
      <c r="P1291" s="151" t="s">
        <v>199</v>
      </c>
    </row>
    <row r="1292" spans="1:16" ht="22.5">
      <c r="A1292" s="319" t="s">
        <v>7711</v>
      </c>
      <c r="B1292" s="319" t="s">
        <v>7712</v>
      </c>
      <c r="C1292" s="319"/>
      <c r="D1292" s="319"/>
      <c r="E1292" s="319" t="s">
        <v>242</v>
      </c>
      <c r="F1292" s="319"/>
      <c r="G1292" s="318" t="s">
        <v>4332</v>
      </c>
      <c r="H1292" s="324" t="s">
        <v>7713</v>
      </c>
      <c r="I1292" s="324" t="s">
        <v>188</v>
      </c>
      <c r="J1292" s="319" t="s">
        <v>7665</v>
      </c>
      <c r="K1292" s="319" t="s">
        <v>191</v>
      </c>
      <c r="L1292" s="320">
        <v>4</v>
      </c>
      <c r="M1292" s="320">
        <v>4</v>
      </c>
      <c r="N1292" s="322" t="s">
        <v>14</v>
      </c>
      <c r="O1292" s="151">
        <v>5</v>
      </c>
      <c r="P1292" s="151" t="s">
        <v>199</v>
      </c>
    </row>
    <row r="1293" spans="1:16" ht="22.5">
      <c r="A1293" s="142" t="s">
        <v>7714</v>
      </c>
      <c r="B1293" s="319" t="s">
        <v>7715</v>
      </c>
      <c r="C1293" s="319"/>
      <c r="D1293" s="319"/>
      <c r="E1293" s="319" t="s">
        <v>242</v>
      </c>
      <c r="F1293" s="341"/>
      <c r="G1293" s="362" t="s">
        <v>4332</v>
      </c>
      <c r="H1293" s="196" t="s">
        <v>7716</v>
      </c>
      <c r="I1293" s="324" t="s">
        <v>188</v>
      </c>
      <c r="J1293" s="319" t="s">
        <v>7665</v>
      </c>
      <c r="K1293" s="319" t="s">
        <v>191</v>
      </c>
      <c r="L1293" s="320">
        <v>4</v>
      </c>
      <c r="M1293" s="320">
        <v>4</v>
      </c>
      <c r="N1293" s="322" t="s">
        <v>14</v>
      </c>
      <c r="O1293" s="151">
        <v>5</v>
      </c>
      <c r="P1293" s="151" t="s">
        <v>199</v>
      </c>
    </row>
    <row r="1294" spans="1:16" ht="33.75">
      <c r="A1294" s="142" t="s">
        <v>7717</v>
      </c>
      <c r="B1294" s="319" t="s">
        <v>7718</v>
      </c>
      <c r="C1294" s="319"/>
      <c r="D1294" s="319"/>
      <c r="E1294" s="319" t="s">
        <v>242</v>
      </c>
      <c r="F1294" s="341"/>
      <c r="G1294" s="362" t="s">
        <v>4332</v>
      </c>
      <c r="H1294" s="150" t="s">
        <v>7719</v>
      </c>
      <c r="I1294" s="324" t="s">
        <v>188</v>
      </c>
      <c r="J1294" s="319" t="s">
        <v>7665</v>
      </c>
      <c r="K1294" s="319" t="s">
        <v>191</v>
      </c>
      <c r="L1294" s="320">
        <v>4</v>
      </c>
      <c r="M1294" s="320">
        <v>4</v>
      </c>
      <c r="N1294" s="322" t="s">
        <v>14</v>
      </c>
      <c r="O1294" s="151">
        <v>5</v>
      </c>
      <c r="P1294" s="151" t="s">
        <v>199</v>
      </c>
    </row>
    <row r="1295" spans="1:16" ht="33.75">
      <c r="A1295" s="142" t="s">
        <v>7720</v>
      </c>
      <c r="B1295" s="319" t="s">
        <v>7721</v>
      </c>
      <c r="C1295" s="329"/>
      <c r="D1295" s="329"/>
      <c r="E1295" s="319" t="s">
        <v>242</v>
      </c>
      <c r="F1295" s="341"/>
      <c r="G1295" s="362" t="s">
        <v>1890</v>
      </c>
      <c r="H1295" s="150" t="s">
        <v>7722</v>
      </c>
      <c r="I1295" s="324" t="s">
        <v>188</v>
      </c>
      <c r="J1295" s="319" t="s">
        <v>7665</v>
      </c>
      <c r="K1295" s="319" t="s">
        <v>191</v>
      </c>
      <c r="L1295" s="320">
        <v>4</v>
      </c>
      <c r="M1295" s="320">
        <v>4</v>
      </c>
      <c r="N1295" s="322" t="s">
        <v>12</v>
      </c>
      <c r="O1295" s="151">
        <v>5</v>
      </c>
      <c r="P1295" s="151" t="s">
        <v>199</v>
      </c>
    </row>
    <row r="1296" spans="1:16" ht="45">
      <c r="A1296" s="142" t="s">
        <v>7723</v>
      </c>
      <c r="B1296" s="319" t="s">
        <v>7724</v>
      </c>
      <c r="C1296" s="329"/>
      <c r="D1296" s="329"/>
      <c r="E1296" s="319" t="s">
        <v>242</v>
      </c>
      <c r="F1296" s="341"/>
      <c r="G1296" s="362" t="s">
        <v>1890</v>
      </c>
      <c r="H1296" s="150" t="s">
        <v>7725</v>
      </c>
      <c r="I1296" s="324" t="s">
        <v>188</v>
      </c>
      <c r="J1296" s="319" t="s">
        <v>7665</v>
      </c>
      <c r="K1296" s="319" t="s">
        <v>191</v>
      </c>
      <c r="L1296" s="320">
        <v>4</v>
      </c>
      <c r="M1296" s="320">
        <v>4</v>
      </c>
      <c r="N1296" s="322" t="s">
        <v>12</v>
      </c>
      <c r="O1296" s="151">
        <v>5</v>
      </c>
      <c r="P1296" s="151" t="s">
        <v>199</v>
      </c>
    </row>
    <row r="1297" spans="1:16" ht="78.75">
      <c r="A1297" s="142" t="s">
        <v>7726</v>
      </c>
      <c r="B1297" s="319" t="s">
        <v>7727</v>
      </c>
      <c r="C1297" s="329"/>
      <c r="D1297" s="329"/>
      <c r="E1297" s="319" t="s">
        <v>242</v>
      </c>
      <c r="F1297" s="341"/>
      <c r="G1297" s="362" t="s">
        <v>1890</v>
      </c>
      <c r="H1297" s="150" t="s">
        <v>7728</v>
      </c>
      <c r="I1297" s="324" t="s">
        <v>188</v>
      </c>
      <c r="J1297" s="319" t="s">
        <v>7665</v>
      </c>
      <c r="K1297" s="319" t="s">
        <v>191</v>
      </c>
      <c r="L1297" s="320">
        <v>4</v>
      </c>
      <c r="M1297" s="320">
        <v>4</v>
      </c>
      <c r="N1297" s="322" t="s">
        <v>12</v>
      </c>
      <c r="O1297" s="151">
        <v>5</v>
      </c>
      <c r="P1297" s="151" t="s">
        <v>199</v>
      </c>
    </row>
    <row r="1298" spans="1:16" ht="45">
      <c r="A1298" s="142" t="s">
        <v>7729</v>
      </c>
      <c r="B1298" s="319" t="s">
        <v>7730</v>
      </c>
      <c r="C1298" s="329"/>
      <c r="D1298" s="329"/>
      <c r="E1298" s="319" t="s">
        <v>242</v>
      </c>
      <c r="F1298" s="341"/>
      <c r="G1298" s="362" t="s">
        <v>1890</v>
      </c>
      <c r="H1298" s="150" t="s">
        <v>7731</v>
      </c>
      <c r="I1298" s="324" t="s">
        <v>188</v>
      </c>
      <c r="J1298" s="319" t="s">
        <v>7665</v>
      </c>
      <c r="K1298" s="319" t="s">
        <v>191</v>
      </c>
      <c r="L1298" s="320">
        <v>4</v>
      </c>
      <c r="M1298" s="320">
        <v>4</v>
      </c>
      <c r="N1298" s="322" t="s">
        <v>12</v>
      </c>
      <c r="O1298" s="151">
        <v>5</v>
      </c>
      <c r="P1298" s="151" t="s">
        <v>199</v>
      </c>
    </row>
    <row r="1299" spans="1:16" ht="56.25">
      <c r="A1299" s="142" t="s">
        <v>7732</v>
      </c>
      <c r="B1299" s="319" t="s">
        <v>7733</v>
      </c>
      <c r="C1299" s="329"/>
      <c r="D1299" s="329"/>
      <c r="E1299" s="319" t="s">
        <v>242</v>
      </c>
      <c r="F1299" s="341"/>
      <c r="G1299" s="362" t="s">
        <v>1890</v>
      </c>
      <c r="H1299" s="150" t="s">
        <v>7734</v>
      </c>
      <c r="I1299" s="324" t="s">
        <v>188</v>
      </c>
      <c r="J1299" s="319" t="s">
        <v>7665</v>
      </c>
      <c r="K1299" s="319" t="s">
        <v>191</v>
      </c>
      <c r="L1299" s="320">
        <v>4</v>
      </c>
      <c r="M1299" s="320">
        <v>4</v>
      </c>
      <c r="N1299" s="322" t="s">
        <v>12</v>
      </c>
      <c r="O1299" s="151">
        <v>5</v>
      </c>
      <c r="P1299" s="151" t="s">
        <v>199</v>
      </c>
    </row>
    <row r="1300" spans="1:16" ht="22.5">
      <c r="A1300" s="319" t="s">
        <v>7735</v>
      </c>
      <c r="B1300" s="319" t="s">
        <v>7736</v>
      </c>
      <c r="C1300" s="319"/>
      <c r="D1300" s="319"/>
      <c r="E1300" s="319" t="s">
        <v>242</v>
      </c>
      <c r="F1300" s="319"/>
      <c r="G1300" s="318" t="s">
        <v>1946</v>
      </c>
      <c r="H1300" s="324" t="s">
        <v>7737</v>
      </c>
      <c r="I1300" s="324" t="s">
        <v>188</v>
      </c>
      <c r="J1300" s="319" t="s">
        <v>7665</v>
      </c>
      <c r="K1300" s="319" t="s">
        <v>191</v>
      </c>
      <c r="L1300" s="320">
        <v>4</v>
      </c>
      <c r="M1300" s="320">
        <v>4</v>
      </c>
      <c r="N1300" s="322" t="s">
        <v>12</v>
      </c>
      <c r="O1300" s="151">
        <v>5</v>
      </c>
      <c r="P1300" s="151" t="s">
        <v>199</v>
      </c>
    </row>
    <row r="1301" spans="1:16">
      <c r="A1301" s="319" t="s">
        <v>7738</v>
      </c>
      <c r="B1301" s="319" t="s">
        <v>7738</v>
      </c>
      <c r="C1301" s="319"/>
      <c r="D1301" s="319"/>
      <c r="E1301" s="319" t="s">
        <v>242</v>
      </c>
      <c r="F1301" s="319"/>
      <c r="G1301" s="318" t="s">
        <v>6627</v>
      </c>
      <c r="H1301" s="324" t="s">
        <v>7739</v>
      </c>
      <c r="I1301" s="324"/>
      <c r="J1301" s="319"/>
      <c r="K1301" s="319" t="s">
        <v>191</v>
      </c>
      <c r="L1301" s="320">
        <v>4</v>
      </c>
      <c r="M1301" s="320">
        <v>4</v>
      </c>
      <c r="N1301" s="322" t="s">
        <v>14</v>
      </c>
      <c r="O1301" s="151">
        <v>5</v>
      </c>
      <c r="P1301" s="151" t="s">
        <v>199</v>
      </c>
    </row>
    <row r="1302" spans="1:16">
      <c r="A1302" s="319" t="s">
        <v>7740</v>
      </c>
      <c r="B1302" s="319" t="s">
        <v>7740</v>
      </c>
      <c r="C1302" s="319"/>
      <c r="D1302" s="319"/>
      <c r="E1302" s="319" t="s">
        <v>242</v>
      </c>
      <c r="F1302" s="319"/>
      <c r="G1302" s="318" t="s">
        <v>6627</v>
      </c>
      <c r="H1302" s="324" t="s">
        <v>7741</v>
      </c>
      <c r="I1302" s="324"/>
      <c r="J1302" s="319"/>
      <c r="K1302" s="319" t="s">
        <v>191</v>
      </c>
      <c r="L1302" s="320">
        <v>4</v>
      </c>
      <c r="M1302" s="320">
        <v>4</v>
      </c>
      <c r="N1302" s="322" t="s">
        <v>14</v>
      </c>
      <c r="O1302" s="151">
        <v>5</v>
      </c>
      <c r="P1302" s="151" t="s">
        <v>199</v>
      </c>
    </row>
    <row r="1303" spans="1:16">
      <c r="A1303" s="319" t="s">
        <v>7742</v>
      </c>
      <c r="B1303" s="319" t="s">
        <v>7742</v>
      </c>
      <c r="C1303" s="319"/>
      <c r="D1303" s="319"/>
      <c r="E1303" s="319" t="s">
        <v>242</v>
      </c>
      <c r="F1303" s="319"/>
      <c r="G1303" s="318" t="s">
        <v>6627</v>
      </c>
      <c r="H1303" s="324" t="s">
        <v>7743</v>
      </c>
      <c r="I1303" s="324"/>
      <c r="J1303" s="319"/>
      <c r="K1303" s="319" t="s">
        <v>191</v>
      </c>
      <c r="L1303" s="320">
        <v>4</v>
      </c>
      <c r="M1303" s="320">
        <v>4</v>
      </c>
      <c r="N1303" s="322" t="s">
        <v>14</v>
      </c>
      <c r="O1303" s="151">
        <v>5</v>
      </c>
      <c r="P1303" s="151" t="s">
        <v>199</v>
      </c>
    </row>
    <row r="1304" spans="1:16" ht="22.5">
      <c r="A1304" s="319" t="s">
        <v>7744</v>
      </c>
      <c r="B1304" s="319" t="s">
        <v>7744</v>
      </c>
      <c r="C1304" s="319"/>
      <c r="D1304" s="319"/>
      <c r="E1304" s="319" t="s">
        <v>242</v>
      </c>
      <c r="F1304" s="319"/>
      <c r="G1304" s="318" t="s">
        <v>1890</v>
      </c>
      <c r="H1304" s="324" t="s">
        <v>7745</v>
      </c>
      <c r="I1304" s="324" t="s">
        <v>188</v>
      </c>
      <c r="J1304" s="319" t="s">
        <v>7665</v>
      </c>
      <c r="K1304" s="319" t="s">
        <v>191</v>
      </c>
      <c r="L1304" s="320">
        <v>4</v>
      </c>
      <c r="M1304" s="320">
        <v>4</v>
      </c>
      <c r="N1304" s="322" t="s">
        <v>14</v>
      </c>
      <c r="O1304" s="151">
        <v>5</v>
      </c>
      <c r="P1304" s="151" t="s">
        <v>199</v>
      </c>
    </row>
    <row r="1305" spans="1:16" ht="22.5">
      <c r="A1305" s="319" t="s">
        <v>7746</v>
      </c>
      <c r="B1305" s="319" t="s">
        <v>7746</v>
      </c>
      <c r="C1305" s="319"/>
      <c r="D1305" s="319"/>
      <c r="E1305" s="319" t="s">
        <v>242</v>
      </c>
      <c r="F1305" s="319"/>
      <c r="G1305" s="318" t="s">
        <v>1890</v>
      </c>
      <c r="H1305" s="324" t="s">
        <v>7747</v>
      </c>
      <c r="I1305" s="324" t="s">
        <v>188</v>
      </c>
      <c r="J1305" s="319" t="s">
        <v>7665</v>
      </c>
      <c r="K1305" s="319" t="s">
        <v>191</v>
      </c>
      <c r="L1305" s="320">
        <v>4</v>
      </c>
      <c r="M1305" s="320">
        <v>4</v>
      </c>
      <c r="N1305" s="322" t="s">
        <v>14</v>
      </c>
      <c r="O1305" s="151">
        <v>5</v>
      </c>
      <c r="P1305" s="151" t="s">
        <v>199</v>
      </c>
    </row>
    <row r="1306" spans="1:16">
      <c r="A1306" s="319" t="s">
        <v>7748</v>
      </c>
      <c r="B1306" s="319" t="s">
        <v>7748</v>
      </c>
      <c r="C1306" s="319"/>
      <c r="D1306" s="319"/>
      <c r="E1306" s="319" t="s">
        <v>242</v>
      </c>
      <c r="F1306" s="319"/>
      <c r="G1306" s="318" t="s">
        <v>1890</v>
      </c>
      <c r="H1306" s="324" t="s">
        <v>7749</v>
      </c>
      <c r="I1306" s="324" t="s">
        <v>198</v>
      </c>
      <c r="J1306" s="319"/>
      <c r="K1306" s="319" t="s">
        <v>191</v>
      </c>
      <c r="L1306" s="320">
        <v>4</v>
      </c>
      <c r="M1306" s="320">
        <v>4</v>
      </c>
      <c r="N1306" s="322" t="s">
        <v>14</v>
      </c>
      <c r="O1306" s="151">
        <v>5</v>
      </c>
      <c r="P1306" s="151" t="s">
        <v>199</v>
      </c>
    </row>
    <row r="1307" spans="1:16" ht="22.5">
      <c r="A1307" s="319" t="s">
        <v>7750</v>
      </c>
      <c r="B1307" s="319" t="s">
        <v>7750</v>
      </c>
      <c r="C1307" s="319"/>
      <c r="D1307" s="319"/>
      <c r="E1307" s="319" t="s">
        <v>242</v>
      </c>
      <c r="F1307" s="319"/>
      <c r="G1307" s="318" t="s">
        <v>1890</v>
      </c>
      <c r="H1307" s="324" t="s">
        <v>7751</v>
      </c>
      <c r="I1307" s="324" t="s">
        <v>204</v>
      </c>
      <c r="J1307" s="319"/>
      <c r="K1307" s="319" t="s">
        <v>191</v>
      </c>
      <c r="L1307" s="320">
        <v>4</v>
      </c>
      <c r="M1307" s="320">
        <v>4</v>
      </c>
      <c r="N1307" s="322" t="s">
        <v>14</v>
      </c>
      <c r="O1307" s="151">
        <v>5</v>
      </c>
      <c r="P1307" s="151" t="s">
        <v>199</v>
      </c>
    </row>
    <row r="1308" spans="1:16">
      <c r="A1308" s="319" t="s">
        <v>7752</v>
      </c>
      <c r="B1308" s="319" t="s">
        <v>7752</v>
      </c>
      <c r="C1308" s="319"/>
      <c r="D1308" s="319"/>
      <c r="E1308" s="319" t="s">
        <v>242</v>
      </c>
      <c r="F1308" s="319"/>
      <c r="G1308" s="318" t="s">
        <v>1890</v>
      </c>
      <c r="H1308" s="324" t="s">
        <v>7753</v>
      </c>
      <c r="I1308" s="324" t="s">
        <v>198</v>
      </c>
      <c r="J1308" s="319"/>
      <c r="K1308" s="319" t="s">
        <v>191</v>
      </c>
      <c r="L1308" s="320">
        <v>4</v>
      </c>
      <c r="M1308" s="320">
        <v>4</v>
      </c>
      <c r="N1308" s="322" t="s">
        <v>14</v>
      </c>
      <c r="O1308" s="151">
        <v>5</v>
      </c>
      <c r="P1308" s="151" t="s">
        <v>199</v>
      </c>
    </row>
    <row r="1309" spans="1:16">
      <c r="A1309" s="319" t="s">
        <v>7754</v>
      </c>
      <c r="B1309" s="319" t="s">
        <v>7754</v>
      </c>
      <c r="C1309" s="319"/>
      <c r="D1309" s="319"/>
      <c r="E1309" s="319" t="s">
        <v>242</v>
      </c>
      <c r="F1309" s="319"/>
      <c r="G1309" s="318" t="s">
        <v>1890</v>
      </c>
      <c r="H1309" s="324" t="s">
        <v>7755</v>
      </c>
      <c r="I1309" s="324" t="s">
        <v>198</v>
      </c>
      <c r="J1309" s="319"/>
      <c r="K1309" s="319" t="s">
        <v>191</v>
      </c>
      <c r="L1309" s="320">
        <v>4</v>
      </c>
      <c r="M1309" s="320">
        <v>4</v>
      </c>
      <c r="N1309" s="322" t="s">
        <v>14</v>
      </c>
      <c r="O1309" s="151">
        <v>5</v>
      </c>
      <c r="P1309" s="151" t="s">
        <v>199</v>
      </c>
    </row>
    <row r="1310" spans="1:16">
      <c r="A1310" s="319" t="s">
        <v>7756</v>
      </c>
      <c r="B1310" s="319" t="s">
        <v>7756</v>
      </c>
      <c r="C1310" s="319"/>
      <c r="D1310" s="319"/>
      <c r="E1310" s="319" t="s">
        <v>242</v>
      </c>
      <c r="F1310" s="319"/>
      <c r="G1310" s="318" t="s">
        <v>1890</v>
      </c>
      <c r="H1310" s="324" t="s">
        <v>7757</v>
      </c>
      <c r="I1310" s="324" t="s">
        <v>198</v>
      </c>
      <c r="J1310" s="319"/>
      <c r="K1310" s="319" t="s">
        <v>191</v>
      </c>
      <c r="L1310" s="320">
        <v>4</v>
      </c>
      <c r="M1310" s="320">
        <v>4</v>
      </c>
      <c r="N1310" s="322" t="s">
        <v>14</v>
      </c>
      <c r="O1310" s="151">
        <v>5</v>
      </c>
      <c r="P1310" s="151" t="s">
        <v>199</v>
      </c>
    </row>
    <row r="1311" spans="1:16">
      <c r="A1311" s="319" t="s">
        <v>7758</v>
      </c>
      <c r="B1311" s="319" t="s">
        <v>7758</v>
      </c>
      <c r="C1311" s="319"/>
      <c r="D1311" s="319"/>
      <c r="E1311" s="319" t="s">
        <v>242</v>
      </c>
      <c r="F1311" s="319"/>
      <c r="G1311" s="318" t="s">
        <v>1890</v>
      </c>
      <c r="H1311" s="324" t="s">
        <v>7759</v>
      </c>
      <c r="I1311" s="324" t="s">
        <v>188</v>
      </c>
      <c r="J1311" s="319" t="s">
        <v>7760</v>
      </c>
      <c r="K1311" s="319" t="s">
        <v>191</v>
      </c>
      <c r="L1311" s="320">
        <v>4</v>
      </c>
      <c r="M1311" s="320">
        <v>4</v>
      </c>
      <c r="N1311" s="322" t="s">
        <v>14</v>
      </c>
      <c r="O1311" s="151">
        <v>5</v>
      </c>
      <c r="P1311" s="151" t="s">
        <v>199</v>
      </c>
    </row>
    <row r="1312" spans="1:16" ht="22.5">
      <c r="A1312" s="319" t="s">
        <v>7761</v>
      </c>
      <c r="B1312" s="319" t="s">
        <v>7761</v>
      </c>
      <c r="C1312" s="319"/>
      <c r="D1312" s="319"/>
      <c r="E1312" s="319" t="s">
        <v>242</v>
      </c>
      <c r="F1312" s="319"/>
      <c r="G1312" s="318" t="s">
        <v>1890</v>
      </c>
      <c r="H1312" s="324" t="s">
        <v>7762</v>
      </c>
      <c r="I1312" s="324" t="s">
        <v>188</v>
      </c>
      <c r="J1312" s="319" t="s">
        <v>7760</v>
      </c>
      <c r="K1312" s="319" t="s">
        <v>191</v>
      </c>
      <c r="L1312" s="320">
        <v>4</v>
      </c>
      <c r="M1312" s="320">
        <v>4</v>
      </c>
      <c r="N1312" s="322" t="s">
        <v>14</v>
      </c>
      <c r="O1312" s="151">
        <v>5</v>
      </c>
      <c r="P1312" s="151" t="s">
        <v>199</v>
      </c>
    </row>
    <row r="1313" spans="1:16">
      <c r="A1313" s="319" t="s">
        <v>7763</v>
      </c>
      <c r="B1313" s="319" t="s">
        <v>7763</v>
      </c>
      <c r="C1313" s="319"/>
      <c r="D1313" s="319"/>
      <c r="E1313" s="319" t="s">
        <v>242</v>
      </c>
      <c r="F1313" s="319"/>
      <c r="G1313" s="318" t="s">
        <v>1890</v>
      </c>
      <c r="H1313" s="324" t="s">
        <v>7764</v>
      </c>
      <c r="I1313" s="324" t="s">
        <v>198</v>
      </c>
      <c r="J1313" s="319"/>
      <c r="K1313" s="319" t="s">
        <v>191</v>
      </c>
      <c r="L1313" s="320">
        <v>4</v>
      </c>
      <c r="M1313" s="320">
        <v>4</v>
      </c>
      <c r="N1313" s="322" t="s">
        <v>14</v>
      </c>
      <c r="O1313" s="151">
        <v>5</v>
      </c>
      <c r="P1313" s="151" t="s">
        <v>199</v>
      </c>
    </row>
    <row r="1314" spans="1:16">
      <c r="A1314" s="319" t="s">
        <v>7765</v>
      </c>
      <c r="B1314" s="319" t="s">
        <v>7765</v>
      </c>
      <c r="C1314" s="319"/>
      <c r="D1314" s="319"/>
      <c r="E1314" s="319" t="s">
        <v>242</v>
      </c>
      <c r="F1314" s="319"/>
      <c r="G1314" s="318" t="s">
        <v>1890</v>
      </c>
      <c r="H1314" s="324" t="s">
        <v>7766</v>
      </c>
      <c r="I1314" s="324" t="s">
        <v>188</v>
      </c>
      <c r="J1314" s="319" t="s">
        <v>7760</v>
      </c>
      <c r="K1314" s="319" t="s">
        <v>191</v>
      </c>
      <c r="L1314" s="320">
        <v>4</v>
      </c>
      <c r="M1314" s="320">
        <v>4</v>
      </c>
      <c r="N1314" s="322" t="s">
        <v>14</v>
      </c>
      <c r="O1314" s="151">
        <v>5</v>
      </c>
      <c r="P1314" s="151" t="s">
        <v>199</v>
      </c>
    </row>
    <row r="1315" spans="1:16">
      <c r="A1315" s="319" t="s">
        <v>7767</v>
      </c>
      <c r="B1315" s="319" t="s">
        <v>7767</v>
      </c>
      <c r="C1315" s="319"/>
      <c r="D1315" s="319"/>
      <c r="E1315" s="319" t="s">
        <v>242</v>
      </c>
      <c r="F1315" s="319"/>
      <c r="G1315" s="318" t="s">
        <v>1890</v>
      </c>
      <c r="H1315" s="324" t="s">
        <v>7768</v>
      </c>
      <c r="I1315" s="324" t="s">
        <v>198</v>
      </c>
      <c r="J1315" s="319"/>
      <c r="K1315" s="319" t="s">
        <v>191</v>
      </c>
      <c r="L1315" s="320">
        <v>4</v>
      </c>
      <c r="M1315" s="320">
        <v>4</v>
      </c>
      <c r="N1315" s="322" t="s">
        <v>14</v>
      </c>
      <c r="O1315" s="151">
        <v>5</v>
      </c>
      <c r="P1315" s="151" t="s">
        <v>199</v>
      </c>
    </row>
    <row r="1316" spans="1:16">
      <c r="A1316" s="319" t="s">
        <v>7769</v>
      </c>
      <c r="B1316" s="319" t="s">
        <v>7769</v>
      </c>
      <c r="C1316" s="319"/>
      <c r="D1316" s="319"/>
      <c r="E1316" s="319" t="s">
        <v>242</v>
      </c>
      <c r="F1316" s="319"/>
      <c r="G1316" s="318" t="s">
        <v>6464</v>
      </c>
      <c r="H1316" s="324" t="s">
        <v>7770</v>
      </c>
      <c r="I1316" s="324" t="s">
        <v>198</v>
      </c>
      <c r="J1316" s="319"/>
      <c r="K1316" s="319" t="s">
        <v>191</v>
      </c>
      <c r="L1316" s="320">
        <v>4</v>
      </c>
      <c r="M1316" s="320">
        <v>4</v>
      </c>
      <c r="N1316" s="322" t="s">
        <v>14</v>
      </c>
      <c r="O1316" s="151">
        <v>5</v>
      </c>
      <c r="P1316" s="151" t="s">
        <v>199</v>
      </c>
    </row>
    <row r="1317" spans="1:16">
      <c r="A1317" s="319" t="s">
        <v>7771</v>
      </c>
      <c r="B1317" s="319" t="s">
        <v>7771</v>
      </c>
      <c r="C1317" s="319"/>
      <c r="D1317" s="319"/>
      <c r="E1317" s="319" t="s">
        <v>242</v>
      </c>
      <c r="F1317" s="319"/>
      <c r="G1317" s="318" t="s">
        <v>6464</v>
      </c>
      <c r="H1317" s="324" t="s">
        <v>7772</v>
      </c>
      <c r="I1317" s="324" t="s">
        <v>198</v>
      </c>
      <c r="J1317" s="319"/>
      <c r="K1317" s="319" t="s">
        <v>191</v>
      </c>
      <c r="L1317" s="320">
        <v>4</v>
      </c>
      <c r="M1317" s="320">
        <v>4</v>
      </c>
      <c r="N1317" s="322" t="s">
        <v>14</v>
      </c>
      <c r="O1317" s="151">
        <v>5</v>
      </c>
      <c r="P1317" s="151" t="s">
        <v>199</v>
      </c>
    </row>
    <row r="1318" spans="1:16">
      <c r="A1318" s="319" t="s">
        <v>7773</v>
      </c>
      <c r="B1318" s="319" t="s">
        <v>7773</v>
      </c>
      <c r="C1318" s="319"/>
      <c r="D1318" s="319"/>
      <c r="E1318" s="319" t="s">
        <v>242</v>
      </c>
      <c r="F1318" s="319"/>
      <c r="G1318" s="318" t="s">
        <v>1890</v>
      </c>
      <c r="H1318" s="324" t="s">
        <v>7774</v>
      </c>
      <c r="I1318" s="324" t="s">
        <v>198</v>
      </c>
      <c r="J1318" s="319"/>
      <c r="K1318" s="319" t="s">
        <v>191</v>
      </c>
      <c r="L1318" s="320">
        <v>4</v>
      </c>
      <c r="M1318" s="320">
        <v>4</v>
      </c>
      <c r="N1318" s="322" t="s">
        <v>14</v>
      </c>
      <c r="O1318" s="151">
        <v>5</v>
      </c>
      <c r="P1318" s="151" t="s">
        <v>199</v>
      </c>
    </row>
    <row r="1319" spans="1:16">
      <c r="A1319" s="319" t="s">
        <v>7775</v>
      </c>
      <c r="B1319" s="319" t="s">
        <v>7775</v>
      </c>
      <c r="C1319" s="319"/>
      <c r="D1319" s="319"/>
      <c r="E1319" s="319" t="s">
        <v>242</v>
      </c>
      <c r="F1319" s="319"/>
      <c r="G1319" s="318" t="s">
        <v>1890</v>
      </c>
      <c r="H1319" s="324" t="s">
        <v>7776</v>
      </c>
      <c r="I1319" s="324" t="s">
        <v>204</v>
      </c>
      <c r="J1319" s="319"/>
      <c r="K1319" s="319" t="s">
        <v>191</v>
      </c>
      <c r="L1319" s="320">
        <v>4</v>
      </c>
      <c r="M1319" s="320">
        <v>4</v>
      </c>
      <c r="N1319" s="322" t="s">
        <v>14</v>
      </c>
      <c r="O1319" s="151">
        <v>5</v>
      </c>
      <c r="P1319" s="151" t="s">
        <v>199</v>
      </c>
    </row>
    <row r="1320" spans="1:16">
      <c r="A1320" s="319" t="s">
        <v>7777</v>
      </c>
      <c r="B1320" s="319" t="s">
        <v>7777</v>
      </c>
      <c r="C1320" s="319"/>
      <c r="D1320" s="319"/>
      <c r="E1320" s="319" t="s">
        <v>242</v>
      </c>
      <c r="F1320" s="319"/>
      <c r="G1320" s="318" t="s">
        <v>1890</v>
      </c>
      <c r="H1320" s="324" t="s">
        <v>7778</v>
      </c>
      <c r="I1320" s="324" t="s">
        <v>198</v>
      </c>
      <c r="J1320" s="319"/>
      <c r="K1320" s="319" t="s">
        <v>191</v>
      </c>
      <c r="L1320" s="320">
        <v>4</v>
      </c>
      <c r="M1320" s="320">
        <v>4</v>
      </c>
      <c r="N1320" s="322" t="s">
        <v>14</v>
      </c>
      <c r="O1320" s="151">
        <v>5</v>
      </c>
      <c r="P1320" s="151" t="s">
        <v>199</v>
      </c>
    </row>
    <row r="1321" spans="1:16" ht="45">
      <c r="A1321" s="319" t="s">
        <v>7779</v>
      </c>
      <c r="B1321" s="319" t="s">
        <v>7779</v>
      </c>
      <c r="C1321" s="319"/>
      <c r="D1321" s="319"/>
      <c r="E1321" s="319" t="s">
        <v>242</v>
      </c>
      <c r="F1321" s="319"/>
      <c r="G1321" s="318" t="s">
        <v>1946</v>
      </c>
      <c r="H1321" s="324" t="s">
        <v>7780</v>
      </c>
      <c r="I1321" s="324" t="s">
        <v>188</v>
      </c>
      <c r="J1321" s="319" t="s">
        <v>7760</v>
      </c>
      <c r="K1321" s="319" t="s">
        <v>191</v>
      </c>
      <c r="L1321" s="320">
        <v>4</v>
      </c>
      <c r="M1321" s="320">
        <v>4</v>
      </c>
      <c r="N1321" s="322" t="s">
        <v>14</v>
      </c>
      <c r="O1321" s="151">
        <v>5</v>
      </c>
      <c r="P1321" s="151" t="s">
        <v>199</v>
      </c>
    </row>
    <row r="1322" spans="1:16">
      <c r="A1322" s="319" t="s">
        <v>7781</v>
      </c>
      <c r="B1322" s="319" t="s">
        <v>7781</v>
      </c>
      <c r="C1322" s="319"/>
      <c r="D1322" s="319"/>
      <c r="E1322" s="319" t="s">
        <v>242</v>
      </c>
      <c r="F1322" s="319"/>
      <c r="G1322" s="318" t="s">
        <v>1890</v>
      </c>
      <c r="H1322" s="324" t="s">
        <v>7782</v>
      </c>
      <c r="I1322" s="324" t="s">
        <v>188</v>
      </c>
      <c r="J1322" s="319" t="s">
        <v>7760</v>
      </c>
      <c r="K1322" s="319" t="s">
        <v>191</v>
      </c>
      <c r="L1322" s="320">
        <v>4</v>
      </c>
      <c r="M1322" s="320">
        <v>4</v>
      </c>
      <c r="N1322" s="322" t="s">
        <v>14</v>
      </c>
      <c r="O1322" s="151">
        <v>5</v>
      </c>
      <c r="P1322" s="151" t="s">
        <v>199</v>
      </c>
    </row>
    <row r="1323" spans="1:16" ht="33.75">
      <c r="A1323" s="319" t="s">
        <v>7783</v>
      </c>
      <c r="B1323" s="319" t="s">
        <v>7783</v>
      </c>
      <c r="C1323" s="319"/>
      <c r="D1323" s="319"/>
      <c r="E1323" s="319" t="s">
        <v>242</v>
      </c>
      <c r="F1323" s="319"/>
      <c r="G1323" s="318" t="s">
        <v>6464</v>
      </c>
      <c r="H1323" s="324" t="s">
        <v>7784</v>
      </c>
      <c r="I1323" s="324" t="s">
        <v>204</v>
      </c>
      <c r="J1323" s="319"/>
      <c r="K1323" s="319" t="s">
        <v>191</v>
      </c>
      <c r="L1323" s="320">
        <v>4</v>
      </c>
      <c r="M1323" s="320">
        <v>4</v>
      </c>
      <c r="N1323" s="322" t="s">
        <v>14</v>
      </c>
      <c r="O1323" s="151">
        <v>5</v>
      </c>
      <c r="P1323" s="151" t="s">
        <v>199</v>
      </c>
    </row>
    <row r="1324" spans="1:16" ht="33.75">
      <c r="A1324" s="319" t="s">
        <v>7785</v>
      </c>
      <c r="B1324" s="319" t="s">
        <v>7785</v>
      </c>
      <c r="C1324" s="319"/>
      <c r="D1324" s="319"/>
      <c r="E1324" s="319" t="s">
        <v>242</v>
      </c>
      <c r="F1324" s="319"/>
      <c r="G1324" s="318" t="s">
        <v>6464</v>
      </c>
      <c r="H1324" s="324" t="s">
        <v>7786</v>
      </c>
      <c r="I1324" s="324" t="s">
        <v>204</v>
      </c>
      <c r="J1324" s="319"/>
      <c r="K1324" s="319" t="s">
        <v>191</v>
      </c>
      <c r="L1324" s="320">
        <v>4</v>
      </c>
      <c r="M1324" s="320">
        <v>4</v>
      </c>
      <c r="N1324" s="322" t="s">
        <v>14</v>
      </c>
      <c r="O1324" s="151">
        <v>5</v>
      </c>
      <c r="P1324" s="151" t="s">
        <v>199</v>
      </c>
    </row>
    <row r="1325" spans="1:16" ht="33.75">
      <c r="A1325" s="319" t="s">
        <v>7787</v>
      </c>
      <c r="B1325" s="319" t="s">
        <v>7787</v>
      </c>
      <c r="C1325" s="319"/>
      <c r="D1325" s="319"/>
      <c r="E1325" s="319" t="s">
        <v>242</v>
      </c>
      <c r="F1325" s="319"/>
      <c r="G1325" s="318" t="s">
        <v>6464</v>
      </c>
      <c r="H1325" s="324" t="s">
        <v>7788</v>
      </c>
      <c r="I1325" s="324" t="s">
        <v>204</v>
      </c>
      <c r="J1325" s="319"/>
      <c r="K1325" s="319" t="s">
        <v>191</v>
      </c>
      <c r="L1325" s="320">
        <v>4</v>
      </c>
      <c r="M1325" s="320">
        <v>4</v>
      </c>
      <c r="N1325" s="322" t="s">
        <v>14</v>
      </c>
      <c r="O1325" s="151">
        <v>5</v>
      </c>
      <c r="P1325" s="151" t="s">
        <v>199</v>
      </c>
    </row>
    <row r="1326" spans="1:16" ht="33.75">
      <c r="A1326" s="319" t="s">
        <v>7789</v>
      </c>
      <c r="B1326" s="319" t="s">
        <v>7789</v>
      </c>
      <c r="C1326" s="319"/>
      <c r="D1326" s="319"/>
      <c r="E1326" s="319" t="s">
        <v>242</v>
      </c>
      <c r="F1326" s="319"/>
      <c r="G1326" s="318" t="s">
        <v>6464</v>
      </c>
      <c r="H1326" s="324" t="s">
        <v>7790</v>
      </c>
      <c r="I1326" s="324" t="s">
        <v>204</v>
      </c>
      <c r="J1326" s="319"/>
      <c r="K1326" s="319" t="s">
        <v>191</v>
      </c>
      <c r="L1326" s="320">
        <v>4</v>
      </c>
      <c r="M1326" s="320">
        <v>4</v>
      </c>
      <c r="N1326" s="322" t="s">
        <v>14</v>
      </c>
      <c r="O1326" s="151">
        <v>5</v>
      </c>
      <c r="P1326" s="151" t="s">
        <v>199</v>
      </c>
    </row>
    <row r="1327" spans="1:16">
      <c r="A1327" s="319" t="s">
        <v>7791</v>
      </c>
      <c r="B1327" s="319" t="s">
        <v>7791</v>
      </c>
      <c r="C1327" s="319"/>
      <c r="D1327" s="319"/>
      <c r="E1327" s="319" t="s">
        <v>242</v>
      </c>
      <c r="F1327" s="319"/>
      <c r="G1327" s="318" t="s">
        <v>1890</v>
      </c>
      <c r="H1327" s="324" t="s">
        <v>7792</v>
      </c>
      <c r="I1327" s="324" t="s">
        <v>204</v>
      </c>
      <c r="J1327" s="319"/>
      <c r="K1327" s="319" t="s">
        <v>191</v>
      </c>
      <c r="L1327" s="320">
        <v>4</v>
      </c>
      <c r="M1327" s="320">
        <v>4</v>
      </c>
      <c r="N1327" s="322" t="s">
        <v>14</v>
      </c>
      <c r="O1327" s="151">
        <v>5</v>
      </c>
      <c r="P1327" s="151" t="s">
        <v>199</v>
      </c>
    </row>
    <row r="1328" spans="1:16" ht="33.75">
      <c r="A1328" s="319" t="s">
        <v>7793</v>
      </c>
      <c r="B1328" s="319" t="s">
        <v>7793</v>
      </c>
      <c r="C1328" s="319"/>
      <c r="D1328" s="319"/>
      <c r="E1328" s="319" t="s">
        <v>242</v>
      </c>
      <c r="F1328" s="319"/>
      <c r="G1328" s="318" t="s">
        <v>1890</v>
      </c>
      <c r="H1328" s="324" t="s">
        <v>7794</v>
      </c>
      <c r="I1328" s="324" t="s">
        <v>188</v>
      </c>
      <c r="J1328" s="319" t="s">
        <v>7795</v>
      </c>
      <c r="K1328" s="319" t="s">
        <v>191</v>
      </c>
      <c r="L1328" s="320">
        <v>4</v>
      </c>
      <c r="M1328" s="320">
        <v>4</v>
      </c>
      <c r="N1328" s="322" t="s">
        <v>14</v>
      </c>
      <c r="O1328" s="151">
        <v>5</v>
      </c>
      <c r="P1328" s="151" t="s">
        <v>199</v>
      </c>
    </row>
    <row r="1329" spans="1:16" ht="22.5">
      <c r="A1329" s="319" t="s">
        <v>6758</v>
      </c>
      <c r="B1329" s="319" t="s">
        <v>6758</v>
      </c>
      <c r="C1329" s="319"/>
      <c r="D1329" s="319"/>
      <c r="E1329" s="319" t="s">
        <v>242</v>
      </c>
      <c r="F1329" s="319"/>
      <c r="G1329" s="318" t="s">
        <v>6627</v>
      </c>
      <c r="H1329" s="324" t="s">
        <v>6760</v>
      </c>
      <c r="I1329" s="324" t="s">
        <v>204</v>
      </c>
      <c r="J1329" s="319"/>
      <c r="K1329" s="319" t="s">
        <v>191</v>
      </c>
      <c r="L1329" s="320">
        <v>4</v>
      </c>
      <c r="M1329" s="320">
        <v>4</v>
      </c>
      <c r="N1329" s="322" t="s">
        <v>14</v>
      </c>
      <c r="O1329" s="151">
        <v>5</v>
      </c>
      <c r="P1329" s="151" t="s">
        <v>199</v>
      </c>
    </row>
    <row r="1330" spans="1:16" ht="22.5">
      <c r="A1330" s="319" t="s">
        <v>7796</v>
      </c>
      <c r="B1330" s="319" t="s">
        <v>7796</v>
      </c>
      <c r="C1330" s="319"/>
      <c r="D1330" s="319"/>
      <c r="E1330" s="319" t="s">
        <v>242</v>
      </c>
      <c r="F1330" s="319"/>
      <c r="G1330" s="318" t="s">
        <v>6627</v>
      </c>
      <c r="H1330" s="324" t="s">
        <v>7797</v>
      </c>
      <c r="I1330" s="324"/>
      <c r="J1330" s="319"/>
      <c r="K1330" s="319" t="s">
        <v>191</v>
      </c>
      <c r="L1330" s="320">
        <v>4</v>
      </c>
      <c r="M1330" s="320">
        <v>4</v>
      </c>
      <c r="N1330" s="322" t="s">
        <v>14</v>
      </c>
      <c r="O1330" s="151">
        <v>5</v>
      </c>
      <c r="P1330" s="151" t="s">
        <v>199</v>
      </c>
    </row>
    <row r="1331" spans="1:16" ht="22.5">
      <c r="A1331" s="319" t="s">
        <v>7798</v>
      </c>
      <c r="B1331" s="319" t="s">
        <v>7798</v>
      </c>
      <c r="C1331" s="319"/>
      <c r="D1331" s="319"/>
      <c r="E1331" s="319" t="s">
        <v>242</v>
      </c>
      <c r="F1331" s="319"/>
      <c r="G1331" s="318" t="s">
        <v>6627</v>
      </c>
      <c r="H1331" s="324" t="s">
        <v>7799</v>
      </c>
      <c r="I1331" s="324"/>
      <c r="J1331" s="319"/>
      <c r="K1331" s="319" t="s">
        <v>191</v>
      </c>
      <c r="L1331" s="320">
        <v>4</v>
      </c>
      <c r="M1331" s="320">
        <v>4</v>
      </c>
      <c r="N1331" s="322" t="s">
        <v>14</v>
      </c>
      <c r="O1331" s="151">
        <v>5</v>
      </c>
      <c r="P1331" s="151" t="s">
        <v>199</v>
      </c>
    </row>
    <row r="1332" spans="1:16" ht="22.5">
      <c r="A1332" s="319" t="s">
        <v>7800</v>
      </c>
      <c r="B1332" s="319" t="s">
        <v>7800</v>
      </c>
      <c r="C1332" s="319"/>
      <c r="D1332" s="319"/>
      <c r="E1332" s="319" t="s">
        <v>242</v>
      </c>
      <c r="F1332" s="319"/>
      <c r="G1332" s="318" t="s">
        <v>6627</v>
      </c>
      <c r="H1332" s="324" t="s">
        <v>7801</v>
      </c>
      <c r="I1332" s="324"/>
      <c r="J1332" s="319"/>
      <c r="K1332" s="319" t="s">
        <v>191</v>
      </c>
      <c r="L1332" s="320">
        <v>4</v>
      </c>
      <c r="M1332" s="320">
        <v>4</v>
      </c>
      <c r="N1332" s="322" t="s">
        <v>14</v>
      </c>
      <c r="O1332" s="151">
        <v>5</v>
      </c>
      <c r="P1332" s="151" t="s">
        <v>199</v>
      </c>
    </row>
    <row r="1333" spans="1:16" ht="22.5">
      <c r="A1333" s="319" t="s">
        <v>7802</v>
      </c>
      <c r="B1333" s="319" t="s">
        <v>7802</v>
      </c>
      <c r="C1333" s="319"/>
      <c r="D1333" s="319"/>
      <c r="E1333" s="319" t="s">
        <v>242</v>
      </c>
      <c r="F1333" s="319"/>
      <c r="G1333" s="318" t="s">
        <v>6627</v>
      </c>
      <c r="H1333" s="324" t="s">
        <v>7803</v>
      </c>
      <c r="I1333" s="324"/>
      <c r="J1333" s="319"/>
      <c r="K1333" s="319" t="s">
        <v>191</v>
      </c>
      <c r="L1333" s="320">
        <v>4</v>
      </c>
      <c r="M1333" s="320">
        <v>4</v>
      </c>
      <c r="N1333" s="322" t="s">
        <v>14</v>
      </c>
      <c r="O1333" s="151">
        <v>5</v>
      </c>
      <c r="P1333" s="151" t="s">
        <v>199</v>
      </c>
    </row>
    <row r="1334" spans="1:16" ht="22.5">
      <c r="A1334" s="319" t="s">
        <v>7804</v>
      </c>
      <c r="B1334" s="319" t="s">
        <v>7804</v>
      </c>
      <c r="C1334" s="319"/>
      <c r="D1334" s="319"/>
      <c r="E1334" s="319" t="s">
        <v>242</v>
      </c>
      <c r="F1334" s="319"/>
      <c r="G1334" s="318" t="s">
        <v>1890</v>
      </c>
      <c r="H1334" s="324" t="s">
        <v>7805</v>
      </c>
      <c r="I1334" s="324" t="s">
        <v>198</v>
      </c>
      <c r="J1334" s="319"/>
      <c r="K1334" s="319" t="s">
        <v>191</v>
      </c>
      <c r="L1334" s="320">
        <v>4</v>
      </c>
      <c r="M1334" s="320">
        <v>4</v>
      </c>
      <c r="N1334" s="322" t="s">
        <v>14</v>
      </c>
      <c r="O1334" s="151">
        <v>5</v>
      </c>
      <c r="P1334" s="151" t="s">
        <v>199</v>
      </c>
    </row>
    <row r="1335" spans="1:16">
      <c r="A1335" s="319" t="s">
        <v>7806</v>
      </c>
      <c r="B1335" s="319" t="s">
        <v>7806</v>
      </c>
      <c r="C1335" s="319"/>
      <c r="D1335" s="319"/>
      <c r="E1335" s="319" t="s">
        <v>242</v>
      </c>
      <c r="F1335" s="319"/>
      <c r="G1335" s="318" t="s">
        <v>1890</v>
      </c>
      <c r="H1335" s="324" t="s">
        <v>7807</v>
      </c>
      <c r="I1335" s="324" t="s">
        <v>198</v>
      </c>
      <c r="J1335" s="319"/>
      <c r="K1335" s="319" t="s">
        <v>191</v>
      </c>
      <c r="L1335" s="320">
        <v>4</v>
      </c>
      <c r="M1335" s="320">
        <v>4</v>
      </c>
      <c r="N1335" s="322" t="s">
        <v>14</v>
      </c>
      <c r="O1335" s="151">
        <v>5</v>
      </c>
      <c r="P1335" s="151" t="s">
        <v>199</v>
      </c>
    </row>
    <row r="1336" spans="1:16" ht="22.5">
      <c r="A1336" s="319" t="s">
        <v>7808</v>
      </c>
      <c r="B1336" s="319" t="s">
        <v>7808</v>
      </c>
      <c r="C1336" s="319"/>
      <c r="D1336" s="319"/>
      <c r="E1336" s="319" t="s">
        <v>242</v>
      </c>
      <c r="F1336" s="319"/>
      <c r="G1336" s="318" t="s">
        <v>1890</v>
      </c>
      <c r="H1336" s="324" t="s">
        <v>7616</v>
      </c>
      <c r="I1336" s="324"/>
      <c r="J1336" s="319"/>
      <c r="K1336" s="319" t="s">
        <v>191</v>
      </c>
      <c r="L1336" s="320">
        <v>4</v>
      </c>
      <c r="M1336" s="320">
        <v>4</v>
      </c>
      <c r="N1336" s="322" t="s">
        <v>14</v>
      </c>
      <c r="O1336" s="151">
        <v>5</v>
      </c>
      <c r="P1336" s="151" t="s">
        <v>199</v>
      </c>
    </row>
    <row r="1337" spans="1:16" ht="22.5">
      <c r="A1337" s="319" t="s">
        <v>7809</v>
      </c>
      <c r="B1337" s="319" t="s">
        <v>7809</v>
      </c>
      <c r="C1337" s="319"/>
      <c r="D1337" s="319"/>
      <c r="E1337" s="319" t="s">
        <v>242</v>
      </c>
      <c r="F1337" s="319"/>
      <c r="G1337" s="318" t="s">
        <v>7582</v>
      </c>
      <c r="H1337" s="324" t="s">
        <v>7810</v>
      </c>
      <c r="I1337" s="324" t="s">
        <v>188</v>
      </c>
      <c r="J1337" s="319" t="s">
        <v>1453</v>
      </c>
      <c r="K1337" s="319" t="s">
        <v>191</v>
      </c>
      <c r="L1337" s="320">
        <v>4</v>
      </c>
      <c r="M1337" s="320">
        <v>4</v>
      </c>
      <c r="N1337" s="322" t="s">
        <v>14</v>
      </c>
      <c r="O1337" s="151">
        <v>5</v>
      </c>
      <c r="P1337" s="151" t="s">
        <v>199</v>
      </c>
    </row>
    <row r="1338" spans="1:16" ht="22.5">
      <c r="A1338" s="319" t="s">
        <v>7811</v>
      </c>
      <c r="B1338" s="319" t="s">
        <v>7811</v>
      </c>
      <c r="C1338" s="319"/>
      <c r="D1338" s="319"/>
      <c r="E1338" s="319" t="s">
        <v>242</v>
      </c>
      <c r="F1338" s="319"/>
      <c r="G1338" s="318" t="s">
        <v>1890</v>
      </c>
      <c r="H1338" s="324" t="s">
        <v>7603</v>
      </c>
      <c r="I1338" s="324" t="s">
        <v>198</v>
      </c>
      <c r="J1338" s="319"/>
      <c r="K1338" s="319" t="s">
        <v>191</v>
      </c>
      <c r="L1338" s="320">
        <v>4</v>
      </c>
      <c r="M1338" s="320">
        <v>4</v>
      </c>
      <c r="N1338" s="322" t="s">
        <v>14</v>
      </c>
      <c r="O1338" s="151">
        <v>5</v>
      </c>
      <c r="P1338" s="151" t="s">
        <v>199</v>
      </c>
    </row>
    <row r="1339" spans="1:16" ht="22.5">
      <c r="A1339" s="319" t="s">
        <v>7812</v>
      </c>
      <c r="B1339" s="319" t="s">
        <v>7812</v>
      </c>
      <c r="C1339" s="319"/>
      <c r="D1339" s="319"/>
      <c r="E1339" s="319" t="s">
        <v>242</v>
      </c>
      <c r="F1339" s="319"/>
      <c r="G1339" s="318" t="s">
        <v>1890</v>
      </c>
      <c r="H1339" s="324" t="s">
        <v>7607</v>
      </c>
      <c r="I1339" s="324" t="s">
        <v>198</v>
      </c>
      <c r="J1339" s="319"/>
      <c r="K1339" s="319" t="s">
        <v>191</v>
      </c>
      <c r="L1339" s="320">
        <v>4</v>
      </c>
      <c r="M1339" s="320">
        <v>4</v>
      </c>
      <c r="N1339" s="322" t="s">
        <v>14</v>
      </c>
      <c r="O1339" s="151">
        <v>5</v>
      </c>
      <c r="P1339" s="151" t="s">
        <v>199</v>
      </c>
    </row>
    <row r="1340" spans="1:16">
      <c r="A1340" s="319" t="s">
        <v>7813</v>
      </c>
      <c r="B1340" s="319" t="s">
        <v>7813</v>
      </c>
      <c r="C1340" s="319"/>
      <c r="D1340" s="319"/>
      <c r="E1340" s="319" t="s">
        <v>242</v>
      </c>
      <c r="F1340" s="319"/>
      <c r="G1340" s="318" t="s">
        <v>6627</v>
      </c>
      <c r="H1340" s="324" t="s">
        <v>7814</v>
      </c>
      <c r="I1340" s="324"/>
      <c r="J1340" s="319"/>
      <c r="K1340" s="319" t="s">
        <v>191</v>
      </c>
      <c r="L1340" s="320">
        <v>4</v>
      </c>
      <c r="M1340" s="320">
        <v>4</v>
      </c>
      <c r="N1340" s="322" t="s">
        <v>14</v>
      </c>
      <c r="O1340" s="151">
        <v>5</v>
      </c>
      <c r="P1340" s="151" t="s">
        <v>199</v>
      </c>
    </row>
    <row r="1341" spans="1:16">
      <c r="A1341" s="319" t="s">
        <v>7815</v>
      </c>
      <c r="B1341" s="319" t="s">
        <v>7815</v>
      </c>
      <c r="C1341" s="319"/>
      <c r="D1341" s="319"/>
      <c r="E1341" s="319" t="s">
        <v>242</v>
      </c>
      <c r="F1341" s="319"/>
      <c r="G1341" s="318" t="s">
        <v>6627</v>
      </c>
      <c r="H1341" s="324" t="s">
        <v>7816</v>
      </c>
      <c r="I1341" s="324"/>
      <c r="J1341" s="319"/>
      <c r="K1341" s="319" t="s">
        <v>191</v>
      </c>
      <c r="L1341" s="320">
        <v>4</v>
      </c>
      <c r="M1341" s="320">
        <v>4</v>
      </c>
      <c r="N1341" s="322" t="s">
        <v>14</v>
      </c>
      <c r="O1341" s="151">
        <v>5</v>
      </c>
      <c r="P1341" s="151" t="s">
        <v>199</v>
      </c>
    </row>
    <row r="1342" spans="1:16">
      <c r="A1342" s="319" t="s">
        <v>7817</v>
      </c>
      <c r="B1342" s="319" t="s">
        <v>7817</v>
      </c>
      <c r="C1342" s="319"/>
      <c r="D1342" s="319"/>
      <c r="E1342" s="319" t="s">
        <v>242</v>
      </c>
      <c r="F1342" s="319"/>
      <c r="G1342" s="318" t="s">
        <v>6627</v>
      </c>
      <c r="H1342" s="324" t="s">
        <v>7818</v>
      </c>
      <c r="I1342" s="324"/>
      <c r="J1342" s="319"/>
      <c r="K1342" s="319" t="s">
        <v>191</v>
      </c>
      <c r="L1342" s="320">
        <v>4</v>
      </c>
      <c r="M1342" s="320">
        <v>4</v>
      </c>
      <c r="N1342" s="322" t="s">
        <v>14</v>
      </c>
      <c r="O1342" s="151">
        <v>5</v>
      </c>
      <c r="P1342" s="151" t="s">
        <v>199</v>
      </c>
    </row>
    <row r="1343" spans="1:16" ht="22.5">
      <c r="A1343" s="319" t="s">
        <v>7819</v>
      </c>
      <c r="B1343" s="319" t="s">
        <v>7819</v>
      </c>
      <c r="C1343" s="319"/>
      <c r="D1343" s="319"/>
      <c r="E1343" s="319" t="s">
        <v>242</v>
      </c>
      <c r="F1343" s="319"/>
      <c r="G1343" s="318" t="s">
        <v>1890</v>
      </c>
      <c r="H1343" s="324" t="s">
        <v>7650</v>
      </c>
      <c r="I1343" s="324" t="s">
        <v>198</v>
      </c>
      <c r="J1343" s="319"/>
      <c r="K1343" s="319" t="s">
        <v>191</v>
      </c>
      <c r="L1343" s="320">
        <v>4</v>
      </c>
      <c r="M1343" s="320">
        <v>4</v>
      </c>
      <c r="N1343" s="322" t="s">
        <v>14</v>
      </c>
      <c r="O1343" s="151">
        <v>5</v>
      </c>
      <c r="P1343" s="151" t="s">
        <v>199</v>
      </c>
    </row>
    <row r="1344" spans="1:16">
      <c r="A1344" s="319" t="s">
        <v>7820</v>
      </c>
      <c r="B1344" s="319" t="s">
        <v>7820</v>
      </c>
      <c r="C1344" s="319"/>
      <c r="D1344" s="319"/>
      <c r="E1344" s="319" t="s">
        <v>242</v>
      </c>
      <c r="F1344" s="319"/>
      <c r="G1344" s="318" t="s">
        <v>1890</v>
      </c>
      <c r="H1344" s="324" t="s">
        <v>7821</v>
      </c>
      <c r="I1344" s="324" t="s">
        <v>198</v>
      </c>
      <c r="J1344" s="319"/>
      <c r="K1344" s="319" t="s">
        <v>191</v>
      </c>
      <c r="L1344" s="320">
        <v>4</v>
      </c>
      <c r="M1344" s="320">
        <v>4</v>
      </c>
      <c r="N1344" s="322" t="s">
        <v>14</v>
      </c>
      <c r="O1344" s="151">
        <v>5</v>
      </c>
      <c r="P1344" s="151" t="s">
        <v>199</v>
      </c>
    </row>
    <row r="1345" spans="1:16" ht="33.75">
      <c r="A1345" s="319" t="s">
        <v>7822</v>
      </c>
      <c r="B1345" s="319" t="s">
        <v>7822</v>
      </c>
      <c r="C1345" s="319"/>
      <c r="D1345" s="319"/>
      <c r="E1345" s="319" t="s">
        <v>242</v>
      </c>
      <c r="F1345" s="319"/>
      <c r="G1345" s="318" t="s">
        <v>1890</v>
      </c>
      <c r="H1345" s="324" t="s">
        <v>7823</v>
      </c>
      <c r="I1345" s="324" t="s">
        <v>188</v>
      </c>
      <c r="J1345" s="319" t="s">
        <v>7795</v>
      </c>
      <c r="K1345" s="319" t="s">
        <v>191</v>
      </c>
      <c r="L1345" s="320">
        <v>4</v>
      </c>
      <c r="M1345" s="320">
        <v>4</v>
      </c>
      <c r="N1345" s="322" t="s">
        <v>14</v>
      </c>
      <c r="O1345" s="151">
        <v>5</v>
      </c>
      <c r="P1345" s="151" t="s">
        <v>199</v>
      </c>
    </row>
    <row r="1346" spans="1:16">
      <c r="A1346" s="319" t="s">
        <v>7824</v>
      </c>
      <c r="B1346" s="319" t="s">
        <v>7824</v>
      </c>
      <c r="C1346" s="319"/>
      <c r="D1346" s="319"/>
      <c r="E1346" s="319" t="s">
        <v>242</v>
      </c>
      <c r="F1346" s="319"/>
      <c r="G1346" s="318" t="s">
        <v>1890</v>
      </c>
      <c r="H1346" s="324" t="s">
        <v>7825</v>
      </c>
      <c r="I1346" s="324" t="s">
        <v>466</v>
      </c>
      <c r="J1346" s="319"/>
      <c r="K1346" s="319" t="s">
        <v>191</v>
      </c>
      <c r="L1346" s="320">
        <v>4</v>
      </c>
      <c r="M1346" s="320">
        <v>4</v>
      </c>
      <c r="N1346" s="322" t="s">
        <v>14</v>
      </c>
      <c r="O1346" s="151">
        <v>5</v>
      </c>
      <c r="P1346" s="151" t="s">
        <v>199</v>
      </c>
    </row>
    <row r="1347" spans="1:16">
      <c r="A1347" s="319" t="s">
        <v>7826</v>
      </c>
      <c r="B1347" s="319" t="s">
        <v>7826</v>
      </c>
      <c r="C1347" s="319"/>
      <c r="D1347" s="319"/>
      <c r="E1347" s="319" t="s">
        <v>242</v>
      </c>
      <c r="F1347" s="319"/>
      <c r="G1347" s="318" t="s">
        <v>6627</v>
      </c>
      <c r="H1347" s="324" t="s">
        <v>7827</v>
      </c>
      <c r="I1347" s="324"/>
      <c r="J1347" s="319"/>
      <c r="K1347" s="319" t="s">
        <v>191</v>
      </c>
      <c r="L1347" s="320">
        <v>4</v>
      </c>
      <c r="M1347" s="320">
        <v>4</v>
      </c>
      <c r="N1347" s="322" t="s">
        <v>14</v>
      </c>
      <c r="O1347" s="151">
        <v>5</v>
      </c>
      <c r="P1347" s="151" t="s">
        <v>199</v>
      </c>
    </row>
    <row r="1348" spans="1:16">
      <c r="A1348" s="319" t="s">
        <v>7828</v>
      </c>
      <c r="B1348" s="319" t="s">
        <v>7828</v>
      </c>
      <c r="C1348" s="319"/>
      <c r="D1348" s="319"/>
      <c r="E1348" s="319" t="s">
        <v>242</v>
      </c>
      <c r="F1348" s="319"/>
      <c r="G1348" s="318" t="s">
        <v>6627</v>
      </c>
      <c r="H1348" s="324" t="s">
        <v>7829</v>
      </c>
      <c r="I1348" s="324"/>
      <c r="J1348" s="319"/>
      <c r="K1348" s="319" t="s">
        <v>191</v>
      </c>
      <c r="L1348" s="320">
        <v>4</v>
      </c>
      <c r="M1348" s="320">
        <v>4</v>
      </c>
      <c r="N1348" s="322" t="s">
        <v>14</v>
      </c>
      <c r="O1348" s="151">
        <v>5</v>
      </c>
      <c r="P1348" s="151" t="s">
        <v>199</v>
      </c>
    </row>
    <row r="1349" spans="1:16">
      <c r="A1349" s="319" t="s">
        <v>7830</v>
      </c>
      <c r="B1349" s="319" t="s">
        <v>7830</v>
      </c>
      <c r="C1349" s="319"/>
      <c r="D1349" s="319"/>
      <c r="E1349" s="319" t="s">
        <v>242</v>
      </c>
      <c r="F1349" s="319"/>
      <c r="G1349" s="318" t="s">
        <v>6627</v>
      </c>
      <c r="H1349" s="324" t="s">
        <v>7831</v>
      </c>
      <c r="I1349" s="324"/>
      <c r="J1349" s="319"/>
      <c r="K1349" s="319" t="s">
        <v>191</v>
      </c>
      <c r="L1349" s="320">
        <v>4</v>
      </c>
      <c r="M1349" s="320">
        <v>4</v>
      </c>
      <c r="N1349" s="322" t="s">
        <v>14</v>
      </c>
      <c r="O1349" s="151">
        <v>5</v>
      </c>
      <c r="P1349" s="151" t="s">
        <v>199</v>
      </c>
    </row>
    <row r="1350" spans="1:16">
      <c r="A1350" s="319" t="s">
        <v>7832</v>
      </c>
      <c r="B1350" s="319" t="s">
        <v>7832</v>
      </c>
      <c r="C1350" s="319"/>
      <c r="D1350" s="319"/>
      <c r="E1350" s="319" t="s">
        <v>242</v>
      </c>
      <c r="F1350" s="319"/>
      <c r="G1350" s="318" t="s">
        <v>6627</v>
      </c>
      <c r="H1350" s="324" t="s">
        <v>7833</v>
      </c>
      <c r="I1350" s="324"/>
      <c r="J1350" s="319"/>
      <c r="K1350" s="319" t="s">
        <v>191</v>
      </c>
      <c r="L1350" s="320">
        <v>4</v>
      </c>
      <c r="M1350" s="320">
        <v>4</v>
      </c>
      <c r="N1350" s="322" t="s">
        <v>14</v>
      </c>
      <c r="O1350" s="151">
        <v>5</v>
      </c>
      <c r="P1350" s="151" t="s">
        <v>199</v>
      </c>
    </row>
    <row r="1351" spans="1:16" ht="33.75">
      <c r="A1351" s="319" t="s">
        <v>7834</v>
      </c>
      <c r="B1351" s="319" t="s">
        <v>7834</v>
      </c>
      <c r="C1351" s="319"/>
      <c r="D1351" s="319"/>
      <c r="E1351" s="319" t="s">
        <v>242</v>
      </c>
      <c r="F1351" s="319"/>
      <c r="G1351" s="318" t="s">
        <v>1890</v>
      </c>
      <c r="H1351" s="324" t="s">
        <v>7835</v>
      </c>
      <c r="I1351" s="324" t="s">
        <v>204</v>
      </c>
      <c r="J1351" s="319"/>
      <c r="K1351" s="319" t="s">
        <v>191</v>
      </c>
      <c r="L1351" s="320">
        <v>4</v>
      </c>
      <c r="M1351" s="320">
        <v>4</v>
      </c>
      <c r="N1351" s="322" t="s">
        <v>14</v>
      </c>
      <c r="O1351" s="151">
        <v>5</v>
      </c>
      <c r="P1351" s="151" t="s">
        <v>199</v>
      </c>
    </row>
    <row r="1352" spans="1:16" ht="33.75">
      <c r="A1352" s="319" t="s">
        <v>7836</v>
      </c>
      <c r="B1352" s="319" t="s">
        <v>7836</v>
      </c>
      <c r="C1352" s="319"/>
      <c r="D1352" s="319"/>
      <c r="E1352" s="319" t="s">
        <v>242</v>
      </c>
      <c r="F1352" s="319"/>
      <c r="G1352" s="318" t="s">
        <v>1890</v>
      </c>
      <c r="H1352" s="324" t="s">
        <v>7837</v>
      </c>
      <c r="I1352" s="324" t="s">
        <v>204</v>
      </c>
      <c r="J1352" s="319"/>
      <c r="K1352" s="319" t="s">
        <v>191</v>
      </c>
      <c r="L1352" s="320">
        <v>4</v>
      </c>
      <c r="M1352" s="320">
        <v>4</v>
      </c>
      <c r="N1352" s="322" t="s">
        <v>14</v>
      </c>
      <c r="O1352" s="151">
        <v>5</v>
      </c>
      <c r="P1352" s="151" t="s">
        <v>199</v>
      </c>
    </row>
    <row r="1353" spans="1:16">
      <c r="A1353" s="319" t="s">
        <v>7838</v>
      </c>
      <c r="B1353" s="319" t="s">
        <v>7838</v>
      </c>
      <c r="C1353" s="319"/>
      <c r="D1353" s="319"/>
      <c r="E1353" s="319" t="s">
        <v>242</v>
      </c>
      <c r="F1353" s="319"/>
      <c r="G1353" s="318" t="s">
        <v>6627</v>
      </c>
      <c r="H1353" s="324" t="s">
        <v>7839</v>
      </c>
      <c r="I1353" s="324" t="s">
        <v>198</v>
      </c>
      <c r="J1353" s="319" t="s">
        <v>7840</v>
      </c>
      <c r="K1353" s="319" t="s">
        <v>191</v>
      </c>
      <c r="L1353" s="320">
        <v>4</v>
      </c>
      <c r="M1353" s="320">
        <v>4</v>
      </c>
      <c r="N1353" s="322" t="s">
        <v>14</v>
      </c>
      <c r="O1353" s="151">
        <v>5</v>
      </c>
      <c r="P1353" s="151" t="s">
        <v>199</v>
      </c>
    </row>
    <row r="1354" spans="1:16" ht="22.5">
      <c r="A1354" s="319" t="s">
        <v>7841</v>
      </c>
      <c r="B1354" s="319" t="s">
        <v>7841</v>
      </c>
      <c r="C1354" s="319"/>
      <c r="D1354" s="319"/>
      <c r="E1354" s="319" t="s">
        <v>242</v>
      </c>
      <c r="F1354" s="319"/>
      <c r="G1354" s="318" t="s">
        <v>1946</v>
      </c>
      <c r="H1354" s="324" t="s">
        <v>7842</v>
      </c>
      <c r="I1354" s="324" t="s">
        <v>204</v>
      </c>
      <c r="J1354" s="319"/>
      <c r="K1354" s="319" t="s">
        <v>191</v>
      </c>
      <c r="L1354" s="320">
        <v>4</v>
      </c>
      <c r="M1354" s="320">
        <v>4</v>
      </c>
      <c r="N1354" s="322" t="s">
        <v>14</v>
      </c>
      <c r="O1354" s="151">
        <v>5</v>
      </c>
      <c r="P1354" s="151" t="s">
        <v>199</v>
      </c>
    </row>
    <row r="1355" spans="1:16" ht="22.5">
      <c r="A1355" s="319" t="s">
        <v>7843</v>
      </c>
      <c r="B1355" s="319" t="s">
        <v>7843</v>
      </c>
      <c r="C1355" s="319"/>
      <c r="D1355" s="319"/>
      <c r="E1355" s="319" t="s">
        <v>242</v>
      </c>
      <c r="F1355" s="319"/>
      <c r="G1355" s="318" t="s">
        <v>1890</v>
      </c>
      <c r="H1355" s="324" t="s">
        <v>7844</v>
      </c>
      <c r="I1355" s="324" t="s">
        <v>204</v>
      </c>
      <c r="J1355" s="319"/>
      <c r="K1355" s="319" t="s">
        <v>191</v>
      </c>
      <c r="L1355" s="320">
        <v>4</v>
      </c>
      <c r="M1355" s="320">
        <v>4</v>
      </c>
      <c r="N1355" s="322" t="s">
        <v>14</v>
      </c>
      <c r="O1355" s="151">
        <v>5</v>
      </c>
      <c r="P1355" s="151" t="s">
        <v>199</v>
      </c>
    </row>
    <row r="1356" spans="1:16" ht="33.75">
      <c r="A1356" s="319" t="s">
        <v>7845</v>
      </c>
      <c r="B1356" s="319" t="s">
        <v>7845</v>
      </c>
      <c r="C1356" s="319"/>
      <c r="D1356" s="319"/>
      <c r="E1356" s="319" t="s">
        <v>242</v>
      </c>
      <c r="F1356" s="319"/>
      <c r="G1356" s="318" t="s">
        <v>6627</v>
      </c>
      <c r="H1356" s="324" t="s">
        <v>7846</v>
      </c>
      <c r="I1356" s="324" t="s">
        <v>198</v>
      </c>
      <c r="J1356" s="319"/>
      <c r="K1356" s="319" t="s">
        <v>191</v>
      </c>
      <c r="L1356" s="320">
        <v>4</v>
      </c>
      <c r="M1356" s="320">
        <v>4</v>
      </c>
      <c r="N1356" s="322" t="s">
        <v>14</v>
      </c>
      <c r="O1356" s="151">
        <v>5</v>
      </c>
      <c r="P1356" s="151" t="s">
        <v>199</v>
      </c>
    </row>
    <row r="1357" spans="1:16" s="546" customFormat="1" ht="23.25" customHeight="1">
      <c r="A1357" s="515" t="s">
        <v>7847</v>
      </c>
      <c r="B1357" s="516" t="s">
        <v>7848</v>
      </c>
      <c r="C1357" s="515"/>
      <c r="D1357" s="516"/>
      <c r="E1357" s="516" t="s">
        <v>242</v>
      </c>
      <c r="F1357" s="516"/>
      <c r="G1357" s="517" t="s">
        <v>4439</v>
      </c>
      <c r="H1357" s="518" t="s">
        <v>7849</v>
      </c>
      <c r="I1357" s="518" t="s">
        <v>198</v>
      </c>
      <c r="J1357" s="516"/>
      <c r="K1357" s="515" t="s">
        <v>191</v>
      </c>
      <c r="L1357" s="519">
        <v>4</v>
      </c>
      <c r="M1357" s="519">
        <v>4</v>
      </c>
      <c r="N1357" s="520" t="s">
        <v>14</v>
      </c>
      <c r="O1357" s="521">
        <v>5</v>
      </c>
      <c r="P1357" s="521" t="s">
        <v>199</v>
      </c>
    </row>
    <row r="1358" spans="1:16" s="546" customFormat="1" ht="23.25" customHeight="1">
      <c r="A1358" s="515" t="s">
        <v>7850</v>
      </c>
      <c r="B1358" s="515" t="s">
        <v>7851</v>
      </c>
      <c r="C1358" s="515"/>
      <c r="D1358" s="516"/>
      <c r="E1358" s="516" t="s">
        <v>242</v>
      </c>
      <c r="F1358" s="516"/>
      <c r="G1358" s="517" t="s">
        <v>4439</v>
      </c>
      <c r="H1358" s="518" t="s">
        <v>7852</v>
      </c>
      <c r="I1358" s="518" t="s">
        <v>198</v>
      </c>
      <c r="J1358" s="516"/>
      <c r="K1358" s="515" t="s">
        <v>191</v>
      </c>
      <c r="L1358" s="519">
        <v>4</v>
      </c>
      <c r="M1358" s="519">
        <v>4</v>
      </c>
      <c r="N1358" s="520" t="s">
        <v>14</v>
      </c>
      <c r="O1358" s="521">
        <v>5</v>
      </c>
      <c r="P1358" s="521" t="s">
        <v>199</v>
      </c>
    </row>
    <row r="1359" spans="1:16" s="546" customFormat="1" ht="23.25" customHeight="1">
      <c r="A1359" s="515" t="s">
        <v>7853</v>
      </c>
      <c r="B1359" s="516" t="s">
        <v>7854</v>
      </c>
      <c r="C1359" s="515"/>
      <c r="D1359" s="516"/>
      <c r="E1359" s="516" t="s">
        <v>242</v>
      </c>
      <c r="F1359" s="516"/>
      <c r="G1359" s="517" t="s">
        <v>4439</v>
      </c>
      <c r="H1359" s="518" t="s">
        <v>7855</v>
      </c>
      <c r="I1359" s="518" t="s">
        <v>198</v>
      </c>
      <c r="J1359" s="516"/>
      <c r="K1359" s="515" t="s">
        <v>191</v>
      </c>
      <c r="L1359" s="519">
        <v>4</v>
      </c>
      <c r="M1359" s="519">
        <v>4</v>
      </c>
      <c r="N1359" s="520" t="s">
        <v>14</v>
      </c>
      <c r="O1359" s="521">
        <v>5</v>
      </c>
      <c r="P1359" s="521" t="s">
        <v>199</v>
      </c>
    </row>
    <row r="1360" spans="1:16" s="546" customFormat="1" ht="23.25" customHeight="1">
      <c r="A1360" s="515" t="s">
        <v>7856</v>
      </c>
      <c r="B1360" s="516" t="s">
        <v>7857</v>
      </c>
      <c r="C1360" s="515"/>
      <c r="D1360" s="516"/>
      <c r="E1360" s="516" t="s">
        <v>242</v>
      </c>
      <c r="F1360" s="516"/>
      <c r="G1360" s="517" t="s">
        <v>4439</v>
      </c>
      <c r="H1360" s="518" t="s">
        <v>7858</v>
      </c>
      <c r="I1360" s="518" t="s">
        <v>198</v>
      </c>
      <c r="J1360" s="516"/>
      <c r="K1360" s="515" t="s">
        <v>191</v>
      </c>
      <c r="L1360" s="519">
        <v>4</v>
      </c>
      <c r="M1360" s="519">
        <v>4</v>
      </c>
      <c r="N1360" s="520" t="s">
        <v>14</v>
      </c>
      <c r="O1360" s="521">
        <v>5</v>
      </c>
      <c r="P1360" s="521" t="s">
        <v>199</v>
      </c>
    </row>
    <row r="1361" spans="1:16">
      <c r="A1361" s="319" t="s">
        <v>7859</v>
      </c>
      <c r="B1361" s="319" t="s">
        <v>7860</v>
      </c>
      <c r="C1361" s="319"/>
      <c r="D1361" s="319"/>
      <c r="E1361" s="319" t="s">
        <v>242</v>
      </c>
      <c r="F1361" s="319"/>
      <c r="G1361" s="318" t="s">
        <v>4439</v>
      </c>
      <c r="H1361" s="319" t="s">
        <v>7861</v>
      </c>
      <c r="I1361" s="319" t="s">
        <v>198</v>
      </c>
      <c r="J1361" s="319"/>
      <c r="K1361" s="319" t="s">
        <v>191</v>
      </c>
      <c r="L1361" s="320">
        <v>4</v>
      </c>
      <c r="M1361" s="320">
        <v>4</v>
      </c>
      <c r="N1361" s="322" t="s">
        <v>14</v>
      </c>
      <c r="O1361" s="151">
        <v>5</v>
      </c>
      <c r="P1361" s="151" t="s">
        <v>199</v>
      </c>
    </row>
    <row r="1362" spans="1:16" ht="45">
      <c r="A1362" s="319" t="s">
        <v>7862</v>
      </c>
      <c r="B1362" s="319" t="s">
        <v>7863</v>
      </c>
      <c r="C1362" s="319"/>
      <c r="D1362" s="319"/>
      <c r="E1362" s="319" t="s">
        <v>242</v>
      </c>
      <c r="F1362" s="319"/>
      <c r="G1362" s="318" t="s">
        <v>4439</v>
      </c>
      <c r="H1362" s="319" t="s">
        <v>7864</v>
      </c>
      <c r="I1362" s="319" t="s">
        <v>204</v>
      </c>
      <c r="J1362" s="319" t="s">
        <v>7760</v>
      </c>
      <c r="K1362" s="319" t="s">
        <v>191</v>
      </c>
      <c r="L1362" s="320">
        <v>4</v>
      </c>
      <c r="M1362" s="320">
        <v>4</v>
      </c>
      <c r="N1362" s="322" t="s">
        <v>14</v>
      </c>
      <c r="O1362" s="151">
        <v>5</v>
      </c>
      <c r="P1362" s="151" t="s">
        <v>199</v>
      </c>
    </row>
    <row r="1363" spans="1:16" ht="56.25">
      <c r="A1363" s="319" t="s">
        <v>7865</v>
      </c>
      <c r="B1363" s="319" t="s">
        <v>7866</v>
      </c>
      <c r="C1363" s="319"/>
      <c r="D1363" s="319"/>
      <c r="E1363" s="319" t="s">
        <v>242</v>
      </c>
      <c r="F1363" s="319"/>
      <c r="G1363" s="318" t="s">
        <v>597</v>
      </c>
      <c r="H1363" s="319" t="s">
        <v>7867</v>
      </c>
      <c r="I1363" s="319" t="s">
        <v>204</v>
      </c>
      <c r="J1363" s="319" t="s">
        <v>7868</v>
      </c>
      <c r="K1363" s="319" t="s">
        <v>191</v>
      </c>
      <c r="L1363" s="320">
        <v>4</v>
      </c>
      <c r="M1363" s="320">
        <v>4</v>
      </c>
      <c r="N1363" s="322" t="s">
        <v>14</v>
      </c>
      <c r="O1363" s="151">
        <v>5</v>
      </c>
      <c r="P1363" s="151" t="s">
        <v>199</v>
      </c>
    </row>
    <row r="1364" spans="1:16" ht="78.75">
      <c r="A1364" s="319" t="s">
        <v>7869</v>
      </c>
      <c r="B1364" s="319" t="s">
        <v>7870</v>
      </c>
      <c r="C1364" s="319"/>
      <c r="D1364" s="319"/>
      <c r="E1364" s="319" t="s">
        <v>242</v>
      </c>
      <c r="F1364" s="319"/>
      <c r="G1364" s="318" t="s">
        <v>597</v>
      </c>
      <c r="H1364" s="319" t="s">
        <v>7871</v>
      </c>
      <c r="I1364" s="319" t="s">
        <v>204</v>
      </c>
      <c r="J1364" s="319" t="s">
        <v>7872</v>
      </c>
      <c r="K1364" s="319" t="s">
        <v>191</v>
      </c>
      <c r="L1364" s="320">
        <v>4</v>
      </c>
      <c r="M1364" s="320">
        <v>4</v>
      </c>
      <c r="N1364" s="322" t="s">
        <v>14</v>
      </c>
      <c r="O1364" s="151">
        <v>5</v>
      </c>
      <c r="P1364" s="151" t="s">
        <v>199</v>
      </c>
    </row>
    <row r="1365" spans="1:16" ht="56.25">
      <c r="A1365" s="319" t="s">
        <v>7873</v>
      </c>
      <c r="B1365" s="319" t="s">
        <v>7874</v>
      </c>
      <c r="C1365" s="319"/>
      <c r="D1365" s="319"/>
      <c r="E1365" s="319" t="s">
        <v>242</v>
      </c>
      <c r="F1365" s="319"/>
      <c r="G1365" s="318" t="s">
        <v>597</v>
      </c>
      <c r="H1365" s="319" t="s">
        <v>7875</v>
      </c>
      <c r="I1365" s="319" t="s">
        <v>204</v>
      </c>
      <c r="J1365" s="319" t="s">
        <v>7876</v>
      </c>
      <c r="K1365" s="319" t="s">
        <v>191</v>
      </c>
      <c r="L1365" s="320">
        <v>4</v>
      </c>
      <c r="M1365" s="320">
        <v>4</v>
      </c>
      <c r="N1365" s="322" t="s">
        <v>14</v>
      </c>
      <c r="O1365" s="151">
        <v>5</v>
      </c>
      <c r="P1365" s="151" t="s">
        <v>199</v>
      </c>
    </row>
    <row r="1366" spans="1:16">
      <c r="A1366" s="319" t="s">
        <v>7877</v>
      </c>
      <c r="B1366" s="319" t="s">
        <v>3516</v>
      </c>
      <c r="C1366" s="319"/>
      <c r="D1366" s="319"/>
      <c r="E1366" s="319" t="s">
        <v>242</v>
      </c>
      <c r="F1366" s="319"/>
      <c r="G1366" s="318" t="s">
        <v>597</v>
      </c>
      <c r="H1366" s="319" t="s">
        <v>3517</v>
      </c>
      <c r="I1366" s="319" t="s">
        <v>198</v>
      </c>
      <c r="J1366" s="319" t="s">
        <v>7878</v>
      </c>
      <c r="K1366" s="319" t="s">
        <v>191</v>
      </c>
      <c r="L1366" s="320">
        <v>4</v>
      </c>
      <c r="M1366" s="320">
        <v>4</v>
      </c>
      <c r="N1366" s="322" t="s">
        <v>14</v>
      </c>
      <c r="O1366" s="151">
        <v>5</v>
      </c>
      <c r="P1366" s="151" t="s">
        <v>199</v>
      </c>
    </row>
    <row r="1367" spans="1:16" ht="78.75">
      <c r="A1367" s="319" t="s">
        <v>7538</v>
      </c>
      <c r="B1367" s="319" t="s">
        <v>1330</v>
      </c>
      <c r="C1367" s="319" t="s">
        <v>7879</v>
      </c>
      <c r="D1367" s="319"/>
      <c r="E1367" s="319" t="s">
        <v>493</v>
      </c>
      <c r="F1367" s="319"/>
      <c r="G1367" s="318" t="s">
        <v>4206</v>
      </c>
      <c r="H1367" s="324" t="s">
        <v>1332</v>
      </c>
      <c r="I1367" s="324" t="s">
        <v>204</v>
      </c>
      <c r="J1367" s="319" t="s">
        <v>2129</v>
      </c>
      <c r="K1367" s="319" t="s">
        <v>191</v>
      </c>
      <c r="L1367" s="320">
        <v>4</v>
      </c>
      <c r="M1367" s="320">
        <v>4</v>
      </c>
      <c r="N1367" s="322" t="s">
        <v>12</v>
      </c>
      <c r="O1367" s="151">
        <v>5</v>
      </c>
      <c r="P1367" s="151" t="s">
        <v>199</v>
      </c>
    </row>
  </sheetData>
  <autoFilter ref="A5:R68" xr:uid="{00000000-0009-0000-0000-00000C000000}"/>
  <phoneticPr fontId="39" type="noConversion"/>
  <conditionalFormatting sqref="Q7:Q76">
    <cfRule type="containsText" dxfId="65" priority="1" operator="containsText" text="Yes">
      <formula>NOT(ISERROR(SEARCH("Yes",Q7)))</formula>
    </cfRule>
  </conditionalFormatting>
  <dataValidations count="2">
    <dataValidation type="list" allowBlank="1" showInputMessage="1" showErrorMessage="1" sqref="R6 G6" xr:uid="{00000000-0002-0000-0C00-000000000000}">
      <formula1>"All available, Specific years,Not applicable"</formula1>
    </dataValidation>
    <dataValidation type="list" allowBlank="1" showInputMessage="1" showErrorMessage="1" sqref="Q6:Q76" xr:uid="{00000000-0002-0000-0C00-000001000000}">
      <formula1>"No,Yes"</formula1>
    </dataValidation>
  </dataValidation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9" tint="0.39997558519241921"/>
  </sheetPr>
  <dimension ref="A1:AQ751"/>
  <sheetViews>
    <sheetView showGridLines="0" zoomScale="90" zoomScaleNormal="90" workbookViewId="0">
      <pane xSplit="1" ySplit="6" topLeftCell="B7" activePane="bottomRight" state="frozen"/>
      <selection pane="bottomRight" activeCell="AF61" sqref="AF61"/>
      <selection pane="bottomLeft" activeCell="A101" sqref="A101"/>
      <selection pane="topRight" activeCell="A101" sqref="A101"/>
    </sheetView>
  </sheetViews>
  <sheetFormatPr defaultColWidth="9" defaultRowHeight="12.75"/>
  <cols>
    <col min="1" max="1" width="29" style="56" bestFit="1" customWidth="1"/>
    <col min="2" max="2" width="25.5703125" style="56" bestFit="1" customWidth="1"/>
    <col min="3" max="3" width="9" style="56" customWidth="1"/>
    <col min="4" max="4" width="12" style="56" customWidth="1"/>
    <col min="5" max="6" width="12" style="56" hidden="1" customWidth="1"/>
    <col min="7" max="7" width="14.28515625" style="409" customWidth="1"/>
    <col min="8" max="8" width="53" style="56" customWidth="1"/>
    <col min="9" max="9" width="10" style="56" hidden="1" customWidth="1"/>
    <col min="10" max="10" width="20" style="410" customWidth="1"/>
    <col min="11" max="12" width="5" style="410" hidden="1" customWidth="1"/>
    <col min="13" max="13" width="18.5703125" style="42" customWidth="1"/>
    <col min="14" max="14" width="19.85546875" style="57" customWidth="1"/>
    <col min="15" max="15" width="13" style="56" bestFit="1" customWidth="1"/>
    <col min="16" max="16" width="13.140625" style="56" bestFit="1" customWidth="1"/>
    <col min="17" max="17" width="18.42578125" style="48" bestFit="1" customWidth="1"/>
    <col min="18" max="18" width="19.140625" style="48" bestFit="1" customWidth="1"/>
    <col min="19" max="19" width="9" style="48"/>
    <col min="20" max="20" width="39" style="48" bestFit="1" customWidth="1"/>
    <col min="21" max="16384" width="9" style="48"/>
  </cols>
  <sheetData>
    <row r="1" spans="1:18">
      <c r="A1" s="316" t="s">
        <v>133</v>
      </c>
      <c r="F1" s="409"/>
      <c r="G1" s="56"/>
      <c r="I1" s="410"/>
      <c r="L1" s="42"/>
      <c r="M1" s="57"/>
      <c r="N1" s="56"/>
      <c r="P1" s="48"/>
    </row>
    <row r="2" spans="1:18">
      <c r="A2" s="316"/>
      <c r="F2" s="409"/>
      <c r="G2" s="56"/>
      <c r="I2" s="410"/>
      <c r="L2" s="42"/>
      <c r="M2" s="57"/>
      <c r="N2" s="56"/>
      <c r="P2" s="48"/>
    </row>
    <row r="3" spans="1:18">
      <c r="A3" s="287" t="s">
        <v>159</v>
      </c>
      <c r="F3" s="409"/>
      <c r="G3" s="56"/>
      <c r="I3" s="410"/>
      <c r="L3" s="42"/>
      <c r="M3" s="57"/>
      <c r="N3" s="56"/>
      <c r="P3" s="48"/>
    </row>
    <row r="4" spans="1:18">
      <c r="F4" s="409"/>
      <c r="G4" s="56"/>
      <c r="I4" s="410"/>
      <c r="L4" s="286"/>
      <c r="M4" s="57"/>
      <c r="N4" s="56"/>
      <c r="P4" s="48"/>
    </row>
    <row r="5" spans="1:18" ht="56.25">
      <c r="A5" s="58" t="s">
        <v>165</v>
      </c>
      <c r="B5" s="81" t="s">
        <v>166</v>
      </c>
      <c r="C5" s="58" t="s">
        <v>167</v>
      </c>
      <c r="D5" s="58" t="s">
        <v>4201</v>
      </c>
      <c r="E5" s="58" t="s">
        <v>168</v>
      </c>
      <c r="F5" s="58" t="s">
        <v>169</v>
      </c>
      <c r="G5" s="58" t="s">
        <v>170</v>
      </c>
      <c r="H5" s="58" t="s">
        <v>20</v>
      </c>
      <c r="I5" s="58" t="s">
        <v>171</v>
      </c>
      <c r="J5" s="58" t="s">
        <v>172</v>
      </c>
      <c r="K5" s="58" t="s">
        <v>174</v>
      </c>
      <c r="L5" s="58" t="s">
        <v>175</v>
      </c>
      <c r="M5" s="59" t="s">
        <v>176</v>
      </c>
      <c r="N5" s="60" t="s">
        <v>177</v>
      </c>
      <c r="O5" s="60" t="s">
        <v>655</v>
      </c>
      <c r="P5" s="60" t="s">
        <v>179</v>
      </c>
      <c r="Q5" s="51" t="s">
        <v>180</v>
      </c>
      <c r="R5" s="51" t="s">
        <v>181</v>
      </c>
    </row>
    <row r="6" spans="1:18">
      <c r="A6" s="62" t="s">
        <v>7880</v>
      </c>
      <c r="C6" s="63"/>
      <c r="D6" s="63"/>
      <c r="E6" s="63"/>
      <c r="F6" s="63"/>
      <c r="G6" s="293"/>
      <c r="H6" s="63"/>
      <c r="I6" s="91"/>
      <c r="J6" s="411"/>
      <c r="K6" s="411"/>
      <c r="L6" s="411"/>
      <c r="M6" s="412"/>
      <c r="N6" s="43"/>
      <c r="O6" s="78"/>
      <c r="P6" s="297"/>
      <c r="Q6" s="293"/>
      <c r="R6" s="293"/>
    </row>
    <row r="7" spans="1:18" ht="90">
      <c r="A7" s="63" t="s">
        <v>7881</v>
      </c>
      <c r="B7" s="63" t="s">
        <v>731</v>
      </c>
      <c r="C7" s="63" t="s">
        <v>7882</v>
      </c>
      <c r="D7" s="63"/>
      <c r="E7" s="63" t="s">
        <v>185</v>
      </c>
      <c r="F7" s="63"/>
      <c r="G7" s="62" t="s">
        <v>4206</v>
      </c>
      <c r="H7" s="63" t="s">
        <v>187</v>
      </c>
      <c r="I7" s="91" t="s">
        <v>188</v>
      </c>
      <c r="J7" s="91" t="s">
        <v>7883</v>
      </c>
      <c r="K7" s="91"/>
      <c r="L7" s="91" t="s">
        <v>191</v>
      </c>
      <c r="M7" s="256">
        <v>4</v>
      </c>
      <c r="N7" s="413"/>
      <c r="O7" s="78">
        <v>5</v>
      </c>
      <c r="P7" s="78" t="s">
        <v>192</v>
      </c>
      <c r="Q7" s="414"/>
      <c r="R7" s="756"/>
    </row>
    <row r="8" spans="1:18" ht="11.25">
      <c r="A8" s="63" t="s">
        <v>7884</v>
      </c>
      <c r="B8" s="63" t="s">
        <v>735</v>
      </c>
      <c r="C8" s="63" t="s">
        <v>7885</v>
      </c>
      <c r="D8" s="63"/>
      <c r="E8" s="63" t="s">
        <v>185</v>
      </c>
      <c r="F8" s="63"/>
      <c r="G8" s="62" t="s">
        <v>4206</v>
      </c>
      <c r="H8" s="63" t="s">
        <v>197</v>
      </c>
      <c r="I8" s="91" t="s">
        <v>198</v>
      </c>
      <c r="J8" s="91"/>
      <c r="K8" s="91"/>
      <c r="L8" s="91" t="s">
        <v>191</v>
      </c>
      <c r="M8" s="256">
        <v>2</v>
      </c>
      <c r="N8" s="65" t="s">
        <v>12</v>
      </c>
      <c r="O8" s="78">
        <v>5</v>
      </c>
      <c r="P8" s="97" t="s">
        <v>199</v>
      </c>
      <c r="Q8" s="293"/>
      <c r="R8" s="256"/>
    </row>
    <row r="9" spans="1:18" ht="11.25">
      <c r="A9" s="63" t="s">
        <v>7886</v>
      </c>
      <c r="B9" s="63" t="s">
        <v>738</v>
      </c>
      <c r="C9" s="63" t="s">
        <v>7887</v>
      </c>
      <c r="D9" s="63"/>
      <c r="E9" s="63" t="s">
        <v>185</v>
      </c>
      <c r="F9" s="63"/>
      <c r="G9" s="62" t="s">
        <v>4206</v>
      </c>
      <c r="H9" s="63" t="s">
        <v>203</v>
      </c>
      <c r="I9" s="91" t="s">
        <v>204</v>
      </c>
      <c r="J9" s="91"/>
      <c r="K9" s="91"/>
      <c r="L9" s="91" t="s">
        <v>191</v>
      </c>
      <c r="M9" s="256">
        <v>2</v>
      </c>
      <c r="N9" s="65" t="s">
        <v>12</v>
      </c>
      <c r="O9" s="78">
        <v>5</v>
      </c>
      <c r="P9" s="97" t="s">
        <v>199</v>
      </c>
      <c r="Q9" s="293"/>
      <c r="R9" s="256"/>
    </row>
    <row r="10" spans="1:18" ht="11.25">
      <c r="A10" s="63" t="s">
        <v>7888</v>
      </c>
      <c r="B10" s="63" t="s">
        <v>742</v>
      </c>
      <c r="C10" s="63" t="s">
        <v>7889</v>
      </c>
      <c r="D10" s="63"/>
      <c r="E10" s="63" t="s">
        <v>185</v>
      </c>
      <c r="F10" s="63"/>
      <c r="G10" s="62" t="s">
        <v>1890</v>
      </c>
      <c r="H10" s="63" t="s">
        <v>209</v>
      </c>
      <c r="I10" s="91" t="s">
        <v>198</v>
      </c>
      <c r="J10" s="91"/>
      <c r="K10" s="91"/>
      <c r="L10" s="91" t="s">
        <v>191</v>
      </c>
      <c r="M10" s="256">
        <v>2</v>
      </c>
      <c r="N10" s="65" t="s">
        <v>12</v>
      </c>
      <c r="O10" s="78">
        <v>5</v>
      </c>
      <c r="P10" s="97" t="s">
        <v>199</v>
      </c>
      <c r="Q10" s="293"/>
      <c r="R10" s="256"/>
    </row>
    <row r="11" spans="1:18" ht="11.25">
      <c r="A11" s="63" t="s">
        <v>7890</v>
      </c>
      <c r="B11" s="63" t="s">
        <v>745</v>
      </c>
      <c r="C11" s="63" t="s">
        <v>7891</v>
      </c>
      <c r="D11" s="63"/>
      <c r="E11" s="63" t="s">
        <v>185</v>
      </c>
      <c r="F11" s="63"/>
      <c r="G11" s="62" t="s">
        <v>1890</v>
      </c>
      <c r="H11" s="63" t="s">
        <v>213</v>
      </c>
      <c r="I11" s="91" t="s">
        <v>204</v>
      </c>
      <c r="J11" s="91"/>
      <c r="K11" s="91"/>
      <c r="L11" s="91" t="s">
        <v>191</v>
      </c>
      <c r="M11" s="256">
        <v>2</v>
      </c>
      <c r="N11" s="65" t="s">
        <v>12</v>
      </c>
      <c r="O11" s="78">
        <v>5</v>
      </c>
      <c r="P11" s="97" t="s">
        <v>199</v>
      </c>
      <c r="Q11" s="293"/>
      <c r="R11" s="256"/>
    </row>
    <row r="12" spans="1:18" ht="11.25">
      <c r="A12" s="63" t="s">
        <v>7892</v>
      </c>
      <c r="B12" s="63" t="s">
        <v>757</v>
      </c>
      <c r="C12" s="63"/>
      <c r="D12" s="63"/>
      <c r="E12" s="63" t="s">
        <v>185</v>
      </c>
      <c r="F12" s="63"/>
      <c r="G12" s="62" t="s">
        <v>1890</v>
      </c>
      <c r="H12" s="63" t="s">
        <v>7893</v>
      </c>
      <c r="I12" s="91" t="s">
        <v>198</v>
      </c>
      <c r="J12" s="90"/>
      <c r="K12" s="90"/>
      <c r="L12" s="91" t="s">
        <v>191</v>
      </c>
      <c r="M12" s="256">
        <v>1</v>
      </c>
      <c r="N12" s="65" t="s">
        <v>14</v>
      </c>
      <c r="O12" s="78">
        <v>5</v>
      </c>
      <c r="P12" s="97" t="s">
        <v>199</v>
      </c>
      <c r="Q12" s="293"/>
      <c r="R12" s="256"/>
    </row>
    <row r="13" spans="1:18" ht="11.25">
      <c r="A13" s="63" t="s">
        <v>7894</v>
      </c>
      <c r="B13" s="63" t="s">
        <v>4222</v>
      </c>
      <c r="C13" s="63"/>
      <c r="D13" s="63"/>
      <c r="E13" s="63" t="s">
        <v>185</v>
      </c>
      <c r="F13" s="63"/>
      <c r="G13" s="62" t="s">
        <v>1890</v>
      </c>
      <c r="H13" s="63" t="s">
        <v>4223</v>
      </c>
      <c r="I13" s="91" t="s">
        <v>204</v>
      </c>
      <c r="J13" s="90"/>
      <c r="K13" s="90"/>
      <c r="L13" s="91" t="s">
        <v>191</v>
      </c>
      <c r="M13" s="256">
        <v>1</v>
      </c>
      <c r="N13" s="65" t="s">
        <v>14</v>
      </c>
      <c r="O13" s="78">
        <v>4</v>
      </c>
      <c r="P13" s="97" t="s">
        <v>222</v>
      </c>
      <c r="Q13" s="293"/>
      <c r="R13" s="256"/>
    </row>
    <row r="14" spans="1:18" ht="11.25">
      <c r="A14" s="63" t="s">
        <v>7895</v>
      </c>
      <c r="B14" s="63" t="s">
        <v>1937</v>
      </c>
      <c r="C14" s="63"/>
      <c r="D14" s="63"/>
      <c r="E14" s="63" t="s">
        <v>185</v>
      </c>
      <c r="F14" s="63"/>
      <c r="G14" s="62" t="s">
        <v>1890</v>
      </c>
      <c r="H14" s="63" t="s">
        <v>7896</v>
      </c>
      <c r="I14" s="91" t="s">
        <v>204</v>
      </c>
      <c r="J14" s="90"/>
      <c r="K14" s="90"/>
      <c r="L14" s="91" t="s">
        <v>191</v>
      </c>
      <c r="M14" s="256">
        <v>2</v>
      </c>
      <c r="N14" s="65" t="s">
        <v>14</v>
      </c>
      <c r="O14" s="78">
        <v>5</v>
      </c>
      <c r="P14" s="97" t="s">
        <v>192</v>
      </c>
      <c r="Q14" s="293"/>
      <c r="R14" s="256"/>
    </row>
    <row r="15" spans="1:18" ht="36.75" customHeight="1">
      <c r="A15" s="63" t="s">
        <v>7897</v>
      </c>
      <c r="B15" s="63" t="s">
        <v>1914</v>
      </c>
      <c r="C15" s="63"/>
      <c r="D15" s="63"/>
      <c r="E15" s="63" t="s">
        <v>1894</v>
      </c>
      <c r="F15" s="63"/>
      <c r="G15" s="62" t="s">
        <v>1890</v>
      </c>
      <c r="H15" s="63" t="s">
        <v>7898</v>
      </c>
      <c r="I15" s="91" t="s">
        <v>204</v>
      </c>
      <c r="J15" s="90"/>
      <c r="K15" s="90"/>
      <c r="L15" s="90" t="s">
        <v>1898</v>
      </c>
      <c r="M15" s="256">
        <v>1</v>
      </c>
      <c r="N15" s="65" t="s">
        <v>14</v>
      </c>
      <c r="O15" s="78">
        <v>5</v>
      </c>
      <c r="P15" s="97" t="s">
        <v>1899</v>
      </c>
      <c r="Q15" s="293"/>
      <c r="R15" s="256"/>
    </row>
    <row r="16" spans="1:18" ht="11.25">
      <c r="A16" s="63" t="s">
        <v>7899</v>
      </c>
      <c r="B16" s="63" t="s">
        <v>4281</v>
      </c>
      <c r="C16" s="63"/>
      <c r="D16" s="63"/>
      <c r="E16" s="63" t="s">
        <v>185</v>
      </c>
      <c r="F16" s="63"/>
      <c r="G16" s="62" t="s">
        <v>1890</v>
      </c>
      <c r="H16" s="63" t="s">
        <v>4282</v>
      </c>
      <c r="I16" s="91" t="s">
        <v>204</v>
      </c>
      <c r="J16" s="90"/>
      <c r="K16" s="90"/>
      <c r="L16" s="90" t="s">
        <v>191</v>
      </c>
      <c r="M16" s="256">
        <v>2</v>
      </c>
      <c r="N16" s="65" t="s">
        <v>14</v>
      </c>
      <c r="O16" s="78">
        <v>5</v>
      </c>
      <c r="P16" s="97" t="s">
        <v>222</v>
      </c>
      <c r="Q16" s="293"/>
      <c r="R16" s="256"/>
    </row>
    <row r="17" spans="1:18" ht="11.25">
      <c r="A17" s="63" t="s">
        <v>7900</v>
      </c>
      <c r="B17" s="63" t="s">
        <v>1957</v>
      </c>
      <c r="C17" s="63"/>
      <c r="D17" s="63"/>
      <c r="E17" s="63" t="s">
        <v>301</v>
      </c>
      <c r="F17" s="63"/>
      <c r="G17" s="62" t="s">
        <v>1962</v>
      </c>
      <c r="H17" s="63" t="s">
        <v>7901</v>
      </c>
      <c r="I17" s="91" t="s">
        <v>204</v>
      </c>
      <c r="J17" s="90"/>
      <c r="K17" s="90"/>
      <c r="L17" s="90" t="s">
        <v>191</v>
      </c>
      <c r="M17" s="256">
        <v>2</v>
      </c>
      <c r="N17" s="65" t="s">
        <v>14</v>
      </c>
      <c r="O17" s="78">
        <v>5</v>
      </c>
      <c r="P17" s="97" t="s">
        <v>192</v>
      </c>
      <c r="Q17" s="293"/>
      <c r="R17" s="256"/>
    </row>
    <row r="18" spans="1:18" ht="11.25">
      <c r="A18" s="63" t="s">
        <v>7902</v>
      </c>
      <c r="B18" s="63" t="s">
        <v>5857</v>
      </c>
      <c r="C18" s="63"/>
      <c r="D18" s="63"/>
      <c r="E18" s="63" t="s">
        <v>185</v>
      </c>
      <c r="F18" s="63"/>
      <c r="G18" s="98" t="s">
        <v>7903</v>
      </c>
      <c r="H18" s="63" t="s">
        <v>5858</v>
      </c>
      <c r="I18" s="91" t="s">
        <v>198</v>
      </c>
      <c r="J18" s="90"/>
      <c r="K18" s="90"/>
      <c r="L18" s="90" t="s">
        <v>191</v>
      </c>
      <c r="M18" s="256">
        <v>2</v>
      </c>
      <c r="N18" s="65" t="s">
        <v>14</v>
      </c>
      <c r="O18" s="78">
        <v>5</v>
      </c>
      <c r="P18" s="97" t="s">
        <v>199</v>
      </c>
      <c r="Q18" s="293"/>
      <c r="R18" s="256"/>
    </row>
    <row r="19" spans="1:18" ht="11.25">
      <c r="A19" s="63" t="s">
        <v>7904</v>
      </c>
      <c r="B19" s="63" t="s">
        <v>1889</v>
      </c>
      <c r="C19" s="63"/>
      <c r="D19" s="63"/>
      <c r="E19" s="63" t="s">
        <v>185</v>
      </c>
      <c r="F19" s="63"/>
      <c r="G19" s="98" t="s">
        <v>587</v>
      </c>
      <c r="H19" s="63" t="s">
        <v>1891</v>
      </c>
      <c r="I19" s="91" t="s">
        <v>198</v>
      </c>
      <c r="J19" s="90"/>
      <c r="K19" s="90"/>
      <c r="L19" s="90" t="s">
        <v>191</v>
      </c>
      <c r="M19" s="256">
        <v>2</v>
      </c>
      <c r="N19" s="65" t="s">
        <v>14</v>
      </c>
      <c r="O19" s="78">
        <v>5</v>
      </c>
      <c r="P19" s="97" t="s">
        <v>199</v>
      </c>
      <c r="Q19" s="293"/>
      <c r="R19" s="256"/>
    </row>
    <row r="20" spans="1:18" ht="33.75">
      <c r="A20" s="63" t="s">
        <v>7905</v>
      </c>
      <c r="B20" s="63" t="s">
        <v>7906</v>
      </c>
      <c r="C20" s="63"/>
      <c r="D20" s="43"/>
      <c r="E20" s="43" t="s">
        <v>301</v>
      </c>
      <c r="F20" s="43"/>
      <c r="G20" s="98" t="s">
        <v>6627</v>
      </c>
      <c r="H20" s="63" t="s">
        <v>7907</v>
      </c>
      <c r="I20" s="91" t="s">
        <v>188</v>
      </c>
      <c r="J20" s="90" t="s">
        <v>7908</v>
      </c>
      <c r="K20" s="90"/>
      <c r="L20" s="90" t="s">
        <v>191</v>
      </c>
      <c r="M20" s="256">
        <v>2</v>
      </c>
      <c r="N20" s="65" t="s">
        <v>14</v>
      </c>
      <c r="O20" s="78">
        <v>5</v>
      </c>
      <c r="P20" s="97" t="s">
        <v>192</v>
      </c>
      <c r="Q20" s="293"/>
      <c r="R20" s="256"/>
    </row>
    <row r="21" spans="1:18" ht="11.25">
      <c r="A21" s="63" t="s">
        <v>7909</v>
      </c>
      <c r="B21" s="63" t="s">
        <v>4221</v>
      </c>
      <c r="C21" s="63"/>
      <c r="D21" s="43"/>
      <c r="E21" s="43" t="s">
        <v>185</v>
      </c>
      <c r="F21" s="43"/>
      <c r="G21" s="98" t="s">
        <v>6627</v>
      </c>
      <c r="H21" s="63" t="s">
        <v>7910</v>
      </c>
      <c r="I21" s="91" t="s">
        <v>204</v>
      </c>
      <c r="J21" s="90" t="s">
        <v>7911</v>
      </c>
      <c r="K21" s="90"/>
      <c r="L21" s="90" t="s">
        <v>191</v>
      </c>
      <c r="M21" s="256">
        <v>1</v>
      </c>
      <c r="N21" s="65" t="s">
        <v>14</v>
      </c>
      <c r="O21" s="78">
        <v>4</v>
      </c>
      <c r="P21" s="97" t="s">
        <v>222</v>
      </c>
      <c r="Q21" s="293"/>
      <c r="R21" s="256"/>
    </row>
    <row r="22" spans="1:18" ht="22.5">
      <c r="A22" s="63" t="s">
        <v>7912</v>
      </c>
      <c r="B22" s="63" t="s">
        <v>4245</v>
      </c>
      <c r="C22" s="63"/>
      <c r="D22" s="43"/>
      <c r="E22" s="43" t="s">
        <v>185</v>
      </c>
      <c r="F22" s="43"/>
      <c r="G22" s="415" t="s">
        <v>6627</v>
      </c>
      <c r="H22" s="63" t="s">
        <v>7913</v>
      </c>
      <c r="I22" s="91" t="s">
        <v>188</v>
      </c>
      <c r="J22" s="90" t="s">
        <v>250</v>
      </c>
      <c r="K22" s="90"/>
      <c r="L22" s="90" t="s">
        <v>191</v>
      </c>
      <c r="M22" s="256">
        <v>2</v>
      </c>
      <c r="N22" s="65" t="s">
        <v>14</v>
      </c>
      <c r="O22" s="78">
        <v>5</v>
      </c>
      <c r="P22" s="97" t="s">
        <v>192</v>
      </c>
      <c r="Q22" s="293"/>
      <c r="R22" s="256"/>
    </row>
    <row r="23" spans="1:18" ht="11.25">
      <c r="A23" s="63" t="s">
        <v>7914</v>
      </c>
      <c r="B23" s="63" t="s">
        <v>4280</v>
      </c>
      <c r="C23" s="63"/>
      <c r="D23" s="43"/>
      <c r="E23" s="43" t="s">
        <v>185</v>
      </c>
      <c r="F23" s="43"/>
      <c r="G23" s="416" t="s">
        <v>7915</v>
      </c>
      <c r="H23" s="63" t="s">
        <v>7916</v>
      </c>
      <c r="I23" s="91" t="s">
        <v>204</v>
      </c>
      <c r="J23" s="90" t="s">
        <v>7917</v>
      </c>
      <c r="K23" s="90"/>
      <c r="L23" s="90" t="s">
        <v>191</v>
      </c>
      <c r="M23" s="256">
        <v>2</v>
      </c>
      <c r="N23" s="65" t="s">
        <v>14</v>
      </c>
      <c r="O23" s="78">
        <v>5</v>
      </c>
      <c r="P23" s="97" t="s">
        <v>222</v>
      </c>
      <c r="Q23" s="293"/>
      <c r="R23" s="256"/>
    </row>
    <row r="24" spans="1:18" ht="11.25">
      <c r="A24" s="63" t="s">
        <v>7918</v>
      </c>
      <c r="B24" s="63" t="s">
        <v>4253</v>
      </c>
      <c r="C24" s="63"/>
      <c r="D24" s="43"/>
      <c r="E24" s="43" t="s">
        <v>185</v>
      </c>
      <c r="F24" s="43"/>
      <c r="G24" s="416" t="s">
        <v>7919</v>
      </c>
      <c r="H24" s="63" t="s">
        <v>7920</v>
      </c>
      <c r="I24" s="91" t="s">
        <v>204</v>
      </c>
      <c r="J24" s="90" t="s">
        <v>7921</v>
      </c>
      <c r="K24" s="90"/>
      <c r="L24" s="90" t="s">
        <v>191</v>
      </c>
      <c r="M24" s="256">
        <v>2</v>
      </c>
      <c r="N24" s="65" t="s">
        <v>14</v>
      </c>
      <c r="O24" s="78">
        <v>5</v>
      </c>
      <c r="P24" s="97" t="s">
        <v>222</v>
      </c>
      <c r="Q24" s="293"/>
      <c r="R24" s="256"/>
    </row>
    <row r="25" spans="1:18" ht="78.75">
      <c r="A25" s="131" t="s">
        <v>7922</v>
      </c>
      <c r="B25" s="131" t="s">
        <v>4268</v>
      </c>
      <c r="C25" s="131"/>
      <c r="D25" s="417"/>
      <c r="E25" s="417" t="s">
        <v>185</v>
      </c>
      <c r="F25" s="417"/>
      <c r="G25" s="416" t="s">
        <v>7915</v>
      </c>
      <c r="H25" s="131" t="s">
        <v>7923</v>
      </c>
      <c r="I25" s="91" t="s">
        <v>204</v>
      </c>
      <c r="J25" s="418" t="s">
        <v>7924</v>
      </c>
      <c r="K25" s="418"/>
      <c r="L25" s="90" t="s">
        <v>191</v>
      </c>
      <c r="M25" s="419">
        <v>1</v>
      </c>
      <c r="N25" s="420" t="s">
        <v>14</v>
      </c>
      <c r="O25" s="78">
        <v>5</v>
      </c>
      <c r="P25" s="97" t="s">
        <v>222</v>
      </c>
      <c r="Q25" s="293"/>
      <c r="R25" s="419"/>
    </row>
    <row r="26" spans="1:18" ht="45">
      <c r="A26" s="131" t="s">
        <v>7925</v>
      </c>
      <c r="B26" s="131" t="s">
        <v>446</v>
      </c>
      <c r="C26" s="131" t="s">
        <v>7926</v>
      </c>
      <c r="D26" s="417"/>
      <c r="E26" s="417" t="s">
        <v>185</v>
      </c>
      <c r="F26" s="417"/>
      <c r="G26" s="416" t="s">
        <v>7927</v>
      </c>
      <c r="H26" s="131" t="s">
        <v>448</v>
      </c>
      <c r="I26" s="91" t="s">
        <v>204</v>
      </c>
      <c r="J26" s="418"/>
      <c r="K26" s="418"/>
      <c r="L26" s="90" t="s">
        <v>191</v>
      </c>
      <c r="M26" s="419">
        <v>1</v>
      </c>
      <c r="N26" s="420" t="s">
        <v>14</v>
      </c>
      <c r="O26" s="78">
        <v>5</v>
      </c>
      <c r="P26" s="97" t="s">
        <v>199</v>
      </c>
      <c r="Q26" s="293"/>
      <c r="R26" s="419"/>
    </row>
    <row r="27" spans="1:18" ht="56.25">
      <c r="A27" s="131" t="s">
        <v>7928</v>
      </c>
      <c r="B27" s="131" t="s">
        <v>450</v>
      </c>
      <c r="C27" s="131" t="s">
        <v>135</v>
      </c>
      <c r="D27" s="417"/>
      <c r="E27" s="417" t="s">
        <v>185</v>
      </c>
      <c r="F27" s="417"/>
      <c r="G27" s="416" t="s">
        <v>7929</v>
      </c>
      <c r="H27" s="131" t="s">
        <v>3576</v>
      </c>
      <c r="I27" s="91" t="s">
        <v>204</v>
      </c>
      <c r="J27" s="418"/>
      <c r="K27" s="418"/>
      <c r="L27" s="90" t="s">
        <v>191</v>
      </c>
      <c r="M27" s="419">
        <v>1</v>
      </c>
      <c r="N27" s="420" t="s">
        <v>14</v>
      </c>
      <c r="O27" s="78">
        <v>5</v>
      </c>
      <c r="P27" s="97" t="s">
        <v>199</v>
      </c>
      <c r="Q27" s="293"/>
      <c r="R27" s="419"/>
    </row>
    <row r="28" spans="1:18" s="543" customFormat="1" ht="11.25" hidden="1">
      <c r="A28" s="537" t="s">
        <v>7930</v>
      </c>
      <c r="B28" s="537" t="s">
        <v>7931</v>
      </c>
      <c r="C28" s="537" t="s">
        <v>7932</v>
      </c>
      <c r="D28" s="537"/>
      <c r="E28" s="537" t="s">
        <v>185</v>
      </c>
      <c r="F28" s="537"/>
      <c r="G28" s="538" t="s">
        <v>7915</v>
      </c>
      <c r="H28" s="533" t="s">
        <v>7933</v>
      </c>
      <c r="I28" s="539" t="s">
        <v>204</v>
      </c>
      <c r="J28" s="539"/>
      <c r="K28" s="540"/>
      <c r="L28" s="534" t="s">
        <v>191</v>
      </c>
      <c r="M28" s="541">
        <v>1</v>
      </c>
      <c r="N28" s="544" t="s">
        <v>14</v>
      </c>
      <c r="O28" s="536">
        <v>4</v>
      </c>
      <c r="P28" s="536" t="s">
        <v>199</v>
      </c>
      <c r="Q28" s="542"/>
      <c r="R28" s="757"/>
    </row>
    <row r="29" spans="1:18" ht="45">
      <c r="A29" s="131" t="s">
        <v>7934</v>
      </c>
      <c r="B29" s="131" t="s">
        <v>764</v>
      </c>
      <c r="C29" s="131" t="s">
        <v>7935</v>
      </c>
      <c r="D29" s="417"/>
      <c r="E29" s="417" t="s">
        <v>185</v>
      </c>
      <c r="F29" s="417"/>
      <c r="G29" s="416" t="s">
        <v>7936</v>
      </c>
      <c r="H29" s="131" t="s">
        <v>4340</v>
      </c>
      <c r="I29" s="91" t="s">
        <v>204</v>
      </c>
      <c r="J29" s="418"/>
      <c r="K29" s="418"/>
      <c r="L29" s="90" t="s">
        <v>191</v>
      </c>
      <c r="M29" s="419">
        <v>1</v>
      </c>
      <c r="N29" s="420" t="s">
        <v>14</v>
      </c>
      <c r="O29" s="78">
        <v>5</v>
      </c>
      <c r="P29" s="97" t="s">
        <v>199</v>
      </c>
      <c r="Q29" s="293"/>
      <c r="R29" s="293"/>
    </row>
    <row r="30" spans="1:18" s="543" customFormat="1" ht="22.5" hidden="1">
      <c r="A30" s="537" t="s">
        <v>7937</v>
      </c>
      <c r="B30" s="537" t="s">
        <v>7938</v>
      </c>
      <c r="C30" s="537" t="s">
        <v>7939</v>
      </c>
      <c r="D30" s="537" t="s">
        <v>7940</v>
      </c>
      <c r="E30" s="537" t="s">
        <v>185</v>
      </c>
      <c r="F30" s="537"/>
      <c r="G30" s="538" t="s">
        <v>7936</v>
      </c>
      <c r="H30" s="533" t="s">
        <v>7941</v>
      </c>
      <c r="I30" s="539" t="s">
        <v>204</v>
      </c>
      <c r="J30" s="539"/>
      <c r="K30" s="540"/>
      <c r="L30" s="534" t="s">
        <v>191</v>
      </c>
      <c r="M30" s="541">
        <v>1</v>
      </c>
      <c r="N30" s="535" t="s">
        <v>14</v>
      </c>
      <c r="O30" s="536">
        <v>4</v>
      </c>
      <c r="P30" s="536" t="s">
        <v>199</v>
      </c>
      <c r="Q30" s="542"/>
      <c r="R30" s="757"/>
    </row>
    <row r="31" spans="1:18" ht="45">
      <c r="A31" s="131" t="s">
        <v>7942</v>
      </c>
      <c r="B31" s="131" t="s">
        <v>463</v>
      </c>
      <c r="C31" s="131" t="s">
        <v>7943</v>
      </c>
      <c r="D31" s="417" t="s">
        <v>4346</v>
      </c>
      <c r="E31" s="417" t="s">
        <v>185</v>
      </c>
      <c r="F31" s="417"/>
      <c r="G31" s="416" t="s">
        <v>7936</v>
      </c>
      <c r="H31" s="131" t="s">
        <v>1424</v>
      </c>
      <c r="I31" s="91" t="s">
        <v>204</v>
      </c>
      <c r="J31" s="418"/>
      <c r="K31" s="418"/>
      <c r="L31" s="90" t="s">
        <v>191</v>
      </c>
      <c r="M31" s="419">
        <v>1</v>
      </c>
      <c r="N31" s="420" t="s">
        <v>14</v>
      </c>
      <c r="O31" s="78">
        <v>4</v>
      </c>
      <c r="P31" s="97" t="s">
        <v>199</v>
      </c>
      <c r="Q31" s="293"/>
      <c r="R31" s="293"/>
    </row>
    <row r="32" spans="1:18" s="543" customFormat="1" ht="11.25" hidden="1">
      <c r="A32" s="537" t="s">
        <v>7944</v>
      </c>
      <c r="B32" s="537" t="s">
        <v>7945</v>
      </c>
      <c r="C32" s="537"/>
      <c r="D32" s="537"/>
      <c r="E32" s="537" t="s">
        <v>185</v>
      </c>
      <c r="F32" s="537"/>
      <c r="G32" s="538" t="s">
        <v>1890</v>
      </c>
      <c r="H32" s="537" t="s">
        <v>7946</v>
      </c>
      <c r="I32" s="539" t="s">
        <v>466</v>
      </c>
      <c r="J32" s="539"/>
      <c r="K32" s="540"/>
      <c r="L32" s="534" t="s">
        <v>191</v>
      </c>
      <c r="M32" s="541">
        <v>1</v>
      </c>
      <c r="N32" s="535" t="s">
        <v>14</v>
      </c>
      <c r="O32" s="536">
        <v>4</v>
      </c>
      <c r="P32" s="536" t="s">
        <v>199</v>
      </c>
      <c r="Q32" s="542"/>
      <c r="R32" s="757"/>
    </row>
    <row r="33" spans="1:18" s="543" customFormat="1" ht="11.25" hidden="1">
      <c r="A33" s="537" t="s">
        <v>7947</v>
      </c>
      <c r="B33" s="537" t="s">
        <v>7948</v>
      </c>
      <c r="C33" s="537"/>
      <c r="D33" s="537"/>
      <c r="E33" s="537" t="s">
        <v>185</v>
      </c>
      <c r="F33" s="537"/>
      <c r="G33" s="538" t="s">
        <v>1890</v>
      </c>
      <c r="H33" s="537" t="s">
        <v>7949</v>
      </c>
      <c r="I33" s="539" t="s">
        <v>198</v>
      </c>
      <c r="J33" s="539"/>
      <c r="K33" s="540"/>
      <c r="L33" s="534" t="s">
        <v>191</v>
      </c>
      <c r="M33" s="541">
        <v>1</v>
      </c>
      <c r="N33" s="535" t="s">
        <v>14</v>
      </c>
      <c r="O33" s="536">
        <v>5</v>
      </c>
      <c r="P33" s="536" t="s">
        <v>199</v>
      </c>
      <c r="Q33" s="542"/>
      <c r="R33" s="757"/>
    </row>
    <row r="34" spans="1:18" ht="45">
      <c r="A34" s="131" t="s">
        <v>7950</v>
      </c>
      <c r="B34" s="131" t="s">
        <v>7951</v>
      </c>
      <c r="C34" s="131" t="s">
        <v>135</v>
      </c>
      <c r="D34" s="417"/>
      <c r="E34" s="417" t="s">
        <v>185</v>
      </c>
      <c r="F34" s="417"/>
      <c r="G34" s="416" t="s">
        <v>7936</v>
      </c>
      <c r="H34" s="131" t="s">
        <v>7952</v>
      </c>
      <c r="I34" s="91" t="s">
        <v>466</v>
      </c>
      <c r="J34" s="418"/>
      <c r="K34" s="418"/>
      <c r="L34" s="90" t="s">
        <v>191</v>
      </c>
      <c r="M34" s="419">
        <v>1</v>
      </c>
      <c r="N34" s="420" t="s">
        <v>14</v>
      </c>
      <c r="O34" s="78">
        <v>4</v>
      </c>
      <c r="P34" s="97" t="s">
        <v>199</v>
      </c>
      <c r="Q34" s="293"/>
      <c r="R34" s="293"/>
    </row>
    <row r="35" spans="1:18">
      <c r="A35" s="138" t="s">
        <v>7953</v>
      </c>
      <c r="C35" s="138"/>
      <c r="D35" s="138"/>
      <c r="E35" s="138"/>
      <c r="F35" s="138"/>
      <c r="G35" s="416"/>
      <c r="H35" s="138"/>
      <c r="I35" s="138"/>
      <c r="J35" s="45"/>
      <c r="K35" s="45"/>
      <c r="L35" s="45"/>
      <c r="N35" s="44"/>
      <c r="O35" s="57"/>
      <c r="P35" s="57"/>
      <c r="Q35" s="305"/>
      <c r="R35" s="305"/>
    </row>
    <row r="36" spans="1:18" ht="45">
      <c r="A36" s="131" t="s">
        <v>7934</v>
      </c>
      <c r="B36" s="131" t="s">
        <v>764</v>
      </c>
      <c r="C36" s="131" t="s">
        <v>7954</v>
      </c>
      <c r="D36" s="417"/>
      <c r="E36" s="417" t="s">
        <v>185</v>
      </c>
      <c r="F36" s="417"/>
      <c r="G36" s="416" t="s">
        <v>7936</v>
      </c>
      <c r="H36" s="131" t="s">
        <v>4340</v>
      </c>
      <c r="I36" s="91" t="s">
        <v>740</v>
      </c>
      <c r="J36" s="418"/>
      <c r="K36" s="418"/>
      <c r="L36" s="90" t="s">
        <v>191</v>
      </c>
      <c r="M36" s="419">
        <v>1</v>
      </c>
      <c r="N36" s="420"/>
      <c r="O36" s="78">
        <v>4</v>
      </c>
      <c r="P36" s="97" t="s">
        <v>199</v>
      </c>
      <c r="Q36" s="293"/>
      <c r="R36" s="419"/>
    </row>
    <row r="37" spans="1:18" ht="45">
      <c r="A37" s="131" t="s">
        <v>7942</v>
      </c>
      <c r="B37" s="131" t="s">
        <v>463</v>
      </c>
      <c r="C37" s="131"/>
      <c r="D37" s="417"/>
      <c r="E37" s="417" t="s">
        <v>185</v>
      </c>
      <c r="F37" s="417"/>
      <c r="G37" s="416" t="s">
        <v>7936</v>
      </c>
      <c r="H37" s="131" t="s">
        <v>7955</v>
      </c>
      <c r="I37" s="91" t="s">
        <v>466</v>
      </c>
      <c r="J37" s="418"/>
      <c r="K37" s="418"/>
      <c r="L37" s="90" t="s">
        <v>191</v>
      </c>
      <c r="M37" s="419">
        <v>1</v>
      </c>
      <c r="N37" s="420"/>
      <c r="O37" s="78">
        <v>4</v>
      </c>
      <c r="P37" s="97" t="s">
        <v>199</v>
      </c>
      <c r="Q37" s="293"/>
      <c r="R37" s="419"/>
    </row>
    <row r="38" spans="1:18" s="422" customFormat="1" ht="11.25">
      <c r="A38" s="45"/>
      <c r="B38" s="45"/>
      <c r="C38" s="45"/>
      <c r="D38" s="45"/>
      <c r="E38" s="45"/>
      <c r="F38" s="45"/>
      <c r="G38" s="138"/>
      <c r="H38" s="45"/>
      <c r="I38" s="45"/>
      <c r="J38" s="44"/>
      <c r="K38" s="44"/>
      <c r="L38" s="44"/>
      <c r="M38" s="57"/>
      <c r="N38" s="57"/>
      <c r="O38" s="57"/>
      <c r="P38" s="57"/>
      <c r="Q38" s="305"/>
      <c r="R38" s="305"/>
    </row>
    <row r="39" spans="1:18">
      <c r="A39" s="316" t="s">
        <v>133</v>
      </c>
    </row>
    <row r="40" spans="1:18">
      <c r="A40" s="316"/>
    </row>
    <row r="41" spans="1:18" ht="51">
      <c r="A41" s="316" t="s">
        <v>488</v>
      </c>
    </row>
    <row r="42" spans="1:18" ht="51">
      <c r="A42" s="317" t="s">
        <v>489</v>
      </c>
      <c r="M42" s="48"/>
    </row>
    <row r="43" spans="1:18">
      <c r="A43" s="286"/>
      <c r="M43" s="48"/>
    </row>
    <row r="44" spans="1:18" ht="56.25">
      <c r="A44" s="58" t="s">
        <v>165</v>
      </c>
      <c r="B44" s="81" t="s">
        <v>166</v>
      </c>
      <c r="C44" s="58" t="s">
        <v>167</v>
      </c>
      <c r="D44" s="58" t="s">
        <v>4201</v>
      </c>
      <c r="E44" s="58" t="s">
        <v>168</v>
      </c>
      <c r="F44" s="58" t="s">
        <v>169</v>
      </c>
      <c r="G44" s="58" t="s">
        <v>170</v>
      </c>
      <c r="H44" s="58" t="s">
        <v>20</v>
      </c>
      <c r="I44" s="58" t="s">
        <v>171</v>
      </c>
      <c r="J44" s="58" t="s">
        <v>172</v>
      </c>
      <c r="K44" s="58" t="s">
        <v>174</v>
      </c>
      <c r="L44" s="58" t="s">
        <v>175</v>
      </c>
      <c r="M44" s="59" t="s">
        <v>176</v>
      </c>
      <c r="N44" s="60" t="s">
        <v>177</v>
      </c>
      <c r="O44" s="60" t="s">
        <v>655</v>
      </c>
      <c r="P44" s="60" t="s">
        <v>179</v>
      </c>
      <c r="Q44" s="421"/>
    </row>
    <row r="45" spans="1:18">
      <c r="A45" s="141" t="s">
        <v>7880</v>
      </c>
      <c r="B45" s="423"/>
      <c r="C45" s="142"/>
      <c r="D45" s="142"/>
      <c r="E45" s="142"/>
      <c r="F45" s="142"/>
      <c r="G45" s="331"/>
      <c r="H45" s="142"/>
      <c r="I45" s="156"/>
      <c r="J45" s="424"/>
      <c r="K45" s="424"/>
      <c r="L45" s="424"/>
      <c r="M45" s="425"/>
      <c r="N45" s="426"/>
      <c r="O45" s="151"/>
      <c r="P45" s="323"/>
      <c r="Q45" s="421"/>
    </row>
    <row r="46" spans="1:18" ht="11.25">
      <c r="A46" s="142" t="s">
        <v>7956</v>
      </c>
      <c r="B46" s="142" t="s">
        <v>770</v>
      </c>
      <c r="C46" s="142" t="s">
        <v>7957</v>
      </c>
      <c r="D46" s="142"/>
      <c r="E46" s="142" t="s">
        <v>493</v>
      </c>
      <c r="F46" s="142"/>
      <c r="G46" s="141" t="s">
        <v>4206</v>
      </c>
      <c r="H46" s="142" t="s">
        <v>503</v>
      </c>
      <c r="I46" s="156" t="s">
        <v>198</v>
      </c>
      <c r="J46" s="156"/>
      <c r="K46" s="156"/>
      <c r="L46" s="156" t="s">
        <v>191</v>
      </c>
      <c r="M46" s="331">
        <v>4</v>
      </c>
      <c r="N46" s="426"/>
      <c r="O46" s="151">
        <v>5</v>
      </c>
      <c r="P46" s="151" t="s">
        <v>199</v>
      </c>
      <c r="Q46" s="421"/>
    </row>
    <row r="47" spans="1:18" ht="11.25">
      <c r="A47" s="142" t="s">
        <v>7958</v>
      </c>
      <c r="B47" s="142" t="s">
        <v>491</v>
      </c>
      <c r="C47" s="142" t="s">
        <v>7959</v>
      </c>
      <c r="D47" s="142"/>
      <c r="E47" s="142" t="s">
        <v>493</v>
      </c>
      <c r="F47" s="142"/>
      <c r="G47" s="141" t="s">
        <v>4206</v>
      </c>
      <c r="H47" s="142" t="s">
        <v>494</v>
      </c>
      <c r="I47" s="156" t="s">
        <v>466</v>
      </c>
      <c r="J47" s="156"/>
      <c r="K47" s="156"/>
      <c r="L47" s="156" t="s">
        <v>191</v>
      </c>
      <c r="M47" s="331">
        <v>4</v>
      </c>
      <c r="N47" s="426"/>
      <c r="O47" s="151">
        <v>3</v>
      </c>
      <c r="P47" s="151" t="s">
        <v>199</v>
      </c>
      <c r="Q47" s="421"/>
    </row>
    <row r="48" spans="1:18" ht="11.25">
      <c r="A48" s="142" t="s">
        <v>7960</v>
      </c>
      <c r="B48" s="142" t="s">
        <v>2090</v>
      </c>
      <c r="C48" s="142" t="s">
        <v>7961</v>
      </c>
      <c r="D48" s="142"/>
      <c r="E48" s="142" t="s">
        <v>185</v>
      </c>
      <c r="F48" s="142"/>
      <c r="G48" s="141" t="s">
        <v>7915</v>
      </c>
      <c r="H48" s="145" t="s">
        <v>4375</v>
      </c>
      <c r="I48" s="155" t="s">
        <v>198</v>
      </c>
      <c r="J48" s="156" t="s">
        <v>4376</v>
      </c>
      <c r="K48" s="156"/>
      <c r="L48" s="156" t="s">
        <v>191</v>
      </c>
      <c r="M48" s="331">
        <v>4</v>
      </c>
      <c r="N48" s="426"/>
      <c r="O48" s="151">
        <v>5</v>
      </c>
      <c r="P48" s="151" t="s">
        <v>199</v>
      </c>
      <c r="Q48" s="421"/>
    </row>
    <row r="49" spans="1:43" ht="90">
      <c r="A49" s="142" t="s">
        <v>7962</v>
      </c>
      <c r="B49" s="142" t="s">
        <v>7963</v>
      </c>
      <c r="C49" s="142"/>
      <c r="D49" s="142"/>
      <c r="E49" s="142" t="s">
        <v>185</v>
      </c>
      <c r="F49" s="142"/>
      <c r="G49" s="141" t="s">
        <v>6627</v>
      </c>
      <c r="H49" s="145" t="s">
        <v>7964</v>
      </c>
      <c r="I49" s="155" t="s">
        <v>204</v>
      </c>
      <c r="J49" s="156" t="s">
        <v>7965</v>
      </c>
      <c r="K49" s="156"/>
      <c r="L49" s="156" t="s">
        <v>191</v>
      </c>
      <c r="M49" s="331">
        <v>4</v>
      </c>
      <c r="N49" s="426"/>
      <c r="O49" s="151">
        <v>5</v>
      </c>
      <c r="P49" s="151" t="s">
        <v>199</v>
      </c>
      <c r="Q49" s="421"/>
    </row>
    <row r="50" spans="1:43" ht="22.5">
      <c r="A50" s="142" t="s">
        <v>7966</v>
      </c>
      <c r="B50" s="142" t="s">
        <v>2096</v>
      </c>
      <c r="C50" s="142" t="s">
        <v>7967</v>
      </c>
      <c r="D50" s="142"/>
      <c r="E50" s="142" t="s">
        <v>185</v>
      </c>
      <c r="F50" s="142"/>
      <c r="G50" s="141" t="s">
        <v>7968</v>
      </c>
      <c r="H50" s="145" t="s">
        <v>4380</v>
      </c>
      <c r="I50" s="155" t="s">
        <v>204</v>
      </c>
      <c r="J50" s="156" t="s">
        <v>4381</v>
      </c>
      <c r="K50" s="156"/>
      <c r="L50" s="156" t="s">
        <v>191</v>
      </c>
      <c r="M50" s="331">
        <v>4</v>
      </c>
      <c r="N50" s="426"/>
      <c r="O50" s="151">
        <v>5</v>
      </c>
      <c r="P50" s="151" t="s">
        <v>199</v>
      </c>
      <c r="Q50" s="421"/>
    </row>
    <row r="51" spans="1:43" ht="22.5">
      <c r="A51" s="142" t="s">
        <v>7969</v>
      </c>
      <c r="B51" s="142" t="s">
        <v>1436</v>
      </c>
      <c r="C51" s="142" t="s">
        <v>7970</v>
      </c>
      <c r="D51" s="142"/>
      <c r="E51" s="142" t="s">
        <v>185</v>
      </c>
      <c r="F51" s="142"/>
      <c r="G51" s="141" t="s">
        <v>7915</v>
      </c>
      <c r="H51" s="142" t="s">
        <v>1438</v>
      </c>
      <c r="I51" s="156" t="s">
        <v>204</v>
      </c>
      <c r="J51" s="155" t="s">
        <v>782</v>
      </c>
      <c r="K51" s="155"/>
      <c r="L51" s="156" t="s">
        <v>191</v>
      </c>
      <c r="M51" s="331">
        <v>4</v>
      </c>
      <c r="N51" s="426"/>
      <c r="O51" s="151">
        <v>5</v>
      </c>
      <c r="P51" s="151" t="s">
        <v>199</v>
      </c>
      <c r="Q51" s="421"/>
    </row>
    <row r="52" spans="1:43" ht="22.5">
      <c r="A52" s="142" t="s">
        <v>7971</v>
      </c>
      <c r="B52" s="142" t="s">
        <v>4424</v>
      </c>
      <c r="C52" s="142"/>
      <c r="D52" s="142"/>
      <c r="E52" s="142" t="s">
        <v>185</v>
      </c>
      <c r="F52" s="142"/>
      <c r="G52" s="141" t="s">
        <v>1962</v>
      </c>
      <c r="H52" s="142" t="s">
        <v>7972</v>
      </c>
      <c r="I52" s="156" t="s">
        <v>204</v>
      </c>
      <c r="J52" s="155"/>
      <c r="K52" s="155"/>
      <c r="L52" s="156" t="s">
        <v>191</v>
      </c>
      <c r="M52" s="331">
        <v>4</v>
      </c>
      <c r="N52" s="426"/>
      <c r="O52" s="151">
        <v>5</v>
      </c>
      <c r="P52" s="151" t="s">
        <v>199</v>
      </c>
      <c r="Q52" s="421"/>
    </row>
    <row r="53" spans="1:43" ht="11.25">
      <c r="A53" s="142" t="s">
        <v>7973</v>
      </c>
      <c r="B53" s="142" t="s">
        <v>2152</v>
      </c>
      <c r="C53" s="142"/>
      <c r="D53" s="142"/>
      <c r="E53" s="142" t="s">
        <v>185</v>
      </c>
      <c r="F53" s="142"/>
      <c r="G53" s="141" t="s">
        <v>1962</v>
      </c>
      <c r="H53" s="142" t="s">
        <v>2153</v>
      </c>
      <c r="I53" s="156" t="s">
        <v>204</v>
      </c>
      <c r="J53" s="155"/>
      <c r="K53" s="155"/>
      <c r="L53" s="156" t="s">
        <v>191</v>
      </c>
      <c r="M53" s="331">
        <v>4</v>
      </c>
      <c r="N53" s="426"/>
      <c r="O53" s="151">
        <v>5</v>
      </c>
      <c r="P53" s="151" t="s">
        <v>199</v>
      </c>
      <c r="Q53" s="421"/>
      <c r="S53" s="421"/>
      <c r="T53" s="421"/>
      <c r="U53" s="421"/>
      <c r="V53" s="421"/>
      <c r="W53" s="421"/>
      <c r="X53" s="421"/>
      <c r="Y53" s="421"/>
      <c r="Z53" s="421"/>
      <c r="AA53" s="421"/>
      <c r="AB53" s="421"/>
      <c r="AC53" s="421"/>
      <c r="AD53" s="421"/>
      <c r="AE53" s="421"/>
      <c r="AF53" s="421"/>
      <c r="AG53" s="421"/>
      <c r="AH53" s="421"/>
      <c r="AI53" s="421"/>
      <c r="AJ53" s="421"/>
      <c r="AK53" s="421"/>
      <c r="AL53" s="421"/>
      <c r="AM53" s="421"/>
      <c r="AN53" s="421"/>
      <c r="AO53" s="421"/>
      <c r="AP53" s="421"/>
      <c r="AQ53" s="421"/>
    </row>
    <row r="54" spans="1:43" ht="11.25">
      <c r="A54" s="142" t="s">
        <v>7974</v>
      </c>
      <c r="B54" s="142" t="s">
        <v>4389</v>
      </c>
      <c r="C54" s="142"/>
      <c r="D54" s="142"/>
      <c r="E54" s="142" t="s">
        <v>185</v>
      </c>
      <c r="F54" s="142"/>
      <c r="G54" s="141" t="s">
        <v>1890</v>
      </c>
      <c r="H54" s="142" t="s">
        <v>4390</v>
      </c>
      <c r="I54" s="156" t="s">
        <v>204</v>
      </c>
      <c r="J54" s="155" t="s">
        <v>7975</v>
      </c>
      <c r="K54" s="155"/>
      <c r="L54" s="156" t="s">
        <v>191</v>
      </c>
      <c r="M54" s="331">
        <v>4</v>
      </c>
      <c r="N54" s="426"/>
      <c r="O54" s="151">
        <v>5</v>
      </c>
      <c r="P54" s="151" t="s">
        <v>199</v>
      </c>
      <c r="Q54" s="421"/>
      <c r="S54" s="421"/>
      <c r="T54" s="421"/>
      <c r="U54" s="421"/>
      <c r="V54" s="421"/>
      <c r="W54" s="421"/>
      <c r="X54" s="421"/>
      <c r="Y54" s="421"/>
      <c r="Z54" s="421"/>
      <c r="AA54" s="421"/>
      <c r="AB54" s="421"/>
      <c r="AC54" s="421"/>
      <c r="AD54" s="421"/>
      <c r="AE54" s="421"/>
      <c r="AF54" s="421"/>
      <c r="AG54" s="421"/>
      <c r="AH54" s="421"/>
      <c r="AI54" s="421"/>
      <c r="AJ54" s="421"/>
      <c r="AK54" s="421"/>
      <c r="AL54" s="421"/>
      <c r="AM54" s="421"/>
      <c r="AN54" s="421"/>
      <c r="AO54" s="421"/>
      <c r="AP54" s="421"/>
      <c r="AQ54" s="421"/>
    </row>
    <row r="55" spans="1:43" s="558" customFormat="1" ht="11.25">
      <c r="A55" s="551" t="s">
        <v>7976</v>
      </c>
      <c r="B55" s="551" t="s">
        <v>7455</v>
      </c>
      <c r="C55" s="551"/>
      <c r="D55" s="551"/>
      <c r="E55" s="551" t="s">
        <v>185</v>
      </c>
      <c r="F55" s="551"/>
      <c r="G55" s="552" t="s">
        <v>4439</v>
      </c>
      <c r="H55" s="553" t="s">
        <v>7977</v>
      </c>
      <c r="I55" s="554" t="s">
        <v>204</v>
      </c>
      <c r="J55" s="555" t="s">
        <v>7975</v>
      </c>
      <c r="K55" s="555"/>
      <c r="L55" s="554" t="s">
        <v>191</v>
      </c>
      <c r="M55" s="556">
        <v>4</v>
      </c>
      <c r="N55" s="557"/>
      <c r="O55" s="521">
        <v>5</v>
      </c>
      <c r="P55" s="521" t="s">
        <v>199</v>
      </c>
      <c r="Q55" s="724"/>
      <c r="R55" s="724"/>
      <c r="S55" s="760"/>
      <c r="T55" s="760"/>
      <c r="U55" s="760"/>
      <c r="V55" s="760"/>
      <c r="W55" s="760"/>
      <c r="X55" s="760"/>
      <c r="Y55" s="760"/>
      <c r="Z55" s="760"/>
      <c r="AA55" s="760"/>
      <c r="AB55" s="760"/>
      <c r="AC55" s="760"/>
      <c r="AD55" s="760"/>
      <c r="AE55" s="760"/>
      <c r="AF55" s="760"/>
      <c r="AG55" s="760"/>
      <c r="AH55" s="760"/>
      <c r="AI55" s="760"/>
      <c r="AJ55" s="760"/>
      <c r="AK55" s="760"/>
      <c r="AL55" s="760"/>
      <c r="AM55" s="760"/>
      <c r="AN55" s="760"/>
      <c r="AO55" s="760"/>
      <c r="AP55" s="760"/>
      <c r="AQ55" s="760"/>
    </row>
    <row r="56" spans="1:43" ht="11.25">
      <c r="A56" s="142" t="s">
        <v>7978</v>
      </c>
      <c r="B56" s="142" t="s">
        <v>7451</v>
      </c>
      <c r="C56" s="142"/>
      <c r="D56" s="142"/>
      <c r="E56" s="142" t="s">
        <v>185</v>
      </c>
      <c r="F56" s="142"/>
      <c r="G56" s="141" t="s">
        <v>6627</v>
      </c>
      <c r="H56" s="142" t="s">
        <v>7979</v>
      </c>
      <c r="I56" s="156" t="s">
        <v>204</v>
      </c>
      <c r="J56" s="155" t="s">
        <v>7980</v>
      </c>
      <c r="K56" s="155"/>
      <c r="L56" s="156" t="s">
        <v>191</v>
      </c>
      <c r="M56" s="331">
        <v>4</v>
      </c>
      <c r="N56" s="426"/>
      <c r="O56" s="151">
        <v>5</v>
      </c>
      <c r="P56" s="151" t="s">
        <v>199</v>
      </c>
      <c r="Q56" s="421"/>
      <c r="S56" s="421"/>
      <c r="T56" s="421"/>
      <c r="U56" s="421"/>
      <c r="V56" s="421"/>
      <c r="W56" s="421"/>
      <c r="X56" s="421"/>
      <c r="Y56" s="421"/>
      <c r="Z56" s="421"/>
      <c r="AA56" s="421"/>
      <c r="AB56" s="421"/>
      <c r="AC56" s="421"/>
      <c r="AD56" s="421"/>
      <c r="AE56" s="421"/>
      <c r="AF56" s="421"/>
      <c r="AG56" s="421"/>
      <c r="AH56" s="421"/>
      <c r="AI56" s="421"/>
      <c r="AJ56" s="421"/>
      <c r="AK56" s="421"/>
      <c r="AL56" s="421"/>
      <c r="AM56" s="421"/>
      <c r="AN56" s="421"/>
      <c r="AO56" s="421"/>
      <c r="AP56" s="421"/>
      <c r="AQ56" s="421"/>
    </row>
    <row r="57" spans="1:43" ht="33.75">
      <c r="A57" s="142" t="s">
        <v>7981</v>
      </c>
      <c r="B57" s="142" t="s">
        <v>7982</v>
      </c>
      <c r="C57" s="142"/>
      <c r="D57" s="142"/>
      <c r="E57" s="142" t="s">
        <v>185</v>
      </c>
      <c r="F57" s="142"/>
      <c r="G57" s="141" t="s">
        <v>6627</v>
      </c>
      <c r="H57" s="142" t="s">
        <v>7983</v>
      </c>
      <c r="I57" s="156" t="s">
        <v>188</v>
      </c>
      <c r="J57" s="155" t="s">
        <v>7984</v>
      </c>
      <c r="K57" s="155"/>
      <c r="L57" s="156" t="s">
        <v>191</v>
      </c>
      <c r="M57" s="331">
        <v>4</v>
      </c>
      <c r="N57" s="426"/>
      <c r="O57" s="151">
        <v>5</v>
      </c>
      <c r="P57" s="151" t="s">
        <v>199</v>
      </c>
      <c r="Q57" s="421"/>
      <c r="S57" s="421"/>
      <c r="T57" s="421"/>
      <c r="U57" s="421"/>
      <c r="V57" s="421"/>
      <c r="W57" s="421"/>
      <c r="X57" s="421"/>
      <c r="Y57" s="421"/>
      <c r="Z57" s="421"/>
      <c r="AA57" s="421"/>
      <c r="AB57" s="421"/>
      <c r="AC57" s="421"/>
      <c r="AD57" s="421"/>
      <c r="AE57" s="421"/>
      <c r="AF57" s="421"/>
      <c r="AG57" s="421"/>
      <c r="AH57" s="421"/>
      <c r="AI57" s="421"/>
      <c r="AJ57" s="421"/>
      <c r="AK57" s="421"/>
      <c r="AL57" s="421"/>
      <c r="AM57" s="421"/>
      <c r="AN57" s="421"/>
      <c r="AO57" s="421"/>
      <c r="AP57" s="421"/>
      <c r="AQ57" s="421"/>
    </row>
    <row r="58" spans="1:43" ht="33.75">
      <c r="A58" s="142" t="s">
        <v>7985</v>
      </c>
      <c r="B58" s="142" t="s">
        <v>7986</v>
      </c>
      <c r="C58" s="142"/>
      <c r="D58" s="142"/>
      <c r="E58" s="142" t="s">
        <v>185</v>
      </c>
      <c r="F58" s="142"/>
      <c r="G58" s="141" t="s">
        <v>6627</v>
      </c>
      <c r="H58" s="142" t="s">
        <v>7987</v>
      </c>
      <c r="I58" s="156" t="s">
        <v>188</v>
      </c>
      <c r="J58" s="155" t="s">
        <v>7984</v>
      </c>
      <c r="K58" s="155"/>
      <c r="L58" s="156" t="s">
        <v>191</v>
      </c>
      <c r="M58" s="331">
        <v>4</v>
      </c>
      <c r="N58" s="426"/>
      <c r="O58" s="151">
        <v>5</v>
      </c>
      <c r="P58" s="151" t="s">
        <v>199</v>
      </c>
      <c r="Q58" s="421"/>
    </row>
    <row r="59" spans="1:43" ht="33.75">
      <c r="A59" s="142" t="s">
        <v>7988</v>
      </c>
      <c r="B59" s="142" t="s">
        <v>7989</v>
      </c>
      <c r="C59" s="142"/>
      <c r="D59" s="142"/>
      <c r="E59" s="142" t="s">
        <v>185</v>
      </c>
      <c r="F59" s="142"/>
      <c r="G59" s="141" t="s">
        <v>6627</v>
      </c>
      <c r="H59" s="142" t="s">
        <v>7990</v>
      </c>
      <c r="I59" s="156" t="s">
        <v>188</v>
      </c>
      <c r="J59" s="155" t="s">
        <v>7984</v>
      </c>
      <c r="K59" s="155"/>
      <c r="L59" s="156" t="s">
        <v>191</v>
      </c>
      <c r="M59" s="331">
        <v>4</v>
      </c>
      <c r="N59" s="426"/>
      <c r="O59" s="151">
        <v>5</v>
      </c>
      <c r="P59" s="151" t="s">
        <v>199</v>
      </c>
      <c r="Q59" s="421"/>
    </row>
    <row r="60" spans="1:43" ht="33.75">
      <c r="A60" s="142" t="s">
        <v>7991</v>
      </c>
      <c r="B60" s="142" t="s">
        <v>7992</v>
      </c>
      <c r="C60" s="142"/>
      <c r="D60" s="142"/>
      <c r="E60" s="142" t="s">
        <v>185</v>
      </c>
      <c r="F60" s="142"/>
      <c r="G60" s="141" t="s">
        <v>6627</v>
      </c>
      <c r="H60" s="142" t="s">
        <v>7993</v>
      </c>
      <c r="I60" s="156" t="s">
        <v>188</v>
      </c>
      <c r="J60" s="155" t="s">
        <v>7984</v>
      </c>
      <c r="K60" s="155"/>
      <c r="L60" s="156" t="s">
        <v>191</v>
      </c>
      <c r="M60" s="331">
        <v>4</v>
      </c>
      <c r="N60" s="426"/>
      <c r="O60" s="151">
        <v>5</v>
      </c>
      <c r="P60" s="151" t="s">
        <v>199</v>
      </c>
      <c r="Q60" s="421"/>
    </row>
    <row r="61" spans="1:43" ht="45">
      <c r="A61" s="142" t="s">
        <v>7994</v>
      </c>
      <c r="B61" s="142" t="s">
        <v>7995</v>
      </c>
      <c r="C61" s="142"/>
      <c r="D61" s="142"/>
      <c r="E61" s="142" t="s">
        <v>185</v>
      </c>
      <c r="F61" s="142"/>
      <c r="G61" s="141" t="s">
        <v>6627</v>
      </c>
      <c r="H61" s="142" t="s">
        <v>7996</v>
      </c>
      <c r="I61" s="156" t="s">
        <v>188</v>
      </c>
      <c r="J61" s="155" t="s">
        <v>7984</v>
      </c>
      <c r="K61" s="155"/>
      <c r="L61" s="156" t="s">
        <v>191</v>
      </c>
      <c r="M61" s="331">
        <v>4</v>
      </c>
      <c r="N61" s="426"/>
      <c r="O61" s="151">
        <v>5</v>
      </c>
      <c r="P61" s="151" t="s">
        <v>199</v>
      </c>
      <c r="Q61" s="421"/>
    </row>
    <row r="62" spans="1:43" ht="22.5">
      <c r="A62" s="142" t="s">
        <v>7997</v>
      </c>
      <c r="B62" s="142" t="s">
        <v>7998</v>
      </c>
      <c r="C62" s="142"/>
      <c r="D62" s="142"/>
      <c r="E62" s="142" t="s">
        <v>185</v>
      </c>
      <c r="F62" s="142"/>
      <c r="G62" s="141" t="s">
        <v>6627</v>
      </c>
      <c r="H62" s="142" t="s">
        <v>7999</v>
      </c>
      <c r="I62" s="156" t="s">
        <v>188</v>
      </c>
      <c r="J62" s="155" t="s">
        <v>8000</v>
      </c>
      <c r="K62" s="155"/>
      <c r="L62" s="156" t="s">
        <v>191</v>
      </c>
      <c r="M62" s="331">
        <v>4</v>
      </c>
      <c r="N62" s="426"/>
      <c r="O62" s="151">
        <v>5</v>
      </c>
      <c r="P62" s="151" t="s">
        <v>199</v>
      </c>
      <c r="Q62" s="421"/>
    </row>
    <row r="63" spans="1:43" ht="22.5">
      <c r="A63" s="142" t="s">
        <v>8001</v>
      </c>
      <c r="B63" s="142" t="s">
        <v>8002</v>
      </c>
      <c r="C63" s="142"/>
      <c r="D63" s="142"/>
      <c r="E63" s="142" t="s">
        <v>185</v>
      </c>
      <c r="F63" s="142"/>
      <c r="G63" s="141" t="s">
        <v>6467</v>
      </c>
      <c r="H63" s="142" t="s">
        <v>8003</v>
      </c>
      <c r="I63" s="427" t="s">
        <v>204</v>
      </c>
      <c r="J63" s="155" t="s">
        <v>8004</v>
      </c>
      <c r="K63" s="155"/>
      <c r="L63" s="156" t="s">
        <v>191</v>
      </c>
      <c r="M63" s="331">
        <v>4</v>
      </c>
      <c r="N63" s="426"/>
      <c r="O63" s="151">
        <v>5</v>
      </c>
      <c r="P63" s="151" t="s">
        <v>199</v>
      </c>
      <c r="Q63" s="421"/>
    </row>
    <row r="64" spans="1:43" ht="22.5">
      <c r="A64" s="142" t="s">
        <v>8005</v>
      </c>
      <c r="B64" s="142" t="s">
        <v>8006</v>
      </c>
      <c r="C64" s="142"/>
      <c r="D64" s="142"/>
      <c r="E64" s="142" t="s">
        <v>185</v>
      </c>
      <c r="F64" s="142"/>
      <c r="G64" s="141" t="s">
        <v>6627</v>
      </c>
      <c r="H64" s="142" t="s">
        <v>8007</v>
      </c>
      <c r="I64" s="156" t="s">
        <v>188</v>
      </c>
      <c r="J64" s="155" t="s">
        <v>1453</v>
      </c>
      <c r="K64" s="155"/>
      <c r="L64" s="156" t="s">
        <v>191</v>
      </c>
      <c r="M64" s="331">
        <v>4</v>
      </c>
      <c r="N64" s="426"/>
      <c r="O64" s="151">
        <v>5</v>
      </c>
      <c r="P64" s="151" t="s">
        <v>199</v>
      </c>
      <c r="Q64" s="421"/>
    </row>
    <row r="65" spans="1:17" ht="22.5">
      <c r="A65" s="142" t="s">
        <v>8008</v>
      </c>
      <c r="B65" s="142" t="s">
        <v>8009</v>
      </c>
      <c r="C65" s="142"/>
      <c r="D65" s="142"/>
      <c r="E65" s="142" t="s">
        <v>185</v>
      </c>
      <c r="F65" s="142"/>
      <c r="G65" s="141" t="s">
        <v>6627</v>
      </c>
      <c r="H65" s="142" t="s">
        <v>8010</v>
      </c>
      <c r="I65" s="156" t="s">
        <v>188</v>
      </c>
      <c r="J65" s="155" t="s">
        <v>1453</v>
      </c>
      <c r="K65" s="155"/>
      <c r="L65" s="156" t="s">
        <v>191</v>
      </c>
      <c r="M65" s="331">
        <v>4</v>
      </c>
      <c r="N65" s="426"/>
      <c r="O65" s="151">
        <v>5</v>
      </c>
      <c r="P65" s="151" t="s">
        <v>199</v>
      </c>
      <c r="Q65" s="421"/>
    </row>
    <row r="66" spans="1:17" ht="22.5">
      <c r="A66" s="142" t="s">
        <v>8011</v>
      </c>
      <c r="B66" s="142" t="s">
        <v>8012</v>
      </c>
      <c r="C66" s="142"/>
      <c r="D66" s="142"/>
      <c r="E66" s="142" t="s">
        <v>185</v>
      </c>
      <c r="F66" s="142"/>
      <c r="G66" s="141" t="s">
        <v>6627</v>
      </c>
      <c r="H66" s="142" t="s">
        <v>8013</v>
      </c>
      <c r="I66" s="156" t="s">
        <v>188</v>
      </c>
      <c r="J66" s="155" t="s">
        <v>1453</v>
      </c>
      <c r="K66" s="155"/>
      <c r="L66" s="156" t="s">
        <v>191</v>
      </c>
      <c r="M66" s="331">
        <v>4</v>
      </c>
      <c r="N66" s="426"/>
      <c r="O66" s="151">
        <v>5</v>
      </c>
      <c r="P66" s="151" t="s">
        <v>199</v>
      </c>
      <c r="Q66" s="421"/>
    </row>
    <row r="67" spans="1:17" ht="22.5">
      <c r="A67" s="142" t="s">
        <v>8014</v>
      </c>
      <c r="B67" s="142" t="s">
        <v>8015</v>
      </c>
      <c r="C67" s="142"/>
      <c r="D67" s="142"/>
      <c r="E67" s="142" t="s">
        <v>185</v>
      </c>
      <c r="F67" s="142"/>
      <c r="G67" s="141" t="s">
        <v>6627</v>
      </c>
      <c r="H67" s="142" t="s">
        <v>8016</v>
      </c>
      <c r="I67" s="156" t="s">
        <v>188</v>
      </c>
      <c r="J67" s="155" t="s">
        <v>1453</v>
      </c>
      <c r="K67" s="155"/>
      <c r="L67" s="156" t="s">
        <v>191</v>
      </c>
      <c r="M67" s="331">
        <v>4</v>
      </c>
      <c r="N67" s="426"/>
      <c r="O67" s="151">
        <v>5</v>
      </c>
      <c r="P67" s="151" t="s">
        <v>199</v>
      </c>
      <c r="Q67" s="421"/>
    </row>
    <row r="68" spans="1:17" ht="22.5">
      <c r="A68" s="142" t="s">
        <v>8017</v>
      </c>
      <c r="B68" s="142" t="s">
        <v>8018</v>
      </c>
      <c r="C68" s="142"/>
      <c r="D68" s="142"/>
      <c r="E68" s="142" t="s">
        <v>185</v>
      </c>
      <c r="F68" s="142"/>
      <c r="G68" s="141" t="s">
        <v>6627</v>
      </c>
      <c r="H68" s="142" t="s">
        <v>8019</v>
      </c>
      <c r="I68" s="156" t="s">
        <v>188</v>
      </c>
      <c r="J68" s="155" t="s">
        <v>1453</v>
      </c>
      <c r="K68" s="155"/>
      <c r="L68" s="156" t="s">
        <v>191</v>
      </c>
      <c r="M68" s="331">
        <v>4</v>
      </c>
      <c r="N68" s="426"/>
      <c r="O68" s="151">
        <v>5</v>
      </c>
      <c r="P68" s="151" t="s">
        <v>199</v>
      </c>
      <c r="Q68" s="421"/>
    </row>
    <row r="69" spans="1:17" ht="22.5">
      <c r="A69" s="142" t="s">
        <v>8020</v>
      </c>
      <c r="B69" s="142" t="s">
        <v>8021</v>
      </c>
      <c r="C69" s="142"/>
      <c r="D69" s="142"/>
      <c r="E69" s="142" t="s">
        <v>185</v>
      </c>
      <c r="F69" s="142"/>
      <c r="G69" s="141" t="s">
        <v>6627</v>
      </c>
      <c r="H69" s="142" t="s">
        <v>8022</v>
      </c>
      <c r="I69" s="156" t="s">
        <v>188</v>
      </c>
      <c r="J69" s="155" t="s">
        <v>1453</v>
      </c>
      <c r="K69" s="155"/>
      <c r="L69" s="156" t="s">
        <v>191</v>
      </c>
      <c r="M69" s="331">
        <v>4</v>
      </c>
      <c r="N69" s="426"/>
      <c r="O69" s="151">
        <v>5</v>
      </c>
      <c r="P69" s="151" t="s">
        <v>199</v>
      </c>
      <c r="Q69" s="421"/>
    </row>
    <row r="70" spans="1:17" ht="22.5">
      <c r="A70" s="142" t="s">
        <v>8023</v>
      </c>
      <c r="B70" s="142" t="s">
        <v>8024</v>
      </c>
      <c r="C70" s="142"/>
      <c r="D70" s="142"/>
      <c r="E70" s="142" t="s">
        <v>185</v>
      </c>
      <c r="F70" s="142"/>
      <c r="G70" s="141" t="s">
        <v>6627</v>
      </c>
      <c r="H70" s="142" t="s">
        <v>8025</v>
      </c>
      <c r="I70" s="156" t="s">
        <v>188</v>
      </c>
      <c r="J70" s="155" t="s">
        <v>1453</v>
      </c>
      <c r="K70" s="155"/>
      <c r="L70" s="156" t="s">
        <v>191</v>
      </c>
      <c r="M70" s="331">
        <v>4</v>
      </c>
      <c r="N70" s="426"/>
      <c r="O70" s="151">
        <v>5</v>
      </c>
      <c r="P70" s="151" t="s">
        <v>199</v>
      </c>
      <c r="Q70" s="421"/>
    </row>
    <row r="71" spans="1:17" ht="22.5">
      <c r="A71" s="142" t="s">
        <v>8026</v>
      </c>
      <c r="B71" s="142" t="s">
        <v>8027</v>
      </c>
      <c r="C71" s="142"/>
      <c r="D71" s="142"/>
      <c r="E71" s="142" t="s">
        <v>185</v>
      </c>
      <c r="F71" s="142"/>
      <c r="G71" s="141" t="s">
        <v>6627</v>
      </c>
      <c r="H71" s="142" t="s">
        <v>8028</v>
      </c>
      <c r="I71" s="156" t="s">
        <v>188</v>
      </c>
      <c r="J71" s="155" t="s">
        <v>1453</v>
      </c>
      <c r="K71" s="155"/>
      <c r="L71" s="156" t="s">
        <v>191</v>
      </c>
      <c r="M71" s="331">
        <v>4</v>
      </c>
      <c r="N71" s="426"/>
      <c r="O71" s="151">
        <v>5</v>
      </c>
      <c r="P71" s="151" t="s">
        <v>199</v>
      </c>
      <c r="Q71" s="421"/>
    </row>
    <row r="72" spans="1:17" ht="22.5">
      <c r="A72" s="142" t="s">
        <v>8029</v>
      </c>
      <c r="B72" s="142" t="s">
        <v>8030</v>
      </c>
      <c r="C72" s="142"/>
      <c r="D72" s="142"/>
      <c r="E72" s="142" t="s">
        <v>185</v>
      </c>
      <c r="F72" s="142"/>
      <c r="G72" s="141" t="s">
        <v>6627</v>
      </c>
      <c r="H72" s="142" t="s">
        <v>8031</v>
      </c>
      <c r="I72" s="156" t="s">
        <v>188</v>
      </c>
      <c r="J72" s="155" t="s">
        <v>1453</v>
      </c>
      <c r="K72" s="155"/>
      <c r="L72" s="156" t="s">
        <v>191</v>
      </c>
      <c r="M72" s="331">
        <v>4</v>
      </c>
      <c r="N72" s="426"/>
      <c r="O72" s="151">
        <v>5</v>
      </c>
      <c r="P72" s="151" t="s">
        <v>199</v>
      </c>
      <c r="Q72" s="421"/>
    </row>
    <row r="73" spans="1:17" ht="22.5">
      <c r="A73" s="142" t="s">
        <v>8032</v>
      </c>
      <c r="B73" s="142" t="s">
        <v>8033</v>
      </c>
      <c r="C73" s="142"/>
      <c r="D73" s="142"/>
      <c r="E73" s="142" t="s">
        <v>185</v>
      </c>
      <c r="F73" s="142"/>
      <c r="G73" s="141" t="s">
        <v>6627</v>
      </c>
      <c r="H73" s="142" t="s">
        <v>8034</v>
      </c>
      <c r="I73" s="156" t="s">
        <v>188</v>
      </c>
      <c r="J73" s="155" t="s">
        <v>1453</v>
      </c>
      <c r="K73" s="155"/>
      <c r="L73" s="156" t="s">
        <v>191</v>
      </c>
      <c r="M73" s="331">
        <v>4</v>
      </c>
      <c r="N73" s="426"/>
      <c r="O73" s="151">
        <v>5</v>
      </c>
      <c r="P73" s="151" t="s">
        <v>199</v>
      </c>
      <c r="Q73" s="421"/>
    </row>
    <row r="74" spans="1:17" ht="22.5">
      <c r="A74" s="142" t="s">
        <v>8035</v>
      </c>
      <c r="B74" s="142" t="s">
        <v>8036</v>
      </c>
      <c r="C74" s="142"/>
      <c r="D74" s="142"/>
      <c r="E74" s="142" t="s">
        <v>185</v>
      </c>
      <c r="F74" s="142"/>
      <c r="G74" s="141" t="s">
        <v>6627</v>
      </c>
      <c r="H74" s="142" t="s">
        <v>8037</v>
      </c>
      <c r="I74" s="156" t="s">
        <v>188</v>
      </c>
      <c r="J74" s="155" t="s">
        <v>1453</v>
      </c>
      <c r="K74" s="155"/>
      <c r="L74" s="156" t="s">
        <v>191</v>
      </c>
      <c r="M74" s="331">
        <v>4</v>
      </c>
      <c r="N74" s="426"/>
      <c r="O74" s="151">
        <v>5</v>
      </c>
      <c r="P74" s="151" t="s">
        <v>199</v>
      </c>
      <c r="Q74" s="421"/>
    </row>
    <row r="75" spans="1:17" ht="22.5">
      <c r="A75" s="142" t="s">
        <v>8038</v>
      </c>
      <c r="B75" s="142" t="s">
        <v>8039</v>
      </c>
      <c r="C75" s="142"/>
      <c r="D75" s="142"/>
      <c r="E75" s="142" t="s">
        <v>185</v>
      </c>
      <c r="F75" s="142"/>
      <c r="G75" s="141" t="s">
        <v>6627</v>
      </c>
      <c r="H75" s="142" t="s">
        <v>8040</v>
      </c>
      <c r="I75" s="156" t="s">
        <v>188</v>
      </c>
      <c r="J75" s="155" t="s">
        <v>1453</v>
      </c>
      <c r="K75" s="155"/>
      <c r="L75" s="156" t="s">
        <v>191</v>
      </c>
      <c r="M75" s="331">
        <v>4</v>
      </c>
      <c r="N75" s="426"/>
      <c r="O75" s="151">
        <v>5</v>
      </c>
      <c r="P75" s="151" t="s">
        <v>199</v>
      </c>
      <c r="Q75" s="421"/>
    </row>
    <row r="76" spans="1:17" ht="22.5">
      <c r="A76" s="142" t="s">
        <v>8041</v>
      </c>
      <c r="B76" s="142" t="s">
        <v>8042</v>
      </c>
      <c r="C76" s="142"/>
      <c r="D76" s="142"/>
      <c r="E76" s="142" t="s">
        <v>185</v>
      </c>
      <c r="F76" s="142"/>
      <c r="G76" s="141" t="s">
        <v>6627</v>
      </c>
      <c r="H76" s="142" t="s">
        <v>8043</v>
      </c>
      <c r="I76" s="156" t="s">
        <v>188</v>
      </c>
      <c r="J76" s="155" t="s">
        <v>1453</v>
      </c>
      <c r="K76" s="155"/>
      <c r="L76" s="156" t="s">
        <v>191</v>
      </c>
      <c r="M76" s="331">
        <v>4</v>
      </c>
      <c r="N76" s="426"/>
      <c r="O76" s="151">
        <v>5</v>
      </c>
      <c r="P76" s="151" t="s">
        <v>199</v>
      </c>
      <c r="Q76" s="421"/>
    </row>
    <row r="77" spans="1:17" ht="22.5">
      <c r="A77" s="142" t="s">
        <v>8044</v>
      </c>
      <c r="B77" s="142" t="s">
        <v>8045</v>
      </c>
      <c r="C77" s="142"/>
      <c r="D77" s="142"/>
      <c r="E77" s="142" t="s">
        <v>185</v>
      </c>
      <c r="F77" s="142"/>
      <c r="G77" s="141" t="s">
        <v>6627</v>
      </c>
      <c r="H77" s="142" t="s">
        <v>8046</v>
      </c>
      <c r="I77" s="156" t="s">
        <v>188</v>
      </c>
      <c r="J77" s="155" t="s">
        <v>1453</v>
      </c>
      <c r="K77" s="155"/>
      <c r="L77" s="156" t="s">
        <v>191</v>
      </c>
      <c r="M77" s="331">
        <v>4</v>
      </c>
      <c r="N77" s="426"/>
      <c r="O77" s="151">
        <v>5</v>
      </c>
      <c r="P77" s="151" t="s">
        <v>199</v>
      </c>
      <c r="Q77" s="421"/>
    </row>
    <row r="78" spans="1:17" ht="22.5">
      <c r="A78" s="142" t="s">
        <v>8047</v>
      </c>
      <c r="B78" s="142" t="s">
        <v>8048</v>
      </c>
      <c r="C78" s="142"/>
      <c r="D78" s="142"/>
      <c r="E78" s="142" t="s">
        <v>185</v>
      </c>
      <c r="F78" s="142"/>
      <c r="G78" s="141" t="s">
        <v>6627</v>
      </c>
      <c r="H78" s="142" t="s">
        <v>8049</v>
      </c>
      <c r="I78" s="156" t="s">
        <v>188</v>
      </c>
      <c r="J78" s="155" t="s">
        <v>1453</v>
      </c>
      <c r="K78" s="155"/>
      <c r="L78" s="156" t="s">
        <v>191</v>
      </c>
      <c r="M78" s="331">
        <v>4</v>
      </c>
      <c r="N78" s="426"/>
      <c r="O78" s="151">
        <v>5</v>
      </c>
      <c r="P78" s="151" t="s">
        <v>199</v>
      </c>
      <c r="Q78" s="421"/>
    </row>
    <row r="79" spans="1:17" ht="22.5">
      <c r="A79" s="142" t="s">
        <v>8050</v>
      </c>
      <c r="B79" s="142" t="s">
        <v>8051</v>
      </c>
      <c r="C79" s="142"/>
      <c r="D79" s="142"/>
      <c r="E79" s="142" t="s">
        <v>185</v>
      </c>
      <c r="F79" s="142"/>
      <c r="G79" s="141" t="s">
        <v>6627</v>
      </c>
      <c r="H79" s="142" t="s">
        <v>8052</v>
      </c>
      <c r="I79" s="156" t="s">
        <v>188</v>
      </c>
      <c r="J79" s="155" t="s">
        <v>1453</v>
      </c>
      <c r="K79" s="155"/>
      <c r="L79" s="156" t="s">
        <v>191</v>
      </c>
      <c r="M79" s="331">
        <v>4</v>
      </c>
      <c r="N79" s="426"/>
      <c r="O79" s="151">
        <v>5</v>
      </c>
      <c r="P79" s="151" t="s">
        <v>199</v>
      </c>
      <c r="Q79" s="421"/>
    </row>
    <row r="80" spans="1:17" ht="22.5">
      <c r="A80" s="142" t="s">
        <v>8053</v>
      </c>
      <c r="B80" s="142" t="s">
        <v>8054</v>
      </c>
      <c r="C80" s="142"/>
      <c r="D80" s="142"/>
      <c r="E80" s="142" t="s">
        <v>185</v>
      </c>
      <c r="F80" s="142"/>
      <c r="G80" s="141" t="s">
        <v>6627</v>
      </c>
      <c r="H80" s="142" t="s">
        <v>8055</v>
      </c>
      <c r="I80" s="156" t="s">
        <v>188</v>
      </c>
      <c r="J80" s="155" t="s">
        <v>1453</v>
      </c>
      <c r="K80" s="155"/>
      <c r="L80" s="156" t="s">
        <v>191</v>
      </c>
      <c r="M80" s="331">
        <v>4</v>
      </c>
      <c r="N80" s="426"/>
      <c r="O80" s="151">
        <v>5</v>
      </c>
      <c r="P80" s="151" t="s">
        <v>199</v>
      </c>
      <c r="Q80" s="421"/>
    </row>
    <row r="81" spans="1:17" ht="22.5">
      <c r="A81" s="142" t="s">
        <v>8056</v>
      </c>
      <c r="B81" s="142" t="s">
        <v>8057</v>
      </c>
      <c r="C81" s="142"/>
      <c r="D81" s="142"/>
      <c r="E81" s="142" t="s">
        <v>185</v>
      </c>
      <c r="F81" s="142"/>
      <c r="G81" s="141" t="s">
        <v>6627</v>
      </c>
      <c r="H81" s="142" t="s">
        <v>8058</v>
      </c>
      <c r="I81" s="156" t="s">
        <v>188</v>
      </c>
      <c r="J81" s="155" t="s">
        <v>1453</v>
      </c>
      <c r="K81" s="155"/>
      <c r="L81" s="156" t="s">
        <v>191</v>
      </c>
      <c r="M81" s="331">
        <v>4</v>
      </c>
      <c r="N81" s="426"/>
      <c r="O81" s="151">
        <v>5</v>
      </c>
      <c r="P81" s="151" t="s">
        <v>199</v>
      </c>
      <c r="Q81" s="421"/>
    </row>
    <row r="82" spans="1:17" ht="22.5">
      <c r="A82" s="142" t="s">
        <v>8059</v>
      </c>
      <c r="B82" s="142" t="s">
        <v>8060</v>
      </c>
      <c r="C82" s="142"/>
      <c r="D82" s="142"/>
      <c r="E82" s="142" t="s">
        <v>185</v>
      </c>
      <c r="F82" s="142"/>
      <c r="G82" s="141" t="s">
        <v>6627</v>
      </c>
      <c r="H82" s="142" t="s">
        <v>8061</v>
      </c>
      <c r="I82" s="156" t="s">
        <v>188</v>
      </c>
      <c r="J82" s="155" t="s">
        <v>1453</v>
      </c>
      <c r="K82" s="155"/>
      <c r="L82" s="156" t="s">
        <v>191</v>
      </c>
      <c r="M82" s="331">
        <v>4</v>
      </c>
      <c r="N82" s="426"/>
      <c r="O82" s="151">
        <v>5</v>
      </c>
      <c r="P82" s="151" t="s">
        <v>199</v>
      </c>
      <c r="Q82" s="421"/>
    </row>
    <row r="83" spans="1:17" ht="22.5">
      <c r="A83" s="142" t="s">
        <v>8062</v>
      </c>
      <c r="B83" s="142" t="s">
        <v>8063</v>
      </c>
      <c r="C83" s="142"/>
      <c r="D83" s="142"/>
      <c r="E83" s="142" t="s">
        <v>185</v>
      </c>
      <c r="F83" s="142"/>
      <c r="G83" s="141" t="s">
        <v>6627</v>
      </c>
      <c r="H83" s="142" t="s">
        <v>8064</v>
      </c>
      <c r="I83" s="156" t="s">
        <v>188</v>
      </c>
      <c r="J83" s="155" t="s">
        <v>1453</v>
      </c>
      <c r="K83" s="155"/>
      <c r="L83" s="156" t="s">
        <v>191</v>
      </c>
      <c r="M83" s="331">
        <v>4</v>
      </c>
      <c r="N83" s="426"/>
      <c r="O83" s="151">
        <v>5</v>
      </c>
      <c r="P83" s="151" t="s">
        <v>199</v>
      </c>
      <c r="Q83" s="421"/>
    </row>
    <row r="84" spans="1:17" ht="22.5">
      <c r="A84" s="142" t="s">
        <v>8065</v>
      </c>
      <c r="B84" s="142" t="s">
        <v>8066</v>
      </c>
      <c r="C84" s="142"/>
      <c r="D84" s="142"/>
      <c r="E84" s="142" t="s">
        <v>185</v>
      </c>
      <c r="F84" s="142"/>
      <c r="G84" s="141" t="s">
        <v>6627</v>
      </c>
      <c r="H84" s="142" t="s">
        <v>8067</v>
      </c>
      <c r="I84" s="156" t="s">
        <v>188</v>
      </c>
      <c r="J84" s="155" t="s">
        <v>1453</v>
      </c>
      <c r="K84" s="155"/>
      <c r="L84" s="156" t="s">
        <v>191</v>
      </c>
      <c r="M84" s="331">
        <v>4</v>
      </c>
      <c r="N84" s="426"/>
      <c r="O84" s="151">
        <v>5</v>
      </c>
      <c r="P84" s="151" t="s">
        <v>199</v>
      </c>
      <c r="Q84" s="421"/>
    </row>
    <row r="85" spans="1:17" ht="22.5">
      <c r="A85" s="142" t="s">
        <v>8068</v>
      </c>
      <c r="B85" s="142" t="s">
        <v>8069</v>
      </c>
      <c r="C85" s="142"/>
      <c r="D85" s="142"/>
      <c r="E85" s="142" t="s">
        <v>185</v>
      </c>
      <c r="F85" s="142"/>
      <c r="G85" s="141" t="s">
        <v>6627</v>
      </c>
      <c r="H85" s="142" t="s">
        <v>8070</v>
      </c>
      <c r="I85" s="156" t="s">
        <v>188</v>
      </c>
      <c r="J85" s="155" t="s">
        <v>1453</v>
      </c>
      <c r="K85" s="155"/>
      <c r="L85" s="156" t="s">
        <v>191</v>
      </c>
      <c r="M85" s="331">
        <v>4</v>
      </c>
      <c r="N85" s="426"/>
      <c r="O85" s="151">
        <v>5</v>
      </c>
      <c r="P85" s="151" t="s">
        <v>199</v>
      </c>
      <c r="Q85" s="421"/>
    </row>
    <row r="86" spans="1:17" ht="22.5">
      <c r="A86" s="142" t="s">
        <v>8071</v>
      </c>
      <c r="B86" s="142" t="s">
        <v>8072</v>
      </c>
      <c r="C86" s="142"/>
      <c r="D86" s="142"/>
      <c r="E86" s="142" t="s">
        <v>185</v>
      </c>
      <c r="F86" s="142"/>
      <c r="G86" s="141" t="s">
        <v>6627</v>
      </c>
      <c r="H86" s="142" t="s">
        <v>8073</v>
      </c>
      <c r="I86" s="156" t="s">
        <v>188</v>
      </c>
      <c r="J86" s="155" t="s">
        <v>1453</v>
      </c>
      <c r="K86" s="155"/>
      <c r="L86" s="156" t="s">
        <v>191</v>
      </c>
      <c r="M86" s="331">
        <v>4</v>
      </c>
      <c r="N86" s="426"/>
      <c r="O86" s="151">
        <v>5</v>
      </c>
      <c r="P86" s="151" t="s">
        <v>199</v>
      </c>
      <c r="Q86" s="421"/>
    </row>
    <row r="87" spans="1:17" ht="22.5">
      <c r="A87" s="142" t="s">
        <v>8074</v>
      </c>
      <c r="B87" s="142" t="s">
        <v>8075</v>
      </c>
      <c r="C87" s="142"/>
      <c r="D87" s="142"/>
      <c r="E87" s="142" t="s">
        <v>185</v>
      </c>
      <c r="F87" s="142"/>
      <c r="G87" s="141" t="s">
        <v>6627</v>
      </c>
      <c r="H87" s="142" t="s">
        <v>8076</v>
      </c>
      <c r="I87" s="156" t="s">
        <v>188</v>
      </c>
      <c r="J87" s="155" t="s">
        <v>1453</v>
      </c>
      <c r="K87" s="155"/>
      <c r="L87" s="156" t="s">
        <v>191</v>
      </c>
      <c r="M87" s="331">
        <v>4</v>
      </c>
      <c r="N87" s="426"/>
      <c r="O87" s="151">
        <v>5</v>
      </c>
      <c r="P87" s="151" t="s">
        <v>199</v>
      </c>
      <c r="Q87" s="421"/>
    </row>
    <row r="88" spans="1:17" ht="22.5">
      <c r="A88" s="142" t="s">
        <v>8077</v>
      </c>
      <c r="B88" s="142" t="s">
        <v>8078</v>
      </c>
      <c r="C88" s="142"/>
      <c r="D88" s="142"/>
      <c r="E88" s="142" t="s">
        <v>185</v>
      </c>
      <c r="F88" s="142"/>
      <c r="G88" s="141" t="s">
        <v>6627</v>
      </c>
      <c r="H88" s="142" t="s">
        <v>8079</v>
      </c>
      <c r="I88" s="156" t="s">
        <v>188</v>
      </c>
      <c r="J88" s="155" t="s">
        <v>1453</v>
      </c>
      <c r="K88" s="155"/>
      <c r="L88" s="156" t="s">
        <v>191</v>
      </c>
      <c r="M88" s="331">
        <v>4</v>
      </c>
      <c r="N88" s="426"/>
      <c r="O88" s="151">
        <v>5</v>
      </c>
      <c r="P88" s="151" t="s">
        <v>199</v>
      </c>
      <c r="Q88" s="421"/>
    </row>
    <row r="89" spans="1:17" ht="22.5">
      <c r="A89" s="142" t="s">
        <v>8080</v>
      </c>
      <c r="B89" s="142" t="s">
        <v>8081</v>
      </c>
      <c r="C89" s="142"/>
      <c r="D89" s="142"/>
      <c r="E89" s="142" t="s">
        <v>185</v>
      </c>
      <c r="F89" s="142"/>
      <c r="G89" s="141" t="s">
        <v>6627</v>
      </c>
      <c r="H89" s="142" t="s">
        <v>8082</v>
      </c>
      <c r="I89" s="156" t="s">
        <v>188</v>
      </c>
      <c r="J89" s="155" t="s">
        <v>1453</v>
      </c>
      <c r="K89" s="155"/>
      <c r="L89" s="156" t="s">
        <v>191</v>
      </c>
      <c r="M89" s="331">
        <v>4</v>
      </c>
      <c r="N89" s="426"/>
      <c r="O89" s="151">
        <v>5</v>
      </c>
      <c r="P89" s="151" t="s">
        <v>199</v>
      </c>
      <c r="Q89" s="421"/>
    </row>
    <row r="90" spans="1:17" ht="22.5">
      <c r="A90" s="142" t="s">
        <v>8083</v>
      </c>
      <c r="B90" s="142" t="s">
        <v>8084</v>
      </c>
      <c r="C90" s="142"/>
      <c r="D90" s="142"/>
      <c r="E90" s="142" t="s">
        <v>185</v>
      </c>
      <c r="F90" s="142"/>
      <c r="G90" s="141" t="s">
        <v>6627</v>
      </c>
      <c r="H90" s="142" t="s">
        <v>8085</v>
      </c>
      <c r="I90" s="156" t="s">
        <v>188</v>
      </c>
      <c r="J90" s="155" t="s">
        <v>1453</v>
      </c>
      <c r="K90" s="155"/>
      <c r="L90" s="156" t="s">
        <v>191</v>
      </c>
      <c r="M90" s="331">
        <v>4</v>
      </c>
      <c r="N90" s="426"/>
      <c r="O90" s="151">
        <v>5</v>
      </c>
      <c r="P90" s="151" t="s">
        <v>199</v>
      </c>
      <c r="Q90" s="421"/>
    </row>
    <row r="91" spans="1:17" ht="22.5">
      <c r="A91" s="142" t="s">
        <v>8086</v>
      </c>
      <c r="B91" s="142" t="s">
        <v>8087</v>
      </c>
      <c r="C91" s="142"/>
      <c r="D91" s="142"/>
      <c r="E91" s="142" t="s">
        <v>185</v>
      </c>
      <c r="F91" s="142"/>
      <c r="G91" s="141" t="s">
        <v>6627</v>
      </c>
      <c r="H91" s="142" t="s">
        <v>8088</v>
      </c>
      <c r="I91" s="156" t="s">
        <v>188</v>
      </c>
      <c r="J91" s="155" t="s">
        <v>1453</v>
      </c>
      <c r="K91" s="155"/>
      <c r="L91" s="156" t="s">
        <v>191</v>
      </c>
      <c r="M91" s="331">
        <v>4</v>
      </c>
      <c r="N91" s="426"/>
      <c r="O91" s="151">
        <v>5</v>
      </c>
      <c r="P91" s="151" t="s">
        <v>199</v>
      </c>
      <c r="Q91" s="421"/>
    </row>
    <row r="92" spans="1:17" ht="22.5">
      <c r="A92" s="142" t="s">
        <v>8089</v>
      </c>
      <c r="B92" s="142" t="s">
        <v>8090</v>
      </c>
      <c r="C92" s="142"/>
      <c r="D92" s="142"/>
      <c r="E92" s="142" t="s">
        <v>185</v>
      </c>
      <c r="F92" s="142"/>
      <c r="G92" s="141" t="s">
        <v>6627</v>
      </c>
      <c r="H92" s="142" t="s">
        <v>8091</v>
      </c>
      <c r="I92" s="156" t="s">
        <v>188</v>
      </c>
      <c r="J92" s="155" t="s">
        <v>1453</v>
      </c>
      <c r="K92" s="155"/>
      <c r="L92" s="156" t="s">
        <v>191</v>
      </c>
      <c r="M92" s="331">
        <v>4</v>
      </c>
      <c r="N92" s="426"/>
      <c r="O92" s="151">
        <v>5</v>
      </c>
      <c r="P92" s="151" t="s">
        <v>199</v>
      </c>
      <c r="Q92" s="421"/>
    </row>
    <row r="93" spans="1:17" ht="22.5">
      <c r="A93" s="142" t="s">
        <v>8092</v>
      </c>
      <c r="B93" s="142" t="s">
        <v>8093</v>
      </c>
      <c r="C93" s="142"/>
      <c r="D93" s="142"/>
      <c r="E93" s="142" t="s">
        <v>185</v>
      </c>
      <c r="F93" s="142"/>
      <c r="G93" s="141" t="s">
        <v>6627</v>
      </c>
      <c r="H93" s="142" t="s">
        <v>8094</v>
      </c>
      <c r="I93" s="156" t="s">
        <v>188</v>
      </c>
      <c r="J93" s="155" t="s">
        <v>1453</v>
      </c>
      <c r="K93" s="155"/>
      <c r="L93" s="156" t="s">
        <v>191</v>
      </c>
      <c r="M93" s="331">
        <v>4</v>
      </c>
      <c r="N93" s="426"/>
      <c r="O93" s="151">
        <v>5</v>
      </c>
      <c r="P93" s="151" t="s">
        <v>199</v>
      </c>
      <c r="Q93" s="421"/>
    </row>
    <row r="94" spans="1:17" ht="22.5">
      <c r="A94" s="142" t="s">
        <v>8095</v>
      </c>
      <c r="B94" s="142" t="s">
        <v>8096</v>
      </c>
      <c r="C94" s="142"/>
      <c r="D94" s="142"/>
      <c r="E94" s="142" t="s">
        <v>185</v>
      </c>
      <c r="F94" s="142"/>
      <c r="G94" s="141" t="s">
        <v>6627</v>
      </c>
      <c r="H94" s="142" t="s">
        <v>8097</v>
      </c>
      <c r="I94" s="156" t="s">
        <v>188</v>
      </c>
      <c r="J94" s="155" t="s">
        <v>1453</v>
      </c>
      <c r="K94" s="155"/>
      <c r="L94" s="156" t="s">
        <v>191</v>
      </c>
      <c r="M94" s="331">
        <v>4</v>
      </c>
      <c r="N94" s="426"/>
      <c r="O94" s="151">
        <v>5</v>
      </c>
      <c r="P94" s="151" t="s">
        <v>199</v>
      </c>
      <c r="Q94" s="421"/>
    </row>
    <row r="95" spans="1:17" ht="22.5">
      <c r="A95" s="142" t="s">
        <v>8098</v>
      </c>
      <c r="B95" s="142" t="s">
        <v>8099</v>
      </c>
      <c r="C95" s="142"/>
      <c r="D95" s="142"/>
      <c r="E95" s="142" t="s">
        <v>185</v>
      </c>
      <c r="F95" s="142"/>
      <c r="G95" s="141" t="s">
        <v>6627</v>
      </c>
      <c r="H95" s="142" t="s">
        <v>8100</v>
      </c>
      <c r="I95" s="156" t="s">
        <v>188</v>
      </c>
      <c r="J95" s="155" t="s">
        <v>1453</v>
      </c>
      <c r="K95" s="155"/>
      <c r="L95" s="156" t="s">
        <v>191</v>
      </c>
      <c r="M95" s="331">
        <v>4</v>
      </c>
      <c r="N95" s="426"/>
      <c r="O95" s="151">
        <v>5</v>
      </c>
      <c r="P95" s="151" t="s">
        <v>199</v>
      </c>
      <c r="Q95" s="421"/>
    </row>
    <row r="96" spans="1:17" ht="22.5">
      <c r="A96" s="142" t="s">
        <v>8101</v>
      </c>
      <c r="B96" s="142" t="s">
        <v>8102</v>
      </c>
      <c r="C96" s="142"/>
      <c r="D96" s="142"/>
      <c r="E96" s="142" t="s">
        <v>185</v>
      </c>
      <c r="F96" s="142"/>
      <c r="G96" s="141" t="s">
        <v>6627</v>
      </c>
      <c r="H96" s="142" t="s">
        <v>8103</v>
      </c>
      <c r="I96" s="156" t="s">
        <v>188</v>
      </c>
      <c r="J96" s="155" t="s">
        <v>1453</v>
      </c>
      <c r="K96" s="155"/>
      <c r="L96" s="156" t="s">
        <v>191</v>
      </c>
      <c r="M96" s="331">
        <v>4</v>
      </c>
      <c r="N96" s="426"/>
      <c r="O96" s="151">
        <v>5</v>
      </c>
      <c r="P96" s="151" t="s">
        <v>199</v>
      </c>
      <c r="Q96" s="421"/>
    </row>
    <row r="97" spans="1:17" ht="22.5">
      <c r="A97" s="142" t="s">
        <v>8104</v>
      </c>
      <c r="B97" s="142" t="s">
        <v>8105</v>
      </c>
      <c r="C97" s="142"/>
      <c r="D97" s="142"/>
      <c r="E97" s="142" t="s">
        <v>185</v>
      </c>
      <c r="F97" s="142"/>
      <c r="G97" s="141" t="s">
        <v>6627</v>
      </c>
      <c r="H97" s="142" t="s">
        <v>8106</v>
      </c>
      <c r="I97" s="156" t="s">
        <v>188</v>
      </c>
      <c r="J97" s="155" t="s">
        <v>1453</v>
      </c>
      <c r="K97" s="155"/>
      <c r="L97" s="156" t="s">
        <v>191</v>
      </c>
      <c r="M97" s="331">
        <v>4</v>
      </c>
      <c r="N97" s="426"/>
      <c r="O97" s="151">
        <v>5</v>
      </c>
      <c r="P97" s="151" t="s">
        <v>199</v>
      </c>
      <c r="Q97" s="421"/>
    </row>
    <row r="98" spans="1:17" ht="11.25">
      <c r="A98" s="142" t="s">
        <v>8107</v>
      </c>
      <c r="B98" s="142" t="s">
        <v>8108</v>
      </c>
      <c r="C98" s="142"/>
      <c r="D98" s="142"/>
      <c r="E98" s="142" t="s">
        <v>185</v>
      </c>
      <c r="F98" s="142"/>
      <c r="G98" s="141" t="s">
        <v>1962</v>
      </c>
      <c r="H98" s="142" t="s">
        <v>8109</v>
      </c>
      <c r="I98" s="156" t="s">
        <v>204</v>
      </c>
      <c r="J98" s="155" t="s">
        <v>8110</v>
      </c>
      <c r="K98" s="155"/>
      <c r="L98" s="156" t="s">
        <v>191</v>
      </c>
      <c r="M98" s="331">
        <v>4</v>
      </c>
      <c r="N98" s="426"/>
      <c r="O98" s="151">
        <v>5</v>
      </c>
      <c r="P98" s="151" t="s">
        <v>199</v>
      </c>
      <c r="Q98" s="421"/>
    </row>
    <row r="99" spans="1:17" ht="22.5">
      <c r="A99" s="142" t="s">
        <v>8111</v>
      </c>
      <c r="B99" s="142" t="s">
        <v>780</v>
      </c>
      <c r="C99" s="142" t="s">
        <v>8112</v>
      </c>
      <c r="D99" s="142"/>
      <c r="E99" s="142" t="s">
        <v>185</v>
      </c>
      <c r="F99" s="142"/>
      <c r="G99" s="141" t="s">
        <v>2103</v>
      </c>
      <c r="H99" s="142" t="s">
        <v>1447</v>
      </c>
      <c r="I99" s="156" t="s">
        <v>204</v>
      </c>
      <c r="J99" s="156" t="s">
        <v>782</v>
      </c>
      <c r="K99" s="156"/>
      <c r="L99" s="156" t="s">
        <v>191</v>
      </c>
      <c r="M99" s="331">
        <v>4</v>
      </c>
      <c r="N99" s="426"/>
      <c r="O99" s="151">
        <v>5</v>
      </c>
      <c r="P99" s="151" t="s">
        <v>199</v>
      </c>
      <c r="Q99" s="421"/>
    </row>
    <row r="100" spans="1:17" ht="90">
      <c r="A100" s="142" t="s">
        <v>8113</v>
      </c>
      <c r="B100" s="142" t="s">
        <v>4393</v>
      </c>
      <c r="C100" s="142"/>
      <c r="D100" s="142"/>
      <c r="E100" s="142" t="s">
        <v>185</v>
      </c>
      <c r="F100" s="142"/>
      <c r="G100" s="141" t="s">
        <v>8114</v>
      </c>
      <c r="H100" s="142" t="s">
        <v>4394</v>
      </c>
      <c r="I100" s="156" t="s">
        <v>204</v>
      </c>
      <c r="J100" s="155" t="s">
        <v>8115</v>
      </c>
      <c r="K100" s="155"/>
      <c r="L100" s="156" t="s">
        <v>191</v>
      </c>
      <c r="M100" s="331">
        <v>4</v>
      </c>
      <c r="N100" s="426"/>
      <c r="O100" s="151">
        <v>5</v>
      </c>
      <c r="P100" s="151" t="s">
        <v>199</v>
      </c>
      <c r="Q100" s="421"/>
    </row>
    <row r="101" spans="1:17" ht="45">
      <c r="A101" s="142" t="s">
        <v>8116</v>
      </c>
      <c r="B101" s="142" t="s">
        <v>1449</v>
      </c>
      <c r="C101" s="142" t="s">
        <v>8117</v>
      </c>
      <c r="D101" s="142"/>
      <c r="E101" s="142" t="s">
        <v>185</v>
      </c>
      <c r="F101" s="142"/>
      <c r="G101" s="141" t="s">
        <v>2106</v>
      </c>
      <c r="H101" s="142" t="s">
        <v>4409</v>
      </c>
      <c r="I101" s="156" t="s">
        <v>188</v>
      </c>
      <c r="J101" s="156" t="s">
        <v>1453</v>
      </c>
      <c r="K101" s="156"/>
      <c r="L101" s="156" t="s">
        <v>191</v>
      </c>
      <c r="M101" s="331">
        <v>4</v>
      </c>
      <c r="N101" s="426"/>
      <c r="O101" s="151">
        <v>5</v>
      </c>
      <c r="P101" s="151" t="s">
        <v>199</v>
      </c>
      <c r="Q101" s="421"/>
    </row>
    <row r="102" spans="1:17" ht="33.75">
      <c r="A102" s="142" t="s">
        <v>8118</v>
      </c>
      <c r="B102" s="142" t="s">
        <v>1455</v>
      </c>
      <c r="C102" s="142" t="s">
        <v>8119</v>
      </c>
      <c r="D102" s="142"/>
      <c r="E102" s="142" t="s">
        <v>185</v>
      </c>
      <c r="F102" s="142"/>
      <c r="G102" s="141" t="s">
        <v>2106</v>
      </c>
      <c r="H102" s="142" t="s">
        <v>4412</v>
      </c>
      <c r="I102" s="156" t="s">
        <v>188</v>
      </c>
      <c r="J102" s="156" t="s">
        <v>1453</v>
      </c>
      <c r="K102" s="156"/>
      <c r="L102" s="156" t="s">
        <v>191</v>
      </c>
      <c r="M102" s="331">
        <v>4</v>
      </c>
      <c r="N102" s="426"/>
      <c r="O102" s="151">
        <v>5</v>
      </c>
      <c r="P102" s="151" t="s">
        <v>199</v>
      </c>
      <c r="Q102" s="421"/>
    </row>
    <row r="103" spans="1:17" ht="45">
      <c r="A103" s="142" t="s">
        <v>8120</v>
      </c>
      <c r="B103" s="142" t="s">
        <v>1459</v>
      </c>
      <c r="C103" s="142" t="s">
        <v>8121</v>
      </c>
      <c r="D103" s="142"/>
      <c r="E103" s="142" t="s">
        <v>185</v>
      </c>
      <c r="F103" s="142"/>
      <c r="G103" s="141" t="s">
        <v>2106</v>
      </c>
      <c r="H103" s="142" t="s">
        <v>4415</v>
      </c>
      <c r="I103" s="156" t="s">
        <v>188</v>
      </c>
      <c r="J103" s="156" t="s">
        <v>1453</v>
      </c>
      <c r="K103" s="156"/>
      <c r="L103" s="156" t="s">
        <v>191</v>
      </c>
      <c r="M103" s="331">
        <v>4</v>
      </c>
      <c r="N103" s="426"/>
      <c r="O103" s="151">
        <v>5</v>
      </c>
      <c r="P103" s="151" t="s">
        <v>199</v>
      </c>
      <c r="Q103" s="421"/>
    </row>
    <row r="104" spans="1:17" ht="33.75">
      <c r="A104" s="142" t="s">
        <v>8122</v>
      </c>
      <c r="B104" s="142" t="s">
        <v>1463</v>
      </c>
      <c r="C104" s="142" t="s">
        <v>8123</v>
      </c>
      <c r="D104" s="142"/>
      <c r="E104" s="142" t="s">
        <v>185</v>
      </c>
      <c r="F104" s="142"/>
      <c r="G104" s="141" t="s">
        <v>2106</v>
      </c>
      <c r="H104" s="142" t="s">
        <v>4418</v>
      </c>
      <c r="I104" s="230" t="s">
        <v>188</v>
      </c>
      <c r="J104" s="156" t="s">
        <v>1453</v>
      </c>
      <c r="K104" s="156"/>
      <c r="L104" s="156" t="s">
        <v>191</v>
      </c>
      <c r="M104" s="331">
        <v>4</v>
      </c>
      <c r="N104" s="426"/>
      <c r="O104" s="151">
        <v>5</v>
      </c>
      <c r="P104" s="151" t="s">
        <v>199</v>
      </c>
      <c r="Q104" s="421"/>
    </row>
    <row r="105" spans="1:17" ht="157.5">
      <c r="A105" s="428" t="s">
        <v>8124</v>
      </c>
      <c r="B105" s="428" t="s">
        <v>8125</v>
      </c>
      <c r="C105" s="142" t="s">
        <v>135</v>
      </c>
      <c r="D105" s="142"/>
      <c r="E105" s="142" t="s">
        <v>185</v>
      </c>
      <c r="F105" s="142"/>
      <c r="G105" s="141" t="s">
        <v>8114</v>
      </c>
      <c r="H105" s="164" t="s">
        <v>8126</v>
      </c>
      <c r="I105" s="227" t="s">
        <v>204</v>
      </c>
      <c r="J105" s="429" t="s">
        <v>8127</v>
      </c>
      <c r="K105" s="155"/>
      <c r="L105" s="156" t="s">
        <v>191</v>
      </c>
      <c r="M105" s="331">
        <v>4</v>
      </c>
      <c r="N105" s="426"/>
      <c r="O105" s="151">
        <v>5</v>
      </c>
      <c r="P105" s="151" t="s">
        <v>199</v>
      </c>
      <c r="Q105" s="421"/>
    </row>
    <row r="106" spans="1:17" ht="11.25">
      <c r="A106" s="142" t="s">
        <v>8128</v>
      </c>
      <c r="B106" s="142" t="s">
        <v>4420</v>
      </c>
      <c r="C106" s="142" t="s">
        <v>8129</v>
      </c>
      <c r="D106" s="142"/>
      <c r="E106" s="142" t="s">
        <v>185</v>
      </c>
      <c r="F106" s="142"/>
      <c r="G106" s="141" t="s">
        <v>7915</v>
      </c>
      <c r="H106" s="145" t="s">
        <v>4422</v>
      </c>
      <c r="I106" s="430" t="s">
        <v>198</v>
      </c>
      <c r="J106" s="156"/>
      <c r="K106" s="156"/>
      <c r="L106" s="156" t="s">
        <v>191</v>
      </c>
      <c r="M106" s="331">
        <v>4</v>
      </c>
      <c r="N106" s="426"/>
      <c r="O106" s="151">
        <v>5</v>
      </c>
      <c r="P106" s="151" t="s">
        <v>199</v>
      </c>
      <c r="Q106" s="421"/>
    </row>
    <row r="107" spans="1:17" ht="22.5">
      <c r="A107" s="142" t="s">
        <v>8130</v>
      </c>
      <c r="B107" s="142" t="s">
        <v>8131</v>
      </c>
      <c r="C107" s="142" t="s">
        <v>8132</v>
      </c>
      <c r="D107" s="142"/>
      <c r="E107" s="142" t="s">
        <v>242</v>
      </c>
      <c r="F107" s="142"/>
      <c r="G107" s="141" t="s">
        <v>8133</v>
      </c>
      <c r="H107" s="145" t="s">
        <v>8134</v>
      </c>
      <c r="I107" s="155" t="s">
        <v>188</v>
      </c>
      <c r="J107" s="156" t="s">
        <v>1453</v>
      </c>
      <c r="K107" s="156"/>
      <c r="L107" s="156" t="s">
        <v>191</v>
      </c>
      <c r="M107" s="331">
        <v>4</v>
      </c>
      <c r="N107" s="426"/>
      <c r="O107" s="151">
        <v>5</v>
      </c>
      <c r="P107" s="151" t="s">
        <v>199</v>
      </c>
      <c r="Q107" s="421"/>
    </row>
    <row r="108" spans="1:17" ht="22.5">
      <c r="A108" s="142" t="s">
        <v>8135</v>
      </c>
      <c r="B108" s="142" t="s">
        <v>8136</v>
      </c>
      <c r="C108" s="142"/>
      <c r="D108" s="142"/>
      <c r="E108" s="142" t="s">
        <v>242</v>
      </c>
      <c r="F108" s="142"/>
      <c r="G108" s="141" t="s">
        <v>6757</v>
      </c>
      <c r="H108" s="145" t="s">
        <v>8137</v>
      </c>
      <c r="I108" s="155" t="s">
        <v>188</v>
      </c>
      <c r="J108" s="156" t="s">
        <v>1453</v>
      </c>
      <c r="K108" s="156"/>
      <c r="L108" s="156" t="s">
        <v>191</v>
      </c>
      <c r="M108" s="331">
        <v>4</v>
      </c>
      <c r="N108" s="426"/>
      <c r="O108" s="151">
        <v>5</v>
      </c>
      <c r="P108" s="151" t="s">
        <v>199</v>
      </c>
      <c r="Q108" s="421"/>
    </row>
    <row r="109" spans="1:17" ht="22.5">
      <c r="A109" s="142" t="s">
        <v>8138</v>
      </c>
      <c r="B109" s="142" t="s">
        <v>8139</v>
      </c>
      <c r="C109" s="142"/>
      <c r="D109" s="142"/>
      <c r="E109" s="142" t="s">
        <v>242</v>
      </c>
      <c r="F109" s="142"/>
      <c r="G109" s="141" t="s">
        <v>601</v>
      </c>
      <c r="H109" s="145" t="s">
        <v>8140</v>
      </c>
      <c r="I109" s="155"/>
      <c r="J109" s="156" t="s">
        <v>1453</v>
      </c>
      <c r="K109" s="156"/>
      <c r="L109" s="156" t="s">
        <v>191</v>
      </c>
      <c r="M109" s="331">
        <v>4</v>
      </c>
      <c r="N109" s="426"/>
      <c r="O109" s="151">
        <v>5</v>
      </c>
      <c r="P109" s="151" t="s">
        <v>199</v>
      </c>
      <c r="Q109" s="421"/>
    </row>
    <row r="110" spans="1:17" ht="90">
      <c r="A110" s="142" t="s">
        <v>8141</v>
      </c>
      <c r="B110" s="142" t="s">
        <v>8142</v>
      </c>
      <c r="C110" s="142" t="s">
        <v>135</v>
      </c>
      <c r="D110" s="142"/>
      <c r="E110" s="142" t="s">
        <v>242</v>
      </c>
      <c r="F110" s="142"/>
      <c r="G110" s="141" t="s">
        <v>8143</v>
      </c>
      <c r="H110" s="145" t="s">
        <v>8144</v>
      </c>
      <c r="I110" s="155" t="s">
        <v>188</v>
      </c>
      <c r="J110" s="156" t="s">
        <v>8145</v>
      </c>
      <c r="K110" s="156"/>
      <c r="L110" s="156" t="s">
        <v>191</v>
      </c>
      <c r="M110" s="331">
        <v>4</v>
      </c>
      <c r="N110" s="426"/>
      <c r="O110" s="151">
        <v>5</v>
      </c>
      <c r="P110" s="151" t="s">
        <v>199</v>
      </c>
      <c r="Q110" s="421"/>
    </row>
    <row r="111" spans="1:17" ht="22.5">
      <c r="A111" s="142" t="s">
        <v>4424</v>
      </c>
      <c r="B111" s="142" t="s">
        <v>2123</v>
      </c>
      <c r="C111" s="142" t="s">
        <v>8146</v>
      </c>
      <c r="D111" s="142" t="s">
        <v>4424</v>
      </c>
      <c r="E111" s="142" t="s">
        <v>242</v>
      </c>
      <c r="F111" s="142"/>
      <c r="G111" s="141" t="s">
        <v>8147</v>
      </c>
      <c r="H111" s="145" t="s">
        <v>7972</v>
      </c>
      <c r="I111" s="155" t="s">
        <v>204</v>
      </c>
      <c r="J111" s="156" t="s">
        <v>3667</v>
      </c>
      <c r="K111" s="156"/>
      <c r="L111" s="156" t="s">
        <v>191</v>
      </c>
      <c r="M111" s="331">
        <v>4</v>
      </c>
      <c r="N111" s="426"/>
      <c r="O111" s="151">
        <v>5</v>
      </c>
      <c r="P111" s="151" t="s">
        <v>199</v>
      </c>
      <c r="Q111" s="421"/>
    </row>
    <row r="112" spans="1:17" ht="33.75">
      <c r="A112" s="142" t="s">
        <v>8148</v>
      </c>
      <c r="B112" s="142" t="s">
        <v>1330</v>
      </c>
      <c r="C112" s="142" t="s">
        <v>8149</v>
      </c>
      <c r="D112" s="142"/>
      <c r="E112" s="142" t="s">
        <v>242</v>
      </c>
      <c r="F112" s="142"/>
      <c r="G112" s="141" t="s">
        <v>4206</v>
      </c>
      <c r="H112" s="145" t="s">
        <v>1332</v>
      </c>
      <c r="I112" s="155" t="s">
        <v>204</v>
      </c>
      <c r="J112" s="156" t="s">
        <v>8150</v>
      </c>
      <c r="K112" s="156"/>
      <c r="L112" s="156" t="s">
        <v>191</v>
      </c>
      <c r="M112" s="331">
        <v>4</v>
      </c>
      <c r="N112" s="426"/>
      <c r="O112" s="151">
        <v>5</v>
      </c>
      <c r="P112" s="151" t="s">
        <v>199</v>
      </c>
      <c r="Q112" s="421"/>
    </row>
    <row r="113" spans="1:17" ht="22.5">
      <c r="A113" s="142" t="s">
        <v>8151</v>
      </c>
      <c r="B113" s="142" t="s">
        <v>8152</v>
      </c>
      <c r="C113" s="142"/>
      <c r="D113" s="142"/>
      <c r="E113" s="142" t="s">
        <v>242</v>
      </c>
      <c r="F113" s="142"/>
      <c r="G113" s="141" t="s">
        <v>597</v>
      </c>
      <c r="H113" s="145" t="s">
        <v>8153</v>
      </c>
      <c r="I113" s="155"/>
      <c r="J113" s="156" t="s">
        <v>8154</v>
      </c>
      <c r="K113" s="156"/>
      <c r="L113" s="156" t="s">
        <v>191</v>
      </c>
      <c r="M113" s="331">
        <v>4</v>
      </c>
      <c r="N113" s="426"/>
      <c r="O113" s="151">
        <v>5</v>
      </c>
      <c r="P113" s="151" t="s">
        <v>199</v>
      </c>
      <c r="Q113" s="421"/>
    </row>
    <row r="114" spans="1:17" ht="22.5">
      <c r="A114" s="142" t="s">
        <v>8155</v>
      </c>
      <c r="B114" s="142" t="s">
        <v>8156</v>
      </c>
      <c r="C114" s="142"/>
      <c r="D114" s="142"/>
      <c r="E114" s="142" t="s">
        <v>242</v>
      </c>
      <c r="F114" s="142"/>
      <c r="G114" s="141" t="s">
        <v>597</v>
      </c>
      <c r="H114" s="145" t="s">
        <v>8153</v>
      </c>
      <c r="I114" s="155"/>
      <c r="J114" s="156" t="s">
        <v>8154</v>
      </c>
      <c r="K114" s="156"/>
      <c r="L114" s="156" t="s">
        <v>191</v>
      </c>
      <c r="M114" s="331">
        <v>4</v>
      </c>
      <c r="N114" s="426"/>
      <c r="O114" s="151">
        <v>5</v>
      </c>
      <c r="P114" s="151" t="s">
        <v>199</v>
      </c>
      <c r="Q114" s="421"/>
    </row>
    <row r="115" spans="1:17" ht="33.75">
      <c r="A115" s="142" t="s">
        <v>8157</v>
      </c>
      <c r="B115" s="142" t="s">
        <v>8158</v>
      </c>
      <c r="C115" s="142"/>
      <c r="D115" s="142"/>
      <c r="E115" s="142" t="s">
        <v>242</v>
      </c>
      <c r="F115" s="142"/>
      <c r="G115" s="141" t="s">
        <v>597</v>
      </c>
      <c r="H115" s="145" t="s">
        <v>8159</v>
      </c>
      <c r="I115" s="155"/>
      <c r="J115" s="156" t="s">
        <v>8154</v>
      </c>
      <c r="K115" s="156"/>
      <c r="L115" s="156" t="s">
        <v>191</v>
      </c>
      <c r="M115" s="331">
        <v>4</v>
      </c>
      <c r="N115" s="426"/>
      <c r="O115" s="151">
        <v>5</v>
      </c>
      <c r="P115" s="151" t="s">
        <v>199</v>
      </c>
      <c r="Q115" s="421"/>
    </row>
    <row r="116" spans="1:17" ht="33.75">
      <c r="A116" s="142" t="s">
        <v>8160</v>
      </c>
      <c r="B116" s="142" t="s">
        <v>8161</v>
      </c>
      <c r="C116" s="142"/>
      <c r="D116" s="142"/>
      <c r="E116" s="142" t="s">
        <v>242</v>
      </c>
      <c r="F116" s="142"/>
      <c r="G116" s="141" t="s">
        <v>597</v>
      </c>
      <c r="H116" s="145" t="s">
        <v>8159</v>
      </c>
      <c r="I116" s="155"/>
      <c r="J116" s="156" t="s">
        <v>8154</v>
      </c>
      <c r="K116" s="156"/>
      <c r="L116" s="156" t="s">
        <v>191</v>
      </c>
      <c r="M116" s="331">
        <v>4</v>
      </c>
      <c r="N116" s="426"/>
      <c r="O116" s="151">
        <v>5</v>
      </c>
      <c r="P116" s="151" t="s">
        <v>199</v>
      </c>
      <c r="Q116" s="421"/>
    </row>
    <row r="117" spans="1:17" ht="33.75">
      <c r="A117" s="142" t="s">
        <v>8162</v>
      </c>
      <c r="B117" s="142" t="s">
        <v>8163</v>
      </c>
      <c r="C117" s="142"/>
      <c r="D117" s="142"/>
      <c r="E117" s="142" t="s">
        <v>242</v>
      </c>
      <c r="F117" s="142"/>
      <c r="G117" s="141" t="s">
        <v>597</v>
      </c>
      <c r="H117" s="145" t="s">
        <v>8164</v>
      </c>
      <c r="I117" s="155"/>
      <c r="J117" s="156" t="s">
        <v>8154</v>
      </c>
      <c r="K117" s="156"/>
      <c r="L117" s="156" t="s">
        <v>191</v>
      </c>
      <c r="M117" s="331">
        <v>4</v>
      </c>
      <c r="N117" s="426"/>
      <c r="O117" s="151">
        <v>5</v>
      </c>
      <c r="P117" s="151" t="s">
        <v>199</v>
      </c>
      <c r="Q117" s="421"/>
    </row>
    <row r="118" spans="1:17" ht="33.75">
      <c r="A118" s="142" t="s">
        <v>8165</v>
      </c>
      <c r="B118" s="142" t="s">
        <v>8166</v>
      </c>
      <c r="C118" s="142"/>
      <c r="D118" s="142"/>
      <c r="E118" s="142" t="s">
        <v>242</v>
      </c>
      <c r="F118" s="142"/>
      <c r="G118" s="141" t="s">
        <v>597</v>
      </c>
      <c r="H118" s="145" t="s">
        <v>8164</v>
      </c>
      <c r="I118" s="155"/>
      <c r="J118" s="156" t="s">
        <v>8154</v>
      </c>
      <c r="K118" s="156"/>
      <c r="L118" s="156" t="s">
        <v>191</v>
      </c>
      <c r="M118" s="331">
        <v>4</v>
      </c>
      <c r="N118" s="426"/>
      <c r="O118" s="151">
        <v>5</v>
      </c>
      <c r="P118" s="151" t="s">
        <v>199</v>
      </c>
      <c r="Q118" s="421"/>
    </row>
    <row r="119" spans="1:17" ht="11.25">
      <c r="A119" s="142" t="s">
        <v>8167</v>
      </c>
      <c r="B119" s="142" t="s">
        <v>1524</v>
      </c>
      <c r="C119" s="142" t="s">
        <v>8168</v>
      </c>
      <c r="D119" s="142"/>
      <c r="E119" s="142" t="s">
        <v>242</v>
      </c>
      <c r="F119" s="142"/>
      <c r="G119" s="141" t="s">
        <v>4220</v>
      </c>
      <c r="H119" s="142" t="s">
        <v>8169</v>
      </c>
      <c r="I119" s="156" t="s">
        <v>204</v>
      </c>
      <c r="J119" s="156"/>
      <c r="K119" s="156"/>
      <c r="L119" s="156" t="s">
        <v>191</v>
      </c>
      <c r="M119" s="331">
        <v>4</v>
      </c>
      <c r="N119" s="426"/>
      <c r="O119" s="151">
        <v>5</v>
      </c>
      <c r="P119" s="151" t="s">
        <v>199</v>
      </c>
      <c r="Q119" s="421"/>
    </row>
    <row r="120" spans="1:17" ht="33.75">
      <c r="A120" s="142" t="s">
        <v>8170</v>
      </c>
      <c r="B120" s="142" t="s">
        <v>2179</v>
      </c>
      <c r="C120" s="142" t="s">
        <v>8171</v>
      </c>
      <c r="D120" s="142"/>
      <c r="E120" s="142" t="s">
        <v>242</v>
      </c>
      <c r="F120" s="142"/>
      <c r="G120" s="141" t="s">
        <v>8172</v>
      </c>
      <c r="H120" s="145" t="s">
        <v>8173</v>
      </c>
      <c r="I120" s="155" t="s">
        <v>188</v>
      </c>
      <c r="J120" s="156" t="s">
        <v>1453</v>
      </c>
      <c r="K120" s="156"/>
      <c r="L120" s="156" t="s">
        <v>191</v>
      </c>
      <c r="M120" s="331">
        <v>4</v>
      </c>
      <c r="N120" s="426"/>
      <c r="O120" s="151">
        <v>5</v>
      </c>
      <c r="P120" s="151" t="s">
        <v>199</v>
      </c>
      <c r="Q120" s="421"/>
    </row>
    <row r="121" spans="1:17" ht="33.75">
      <c r="A121" s="142" t="s">
        <v>8174</v>
      </c>
      <c r="B121" s="142" t="s">
        <v>2184</v>
      </c>
      <c r="C121" s="142" t="s">
        <v>8175</v>
      </c>
      <c r="D121" s="142"/>
      <c r="E121" s="142" t="s">
        <v>242</v>
      </c>
      <c r="F121" s="142"/>
      <c r="G121" s="141" t="s">
        <v>8172</v>
      </c>
      <c r="H121" s="145" t="s">
        <v>8176</v>
      </c>
      <c r="I121" s="155" t="s">
        <v>188</v>
      </c>
      <c r="J121" s="156" t="s">
        <v>1453</v>
      </c>
      <c r="K121" s="156"/>
      <c r="L121" s="156" t="s">
        <v>191</v>
      </c>
      <c r="M121" s="331">
        <v>4</v>
      </c>
      <c r="N121" s="426"/>
      <c r="O121" s="151">
        <v>5</v>
      </c>
      <c r="P121" s="151" t="s">
        <v>199</v>
      </c>
      <c r="Q121" s="421"/>
    </row>
    <row r="122" spans="1:17" ht="33.75">
      <c r="A122" s="142" t="s">
        <v>8177</v>
      </c>
      <c r="B122" s="142" t="s">
        <v>2188</v>
      </c>
      <c r="C122" s="142" t="s">
        <v>8178</v>
      </c>
      <c r="D122" s="142"/>
      <c r="E122" s="142" t="s">
        <v>242</v>
      </c>
      <c r="F122" s="142"/>
      <c r="G122" s="141" t="s">
        <v>8172</v>
      </c>
      <c r="H122" s="145" t="s">
        <v>8179</v>
      </c>
      <c r="I122" s="155" t="s">
        <v>188</v>
      </c>
      <c r="J122" s="156" t="s">
        <v>1453</v>
      </c>
      <c r="K122" s="156"/>
      <c r="L122" s="156" t="s">
        <v>191</v>
      </c>
      <c r="M122" s="331">
        <v>4</v>
      </c>
      <c r="N122" s="426"/>
      <c r="O122" s="151">
        <v>5</v>
      </c>
      <c r="P122" s="151" t="s">
        <v>199</v>
      </c>
      <c r="Q122" s="421"/>
    </row>
    <row r="123" spans="1:17" ht="22.5">
      <c r="A123" s="142" t="s">
        <v>8180</v>
      </c>
      <c r="B123" s="142" t="s">
        <v>8181</v>
      </c>
      <c r="C123" s="142" t="s">
        <v>8182</v>
      </c>
      <c r="D123" s="142"/>
      <c r="E123" s="142" t="s">
        <v>242</v>
      </c>
      <c r="F123" s="142"/>
      <c r="G123" s="141" t="s">
        <v>4454</v>
      </c>
      <c r="H123" s="142" t="s">
        <v>8183</v>
      </c>
      <c r="I123" s="156" t="s">
        <v>188</v>
      </c>
      <c r="J123" s="156" t="s">
        <v>1453</v>
      </c>
      <c r="K123" s="156"/>
      <c r="L123" s="156" t="s">
        <v>191</v>
      </c>
      <c r="M123" s="331">
        <v>4</v>
      </c>
      <c r="N123" s="426"/>
      <c r="O123" s="151">
        <v>5</v>
      </c>
      <c r="P123" s="151" t="s">
        <v>199</v>
      </c>
      <c r="Q123" s="421"/>
    </row>
    <row r="124" spans="1:17" ht="22.5">
      <c r="A124" s="142" t="s">
        <v>8184</v>
      </c>
      <c r="B124" s="142" t="s">
        <v>8185</v>
      </c>
      <c r="C124" s="142" t="s">
        <v>8186</v>
      </c>
      <c r="D124" s="142"/>
      <c r="E124" s="142" t="s">
        <v>242</v>
      </c>
      <c r="F124" s="142"/>
      <c r="G124" s="141" t="s">
        <v>5636</v>
      </c>
      <c r="H124" s="142" t="s">
        <v>8187</v>
      </c>
      <c r="I124" s="156" t="s">
        <v>188</v>
      </c>
      <c r="J124" s="156" t="s">
        <v>1453</v>
      </c>
      <c r="K124" s="156"/>
      <c r="L124" s="156" t="s">
        <v>191</v>
      </c>
      <c r="M124" s="331">
        <v>4</v>
      </c>
      <c r="N124" s="426"/>
      <c r="O124" s="151">
        <v>5</v>
      </c>
      <c r="P124" s="151" t="s">
        <v>199</v>
      </c>
      <c r="Q124" s="421"/>
    </row>
    <row r="125" spans="1:17" ht="22.5">
      <c r="A125" s="142" t="s">
        <v>8188</v>
      </c>
      <c r="B125" s="142" t="s">
        <v>8189</v>
      </c>
      <c r="C125" s="142" t="s">
        <v>8190</v>
      </c>
      <c r="D125" s="142"/>
      <c r="E125" s="142" t="s">
        <v>242</v>
      </c>
      <c r="F125" s="142"/>
      <c r="G125" s="141" t="s">
        <v>5636</v>
      </c>
      <c r="H125" s="142" t="s">
        <v>8191</v>
      </c>
      <c r="I125" s="156" t="s">
        <v>188</v>
      </c>
      <c r="J125" s="156" t="s">
        <v>1453</v>
      </c>
      <c r="K125" s="156"/>
      <c r="L125" s="156" t="s">
        <v>191</v>
      </c>
      <c r="M125" s="331">
        <v>4</v>
      </c>
      <c r="N125" s="426"/>
      <c r="O125" s="151">
        <v>5</v>
      </c>
      <c r="P125" s="151" t="s">
        <v>199</v>
      </c>
      <c r="Q125" s="421"/>
    </row>
    <row r="126" spans="1:17" ht="22.5">
      <c r="A126" s="142" t="s">
        <v>8192</v>
      </c>
      <c r="B126" s="142" t="s">
        <v>8193</v>
      </c>
      <c r="C126" s="142" t="s">
        <v>8194</v>
      </c>
      <c r="D126" s="142"/>
      <c r="E126" s="142" t="s">
        <v>242</v>
      </c>
      <c r="F126" s="142"/>
      <c r="G126" s="141" t="s">
        <v>5636</v>
      </c>
      <c r="H126" s="142" t="s">
        <v>8195</v>
      </c>
      <c r="I126" s="156" t="s">
        <v>188</v>
      </c>
      <c r="J126" s="156" t="s">
        <v>1453</v>
      </c>
      <c r="K126" s="156"/>
      <c r="L126" s="156" t="s">
        <v>191</v>
      </c>
      <c r="M126" s="331">
        <v>4</v>
      </c>
      <c r="N126" s="426"/>
      <c r="O126" s="151">
        <v>5</v>
      </c>
      <c r="P126" s="151" t="s">
        <v>199</v>
      </c>
      <c r="Q126" s="421"/>
    </row>
    <row r="127" spans="1:17" ht="22.5">
      <c r="A127" s="142" t="s">
        <v>8196</v>
      </c>
      <c r="B127" s="142" t="s">
        <v>8197</v>
      </c>
      <c r="C127" s="142" t="s">
        <v>8198</v>
      </c>
      <c r="D127" s="142"/>
      <c r="E127" s="142" t="s">
        <v>242</v>
      </c>
      <c r="F127" s="142"/>
      <c r="G127" s="141" t="s">
        <v>5636</v>
      </c>
      <c r="H127" s="142" t="s">
        <v>8199</v>
      </c>
      <c r="I127" s="156" t="s">
        <v>188</v>
      </c>
      <c r="J127" s="156" t="s">
        <v>1453</v>
      </c>
      <c r="K127" s="156"/>
      <c r="L127" s="156" t="s">
        <v>191</v>
      </c>
      <c r="M127" s="331">
        <v>4</v>
      </c>
      <c r="N127" s="426"/>
      <c r="O127" s="151">
        <v>5</v>
      </c>
      <c r="P127" s="151" t="s">
        <v>199</v>
      </c>
      <c r="Q127" s="421"/>
    </row>
    <row r="128" spans="1:17" ht="22.5">
      <c r="A128" s="142" t="s">
        <v>8200</v>
      </c>
      <c r="B128" s="142" t="s">
        <v>8201</v>
      </c>
      <c r="C128" s="142" t="s">
        <v>8202</v>
      </c>
      <c r="D128" s="142"/>
      <c r="E128" s="142" t="s">
        <v>242</v>
      </c>
      <c r="F128" s="142"/>
      <c r="G128" s="141" t="s">
        <v>5636</v>
      </c>
      <c r="H128" s="142" t="s">
        <v>8203</v>
      </c>
      <c r="I128" s="156" t="s">
        <v>188</v>
      </c>
      <c r="J128" s="156" t="s">
        <v>1453</v>
      </c>
      <c r="K128" s="156"/>
      <c r="L128" s="156" t="s">
        <v>191</v>
      </c>
      <c r="M128" s="331">
        <v>4</v>
      </c>
      <c r="N128" s="426"/>
      <c r="O128" s="151">
        <v>5</v>
      </c>
      <c r="P128" s="151" t="s">
        <v>199</v>
      </c>
      <c r="Q128" s="421"/>
    </row>
    <row r="129" spans="1:17" ht="11.25">
      <c r="A129" s="142" t="s">
        <v>8204</v>
      </c>
      <c r="B129" s="142" t="s">
        <v>8205</v>
      </c>
      <c r="C129" s="142" t="s">
        <v>8206</v>
      </c>
      <c r="D129" s="142"/>
      <c r="E129" s="142" t="s">
        <v>242</v>
      </c>
      <c r="F129" s="142"/>
      <c r="G129" s="141"/>
      <c r="H129" s="142" t="s">
        <v>8207</v>
      </c>
      <c r="I129" s="156" t="s">
        <v>198</v>
      </c>
      <c r="J129" s="156"/>
      <c r="K129" s="156"/>
      <c r="L129" s="156" t="s">
        <v>191</v>
      </c>
      <c r="M129" s="331">
        <v>4</v>
      </c>
      <c r="N129" s="426"/>
      <c r="O129" s="151">
        <v>5</v>
      </c>
      <c r="P129" s="151" t="s">
        <v>199</v>
      </c>
      <c r="Q129" s="421"/>
    </row>
    <row r="130" spans="1:17" ht="11.25">
      <c r="A130" s="142" t="s">
        <v>8208</v>
      </c>
      <c r="B130" s="142" t="s">
        <v>2995</v>
      </c>
      <c r="C130" s="142" t="s">
        <v>8209</v>
      </c>
      <c r="D130" s="142"/>
      <c r="E130" s="142" t="s">
        <v>242</v>
      </c>
      <c r="F130" s="142"/>
      <c r="G130" s="141"/>
      <c r="H130" s="142" t="s">
        <v>8210</v>
      </c>
      <c r="I130" s="156" t="s">
        <v>198</v>
      </c>
      <c r="J130" s="156"/>
      <c r="K130" s="156"/>
      <c r="L130" s="156" t="s">
        <v>191</v>
      </c>
      <c r="M130" s="331">
        <v>4</v>
      </c>
      <c r="N130" s="426"/>
      <c r="O130" s="151">
        <v>5</v>
      </c>
      <c r="P130" s="151" t="s">
        <v>199</v>
      </c>
      <c r="Q130" s="421"/>
    </row>
    <row r="131" spans="1:17" ht="11.25">
      <c r="A131" s="142" t="s">
        <v>8211</v>
      </c>
      <c r="B131" s="142" t="s">
        <v>8212</v>
      </c>
      <c r="C131" s="142" t="s">
        <v>8213</v>
      </c>
      <c r="D131" s="142"/>
      <c r="E131" s="142" t="s">
        <v>242</v>
      </c>
      <c r="F131" s="142"/>
      <c r="G131" s="141"/>
      <c r="H131" s="142" t="s">
        <v>8214</v>
      </c>
      <c r="I131" s="156" t="s">
        <v>198</v>
      </c>
      <c r="J131" s="156"/>
      <c r="K131" s="156"/>
      <c r="L131" s="156" t="s">
        <v>191</v>
      </c>
      <c r="M131" s="331">
        <v>4</v>
      </c>
      <c r="N131" s="426"/>
      <c r="O131" s="151">
        <v>5</v>
      </c>
      <c r="P131" s="151" t="s">
        <v>199</v>
      </c>
      <c r="Q131" s="421"/>
    </row>
    <row r="132" spans="1:17" ht="11.25">
      <c r="A132" s="142" t="s">
        <v>8215</v>
      </c>
      <c r="B132" s="142" t="s">
        <v>8216</v>
      </c>
      <c r="C132" s="142" t="s">
        <v>8217</v>
      </c>
      <c r="D132" s="142"/>
      <c r="E132" s="142" t="s">
        <v>242</v>
      </c>
      <c r="F132" s="142"/>
      <c r="G132" s="141"/>
      <c r="H132" s="142" t="s">
        <v>8218</v>
      </c>
      <c r="I132" s="427" t="s">
        <v>198</v>
      </c>
      <c r="J132" s="156"/>
      <c r="K132" s="156"/>
      <c r="L132" s="156" t="s">
        <v>191</v>
      </c>
      <c r="M132" s="331">
        <v>4</v>
      </c>
      <c r="N132" s="426"/>
      <c r="O132" s="151">
        <v>5</v>
      </c>
      <c r="P132" s="151" t="s">
        <v>199</v>
      </c>
      <c r="Q132" s="421"/>
    </row>
    <row r="133" spans="1:17" ht="11.25">
      <c r="A133" s="142" t="s">
        <v>8219</v>
      </c>
      <c r="B133" s="142" t="s">
        <v>8220</v>
      </c>
      <c r="C133" s="142" t="s">
        <v>8221</v>
      </c>
      <c r="D133" s="142"/>
      <c r="E133" s="142" t="s">
        <v>242</v>
      </c>
      <c r="F133" s="142"/>
      <c r="G133" s="141"/>
      <c r="H133" s="142" t="s">
        <v>8222</v>
      </c>
      <c r="I133" s="427" t="s">
        <v>198</v>
      </c>
      <c r="J133" s="156"/>
      <c r="K133" s="156"/>
      <c r="L133" s="156" t="s">
        <v>191</v>
      </c>
      <c r="M133" s="331">
        <v>4</v>
      </c>
      <c r="N133" s="426"/>
      <c r="O133" s="151">
        <v>5</v>
      </c>
      <c r="P133" s="151" t="s">
        <v>199</v>
      </c>
      <c r="Q133" s="421"/>
    </row>
    <row r="134" spans="1:17" ht="11.25">
      <c r="A134" s="142" t="s">
        <v>8223</v>
      </c>
      <c r="B134" s="142" t="s">
        <v>8224</v>
      </c>
      <c r="C134" s="142" t="s">
        <v>8225</v>
      </c>
      <c r="D134" s="142"/>
      <c r="E134" s="142" t="s">
        <v>242</v>
      </c>
      <c r="F134" s="142"/>
      <c r="G134" s="141"/>
      <c r="H134" s="142" t="s">
        <v>8226</v>
      </c>
      <c r="I134" s="156" t="s">
        <v>198</v>
      </c>
      <c r="J134" s="156"/>
      <c r="K134" s="156"/>
      <c r="L134" s="156" t="s">
        <v>191</v>
      </c>
      <c r="M134" s="331">
        <v>4</v>
      </c>
      <c r="N134" s="426"/>
      <c r="O134" s="151">
        <v>5</v>
      </c>
      <c r="P134" s="151" t="s">
        <v>199</v>
      </c>
      <c r="Q134" s="421"/>
    </row>
    <row r="135" spans="1:17" ht="11.25">
      <c r="A135" s="142" t="s">
        <v>8227</v>
      </c>
      <c r="B135" s="142" t="s">
        <v>8228</v>
      </c>
      <c r="C135" s="142" t="s">
        <v>8229</v>
      </c>
      <c r="D135" s="142"/>
      <c r="E135" s="142" t="s">
        <v>242</v>
      </c>
      <c r="F135" s="142"/>
      <c r="G135" s="141"/>
      <c r="H135" s="142" t="s">
        <v>8230</v>
      </c>
      <c r="I135" s="156" t="s">
        <v>204</v>
      </c>
      <c r="J135" s="156"/>
      <c r="K135" s="156"/>
      <c r="L135" s="156" t="s">
        <v>191</v>
      </c>
      <c r="M135" s="331">
        <v>4</v>
      </c>
      <c r="N135" s="426"/>
      <c r="O135" s="151">
        <v>5</v>
      </c>
      <c r="P135" s="151" t="s">
        <v>199</v>
      </c>
      <c r="Q135" s="421"/>
    </row>
    <row r="136" spans="1:17" ht="11.25">
      <c r="A136" s="142" t="s">
        <v>8231</v>
      </c>
      <c r="B136" s="142" t="s">
        <v>8232</v>
      </c>
      <c r="C136" s="142" t="s">
        <v>8233</v>
      </c>
      <c r="D136" s="142"/>
      <c r="E136" s="142" t="s">
        <v>242</v>
      </c>
      <c r="F136" s="142"/>
      <c r="G136" s="141"/>
      <c r="H136" s="142" t="s">
        <v>8234</v>
      </c>
      <c r="I136" s="427" t="s">
        <v>198</v>
      </c>
      <c r="J136" s="156"/>
      <c r="K136" s="156"/>
      <c r="L136" s="156" t="s">
        <v>191</v>
      </c>
      <c r="M136" s="331">
        <v>4</v>
      </c>
      <c r="N136" s="426"/>
      <c r="O136" s="151">
        <v>5</v>
      </c>
      <c r="P136" s="151" t="s">
        <v>199</v>
      </c>
      <c r="Q136" s="421"/>
    </row>
    <row r="137" spans="1:17" ht="11.25">
      <c r="A137" s="142" t="s">
        <v>8235</v>
      </c>
      <c r="B137" s="142" t="s">
        <v>8236</v>
      </c>
      <c r="C137" s="142" t="s">
        <v>8237</v>
      </c>
      <c r="D137" s="142" t="s">
        <v>8238</v>
      </c>
      <c r="E137" s="142" t="s">
        <v>242</v>
      </c>
      <c r="F137" s="142"/>
      <c r="G137" s="141"/>
      <c r="H137" s="145" t="s">
        <v>8239</v>
      </c>
      <c r="I137" s="155" t="s">
        <v>198</v>
      </c>
      <c r="J137" s="156"/>
      <c r="K137" s="156"/>
      <c r="L137" s="156" t="s">
        <v>191</v>
      </c>
      <c r="M137" s="331">
        <v>4</v>
      </c>
      <c r="N137" s="426"/>
      <c r="O137" s="151">
        <v>5</v>
      </c>
      <c r="P137" s="151" t="s">
        <v>199</v>
      </c>
      <c r="Q137" s="421"/>
    </row>
    <row r="138" spans="1:17" ht="11.25">
      <c r="A138" s="142" t="s">
        <v>8240</v>
      </c>
      <c r="B138" s="142" t="s">
        <v>8241</v>
      </c>
      <c r="C138" s="142" t="s">
        <v>8242</v>
      </c>
      <c r="D138" s="142" t="s">
        <v>8243</v>
      </c>
      <c r="E138" s="142" t="s">
        <v>242</v>
      </c>
      <c r="F138" s="142"/>
      <c r="G138" s="141"/>
      <c r="H138" s="145" t="s">
        <v>8244</v>
      </c>
      <c r="I138" s="427" t="s">
        <v>198</v>
      </c>
      <c r="J138" s="156"/>
      <c r="K138" s="156"/>
      <c r="L138" s="156" t="s">
        <v>191</v>
      </c>
      <c r="M138" s="331">
        <v>4</v>
      </c>
      <c r="N138" s="426"/>
      <c r="O138" s="151">
        <v>5</v>
      </c>
      <c r="P138" s="151" t="s">
        <v>199</v>
      </c>
      <c r="Q138" s="421"/>
    </row>
    <row r="139" spans="1:17" ht="11.25">
      <c r="A139" s="142" t="s">
        <v>8245</v>
      </c>
      <c r="B139" s="142" t="s">
        <v>4598</v>
      </c>
      <c r="C139" s="142" t="s">
        <v>8246</v>
      </c>
      <c r="D139" s="142"/>
      <c r="E139" s="142" t="s">
        <v>242</v>
      </c>
      <c r="F139" s="142"/>
      <c r="G139" s="141"/>
      <c r="H139" s="142" t="s">
        <v>8247</v>
      </c>
      <c r="I139" s="156" t="s">
        <v>204</v>
      </c>
      <c r="J139" s="156"/>
      <c r="K139" s="156"/>
      <c r="L139" s="156" t="s">
        <v>191</v>
      </c>
      <c r="M139" s="331">
        <v>4</v>
      </c>
      <c r="N139" s="426"/>
      <c r="O139" s="151">
        <v>5</v>
      </c>
      <c r="P139" s="151" t="s">
        <v>199</v>
      </c>
      <c r="Q139" s="421"/>
    </row>
    <row r="140" spans="1:17" ht="11.25">
      <c r="A140" s="142" t="s">
        <v>8248</v>
      </c>
      <c r="B140" s="142" t="s">
        <v>8249</v>
      </c>
      <c r="C140" s="142" t="s">
        <v>8250</v>
      </c>
      <c r="D140" s="142"/>
      <c r="E140" s="142" t="s">
        <v>242</v>
      </c>
      <c r="F140" s="142"/>
      <c r="G140" s="141" t="s">
        <v>4206</v>
      </c>
      <c r="H140" s="145" t="s">
        <v>8251</v>
      </c>
      <c r="I140" s="155" t="s">
        <v>198</v>
      </c>
      <c r="J140" s="156"/>
      <c r="K140" s="156"/>
      <c r="L140" s="156" t="s">
        <v>191</v>
      </c>
      <c r="M140" s="331">
        <v>4</v>
      </c>
      <c r="N140" s="426"/>
      <c r="O140" s="151">
        <v>5</v>
      </c>
      <c r="P140" s="151" t="s">
        <v>199</v>
      </c>
      <c r="Q140" s="421"/>
    </row>
    <row r="141" spans="1:17" ht="11.25">
      <c r="A141" s="142" t="s">
        <v>8252</v>
      </c>
      <c r="B141" s="142" t="s">
        <v>8253</v>
      </c>
      <c r="C141" s="142" t="s">
        <v>8254</v>
      </c>
      <c r="D141" s="142"/>
      <c r="E141" s="142" t="s">
        <v>242</v>
      </c>
      <c r="F141" s="142"/>
      <c r="G141" s="141" t="s">
        <v>4206</v>
      </c>
      <c r="H141" s="145" t="s">
        <v>8255</v>
      </c>
      <c r="I141" s="155" t="s">
        <v>198</v>
      </c>
      <c r="J141" s="156"/>
      <c r="K141" s="156"/>
      <c r="L141" s="156" t="s">
        <v>191</v>
      </c>
      <c r="M141" s="331">
        <v>4</v>
      </c>
      <c r="N141" s="426"/>
      <c r="O141" s="151">
        <v>5</v>
      </c>
      <c r="P141" s="151" t="s">
        <v>199</v>
      </c>
      <c r="Q141" s="421"/>
    </row>
    <row r="142" spans="1:17" ht="11.25">
      <c r="A142" s="142" t="s">
        <v>8256</v>
      </c>
      <c r="B142" s="142" t="s">
        <v>8257</v>
      </c>
      <c r="C142" s="142" t="s">
        <v>8258</v>
      </c>
      <c r="D142" s="142"/>
      <c r="E142" s="142" t="s">
        <v>242</v>
      </c>
      <c r="F142" s="142"/>
      <c r="G142" s="141" t="s">
        <v>2092</v>
      </c>
      <c r="H142" s="145" t="s">
        <v>8259</v>
      </c>
      <c r="I142" s="155" t="s">
        <v>198</v>
      </c>
      <c r="J142" s="156"/>
      <c r="K142" s="156"/>
      <c r="L142" s="156" t="s">
        <v>191</v>
      </c>
      <c r="M142" s="331">
        <v>4</v>
      </c>
      <c r="N142" s="426"/>
      <c r="O142" s="151">
        <v>5</v>
      </c>
      <c r="P142" s="151" t="s">
        <v>199</v>
      </c>
      <c r="Q142" s="421"/>
    </row>
    <row r="143" spans="1:17" ht="11.25">
      <c r="A143" s="142" t="s">
        <v>8260</v>
      </c>
      <c r="B143" s="142" t="s">
        <v>8261</v>
      </c>
      <c r="C143" s="142" t="s">
        <v>8262</v>
      </c>
      <c r="D143" s="142"/>
      <c r="E143" s="142" t="s">
        <v>242</v>
      </c>
      <c r="F143" s="142"/>
      <c r="G143" s="141" t="s">
        <v>8263</v>
      </c>
      <c r="H143" s="145" t="s">
        <v>8264</v>
      </c>
      <c r="I143" s="155" t="s">
        <v>198</v>
      </c>
      <c r="J143" s="156"/>
      <c r="K143" s="156"/>
      <c r="L143" s="156" t="s">
        <v>191</v>
      </c>
      <c r="M143" s="331">
        <v>4</v>
      </c>
      <c r="N143" s="426"/>
      <c r="O143" s="151">
        <v>5</v>
      </c>
      <c r="P143" s="151" t="s">
        <v>199</v>
      </c>
      <c r="Q143" s="421"/>
    </row>
    <row r="144" spans="1:17" ht="11.25">
      <c r="A144" s="142" t="s">
        <v>8265</v>
      </c>
      <c r="B144" s="142" t="s">
        <v>8266</v>
      </c>
      <c r="C144" s="142"/>
      <c r="D144" s="142"/>
      <c r="E144" s="142" t="s">
        <v>242</v>
      </c>
      <c r="F144" s="142"/>
      <c r="G144" s="141" t="s">
        <v>8267</v>
      </c>
      <c r="H144" s="145" t="s">
        <v>8268</v>
      </c>
      <c r="I144" s="155" t="s">
        <v>198</v>
      </c>
      <c r="J144" s="156"/>
      <c r="K144" s="156"/>
      <c r="L144" s="156" t="s">
        <v>191</v>
      </c>
      <c r="M144" s="331">
        <v>4</v>
      </c>
      <c r="N144" s="426"/>
      <c r="O144" s="151">
        <v>5</v>
      </c>
      <c r="P144" s="151" t="s">
        <v>199</v>
      </c>
      <c r="Q144" s="421"/>
    </row>
    <row r="145" spans="1:17" ht="11.25">
      <c r="A145" s="142" t="s">
        <v>8269</v>
      </c>
      <c r="B145" s="142" t="s">
        <v>8270</v>
      </c>
      <c r="C145" s="142" t="s">
        <v>8271</v>
      </c>
      <c r="D145" s="142"/>
      <c r="E145" s="142" t="s">
        <v>242</v>
      </c>
      <c r="F145" s="142"/>
      <c r="G145" s="141" t="s">
        <v>8263</v>
      </c>
      <c r="H145" s="145" t="s">
        <v>8272</v>
      </c>
      <c r="I145" s="155" t="s">
        <v>198</v>
      </c>
      <c r="J145" s="156"/>
      <c r="K145" s="156"/>
      <c r="L145" s="156" t="s">
        <v>191</v>
      </c>
      <c r="M145" s="331">
        <v>4</v>
      </c>
      <c r="N145" s="426"/>
      <c r="O145" s="151">
        <v>5</v>
      </c>
      <c r="P145" s="151" t="s">
        <v>199</v>
      </c>
      <c r="Q145" s="421"/>
    </row>
    <row r="146" spans="1:17" ht="11.25">
      <c r="A146" s="142" t="s">
        <v>8273</v>
      </c>
      <c r="B146" s="142" t="s">
        <v>8274</v>
      </c>
      <c r="C146" s="142"/>
      <c r="D146" s="142"/>
      <c r="E146" s="142" t="s">
        <v>242</v>
      </c>
      <c r="F146" s="142"/>
      <c r="G146" s="141" t="s">
        <v>2194</v>
      </c>
      <c r="H146" s="145" t="s">
        <v>8275</v>
      </c>
      <c r="I146" s="155" t="s">
        <v>198</v>
      </c>
      <c r="J146" s="156"/>
      <c r="K146" s="156"/>
      <c r="L146" s="156" t="s">
        <v>191</v>
      </c>
      <c r="M146" s="331">
        <v>4</v>
      </c>
      <c r="N146" s="426"/>
      <c r="O146" s="151">
        <v>5</v>
      </c>
      <c r="P146" s="151" t="s">
        <v>199</v>
      </c>
      <c r="Q146" s="421"/>
    </row>
    <row r="147" spans="1:17" ht="11.25">
      <c r="A147" s="142" t="s">
        <v>8276</v>
      </c>
      <c r="B147" s="142" t="s">
        <v>8277</v>
      </c>
      <c r="C147" s="142" t="s">
        <v>8278</v>
      </c>
      <c r="D147" s="142"/>
      <c r="E147" s="142" t="s">
        <v>242</v>
      </c>
      <c r="F147" s="142"/>
      <c r="G147" s="141" t="s">
        <v>8263</v>
      </c>
      <c r="H147" s="145" t="s">
        <v>8279</v>
      </c>
      <c r="I147" s="155" t="s">
        <v>198</v>
      </c>
      <c r="J147" s="156"/>
      <c r="K147" s="156"/>
      <c r="L147" s="156" t="s">
        <v>191</v>
      </c>
      <c r="M147" s="331">
        <v>4</v>
      </c>
      <c r="N147" s="426"/>
      <c r="O147" s="151">
        <v>5</v>
      </c>
      <c r="P147" s="151" t="s">
        <v>199</v>
      </c>
      <c r="Q147" s="421"/>
    </row>
    <row r="148" spans="1:17" ht="11.25">
      <c r="A148" s="142" t="s">
        <v>8280</v>
      </c>
      <c r="B148" s="142" t="s">
        <v>8281</v>
      </c>
      <c r="C148" s="142"/>
      <c r="D148" s="142"/>
      <c r="E148" s="142" t="s">
        <v>242</v>
      </c>
      <c r="F148" s="142"/>
      <c r="G148" s="141" t="s">
        <v>2194</v>
      </c>
      <c r="H148" s="145" t="s">
        <v>8282</v>
      </c>
      <c r="I148" s="155" t="s">
        <v>198</v>
      </c>
      <c r="J148" s="156"/>
      <c r="K148" s="156"/>
      <c r="L148" s="156" t="s">
        <v>191</v>
      </c>
      <c r="M148" s="331">
        <v>4</v>
      </c>
      <c r="N148" s="426"/>
      <c r="O148" s="151">
        <v>5</v>
      </c>
      <c r="P148" s="151" t="s">
        <v>199</v>
      </c>
      <c r="Q148" s="421"/>
    </row>
    <row r="149" spans="1:17" ht="11.25">
      <c r="A149" s="142" t="s">
        <v>8283</v>
      </c>
      <c r="B149" s="142" t="s">
        <v>8284</v>
      </c>
      <c r="C149" s="142" t="s">
        <v>8285</v>
      </c>
      <c r="D149" s="142"/>
      <c r="E149" s="142" t="s">
        <v>242</v>
      </c>
      <c r="F149" s="142"/>
      <c r="G149" s="141" t="s">
        <v>4206</v>
      </c>
      <c r="H149" s="145" t="s">
        <v>8286</v>
      </c>
      <c r="I149" s="155" t="s">
        <v>198</v>
      </c>
      <c r="J149" s="156"/>
      <c r="K149" s="156"/>
      <c r="L149" s="156" t="s">
        <v>191</v>
      </c>
      <c r="M149" s="331">
        <v>4</v>
      </c>
      <c r="N149" s="426"/>
      <c r="O149" s="151">
        <v>5</v>
      </c>
      <c r="P149" s="151" t="s">
        <v>199</v>
      </c>
      <c r="Q149" s="421"/>
    </row>
    <row r="150" spans="1:17" ht="22.5">
      <c r="A150" s="142" t="s">
        <v>8287</v>
      </c>
      <c r="B150" s="142" t="s">
        <v>8288</v>
      </c>
      <c r="C150" s="142" t="s">
        <v>8289</v>
      </c>
      <c r="D150" s="142" t="s">
        <v>4420</v>
      </c>
      <c r="E150" s="142" t="s">
        <v>242</v>
      </c>
      <c r="F150" s="142"/>
      <c r="G150" s="141" t="s">
        <v>2181</v>
      </c>
      <c r="H150" s="145" t="s">
        <v>8290</v>
      </c>
      <c r="I150" s="155" t="s">
        <v>198</v>
      </c>
      <c r="J150" s="156"/>
      <c r="K150" s="156"/>
      <c r="L150" s="156" t="s">
        <v>191</v>
      </c>
      <c r="M150" s="331">
        <v>4</v>
      </c>
      <c r="N150" s="426"/>
      <c r="O150" s="151">
        <v>5</v>
      </c>
      <c r="P150" s="151" t="s">
        <v>199</v>
      </c>
      <c r="Q150" s="421"/>
    </row>
    <row r="151" spans="1:17" ht="22.5">
      <c r="A151" s="142" t="s">
        <v>8291</v>
      </c>
      <c r="B151" s="142" t="s">
        <v>8292</v>
      </c>
      <c r="C151" s="191"/>
      <c r="D151" s="145"/>
      <c r="E151" s="142" t="s">
        <v>242</v>
      </c>
      <c r="F151" s="142"/>
      <c r="G151" s="171" t="s">
        <v>3034</v>
      </c>
      <c r="H151" s="145" t="s">
        <v>8293</v>
      </c>
      <c r="I151" s="155" t="s">
        <v>198</v>
      </c>
      <c r="J151" s="155"/>
      <c r="K151" s="155"/>
      <c r="L151" s="156" t="s">
        <v>191</v>
      </c>
      <c r="M151" s="331">
        <v>4</v>
      </c>
      <c r="N151" s="426"/>
      <c r="O151" s="151">
        <v>5</v>
      </c>
      <c r="P151" s="151" t="s">
        <v>199</v>
      </c>
      <c r="Q151" s="421"/>
    </row>
    <row r="152" spans="1:17" ht="22.5">
      <c r="A152" s="156" t="s">
        <v>8294</v>
      </c>
      <c r="B152" s="156" t="s">
        <v>8295</v>
      </c>
      <c r="C152" s="191"/>
      <c r="D152" s="145"/>
      <c r="E152" s="142" t="s">
        <v>242</v>
      </c>
      <c r="F152" s="142"/>
      <c r="G152" s="171" t="s">
        <v>8267</v>
      </c>
      <c r="H152" s="145" t="s">
        <v>8296</v>
      </c>
      <c r="I152" s="164" t="s">
        <v>188</v>
      </c>
      <c r="J152" s="431" t="s">
        <v>1453</v>
      </c>
      <c r="K152" s="164"/>
      <c r="L152" s="156" t="s">
        <v>191</v>
      </c>
      <c r="M152" s="331">
        <v>4</v>
      </c>
      <c r="N152" s="426"/>
      <c r="O152" s="151">
        <v>5</v>
      </c>
      <c r="P152" s="151" t="s">
        <v>199</v>
      </c>
      <c r="Q152" s="421"/>
    </row>
    <row r="153" spans="1:17" ht="22.5">
      <c r="A153" s="156" t="s">
        <v>8297</v>
      </c>
      <c r="B153" s="156" t="s">
        <v>8298</v>
      </c>
      <c r="C153" s="191"/>
      <c r="D153" s="145"/>
      <c r="E153" s="142" t="s">
        <v>242</v>
      </c>
      <c r="F153" s="142"/>
      <c r="G153" s="171" t="s">
        <v>8114</v>
      </c>
      <c r="H153" s="145" t="s">
        <v>8299</v>
      </c>
      <c r="I153" s="155" t="s">
        <v>198</v>
      </c>
      <c r="J153" s="155"/>
      <c r="K153" s="155"/>
      <c r="L153" s="156" t="s">
        <v>191</v>
      </c>
      <c r="M153" s="331">
        <v>4</v>
      </c>
      <c r="N153" s="426"/>
      <c r="O153" s="151">
        <v>5</v>
      </c>
      <c r="P153" s="151" t="s">
        <v>199</v>
      </c>
      <c r="Q153" s="421"/>
    </row>
    <row r="154" spans="1:17" ht="22.5">
      <c r="A154" s="156" t="s">
        <v>8300</v>
      </c>
      <c r="B154" s="156" t="s">
        <v>8301</v>
      </c>
      <c r="C154" s="191"/>
      <c r="D154" s="145"/>
      <c r="E154" s="142" t="s">
        <v>242</v>
      </c>
      <c r="F154" s="142"/>
      <c r="G154" s="171" t="s">
        <v>7919</v>
      </c>
      <c r="H154" s="145" t="s">
        <v>8302</v>
      </c>
      <c r="I154" s="155" t="s">
        <v>198</v>
      </c>
      <c r="J154" s="164"/>
      <c r="K154" s="164"/>
      <c r="L154" s="156" t="s">
        <v>191</v>
      </c>
      <c r="M154" s="331">
        <v>4</v>
      </c>
      <c r="N154" s="426"/>
      <c r="O154" s="151">
        <v>5</v>
      </c>
      <c r="P154" s="151" t="s">
        <v>199</v>
      </c>
      <c r="Q154" s="421"/>
    </row>
    <row r="155" spans="1:17" ht="22.5">
      <c r="A155" s="156" t="s">
        <v>8303</v>
      </c>
      <c r="B155" s="156" t="s">
        <v>8304</v>
      </c>
      <c r="C155" s="191"/>
      <c r="D155" s="145"/>
      <c r="E155" s="142" t="s">
        <v>242</v>
      </c>
      <c r="F155" s="142"/>
      <c r="G155" s="171" t="s">
        <v>8114</v>
      </c>
      <c r="H155" s="145" t="s">
        <v>8305</v>
      </c>
      <c r="I155" s="155" t="s">
        <v>188</v>
      </c>
      <c r="J155" s="155" t="s">
        <v>1453</v>
      </c>
      <c r="K155" s="155"/>
      <c r="L155" s="156" t="s">
        <v>191</v>
      </c>
      <c r="M155" s="331">
        <v>4</v>
      </c>
      <c r="N155" s="426"/>
      <c r="O155" s="151">
        <v>5</v>
      </c>
      <c r="P155" s="151" t="s">
        <v>199</v>
      </c>
      <c r="Q155" s="421"/>
    </row>
    <row r="156" spans="1:17" ht="22.5">
      <c r="A156" s="156" t="s">
        <v>8306</v>
      </c>
      <c r="B156" s="156" t="s">
        <v>8307</v>
      </c>
      <c r="C156" s="191"/>
      <c r="D156" s="145"/>
      <c r="E156" s="142" t="s">
        <v>242</v>
      </c>
      <c r="F156" s="142"/>
      <c r="G156" s="171" t="s">
        <v>7919</v>
      </c>
      <c r="H156" s="145" t="s">
        <v>8308</v>
      </c>
      <c r="I156" s="164" t="s">
        <v>188</v>
      </c>
      <c r="J156" s="175" t="s">
        <v>1453</v>
      </c>
      <c r="K156" s="164"/>
      <c r="L156" s="156" t="s">
        <v>191</v>
      </c>
      <c r="M156" s="331">
        <v>4</v>
      </c>
      <c r="N156" s="426"/>
      <c r="O156" s="151">
        <v>5</v>
      </c>
      <c r="P156" s="151" t="s">
        <v>199</v>
      </c>
      <c r="Q156" s="421"/>
    </row>
    <row r="157" spans="1:17" ht="11.25">
      <c r="A157" s="156" t="s">
        <v>8309</v>
      </c>
      <c r="B157" s="156" t="s">
        <v>8310</v>
      </c>
      <c r="C157" s="191"/>
      <c r="D157" s="145"/>
      <c r="E157" s="142" t="s">
        <v>242</v>
      </c>
      <c r="F157" s="142"/>
      <c r="G157" s="171" t="s">
        <v>8114</v>
      </c>
      <c r="H157" s="145" t="s">
        <v>8311</v>
      </c>
      <c r="I157" s="155" t="s">
        <v>204</v>
      </c>
      <c r="J157" s="155"/>
      <c r="K157" s="155"/>
      <c r="L157" s="156" t="s">
        <v>191</v>
      </c>
      <c r="M157" s="331">
        <v>4</v>
      </c>
      <c r="N157" s="426"/>
      <c r="O157" s="151">
        <v>5</v>
      </c>
      <c r="P157" s="151" t="s">
        <v>199</v>
      </c>
      <c r="Q157" s="421"/>
    </row>
    <row r="158" spans="1:17" ht="22.5">
      <c r="A158" s="142" t="s">
        <v>8312</v>
      </c>
      <c r="B158" s="156" t="s">
        <v>8313</v>
      </c>
      <c r="C158" s="191"/>
      <c r="D158" s="145"/>
      <c r="E158" s="142" t="s">
        <v>242</v>
      </c>
      <c r="F158" s="142"/>
      <c r="G158" s="171" t="s">
        <v>8114</v>
      </c>
      <c r="H158" s="432" t="s">
        <v>8314</v>
      </c>
      <c r="I158" s="430" t="s">
        <v>188</v>
      </c>
      <c r="J158" s="155" t="s">
        <v>1453</v>
      </c>
      <c r="K158" s="155"/>
      <c r="L158" s="156" t="s">
        <v>191</v>
      </c>
      <c r="M158" s="331">
        <v>4</v>
      </c>
      <c r="N158" s="426"/>
      <c r="O158" s="151">
        <v>5</v>
      </c>
      <c r="P158" s="151" t="s">
        <v>199</v>
      </c>
      <c r="Q158" s="421"/>
    </row>
    <row r="159" spans="1:17" ht="22.5">
      <c r="A159" s="142" t="s">
        <v>8315</v>
      </c>
      <c r="B159" s="156" t="s">
        <v>8316</v>
      </c>
      <c r="C159" s="191"/>
      <c r="D159" s="145"/>
      <c r="E159" s="142" t="s">
        <v>242</v>
      </c>
      <c r="F159" s="142"/>
      <c r="G159" s="171" t="s">
        <v>8317</v>
      </c>
      <c r="H159" s="432" t="s">
        <v>8318</v>
      </c>
      <c r="I159" s="430" t="s">
        <v>188</v>
      </c>
      <c r="J159" s="155" t="s">
        <v>1453</v>
      </c>
      <c r="K159" s="155"/>
      <c r="L159" s="156" t="s">
        <v>191</v>
      </c>
      <c r="M159" s="331">
        <v>4</v>
      </c>
      <c r="N159" s="426"/>
      <c r="O159" s="151">
        <v>5</v>
      </c>
      <c r="P159" s="151" t="s">
        <v>199</v>
      </c>
      <c r="Q159" s="421"/>
    </row>
    <row r="160" spans="1:17" ht="22.5">
      <c r="A160" s="156" t="s">
        <v>8319</v>
      </c>
      <c r="B160" s="156" t="s">
        <v>8320</v>
      </c>
      <c r="C160" s="191"/>
      <c r="D160" s="145"/>
      <c r="E160" s="142" t="s">
        <v>242</v>
      </c>
      <c r="F160" s="142"/>
      <c r="G160" s="171" t="s">
        <v>8317</v>
      </c>
      <c r="H160" s="432" t="s">
        <v>8321</v>
      </c>
      <c r="I160" s="430" t="s">
        <v>188</v>
      </c>
      <c r="J160" s="155" t="s">
        <v>1453</v>
      </c>
      <c r="K160" s="155"/>
      <c r="L160" s="156" t="s">
        <v>191</v>
      </c>
      <c r="M160" s="331">
        <v>4</v>
      </c>
      <c r="N160" s="426"/>
      <c r="O160" s="151">
        <v>5</v>
      </c>
      <c r="P160" s="151" t="s">
        <v>199</v>
      </c>
      <c r="Q160" s="421"/>
    </row>
    <row r="161" spans="1:17" ht="22.5">
      <c r="A161" s="156" t="s">
        <v>8322</v>
      </c>
      <c r="B161" s="156" t="s">
        <v>8323</v>
      </c>
      <c r="C161" s="191"/>
      <c r="D161" s="145"/>
      <c r="E161" s="142" t="s">
        <v>242</v>
      </c>
      <c r="F161" s="142"/>
      <c r="G161" s="171" t="s">
        <v>8317</v>
      </c>
      <c r="H161" s="432" t="s">
        <v>8324</v>
      </c>
      <c r="I161" s="430" t="s">
        <v>188</v>
      </c>
      <c r="J161" s="155" t="s">
        <v>1453</v>
      </c>
      <c r="K161" s="155"/>
      <c r="L161" s="156" t="s">
        <v>191</v>
      </c>
      <c r="M161" s="331">
        <v>4</v>
      </c>
      <c r="N161" s="426"/>
      <c r="O161" s="151">
        <v>5</v>
      </c>
      <c r="P161" s="151" t="s">
        <v>199</v>
      </c>
      <c r="Q161" s="421"/>
    </row>
    <row r="162" spans="1:17" ht="22.5">
      <c r="A162" s="156" t="s">
        <v>8325</v>
      </c>
      <c r="B162" s="156" t="s">
        <v>8326</v>
      </c>
      <c r="C162" s="191"/>
      <c r="D162" s="145"/>
      <c r="E162" s="142" t="s">
        <v>242</v>
      </c>
      <c r="F162" s="142"/>
      <c r="G162" s="171" t="s">
        <v>8317</v>
      </c>
      <c r="H162" s="432" t="s">
        <v>8327</v>
      </c>
      <c r="I162" s="430" t="s">
        <v>188</v>
      </c>
      <c r="J162" s="155" t="s">
        <v>1453</v>
      </c>
      <c r="K162" s="155"/>
      <c r="L162" s="156" t="s">
        <v>191</v>
      </c>
      <c r="M162" s="331">
        <v>4</v>
      </c>
      <c r="N162" s="426"/>
      <c r="O162" s="151">
        <v>5</v>
      </c>
      <c r="P162" s="151" t="s">
        <v>199</v>
      </c>
      <c r="Q162" s="421"/>
    </row>
    <row r="163" spans="1:17" ht="22.5">
      <c r="A163" s="156" t="s">
        <v>8328</v>
      </c>
      <c r="B163" s="156" t="s">
        <v>8329</v>
      </c>
      <c r="C163" s="191"/>
      <c r="D163" s="145"/>
      <c r="E163" s="142" t="s">
        <v>242</v>
      </c>
      <c r="F163" s="142"/>
      <c r="G163" s="171" t="s">
        <v>8317</v>
      </c>
      <c r="H163" s="432" t="s">
        <v>8330</v>
      </c>
      <c r="I163" s="430" t="s">
        <v>188</v>
      </c>
      <c r="J163" s="155" t="s">
        <v>1453</v>
      </c>
      <c r="K163" s="155"/>
      <c r="L163" s="156" t="s">
        <v>191</v>
      </c>
      <c r="M163" s="331">
        <v>4</v>
      </c>
      <c r="N163" s="426"/>
      <c r="O163" s="151">
        <v>5</v>
      </c>
      <c r="P163" s="151" t="s">
        <v>199</v>
      </c>
      <c r="Q163" s="421"/>
    </row>
    <row r="164" spans="1:17" ht="22.5">
      <c r="A164" s="156" t="s">
        <v>8331</v>
      </c>
      <c r="B164" s="156" t="s">
        <v>8332</v>
      </c>
      <c r="C164" s="191"/>
      <c r="D164" s="145"/>
      <c r="E164" s="142" t="s">
        <v>242</v>
      </c>
      <c r="F164" s="142"/>
      <c r="G164" s="171" t="s">
        <v>8317</v>
      </c>
      <c r="H164" s="432" t="s">
        <v>8333</v>
      </c>
      <c r="I164" s="430" t="s">
        <v>188</v>
      </c>
      <c r="J164" s="155" t="s">
        <v>1453</v>
      </c>
      <c r="K164" s="155"/>
      <c r="L164" s="156" t="s">
        <v>191</v>
      </c>
      <c r="M164" s="331">
        <v>4</v>
      </c>
      <c r="N164" s="426"/>
      <c r="O164" s="151">
        <v>5</v>
      </c>
      <c r="P164" s="151" t="s">
        <v>199</v>
      </c>
      <c r="Q164" s="421"/>
    </row>
    <row r="165" spans="1:17" ht="22.5">
      <c r="A165" s="156" t="s">
        <v>8334</v>
      </c>
      <c r="B165" s="156" t="s">
        <v>8335</v>
      </c>
      <c r="C165" s="191"/>
      <c r="D165" s="145"/>
      <c r="E165" s="142" t="s">
        <v>242</v>
      </c>
      <c r="F165" s="142"/>
      <c r="G165" s="171" t="s">
        <v>8317</v>
      </c>
      <c r="H165" s="432" t="s">
        <v>8336</v>
      </c>
      <c r="I165" s="430" t="s">
        <v>188</v>
      </c>
      <c r="J165" s="155" t="s">
        <v>1453</v>
      </c>
      <c r="K165" s="155"/>
      <c r="L165" s="156" t="s">
        <v>191</v>
      </c>
      <c r="M165" s="331">
        <v>4</v>
      </c>
      <c r="N165" s="426"/>
      <c r="O165" s="151">
        <v>5</v>
      </c>
      <c r="P165" s="151" t="s">
        <v>199</v>
      </c>
      <c r="Q165" s="421"/>
    </row>
    <row r="166" spans="1:17" ht="22.5">
      <c r="A166" s="156" t="s">
        <v>8337</v>
      </c>
      <c r="B166" s="156" t="s">
        <v>8338</v>
      </c>
      <c r="C166" s="191"/>
      <c r="D166" s="145"/>
      <c r="E166" s="142" t="s">
        <v>242</v>
      </c>
      <c r="F166" s="142"/>
      <c r="G166" s="171" t="s">
        <v>8317</v>
      </c>
      <c r="H166" s="432" t="s">
        <v>8339</v>
      </c>
      <c r="I166" s="430" t="s">
        <v>188</v>
      </c>
      <c r="J166" s="155" t="s">
        <v>1453</v>
      </c>
      <c r="K166" s="155"/>
      <c r="L166" s="156" t="s">
        <v>191</v>
      </c>
      <c r="M166" s="331">
        <v>4</v>
      </c>
      <c r="N166" s="426"/>
      <c r="O166" s="151">
        <v>5</v>
      </c>
      <c r="P166" s="151" t="s">
        <v>199</v>
      </c>
      <c r="Q166" s="421"/>
    </row>
    <row r="167" spans="1:17" ht="22.5">
      <c r="A167" s="156" t="s">
        <v>8340</v>
      </c>
      <c r="B167" s="156" t="s">
        <v>8341</v>
      </c>
      <c r="C167" s="191"/>
      <c r="D167" s="145"/>
      <c r="E167" s="142" t="s">
        <v>242</v>
      </c>
      <c r="F167" s="142"/>
      <c r="G167" s="171" t="s">
        <v>8317</v>
      </c>
      <c r="H167" s="432" t="s">
        <v>8342</v>
      </c>
      <c r="I167" s="430" t="s">
        <v>188</v>
      </c>
      <c r="J167" s="155" t="s">
        <v>1453</v>
      </c>
      <c r="K167" s="155"/>
      <c r="L167" s="156" t="s">
        <v>191</v>
      </c>
      <c r="M167" s="331">
        <v>4</v>
      </c>
      <c r="N167" s="426"/>
      <c r="O167" s="151">
        <v>5</v>
      </c>
      <c r="P167" s="151" t="s">
        <v>199</v>
      </c>
      <c r="Q167" s="421"/>
    </row>
    <row r="168" spans="1:17" ht="22.5">
      <c r="A168" s="433" t="s">
        <v>8343</v>
      </c>
      <c r="B168" s="433" t="s">
        <v>8344</v>
      </c>
      <c r="C168" s="191"/>
      <c r="D168" s="145"/>
      <c r="E168" s="142" t="s">
        <v>242</v>
      </c>
      <c r="F168" s="142"/>
      <c r="G168" s="171" t="s">
        <v>8317</v>
      </c>
      <c r="H168" s="432" t="s">
        <v>8345</v>
      </c>
      <c r="I168" s="430" t="s">
        <v>188</v>
      </c>
      <c r="J168" s="155" t="s">
        <v>1453</v>
      </c>
      <c r="K168" s="155"/>
      <c r="L168" s="156" t="s">
        <v>191</v>
      </c>
      <c r="M168" s="331">
        <v>4</v>
      </c>
      <c r="N168" s="426"/>
      <c r="O168" s="151">
        <v>5</v>
      </c>
      <c r="P168" s="151" t="s">
        <v>199</v>
      </c>
      <c r="Q168" s="421"/>
    </row>
    <row r="169" spans="1:17" ht="11.25">
      <c r="A169" s="142" t="s">
        <v>8346</v>
      </c>
      <c r="B169" s="142" t="s">
        <v>8347</v>
      </c>
      <c r="C169" s="142"/>
      <c r="D169" s="145"/>
      <c r="E169" s="142" t="s">
        <v>242</v>
      </c>
      <c r="F169" s="142"/>
      <c r="G169" s="171" t="s">
        <v>8348</v>
      </c>
      <c r="H169" s="142" t="s">
        <v>8349</v>
      </c>
      <c r="I169" s="427"/>
      <c r="J169" s="155"/>
      <c r="K169" s="155"/>
      <c r="L169" s="156" t="s">
        <v>191</v>
      </c>
      <c r="M169" s="331">
        <v>4</v>
      </c>
      <c r="N169" s="426"/>
      <c r="O169" s="151">
        <v>5</v>
      </c>
      <c r="P169" s="151" t="s">
        <v>199</v>
      </c>
      <c r="Q169" s="421"/>
    </row>
    <row r="170" spans="1:17" ht="11.25">
      <c r="A170" s="142" t="s">
        <v>8350</v>
      </c>
      <c r="B170" s="142" t="s">
        <v>8351</v>
      </c>
      <c r="C170" s="142"/>
      <c r="D170" s="145"/>
      <c r="E170" s="142" t="s">
        <v>242</v>
      </c>
      <c r="F170" s="142"/>
      <c r="G170" s="171" t="s">
        <v>8348</v>
      </c>
      <c r="H170" s="142" t="s">
        <v>8352</v>
      </c>
      <c r="I170" s="427"/>
      <c r="J170" s="155"/>
      <c r="K170" s="155"/>
      <c r="L170" s="156" t="s">
        <v>191</v>
      </c>
      <c r="M170" s="331">
        <v>4</v>
      </c>
      <c r="N170" s="426"/>
      <c r="O170" s="151">
        <v>5</v>
      </c>
      <c r="P170" s="151" t="s">
        <v>199</v>
      </c>
      <c r="Q170" s="421"/>
    </row>
    <row r="171" spans="1:17" ht="11.25">
      <c r="A171" s="142" t="s">
        <v>8353</v>
      </c>
      <c r="B171" s="196" t="s">
        <v>8354</v>
      </c>
      <c r="C171" s="142"/>
      <c r="D171" s="145"/>
      <c r="E171" s="142" t="s">
        <v>242</v>
      </c>
      <c r="F171" s="142"/>
      <c r="G171" s="171" t="s">
        <v>1962</v>
      </c>
      <c r="H171" s="142" t="s">
        <v>8355</v>
      </c>
      <c r="I171" s="427"/>
      <c r="J171" s="155"/>
      <c r="K171" s="155"/>
      <c r="L171" s="156" t="s">
        <v>191</v>
      </c>
      <c r="M171" s="331">
        <v>4</v>
      </c>
      <c r="N171" s="426"/>
      <c r="O171" s="151">
        <v>5</v>
      </c>
      <c r="P171" s="151" t="s">
        <v>199</v>
      </c>
      <c r="Q171" s="421"/>
    </row>
    <row r="172" spans="1:17" ht="11.25">
      <c r="A172" s="142" t="s">
        <v>8356</v>
      </c>
      <c r="B172" s="142" t="s">
        <v>8357</v>
      </c>
      <c r="C172" s="142"/>
      <c r="D172" s="145"/>
      <c r="E172" s="142" t="s">
        <v>242</v>
      </c>
      <c r="F172" s="142"/>
      <c r="G172" s="171" t="s">
        <v>8348</v>
      </c>
      <c r="H172" s="142" t="s">
        <v>8358</v>
      </c>
      <c r="I172" s="156" t="s">
        <v>198</v>
      </c>
      <c r="J172" s="155"/>
      <c r="K172" s="155"/>
      <c r="L172" s="156" t="s">
        <v>191</v>
      </c>
      <c r="M172" s="331">
        <v>4</v>
      </c>
      <c r="N172" s="426"/>
      <c r="O172" s="151">
        <v>5</v>
      </c>
      <c r="P172" s="151" t="s">
        <v>199</v>
      </c>
      <c r="Q172" s="421"/>
    </row>
    <row r="173" spans="1:17" ht="11.25">
      <c r="A173" s="142" t="s">
        <v>8359</v>
      </c>
      <c r="B173" s="142" t="s">
        <v>8360</v>
      </c>
      <c r="C173" s="142"/>
      <c r="D173" s="145"/>
      <c r="E173" s="142" t="s">
        <v>242</v>
      </c>
      <c r="F173" s="142"/>
      <c r="G173" s="171" t="s">
        <v>2254</v>
      </c>
      <c r="H173" s="142" t="s">
        <v>8361</v>
      </c>
      <c r="I173" s="156" t="s">
        <v>198</v>
      </c>
      <c r="J173" s="155"/>
      <c r="K173" s="155"/>
      <c r="L173" s="156" t="s">
        <v>191</v>
      </c>
      <c r="M173" s="331">
        <v>4</v>
      </c>
      <c r="N173" s="426"/>
      <c r="O173" s="151">
        <v>5</v>
      </c>
      <c r="P173" s="151" t="s">
        <v>199</v>
      </c>
      <c r="Q173" s="421"/>
    </row>
    <row r="174" spans="1:17" ht="22.5">
      <c r="A174" s="142" t="s">
        <v>8362</v>
      </c>
      <c r="B174" s="142" t="s">
        <v>8363</v>
      </c>
      <c r="C174" s="142"/>
      <c r="D174" s="145"/>
      <c r="E174" s="142" t="s">
        <v>242</v>
      </c>
      <c r="F174" s="142"/>
      <c r="G174" s="171" t="s">
        <v>1946</v>
      </c>
      <c r="H174" s="142" t="s">
        <v>8364</v>
      </c>
      <c r="I174" s="156" t="s">
        <v>188</v>
      </c>
      <c r="J174" s="155" t="s">
        <v>8365</v>
      </c>
      <c r="K174" s="155"/>
      <c r="L174" s="156" t="s">
        <v>191</v>
      </c>
      <c r="M174" s="331">
        <v>4</v>
      </c>
      <c r="N174" s="426"/>
      <c r="O174" s="151">
        <v>5</v>
      </c>
      <c r="P174" s="151" t="s">
        <v>199</v>
      </c>
      <c r="Q174" s="421"/>
    </row>
    <row r="175" spans="1:17" ht="11.25">
      <c r="A175" s="142" t="s">
        <v>8366</v>
      </c>
      <c r="B175" s="142" t="s">
        <v>8367</v>
      </c>
      <c r="C175" s="142"/>
      <c r="D175" s="145"/>
      <c r="E175" s="142" t="s">
        <v>242</v>
      </c>
      <c r="F175" s="142"/>
      <c r="G175" s="171" t="s">
        <v>1946</v>
      </c>
      <c r="H175" s="142" t="s">
        <v>8368</v>
      </c>
      <c r="I175" s="156" t="s">
        <v>198</v>
      </c>
      <c r="J175" s="155">
        <v>9999.99</v>
      </c>
      <c r="K175" s="155"/>
      <c r="L175" s="156" t="s">
        <v>191</v>
      </c>
      <c r="M175" s="331">
        <v>4</v>
      </c>
      <c r="N175" s="426"/>
      <c r="O175" s="151">
        <v>5</v>
      </c>
      <c r="P175" s="151" t="s">
        <v>199</v>
      </c>
      <c r="Q175" s="421"/>
    </row>
    <row r="176" spans="1:17" ht="11.25">
      <c r="A176" s="142" t="s">
        <v>8369</v>
      </c>
      <c r="B176" s="142" t="s">
        <v>8370</v>
      </c>
      <c r="C176" s="142"/>
      <c r="D176" s="145"/>
      <c r="E176" s="142" t="s">
        <v>242</v>
      </c>
      <c r="F176" s="142"/>
      <c r="G176" s="171" t="s">
        <v>1946</v>
      </c>
      <c r="H176" s="142" t="s">
        <v>8371</v>
      </c>
      <c r="I176" s="156" t="s">
        <v>198</v>
      </c>
      <c r="J176" s="155">
        <v>99.99</v>
      </c>
      <c r="K176" s="155"/>
      <c r="L176" s="156" t="s">
        <v>191</v>
      </c>
      <c r="M176" s="331">
        <v>4</v>
      </c>
      <c r="N176" s="426"/>
      <c r="O176" s="151">
        <v>5</v>
      </c>
      <c r="P176" s="151" t="s">
        <v>199</v>
      </c>
      <c r="Q176" s="421"/>
    </row>
    <row r="177" spans="1:17" ht="22.5">
      <c r="A177" s="142" t="s">
        <v>8372</v>
      </c>
      <c r="B177" s="142" t="s">
        <v>8373</v>
      </c>
      <c r="C177" s="142"/>
      <c r="D177" s="145"/>
      <c r="E177" s="142" t="s">
        <v>242</v>
      </c>
      <c r="F177" s="142"/>
      <c r="G177" s="171" t="s">
        <v>1946</v>
      </c>
      <c r="H177" s="142" t="s">
        <v>8374</v>
      </c>
      <c r="I177" s="156" t="s">
        <v>188</v>
      </c>
      <c r="J177" s="155" t="s">
        <v>8365</v>
      </c>
      <c r="K177" s="155"/>
      <c r="L177" s="156" t="s">
        <v>191</v>
      </c>
      <c r="M177" s="331">
        <v>4</v>
      </c>
      <c r="N177" s="426"/>
      <c r="O177" s="151">
        <v>5</v>
      </c>
      <c r="P177" s="151" t="s">
        <v>199</v>
      </c>
      <c r="Q177" s="421"/>
    </row>
    <row r="178" spans="1:17" ht="11.25">
      <c r="A178" s="142" t="s">
        <v>8375</v>
      </c>
      <c r="B178" s="142" t="s">
        <v>8376</v>
      </c>
      <c r="C178" s="142"/>
      <c r="D178" s="145"/>
      <c r="E178" s="142" t="s">
        <v>242</v>
      </c>
      <c r="F178" s="142"/>
      <c r="G178" s="171" t="s">
        <v>1946</v>
      </c>
      <c r="H178" s="142" t="s">
        <v>8377</v>
      </c>
      <c r="I178" s="156" t="s">
        <v>198</v>
      </c>
      <c r="J178" s="155">
        <v>9999.99</v>
      </c>
      <c r="K178" s="155"/>
      <c r="L178" s="156" t="s">
        <v>191</v>
      </c>
      <c r="M178" s="331">
        <v>4</v>
      </c>
      <c r="N178" s="426"/>
      <c r="O178" s="151">
        <v>5</v>
      </c>
      <c r="P178" s="151" t="s">
        <v>199</v>
      </c>
      <c r="Q178" s="421"/>
    </row>
    <row r="179" spans="1:17" ht="11.25">
      <c r="A179" s="142" t="s">
        <v>8378</v>
      </c>
      <c r="B179" s="142" t="s">
        <v>8379</v>
      </c>
      <c r="C179" s="142"/>
      <c r="D179" s="145"/>
      <c r="E179" s="142" t="s">
        <v>242</v>
      </c>
      <c r="F179" s="142"/>
      <c r="G179" s="171" t="s">
        <v>1946</v>
      </c>
      <c r="H179" s="142" t="s">
        <v>8380</v>
      </c>
      <c r="I179" s="156" t="s">
        <v>198</v>
      </c>
      <c r="J179" s="155">
        <v>99.99</v>
      </c>
      <c r="K179" s="155"/>
      <c r="L179" s="156" t="s">
        <v>191</v>
      </c>
      <c r="M179" s="331">
        <v>4</v>
      </c>
      <c r="N179" s="426"/>
      <c r="O179" s="151">
        <v>5</v>
      </c>
      <c r="P179" s="151" t="s">
        <v>199</v>
      </c>
      <c r="Q179" s="421"/>
    </row>
    <row r="180" spans="1:17" ht="22.5">
      <c r="A180" s="142" t="s">
        <v>8381</v>
      </c>
      <c r="B180" s="142" t="s">
        <v>8382</v>
      </c>
      <c r="C180" s="142"/>
      <c r="D180" s="145"/>
      <c r="E180" s="142" t="s">
        <v>242</v>
      </c>
      <c r="F180" s="142"/>
      <c r="G180" s="171" t="s">
        <v>1946</v>
      </c>
      <c r="H180" s="142" t="s">
        <v>8383</v>
      </c>
      <c r="I180" s="156" t="s">
        <v>198</v>
      </c>
      <c r="J180" s="155">
        <v>99</v>
      </c>
      <c r="K180" s="155"/>
      <c r="L180" s="156" t="s">
        <v>191</v>
      </c>
      <c r="M180" s="331">
        <v>4</v>
      </c>
      <c r="N180" s="426"/>
      <c r="O180" s="151">
        <v>5</v>
      </c>
      <c r="P180" s="151" t="s">
        <v>199</v>
      </c>
      <c r="Q180" s="421"/>
    </row>
    <row r="181" spans="1:17" ht="22.5">
      <c r="A181" s="142" t="s">
        <v>8384</v>
      </c>
      <c r="B181" s="142" t="s">
        <v>8385</v>
      </c>
      <c r="C181" s="142"/>
      <c r="D181" s="145"/>
      <c r="E181" s="142" t="s">
        <v>242</v>
      </c>
      <c r="F181" s="142"/>
      <c r="G181" s="171" t="s">
        <v>1946</v>
      </c>
      <c r="H181" s="142" t="s">
        <v>8386</v>
      </c>
      <c r="I181" s="156" t="s">
        <v>188</v>
      </c>
      <c r="J181" s="155" t="s">
        <v>8387</v>
      </c>
      <c r="K181" s="155"/>
      <c r="L181" s="156" t="s">
        <v>191</v>
      </c>
      <c r="M181" s="331">
        <v>4</v>
      </c>
      <c r="N181" s="426"/>
      <c r="O181" s="151">
        <v>5</v>
      </c>
      <c r="P181" s="151" t="s">
        <v>199</v>
      </c>
      <c r="Q181" s="421"/>
    </row>
    <row r="182" spans="1:17" ht="11.25">
      <c r="A182" s="142" t="s">
        <v>8388</v>
      </c>
      <c r="B182" s="142" t="s">
        <v>8389</v>
      </c>
      <c r="C182" s="142"/>
      <c r="D182" s="145"/>
      <c r="E182" s="142" t="s">
        <v>242</v>
      </c>
      <c r="F182" s="142"/>
      <c r="G182" s="171" t="s">
        <v>1946</v>
      </c>
      <c r="H182" s="142" t="s">
        <v>8390</v>
      </c>
      <c r="I182" s="156" t="s">
        <v>198</v>
      </c>
      <c r="J182" s="155">
        <v>9999.99</v>
      </c>
      <c r="K182" s="155"/>
      <c r="L182" s="156" t="s">
        <v>191</v>
      </c>
      <c r="M182" s="331">
        <v>4</v>
      </c>
      <c r="N182" s="426"/>
      <c r="O182" s="151">
        <v>5</v>
      </c>
      <c r="P182" s="151" t="s">
        <v>199</v>
      </c>
      <c r="Q182" s="421"/>
    </row>
    <row r="183" spans="1:17" ht="11.25">
      <c r="A183" s="142" t="s">
        <v>8391</v>
      </c>
      <c r="B183" s="142" t="s">
        <v>8392</v>
      </c>
      <c r="C183" s="142"/>
      <c r="D183" s="145"/>
      <c r="E183" s="142" t="s">
        <v>242</v>
      </c>
      <c r="F183" s="142"/>
      <c r="G183" s="171" t="s">
        <v>1946</v>
      </c>
      <c r="H183" s="142" t="s">
        <v>8393</v>
      </c>
      <c r="I183" s="156" t="s">
        <v>198</v>
      </c>
      <c r="J183" s="155">
        <v>99.99</v>
      </c>
      <c r="K183" s="155"/>
      <c r="L183" s="156" t="s">
        <v>191</v>
      </c>
      <c r="M183" s="331">
        <v>4</v>
      </c>
      <c r="N183" s="426"/>
      <c r="O183" s="151">
        <v>5</v>
      </c>
      <c r="P183" s="151" t="s">
        <v>199</v>
      </c>
      <c r="Q183" s="421"/>
    </row>
    <row r="184" spans="1:17" ht="22.5">
      <c r="A184" s="142" t="s">
        <v>8394</v>
      </c>
      <c r="B184" s="142" t="s">
        <v>8395</v>
      </c>
      <c r="C184" s="142"/>
      <c r="D184" s="145"/>
      <c r="E184" s="142" t="s">
        <v>242</v>
      </c>
      <c r="F184" s="142"/>
      <c r="G184" s="171" t="s">
        <v>1946</v>
      </c>
      <c r="H184" s="142" t="s">
        <v>8396</v>
      </c>
      <c r="I184" s="156" t="s">
        <v>188</v>
      </c>
      <c r="J184" s="155" t="s">
        <v>8365</v>
      </c>
      <c r="K184" s="155"/>
      <c r="L184" s="156" t="s">
        <v>191</v>
      </c>
      <c r="M184" s="331">
        <v>4</v>
      </c>
      <c r="N184" s="426"/>
      <c r="O184" s="151">
        <v>5</v>
      </c>
      <c r="P184" s="151" t="s">
        <v>199</v>
      </c>
      <c r="Q184" s="421"/>
    </row>
    <row r="185" spans="1:17" ht="11.25">
      <c r="A185" s="142" t="s">
        <v>8397</v>
      </c>
      <c r="B185" s="142" t="s">
        <v>8398</v>
      </c>
      <c r="C185" s="142"/>
      <c r="D185" s="145"/>
      <c r="E185" s="142" t="s">
        <v>242</v>
      </c>
      <c r="F185" s="142"/>
      <c r="G185" s="171" t="s">
        <v>1946</v>
      </c>
      <c r="H185" s="142" t="s">
        <v>8399</v>
      </c>
      <c r="I185" s="156" t="s">
        <v>198</v>
      </c>
      <c r="J185" s="155" t="s">
        <v>8400</v>
      </c>
      <c r="K185" s="155"/>
      <c r="L185" s="156" t="s">
        <v>191</v>
      </c>
      <c r="M185" s="331">
        <v>4</v>
      </c>
      <c r="N185" s="426"/>
      <c r="O185" s="151">
        <v>5</v>
      </c>
      <c r="P185" s="151" t="s">
        <v>199</v>
      </c>
      <c r="Q185" s="421"/>
    </row>
    <row r="186" spans="1:17" ht="11.25">
      <c r="A186" s="142" t="s">
        <v>8401</v>
      </c>
      <c r="B186" s="142" t="s">
        <v>8402</v>
      </c>
      <c r="C186" s="142"/>
      <c r="D186" s="145"/>
      <c r="E186" s="142" t="s">
        <v>242</v>
      </c>
      <c r="F186" s="142"/>
      <c r="G186" s="171" t="s">
        <v>1946</v>
      </c>
      <c r="H186" s="142" t="s">
        <v>8403</v>
      </c>
      <c r="I186" s="156" t="s">
        <v>198</v>
      </c>
      <c r="J186" s="155" t="s">
        <v>8400</v>
      </c>
      <c r="K186" s="155"/>
      <c r="L186" s="156" t="s">
        <v>191</v>
      </c>
      <c r="M186" s="331">
        <v>4</v>
      </c>
      <c r="N186" s="426"/>
      <c r="O186" s="151">
        <v>5</v>
      </c>
      <c r="P186" s="151" t="s">
        <v>199</v>
      </c>
      <c r="Q186" s="421"/>
    </row>
    <row r="187" spans="1:17" ht="11.25">
      <c r="A187" s="142" t="s">
        <v>8404</v>
      </c>
      <c r="B187" s="142" t="s">
        <v>8405</v>
      </c>
      <c r="C187" s="142"/>
      <c r="D187" s="145"/>
      <c r="E187" s="142" t="s">
        <v>242</v>
      </c>
      <c r="F187" s="142"/>
      <c r="G187" s="171" t="s">
        <v>1946</v>
      </c>
      <c r="H187" s="142" t="s">
        <v>8406</v>
      </c>
      <c r="I187" s="156" t="s">
        <v>198</v>
      </c>
      <c r="J187" s="155" t="s">
        <v>8400</v>
      </c>
      <c r="K187" s="155"/>
      <c r="L187" s="156" t="s">
        <v>191</v>
      </c>
      <c r="M187" s="331">
        <v>4</v>
      </c>
      <c r="N187" s="426"/>
      <c r="O187" s="151">
        <v>5</v>
      </c>
      <c r="P187" s="151" t="s">
        <v>199</v>
      </c>
      <c r="Q187" s="421"/>
    </row>
    <row r="188" spans="1:17" ht="11.25">
      <c r="A188" s="142" t="s">
        <v>8407</v>
      </c>
      <c r="B188" s="142" t="s">
        <v>8408</v>
      </c>
      <c r="C188" s="142"/>
      <c r="D188" s="145"/>
      <c r="E188" s="142" t="s">
        <v>242</v>
      </c>
      <c r="F188" s="142"/>
      <c r="G188" s="171" t="s">
        <v>1946</v>
      </c>
      <c r="H188" s="142" t="s">
        <v>8409</v>
      </c>
      <c r="I188" s="156" t="s">
        <v>198</v>
      </c>
      <c r="J188" s="155" t="s">
        <v>8400</v>
      </c>
      <c r="K188" s="155"/>
      <c r="L188" s="156" t="s">
        <v>191</v>
      </c>
      <c r="M188" s="331">
        <v>4</v>
      </c>
      <c r="N188" s="426"/>
      <c r="O188" s="151">
        <v>5</v>
      </c>
      <c r="P188" s="151" t="s">
        <v>199</v>
      </c>
      <c r="Q188" s="421"/>
    </row>
    <row r="189" spans="1:17" ht="11.25">
      <c r="A189" s="142" t="s">
        <v>8410</v>
      </c>
      <c r="B189" s="142" t="s">
        <v>8411</v>
      </c>
      <c r="C189" s="142"/>
      <c r="D189" s="145"/>
      <c r="E189" s="142" t="s">
        <v>242</v>
      </c>
      <c r="F189" s="142"/>
      <c r="G189" s="171" t="s">
        <v>1946</v>
      </c>
      <c r="H189" s="142" t="s">
        <v>8412</v>
      </c>
      <c r="I189" s="156" t="s">
        <v>198</v>
      </c>
      <c r="J189" s="155" t="s">
        <v>8400</v>
      </c>
      <c r="K189" s="155"/>
      <c r="L189" s="156" t="s">
        <v>191</v>
      </c>
      <c r="M189" s="331">
        <v>4</v>
      </c>
      <c r="N189" s="426"/>
      <c r="O189" s="151">
        <v>5</v>
      </c>
      <c r="P189" s="151" t="s">
        <v>199</v>
      </c>
      <c r="Q189" s="421"/>
    </row>
    <row r="190" spans="1:17" ht="22.5">
      <c r="A190" s="142" t="s">
        <v>8413</v>
      </c>
      <c r="B190" s="142" t="s">
        <v>8414</v>
      </c>
      <c r="C190" s="142"/>
      <c r="D190" s="145"/>
      <c r="E190" s="142" t="s">
        <v>242</v>
      </c>
      <c r="F190" s="142"/>
      <c r="G190" s="171" t="s">
        <v>1946</v>
      </c>
      <c r="H190" s="142" t="s">
        <v>8415</v>
      </c>
      <c r="I190" s="156" t="s">
        <v>188</v>
      </c>
      <c r="J190" s="155" t="s">
        <v>8416</v>
      </c>
      <c r="K190" s="155"/>
      <c r="L190" s="156" t="s">
        <v>191</v>
      </c>
      <c r="M190" s="331">
        <v>4</v>
      </c>
      <c r="N190" s="426"/>
      <c r="O190" s="151">
        <v>5</v>
      </c>
      <c r="P190" s="151" t="s">
        <v>199</v>
      </c>
      <c r="Q190" s="421"/>
    </row>
    <row r="191" spans="1:17" ht="22.5">
      <c r="A191" s="142" t="s">
        <v>8417</v>
      </c>
      <c r="B191" s="142" t="s">
        <v>8418</v>
      </c>
      <c r="C191" s="142"/>
      <c r="D191" s="145"/>
      <c r="E191" s="142" t="s">
        <v>242</v>
      </c>
      <c r="F191" s="142"/>
      <c r="G191" s="171" t="s">
        <v>1946</v>
      </c>
      <c r="H191" s="142" t="s">
        <v>8419</v>
      </c>
      <c r="I191" s="156" t="s">
        <v>188</v>
      </c>
      <c r="J191" s="155" t="s">
        <v>8416</v>
      </c>
      <c r="K191" s="155"/>
      <c r="L191" s="156" t="s">
        <v>191</v>
      </c>
      <c r="M191" s="331">
        <v>4</v>
      </c>
      <c r="N191" s="426"/>
      <c r="O191" s="151">
        <v>5</v>
      </c>
      <c r="P191" s="151" t="s">
        <v>199</v>
      </c>
      <c r="Q191" s="421"/>
    </row>
    <row r="192" spans="1:17" ht="22.5">
      <c r="A192" s="142" t="s">
        <v>8420</v>
      </c>
      <c r="B192" s="142" t="s">
        <v>8421</v>
      </c>
      <c r="C192" s="142"/>
      <c r="D192" s="145"/>
      <c r="E192" s="142" t="s">
        <v>242</v>
      </c>
      <c r="F192" s="142"/>
      <c r="G192" s="171" t="s">
        <v>1946</v>
      </c>
      <c r="H192" s="142" t="s">
        <v>8422</v>
      </c>
      <c r="I192" s="156" t="s">
        <v>188</v>
      </c>
      <c r="J192" s="155" t="s">
        <v>8416</v>
      </c>
      <c r="K192" s="155"/>
      <c r="L192" s="156" t="s">
        <v>191</v>
      </c>
      <c r="M192" s="331">
        <v>4</v>
      </c>
      <c r="N192" s="426"/>
      <c r="O192" s="151">
        <v>5</v>
      </c>
      <c r="P192" s="151" t="s">
        <v>199</v>
      </c>
      <c r="Q192" s="421"/>
    </row>
    <row r="193" spans="1:17" ht="22.5">
      <c r="A193" s="142" t="s">
        <v>8423</v>
      </c>
      <c r="B193" s="142" t="s">
        <v>8424</v>
      </c>
      <c r="C193" s="142"/>
      <c r="D193" s="145"/>
      <c r="E193" s="142" t="s">
        <v>242</v>
      </c>
      <c r="F193" s="142"/>
      <c r="G193" s="171" t="s">
        <v>1946</v>
      </c>
      <c r="H193" s="142" t="s">
        <v>8425</v>
      </c>
      <c r="I193" s="156" t="s">
        <v>188</v>
      </c>
      <c r="J193" s="155" t="s">
        <v>8416</v>
      </c>
      <c r="K193" s="155"/>
      <c r="L193" s="156" t="s">
        <v>191</v>
      </c>
      <c r="M193" s="331">
        <v>4</v>
      </c>
      <c r="N193" s="426"/>
      <c r="O193" s="151">
        <v>5</v>
      </c>
      <c r="P193" s="151" t="s">
        <v>199</v>
      </c>
      <c r="Q193" s="421"/>
    </row>
    <row r="194" spans="1:17" ht="22.5">
      <c r="A194" s="142" t="s">
        <v>8426</v>
      </c>
      <c r="B194" s="142" t="s">
        <v>8427</v>
      </c>
      <c r="C194" s="142"/>
      <c r="D194" s="145"/>
      <c r="E194" s="142" t="s">
        <v>242</v>
      </c>
      <c r="F194" s="142"/>
      <c r="G194" s="171" t="s">
        <v>1946</v>
      </c>
      <c r="H194" s="142" t="s">
        <v>8428</v>
      </c>
      <c r="I194" s="156" t="s">
        <v>188</v>
      </c>
      <c r="J194" s="155" t="s">
        <v>8416</v>
      </c>
      <c r="K194" s="155"/>
      <c r="L194" s="156" t="s">
        <v>191</v>
      </c>
      <c r="M194" s="331">
        <v>4</v>
      </c>
      <c r="N194" s="426"/>
      <c r="O194" s="151">
        <v>5</v>
      </c>
      <c r="P194" s="151" t="s">
        <v>199</v>
      </c>
      <c r="Q194" s="421"/>
    </row>
    <row r="195" spans="1:17" ht="22.5">
      <c r="A195" s="142" t="s">
        <v>8429</v>
      </c>
      <c r="B195" s="142" t="s">
        <v>8430</v>
      </c>
      <c r="C195" s="142"/>
      <c r="D195" s="145"/>
      <c r="E195" s="142" t="s">
        <v>242</v>
      </c>
      <c r="F195" s="142"/>
      <c r="G195" s="171" t="s">
        <v>6467</v>
      </c>
      <c r="H195" s="142" t="s">
        <v>8431</v>
      </c>
      <c r="I195" s="156" t="s">
        <v>188</v>
      </c>
      <c r="J195" s="155" t="s">
        <v>8416</v>
      </c>
      <c r="K195" s="155"/>
      <c r="L195" s="156" t="s">
        <v>191</v>
      </c>
      <c r="M195" s="331">
        <v>4</v>
      </c>
      <c r="N195" s="426"/>
      <c r="O195" s="151">
        <v>5</v>
      </c>
      <c r="P195" s="151" t="s">
        <v>199</v>
      </c>
      <c r="Q195" s="421"/>
    </row>
    <row r="196" spans="1:17" ht="22.5">
      <c r="A196" s="142" t="s">
        <v>8432</v>
      </c>
      <c r="B196" s="142" t="s">
        <v>8433</v>
      </c>
      <c r="C196" s="142"/>
      <c r="D196" s="145"/>
      <c r="E196" s="142" t="s">
        <v>242</v>
      </c>
      <c r="F196" s="142"/>
      <c r="G196" s="171" t="s">
        <v>6467</v>
      </c>
      <c r="H196" s="142" t="s">
        <v>8434</v>
      </c>
      <c r="I196" s="156" t="s">
        <v>188</v>
      </c>
      <c r="J196" s="155" t="s">
        <v>8416</v>
      </c>
      <c r="K196" s="155"/>
      <c r="L196" s="156" t="s">
        <v>191</v>
      </c>
      <c r="M196" s="331">
        <v>4</v>
      </c>
      <c r="N196" s="426"/>
      <c r="O196" s="151">
        <v>5</v>
      </c>
      <c r="P196" s="151" t="s">
        <v>199</v>
      </c>
      <c r="Q196" s="421"/>
    </row>
    <row r="197" spans="1:17" ht="22.5">
      <c r="A197" s="142" t="s">
        <v>8435</v>
      </c>
      <c r="B197" s="142" t="s">
        <v>8436</v>
      </c>
      <c r="C197" s="142"/>
      <c r="D197" s="145"/>
      <c r="E197" s="142" t="s">
        <v>242</v>
      </c>
      <c r="F197" s="142"/>
      <c r="G197" s="171" t="s">
        <v>6467</v>
      </c>
      <c r="H197" s="142" t="s">
        <v>8437</v>
      </c>
      <c r="I197" s="156" t="s">
        <v>188</v>
      </c>
      <c r="J197" s="155" t="s">
        <v>8416</v>
      </c>
      <c r="K197" s="155"/>
      <c r="L197" s="156" t="s">
        <v>191</v>
      </c>
      <c r="M197" s="331">
        <v>4</v>
      </c>
      <c r="N197" s="426"/>
      <c r="O197" s="151">
        <v>5</v>
      </c>
      <c r="P197" s="151" t="s">
        <v>199</v>
      </c>
      <c r="Q197" s="421"/>
    </row>
    <row r="198" spans="1:17" ht="22.5">
      <c r="A198" s="142" t="s">
        <v>8438</v>
      </c>
      <c r="B198" s="142" t="s">
        <v>8439</v>
      </c>
      <c r="C198" s="142"/>
      <c r="D198" s="145"/>
      <c r="E198" s="142" t="s">
        <v>242</v>
      </c>
      <c r="F198" s="142"/>
      <c r="G198" s="171" t="s">
        <v>6467</v>
      </c>
      <c r="H198" s="142" t="s">
        <v>8440</v>
      </c>
      <c r="I198" s="156" t="s">
        <v>188</v>
      </c>
      <c r="J198" s="155" t="s">
        <v>8416</v>
      </c>
      <c r="K198" s="155"/>
      <c r="L198" s="156" t="s">
        <v>191</v>
      </c>
      <c r="M198" s="331">
        <v>4</v>
      </c>
      <c r="N198" s="426"/>
      <c r="O198" s="151">
        <v>5</v>
      </c>
      <c r="P198" s="151" t="s">
        <v>199</v>
      </c>
      <c r="Q198" s="421"/>
    </row>
    <row r="199" spans="1:17" ht="33.75">
      <c r="A199" s="142" t="s">
        <v>8441</v>
      </c>
      <c r="B199" s="142" t="s">
        <v>8442</v>
      </c>
      <c r="C199" s="142"/>
      <c r="D199" s="145"/>
      <c r="E199" s="142" t="s">
        <v>242</v>
      </c>
      <c r="F199" s="142"/>
      <c r="G199" s="171" t="s">
        <v>1946</v>
      </c>
      <c r="H199" s="142" t="s">
        <v>8443</v>
      </c>
      <c r="I199" s="427" t="s">
        <v>198</v>
      </c>
      <c r="J199" s="155" t="s">
        <v>8444</v>
      </c>
      <c r="K199" s="155"/>
      <c r="L199" s="156" t="s">
        <v>191</v>
      </c>
      <c r="M199" s="331">
        <v>4</v>
      </c>
      <c r="N199" s="426"/>
      <c r="O199" s="151">
        <v>5</v>
      </c>
      <c r="P199" s="151" t="s">
        <v>199</v>
      </c>
      <c r="Q199" s="421"/>
    </row>
    <row r="200" spans="1:17" ht="22.5">
      <c r="A200" s="142" t="s">
        <v>8445</v>
      </c>
      <c r="B200" s="142" t="s">
        <v>8446</v>
      </c>
      <c r="C200" s="142"/>
      <c r="D200" s="145"/>
      <c r="E200" s="142" t="s">
        <v>242</v>
      </c>
      <c r="F200" s="142"/>
      <c r="G200" s="171" t="s">
        <v>1946</v>
      </c>
      <c r="H200" s="142" t="s">
        <v>8447</v>
      </c>
      <c r="I200" s="427" t="s">
        <v>198</v>
      </c>
      <c r="J200" s="155" t="s">
        <v>8448</v>
      </c>
      <c r="K200" s="155"/>
      <c r="L200" s="156" t="s">
        <v>191</v>
      </c>
      <c r="M200" s="331">
        <v>4</v>
      </c>
      <c r="N200" s="426"/>
      <c r="O200" s="151">
        <v>5</v>
      </c>
      <c r="P200" s="151" t="s">
        <v>199</v>
      </c>
      <c r="Q200" s="421"/>
    </row>
    <row r="201" spans="1:17" ht="90">
      <c r="A201" s="142" t="s">
        <v>8449</v>
      </c>
      <c r="B201" s="142" t="s">
        <v>8450</v>
      </c>
      <c r="C201" s="142"/>
      <c r="D201" s="145"/>
      <c r="E201" s="142" t="s">
        <v>242</v>
      </c>
      <c r="F201" s="142"/>
      <c r="G201" s="171" t="s">
        <v>1946</v>
      </c>
      <c r="H201" s="142" t="s">
        <v>8451</v>
      </c>
      <c r="I201" s="156" t="s">
        <v>204</v>
      </c>
      <c r="J201" s="155" t="s">
        <v>8452</v>
      </c>
      <c r="K201" s="155"/>
      <c r="L201" s="156" t="s">
        <v>191</v>
      </c>
      <c r="M201" s="331">
        <v>4</v>
      </c>
      <c r="N201" s="426"/>
      <c r="O201" s="151">
        <v>5</v>
      </c>
      <c r="P201" s="151" t="s">
        <v>199</v>
      </c>
      <c r="Q201" s="421"/>
    </row>
    <row r="202" spans="1:17" ht="22.5">
      <c r="A202" s="142" t="s">
        <v>8453</v>
      </c>
      <c r="B202" s="142" t="s">
        <v>8454</v>
      </c>
      <c r="C202" s="142"/>
      <c r="D202" s="145"/>
      <c r="E202" s="142" t="s">
        <v>242</v>
      </c>
      <c r="F202" s="142"/>
      <c r="G202" s="171" t="s">
        <v>1946</v>
      </c>
      <c r="H202" s="142" t="s">
        <v>8455</v>
      </c>
      <c r="I202" s="156" t="s">
        <v>188</v>
      </c>
      <c r="J202" s="155" t="s">
        <v>8456</v>
      </c>
      <c r="K202" s="155"/>
      <c r="L202" s="156" t="s">
        <v>191</v>
      </c>
      <c r="M202" s="331">
        <v>4</v>
      </c>
      <c r="N202" s="426"/>
      <c r="O202" s="151">
        <v>5</v>
      </c>
      <c r="P202" s="151" t="s">
        <v>199</v>
      </c>
      <c r="Q202" s="421"/>
    </row>
    <row r="203" spans="1:17" ht="22.5">
      <c r="A203" s="142" t="s">
        <v>8457</v>
      </c>
      <c r="B203" s="142" t="s">
        <v>8458</v>
      </c>
      <c r="C203" s="142"/>
      <c r="D203" s="145"/>
      <c r="E203" s="142" t="s">
        <v>242</v>
      </c>
      <c r="F203" s="142"/>
      <c r="G203" s="171" t="s">
        <v>1946</v>
      </c>
      <c r="H203" s="142" t="s">
        <v>8459</v>
      </c>
      <c r="I203" s="156" t="s">
        <v>188</v>
      </c>
      <c r="J203" s="155" t="s">
        <v>8460</v>
      </c>
      <c r="K203" s="155"/>
      <c r="L203" s="156" t="s">
        <v>191</v>
      </c>
      <c r="M203" s="331">
        <v>4</v>
      </c>
      <c r="N203" s="426"/>
      <c r="O203" s="151">
        <v>5</v>
      </c>
      <c r="P203" s="151" t="s">
        <v>199</v>
      </c>
      <c r="Q203" s="421"/>
    </row>
    <row r="204" spans="1:17" ht="22.5">
      <c r="A204" s="142" t="s">
        <v>8461</v>
      </c>
      <c r="B204" s="142" t="s">
        <v>8462</v>
      </c>
      <c r="C204" s="142"/>
      <c r="D204" s="145"/>
      <c r="E204" s="142" t="s">
        <v>242</v>
      </c>
      <c r="F204" s="142"/>
      <c r="G204" s="171" t="s">
        <v>6627</v>
      </c>
      <c r="H204" s="142" t="s">
        <v>8463</v>
      </c>
      <c r="I204" s="156" t="s">
        <v>204</v>
      </c>
      <c r="J204" s="155" t="s">
        <v>8464</v>
      </c>
      <c r="K204" s="155"/>
      <c r="L204" s="156" t="s">
        <v>191</v>
      </c>
      <c r="M204" s="331">
        <v>4</v>
      </c>
      <c r="N204" s="426"/>
      <c r="O204" s="151"/>
      <c r="P204" s="151"/>
      <c r="Q204" s="421"/>
    </row>
    <row r="205" spans="1:17" ht="22.5">
      <c r="A205" s="142" t="s">
        <v>8465</v>
      </c>
      <c r="B205" s="142" t="s">
        <v>8466</v>
      </c>
      <c r="C205" s="142"/>
      <c r="D205" s="145"/>
      <c r="E205" s="142" t="s">
        <v>242</v>
      </c>
      <c r="F205" s="142"/>
      <c r="G205" s="171" t="s">
        <v>8467</v>
      </c>
      <c r="H205" s="142" t="s">
        <v>8463</v>
      </c>
      <c r="I205" s="156" t="s">
        <v>204</v>
      </c>
      <c r="J205" s="155" t="s">
        <v>8464</v>
      </c>
      <c r="K205" s="155"/>
      <c r="L205" s="156" t="s">
        <v>191</v>
      </c>
      <c r="M205" s="331">
        <v>4</v>
      </c>
      <c r="N205" s="426"/>
      <c r="O205" s="151">
        <v>5</v>
      </c>
      <c r="P205" s="151" t="s">
        <v>199</v>
      </c>
      <c r="Q205" s="421"/>
    </row>
    <row r="206" spans="1:17" ht="22.5">
      <c r="A206" s="142" t="s">
        <v>8468</v>
      </c>
      <c r="B206" s="142" t="s">
        <v>8469</v>
      </c>
      <c r="C206" s="142"/>
      <c r="D206" s="145"/>
      <c r="E206" s="142" t="s">
        <v>242</v>
      </c>
      <c r="F206" s="142"/>
      <c r="G206" s="171" t="s">
        <v>1946</v>
      </c>
      <c r="H206" s="142" t="s">
        <v>8470</v>
      </c>
      <c r="I206" s="427" t="s">
        <v>198</v>
      </c>
      <c r="J206" s="155" t="s">
        <v>8448</v>
      </c>
      <c r="K206" s="155"/>
      <c r="L206" s="156" t="s">
        <v>191</v>
      </c>
      <c r="M206" s="331">
        <v>4</v>
      </c>
      <c r="N206" s="426"/>
      <c r="O206" s="151">
        <v>5</v>
      </c>
      <c r="P206" s="151" t="s">
        <v>199</v>
      </c>
      <c r="Q206" s="421"/>
    </row>
    <row r="207" spans="1:17" ht="22.5">
      <c r="A207" s="142" t="s">
        <v>8471</v>
      </c>
      <c r="B207" s="142" t="s">
        <v>8472</v>
      </c>
      <c r="C207" s="142"/>
      <c r="D207" s="145"/>
      <c r="E207" s="142" t="s">
        <v>242</v>
      </c>
      <c r="F207" s="142"/>
      <c r="G207" s="171" t="s">
        <v>1946</v>
      </c>
      <c r="H207" s="142" t="s">
        <v>8473</v>
      </c>
      <c r="I207" s="427" t="s">
        <v>198</v>
      </c>
      <c r="J207" s="155" t="s">
        <v>8448</v>
      </c>
      <c r="K207" s="155"/>
      <c r="L207" s="156" t="s">
        <v>191</v>
      </c>
      <c r="M207" s="331">
        <v>4</v>
      </c>
      <c r="N207" s="426"/>
      <c r="O207" s="151">
        <v>5</v>
      </c>
      <c r="P207" s="151" t="s">
        <v>199</v>
      </c>
      <c r="Q207" s="421"/>
    </row>
    <row r="208" spans="1:17" ht="22.5">
      <c r="A208" s="142" t="s">
        <v>8474</v>
      </c>
      <c r="B208" s="142" t="s">
        <v>8475</v>
      </c>
      <c r="C208" s="142"/>
      <c r="D208" s="145"/>
      <c r="E208" s="142" t="s">
        <v>242</v>
      </c>
      <c r="F208" s="142"/>
      <c r="G208" s="171" t="s">
        <v>1946</v>
      </c>
      <c r="H208" s="142" t="s">
        <v>8476</v>
      </c>
      <c r="I208" s="427" t="s">
        <v>198</v>
      </c>
      <c r="J208" s="155" t="s">
        <v>8448</v>
      </c>
      <c r="K208" s="155"/>
      <c r="L208" s="156" t="s">
        <v>191</v>
      </c>
      <c r="M208" s="331">
        <v>4</v>
      </c>
      <c r="N208" s="426"/>
      <c r="O208" s="151">
        <v>5</v>
      </c>
      <c r="P208" s="151" t="s">
        <v>199</v>
      </c>
      <c r="Q208" s="421"/>
    </row>
    <row r="209" spans="1:17" ht="22.5">
      <c r="A209" s="142" t="s">
        <v>8477</v>
      </c>
      <c r="B209" s="142" t="s">
        <v>8478</v>
      </c>
      <c r="C209" s="142"/>
      <c r="D209" s="145"/>
      <c r="E209" s="142" t="s">
        <v>242</v>
      </c>
      <c r="F209" s="142"/>
      <c r="G209" s="171" t="s">
        <v>1946</v>
      </c>
      <c r="H209" s="142" t="s">
        <v>8479</v>
      </c>
      <c r="I209" s="156" t="s">
        <v>188</v>
      </c>
      <c r="J209" s="155" t="s">
        <v>8456</v>
      </c>
      <c r="K209" s="155"/>
      <c r="L209" s="156" t="s">
        <v>191</v>
      </c>
      <c r="M209" s="331">
        <v>4</v>
      </c>
      <c r="N209" s="426"/>
      <c r="O209" s="151">
        <v>5</v>
      </c>
      <c r="P209" s="151" t="s">
        <v>199</v>
      </c>
      <c r="Q209" s="421"/>
    </row>
    <row r="210" spans="1:17" ht="22.5">
      <c r="A210" s="142" t="s">
        <v>8480</v>
      </c>
      <c r="B210" s="142" t="s">
        <v>8481</v>
      </c>
      <c r="C210" s="142"/>
      <c r="D210" s="145"/>
      <c r="E210" s="142" t="s">
        <v>242</v>
      </c>
      <c r="F210" s="142"/>
      <c r="G210" s="171" t="s">
        <v>1946</v>
      </c>
      <c r="H210" s="142" t="s">
        <v>8482</v>
      </c>
      <c r="I210" s="427" t="s">
        <v>204</v>
      </c>
      <c r="J210" s="155" t="s">
        <v>8483</v>
      </c>
      <c r="K210" s="155"/>
      <c r="L210" s="156" t="s">
        <v>191</v>
      </c>
      <c r="M210" s="331">
        <v>4</v>
      </c>
      <c r="N210" s="426"/>
      <c r="O210" s="151">
        <v>5</v>
      </c>
      <c r="P210" s="151" t="s">
        <v>199</v>
      </c>
      <c r="Q210" s="421"/>
    </row>
    <row r="211" spans="1:17" ht="22.5">
      <c r="A211" s="142" t="s">
        <v>8484</v>
      </c>
      <c r="B211" s="142" t="s">
        <v>8485</v>
      </c>
      <c r="C211" s="142"/>
      <c r="D211" s="145"/>
      <c r="E211" s="142" t="s">
        <v>242</v>
      </c>
      <c r="F211" s="142"/>
      <c r="G211" s="171" t="s">
        <v>1946</v>
      </c>
      <c r="H211" s="142" t="s">
        <v>8486</v>
      </c>
      <c r="I211" s="427" t="s">
        <v>204</v>
      </c>
      <c r="J211" s="155" t="s">
        <v>8448</v>
      </c>
      <c r="K211" s="155"/>
      <c r="L211" s="156" t="s">
        <v>191</v>
      </c>
      <c r="M211" s="331">
        <v>4</v>
      </c>
      <c r="N211" s="426"/>
      <c r="O211" s="151">
        <v>5</v>
      </c>
      <c r="P211" s="151" t="s">
        <v>199</v>
      </c>
      <c r="Q211" s="421"/>
    </row>
    <row r="212" spans="1:17" ht="22.5">
      <c r="A212" s="142" t="s">
        <v>8487</v>
      </c>
      <c r="B212" s="142" t="s">
        <v>8488</v>
      </c>
      <c r="C212" s="142"/>
      <c r="D212" s="145"/>
      <c r="E212" s="142" t="s">
        <v>242</v>
      </c>
      <c r="F212" s="142"/>
      <c r="G212" s="171" t="s">
        <v>1946</v>
      </c>
      <c r="H212" s="142" t="s">
        <v>8489</v>
      </c>
      <c r="I212" s="427" t="s">
        <v>204</v>
      </c>
      <c r="J212" s="155" t="s">
        <v>8490</v>
      </c>
      <c r="K212" s="155"/>
      <c r="L212" s="156" t="s">
        <v>191</v>
      </c>
      <c r="M212" s="331">
        <v>4</v>
      </c>
      <c r="N212" s="426"/>
      <c r="O212" s="151">
        <v>5</v>
      </c>
      <c r="P212" s="151" t="s">
        <v>199</v>
      </c>
      <c r="Q212" s="421"/>
    </row>
    <row r="213" spans="1:17" ht="11.25">
      <c r="A213" s="142" t="s">
        <v>8491</v>
      </c>
      <c r="B213" s="142" t="s">
        <v>8492</v>
      </c>
      <c r="C213" s="142"/>
      <c r="D213" s="145"/>
      <c r="E213" s="142" t="s">
        <v>242</v>
      </c>
      <c r="F213" s="142"/>
      <c r="G213" s="171" t="s">
        <v>6467</v>
      </c>
      <c r="H213" s="142" t="s">
        <v>8493</v>
      </c>
      <c r="I213" s="156" t="s">
        <v>204</v>
      </c>
      <c r="J213" s="155" t="s">
        <v>8494</v>
      </c>
      <c r="K213" s="155"/>
      <c r="L213" s="156" t="s">
        <v>191</v>
      </c>
      <c r="M213" s="331">
        <v>4</v>
      </c>
      <c r="N213" s="426"/>
      <c r="O213" s="151">
        <v>5</v>
      </c>
      <c r="P213" s="151" t="s">
        <v>199</v>
      </c>
      <c r="Q213" s="421"/>
    </row>
    <row r="214" spans="1:17" ht="33.75">
      <c r="A214" s="142" t="s">
        <v>8495</v>
      </c>
      <c r="B214" s="142" t="s">
        <v>8496</v>
      </c>
      <c r="C214" s="142"/>
      <c r="D214" s="145"/>
      <c r="E214" s="142" t="s">
        <v>242</v>
      </c>
      <c r="F214" s="142"/>
      <c r="G214" s="171" t="s">
        <v>1946</v>
      </c>
      <c r="H214" s="142" t="s">
        <v>8497</v>
      </c>
      <c r="I214" s="156" t="s">
        <v>204</v>
      </c>
      <c r="J214" s="155" t="s">
        <v>8494</v>
      </c>
      <c r="K214" s="155"/>
      <c r="L214" s="156" t="s">
        <v>191</v>
      </c>
      <c r="M214" s="331">
        <v>4</v>
      </c>
      <c r="N214" s="426"/>
      <c r="O214" s="151">
        <v>5</v>
      </c>
      <c r="P214" s="151" t="s">
        <v>199</v>
      </c>
      <c r="Q214" s="421"/>
    </row>
    <row r="215" spans="1:17" ht="33.75">
      <c r="A215" s="142" t="s">
        <v>8498</v>
      </c>
      <c r="B215" s="142" t="s">
        <v>8499</v>
      </c>
      <c r="C215" s="142"/>
      <c r="D215" s="145"/>
      <c r="E215" s="142" t="s">
        <v>242</v>
      </c>
      <c r="F215" s="142"/>
      <c r="G215" s="171" t="s">
        <v>1946</v>
      </c>
      <c r="H215" s="142" t="s">
        <v>8497</v>
      </c>
      <c r="I215" s="156" t="s">
        <v>204</v>
      </c>
      <c r="J215" s="155" t="s">
        <v>8494</v>
      </c>
      <c r="K215" s="155"/>
      <c r="L215" s="156" t="s">
        <v>191</v>
      </c>
      <c r="M215" s="331">
        <v>4</v>
      </c>
      <c r="N215" s="426"/>
      <c r="O215" s="151">
        <v>5</v>
      </c>
      <c r="P215" s="151" t="s">
        <v>199</v>
      </c>
      <c r="Q215" s="421"/>
    </row>
    <row r="216" spans="1:17" ht="33.75">
      <c r="A216" s="142" t="s">
        <v>8500</v>
      </c>
      <c r="B216" s="142" t="s">
        <v>8501</v>
      </c>
      <c r="C216" s="142"/>
      <c r="D216" s="145"/>
      <c r="E216" s="142" t="s">
        <v>242</v>
      </c>
      <c r="F216" s="142"/>
      <c r="G216" s="171" t="s">
        <v>6627</v>
      </c>
      <c r="H216" s="142" t="s">
        <v>8502</v>
      </c>
      <c r="I216" s="156" t="s">
        <v>204</v>
      </c>
      <c r="J216" s="155" t="s">
        <v>8494</v>
      </c>
      <c r="K216" s="155"/>
      <c r="L216" s="156" t="s">
        <v>191</v>
      </c>
      <c r="M216" s="331">
        <v>4</v>
      </c>
      <c r="N216" s="426"/>
      <c r="O216" s="151">
        <v>5</v>
      </c>
      <c r="P216" s="151" t="s">
        <v>199</v>
      </c>
      <c r="Q216" s="421"/>
    </row>
    <row r="217" spans="1:17" ht="45">
      <c r="A217" s="142" t="s">
        <v>8503</v>
      </c>
      <c r="B217" s="142" t="s">
        <v>8504</v>
      </c>
      <c r="C217" s="142"/>
      <c r="D217" s="145"/>
      <c r="E217" s="142" t="s">
        <v>242</v>
      </c>
      <c r="F217" s="142"/>
      <c r="G217" s="171" t="s">
        <v>6627</v>
      </c>
      <c r="H217" s="142" t="s">
        <v>8505</v>
      </c>
      <c r="I217" s="156" t="s">
        <v>204</v>
      </c>
      <c r="J217" s="155" t="s">
        <v>8494</v>
      </c>
      <c r="K217" s="155"/>
      <c r="L217" s="156" t="s">
        <v>191</v>
      </c>
      <c r="M217" s="331">
        <v>4</v>
      </c>
      <c r="N217" s="426"/>
      <c r="O217" s="151">
        <v>5</v>
      </c>
      <c r="P217" s="151" t="s">
        <v>199</v>
      </c>
      <c r="Q217" s="421"/>
    </row>
    <row r="218" spans="1:17" ht="45">
      <c r="A218" s="142" t="s">
        <v>8506</v>
      </c>
      <c r="B218" s="142" t="s">
        <v>8507</v>
      </c>
      <c r="C218" s="142"/>
      <c r="D218" s="145"/>
      <c r="E218" s="142" t="s">
        <v>242</v>
      </c>
      <c r="F218" s="142"/>
      <c r="G218" s="171" t="s">
        <v>1946</v>
      </c>
      <c r="H218" s="142" t="s">
        <v>8508</v>
      </c>
      <c r="I218" s="156" t="s">
        <v>204</v>
      </c>
      <c r="J218" s="155" t="s">
        <v>8490</v>
      </c>
      <c r="K218" s="155"/>
      <c r="L218" s="156" t="s">
        <v>191</v>
      </c>
      <c r="M218" s="331">
        <v>4</v>
      </c>
      <c r="N218" s="426"/>
      <c r="O218" s="151">
        <v>5</v>
      </c>
      <c r="P218" s="151" t="s">
        <v>199</v>
      </c>
      <c r="Q218" s="421"/>
    </row>
    <row r="219" spans="1:17" ht="22.5">
      <c r="A219" s="142" t="s">
        <v>8509</v>
      </c>
      <c r="B219" s="142" t="s">
        <v>8510</v>
      </c>
      <c r="C219" s="142"/>
      <c r="D219" s="145"/>
      <c r="E219" s="142" t="s">
        <v>242</v>
      </c>
      <c r="F219" s="142"/>
      <c r="G219" s="171" t="s">
        <v>1946</v>
      </c>
      <c r="H219" s="142" t="s">
        <v>8511</v>
      </c>
      <c r="I219" s="156" t="s">
        <v>204</v>
      </c>
      <c r="J219" s="155" t="s">
        <v>8448</v>
      </c>
      <c r="K219" s="155"/>
      <c r="L219" s="156" t="s">
        <v>191</v>
      </c>
      <c r="M219" s="331">
        <v>4</v>
      </c>
      <c r="N219" s="426"/>
      <c r="O219" s="151">
        <v>5</v>
      </c>
      <c r="P219" s="151" t="s">
        <v>199</v>
      </c>
      <c r="Q219" s="421"/>
    </row>
    <row r="220" spans="1:17" ht="22.5">
      <c r="A220" s="142" t="s">
        <v>8512</v>
      </c>
      <c r="B220" s="142" t="s">
        <v>8513</v>
      </c>
      <c r="C220" s="142"/>
      <c r="D220" s="145"/>
      <c r="E220" s="142" t="s">
        <v>242</v>
      </c>
      <c r="F220" s="142"/>
      <c r="G220" s="171" t="s">
        <v>6467</v>
      </c>
      <c r="H220" s="142" t="s">
        <v>8514</v>
      </c>
      <c r="I220" s="156" t="s">
        <v>188</v>
      </c>
      <c r="J220" s="155" t="s">
        <v>8456</v>
      </c>
      <c r="K220" s="155"/>
      <c r="L220" s="156" t="s">
        <v>191</v>
      </c>
      <c r="M220" s="331">
        <v>4</v>
      </c>
      <c r="N220" s="426"/>
      <c r="O220" s="151">
        <v>5</v>
      </c>
      <c r="P220" s="151" t="s">
        <v>199</v>
      </c>
      <c r="Q220" s="421"/>
    </row>
    <row r="221" spans="1:17" ht="33.75">
      <c r="A221" s="142" t="s">
        <v>8515</v>
      </c>
      <c r="B221" s="142" t="s">
        <v>8516</v>
      </c>
      <c r="C221" s="142"/>
      <c r="D221" s="145"/>
      <c r="E221" s="142" t="s">
        <v>242</v>
      </c>
      <c r="F221" s="142"/>
      <c r="G221" s="171" t="s">
        <v>1946</v>
      </c>
      <c r="H221" s="142" t="s">
        <v>8517</v>
      </c>
      <c r="I221" s="427" t="s">
        <v>198</v>
      </c>
      <c r="J221" s="155" t="s">
        <v>8444</v>
      </c>
      <c r="K221" s="155"/>
      <c r="L221" s="156" t="s">
        <v>191</v>
      </c>
      <c r="M221" s="331">
        <v>4</v>
      </c>
      <c r="N221" s="426"/>
      <c r="O221" s="151">
        <v>5</v>
      </c>
      <c r="P221" s="151" t="s">
        <v>199</v>
      </c>
      <c r="Q221" s="421"/>
    </row>
    <row r="222" spans="1:17" ht="11.25">
      <c r="A222" s="142" t="s">
        <v>8518</v>
      </c>
      <c r="B222" s="142" t="s">
        <v>8519</v>
      </c>
      <c r="C222" s="142"/>
      <c r="D222" s="145"/>
      <c r="E222" s="142" t="s">
        <v>242</v>
      </c>
      <c r="F222" s="142"/>
      <c r="G222" s="171" t="s">
        <v>1946</v>
      </c>
      <c r="H222" s="142" t="s">
        <v>8520</v>
      </c>
      <c r="I222" s="427" t="s">
        <v>198</v>
      </c>
      <c r="J222" s="155" t="s">
        <v>8448</v>
      </c>
      <c r="K222" s="155"/>
      <c r="L222" s="156" t="s">
        <v>191</v>
      </c>
      <c r="M222" s="331">
        <v>4</v>
      </c>
      <c r="N222" s="426"/>
      <c r="O222" s="151">
        <v>5</v>
      </c>
      <c r="P222" s="151" t="s">
        <v>199</v>
      </c>
      <c r="Q222" s="421"/>
    </row>
    <row r="223" spans="1:17" ht="112.5">
      <c r="A223" s="142" t="s">
        <v>8521</v>
      </c>
      <c r="B223" s="142" t="s">
        <v>8522</v>
      </c>
      <c r="C223" s="142"/>
      <c r="D223" s="145"/>
      <c r="E223" s="142" t="s">
        <v>242</v>
      </c>
      <c r="F223" s="142"/>
      <c r="G223" s="171" t="s">
        <v>1946</v>
      </c>
      <c r="H223" s="142" t="s">
        <v>8523</v>
      </c>
      <c r="I223" s="156" t="s">
        <v>204</v>
      </c>
      <c r="J223" s="155" t="s">
        <v>8524</v>
      </c>
      <c r="K223" s="155"/>
      <c r="L223" s="156" t="s">
        <v>191</v>
      </c>
      <c r="M223" s="331">
        <v>4</v>
      </c>
      <c r="N223" s="426"/>
      <c r="O223" s="151">
        <v>5</v>
      </c>
      <c r="P223" s="151" t="s">
        <v>199</v>
      </c>
      <c r="Q223" s="421"/>
    </row>
    <row r="224" spans="1:17" ht="22.5">
      <c r="A224" s="142" t="s">
        <v>8525</v>
      </c>
      <c r="B224" s="142" t="s">
        <v>8526</v>
      </c>
      <c r="C224" s="142"/>
      <c r="D224" s="145"/>
      <c r="E224" s="142" t="s">
        <v>242</v>
      </c>
      <c r="F224" s="142"/>
      <c r="G224" s="171" t="s">
        <v>1946</v>
      </c>
      <c r="H224" s="142" t="s">
        <v>8527</v>
      </c>
      <c r="I224" s="156" t="s">
        <v>188</v>
      </c>
      <c r="J224" s="155" t="s">
        <v>8456</v>
      </c>
      <c r="K224" s="155"/>
      <c r="L224" s="156" t="s">
        <v>191</v>
      </c>
      <c r="M224" s="331">
        <v>4</v>
      </c>
      <c r="N224" s="426"/>
      <c r="O224" s="151">
        <v>5</v>
      </c>
      <c r="P224" s="151" t="s">
        <v>199</v>
      </c>
      <c r="Q224" s="421"/>
    </row>
    <row r="225" spans="1:17" ht="22.5">
      <c r="A225" s="142" t="s">
        <v>8528</v>
      </c>
      <c r="B225" s="142" t="s">
        <v>8529</v>
      </c>
      <c r="C225" s="142"/>
      <c r="D225" s="145"/>
      <c r="E225" s="142" t="s">
        <v>242</v>
      </c>
      <c r="F225" s="142"/>
      <c r="G225" s="171" t="s">
        <v>1946</v>
      </c>
      <c r="H225" s="142" t="s">
        <v>8530</v>
      </c>
      <c r="I225" s="156" t="s">
        <v>188</v>
      </c>
      <c r="J225" s="155" t="s">
        <v>8460</v>
      </c>
      <c r="K225" s="155"/>
      <c r="L225" s="156" t="s">
        <v>191</v>
      </c>
      <c r="M225" s="331">
        <v>4</v>
      </c>
      <c r="N225" s="426"/>
      <c r="O225" s="151">
        <v>5</v>
      </c>
      <c r="P225" s="151" t="s">
        <v>199</v>
      </c>
      <c r="Q225" s="421"/>
    </row>
    <row r="226" spans="1:17" ht="22.5">
      <c r="A226" s="142" t="s">
        <v>8531</v>
      </c>
      <c r="B226" s="142" t="s">
        <v>8532</v>
      </c>
      <c r="C226" s="142"/>
      <c r="D226" s="145"/>
      <c r="E226" s="142" t="s">
        <v>242</v>
      </c>
      <c r="F226" s="142"/>
      <c r="G226" s="171" t="s">
        <v>1946</v>
      </c>
      <c r="H226" s="142" t="s">
        <v>8533</v>
      </c>
      <c r="I226" s="427" t="s">
        <v>198</v>
      </c>
      <c r="J226" s="155" t="s">
        <v>8448</v>
      </c>
      <c r="K226" s="155"/>
      <c r="L226" s="156" t="s">
        <v>191</v>
      </c>
      <c r="M226" s="331">
        <v>4</v>
      </c>
      <c r="N226" s="426"/>
      <c r="O226" s="151">
        <v>5</v>
      </c>
      <c r="P226" s="151" t="s">
        <v>199</v>
      </c>
      <c r="Q226" s="421"/>
    </row>
    <row r="227" spans="1:17" ht="22.5">
      <c r="A227" s="142" t="s">
        <v>8534</v>
      </c>
      <c r="B227" s="142" t="s">
        <v>8535</v>
      </c>
      <c r="C227" s="142"/>
      <c r="D227" s="145"/>
      <c r="E227" s="142" t="s">
        <v>242</v>
      </c>
      <c r="F227" s="142"/>
      <c r="G227" s="171" t="s">
        <v>1946</v>
      </c>
      <c r="H227" s="142" t="s">
        <v>8536</v>
      </c>
      <c r="I227" s="427" t="s">
        <v>198</v>
      </c>
      <c r="J227" s="155" t="s">
        <v>8448</v>
      </c>
      <c r="K227" s="155"/>
      <c r="L227" s="156" t="s">
        <v>191</v>
      </c>
      <c r="M227" s="331">
        <v>4</v>
      </c>
      <c r="N227" s="426"/>
      <c r="O227" s="151">
        <v>5</v>
      </c>
      <c r="P227" s="151" t="s">
        <v>199</v>
      </c>
      <c r="Q227" s="421"/>
    </row>
    <row r="228" spans="1:17" ht="22.5">
      <c r="A228" s="142" t="s">
        <v>8537</v>
      </c>
      <c r="B228" s="142" t="s">
        <v>8538</v>
      </c>
      <c r="C228" s="142"/>
      <c r="D228" s="145"/>
      <c r="E228" s="142" t="s">
        <v>242</v>
      </c>
      <c r="F228" s="142"/>
      <c r="G228" s="171" t="s">
        <v>1946</v>
      </c>
      <c r="H228" s="142" t="s">
        <v>8539</v>
      </c>
      <c r="I228" s="427" t="s">
        <v>198</v>
      </c>
      <c r="J228" s="155" t="s">
        <v>8448</v>
      </c>
      <c r="K228" s="155"/>
      <c r="L228" s="156" t="s">
        <v>191</v>
      </c>
      <c r="M228" s="331">
        <v>4</v>
      </c>
      <c r="N228" s="426"/>
      <c r="O228" s="151">
        <v>5</v>
      </c>
      <c r="P228" s="151" t="s">
        <v>199</v>
      </c>
      <c r="Q228" s="421"/>
    </row>
    <row r="229" spans="1:17" ht="22.5">
      <c r="A229" s="142" t="s">
        <v>8540</v>
      </c>
      <c r="B229" s="142" t="s">
        <v>8541</v>
      </c>
      <c r="C229" s="142"/>
      <c r="D229" s="145"/>
      <c r="E229" s="142" t="s">
        <v>242</v>
      </c>
      <c r="F229" s="142"/>
      <c r="G229" s="171" t="s">
        <v>1946</v>
      </c>
      <c r="H229" s="142" t="s">
        <v>8542</v>
      </c>
      <c r="I229" s="156" t="s">
        <v>188</v>
      </c>
      <c r="J229" s="155" t="s">
        <v>8456</v>
      </c>
      <c r="K229" s="155"/>
      <c r="L229" s="156" t="s">
        <v>191</v>
      </c>
      <c r="M229" s="331">
        <v>4</v>
      </c>
      <c r="N229" s="426"/>
      <c r="O229" s="151">
        <v>5</v>
      </c>
      <c r="P229" s="151" t="s">
        <v>199</v>
      </c>
      <c r="Q229" s="421"/>
    </row>
    <row r="230" spans="1:17" ht="22.5">
      <c r="A230" s="142" t="s">
        <v>8543</v>
      </c>
      <c r="B230" s="142" t="s">
        <v>8544</v>
      </c>
      <c r="C230" s="142"/>
      <c r="D230" s="145"/>
      <c r="E230" s="142" t="s">
        <v>242</v>
      </c>
      <c r="F230" s="142"/>
      <c r="G230" s="171" t="s">
        <v>1946</v>
      </c>
      <c r="H230" s="142" t="s">
        <v>8545</v>
      </c>
      <c r="I230" s="427" t="s">
        <v>204</v>
      </c>
      <c r="J230" s="155" t="s">
        <v>8483</v>
      </c>
      <c r="K230" s="155"/>
      <c r="L230" s="156" t="s">
        <v>191</v>
      </c>
      <c r="M230" s="331">
        <v>4</v>
      </c>
      <c r="N230" s="426"/>
      <c r="O230" s="151">
        <v>5</v>
      </c>
      <c r="P230" s="151" t="s">
        <v>199</v>
      </c>
      <c r="Q230" s="421"/>
    </row>
    <row r="231" spans="1:17" ht="22.5">
      <c r="A231" s="142" t="s">
        <v>8546</v>
      </c>
      <c r="B231" s="142" t="s">
        <v>8547</v>
      </c>
      <c r="C231" s="142"/>
      <c r="D231" s="145"/>
      <c r="E231" s="142" t="s">
        <v>242</v>
      </c>
      <c r="F231" s="142"/>
      <c r="G231" s="171" t="s">
        <v>1946</v>
      </c>
      <c r="H231" s="142" t="s">
        <v>8548</v>
      </c>
      <c r="I231" s="427" t="s">
        <v>204</v>
      </c>
      <c r="J231" s="155" t="s">
        <v>8448</v>
      </c>
      <c r="K231" s="155"/>
      <c r="L231" s="156" t="s">
        <v>191</v>
      </c>
      <c r="M231" s="331">
        <v>4</v>
      </c>
      <c r="N231" s="426"/>
      <c r="O231" s="151">
        <v>5</v>
      </c>
      <c r="P231" s="151" t="s">
        <v>199</v>
      </c>
      <c r="Q231" s="421"/>
    </row>
    <row r="232" spans="1:17" ht="22.5">
      <c r="A232" s="142" t="s">
        <v>8549</v>
      </c>
      <c r="B232" s="142" t="s">
        <v>8550</v>
      </c>
      <c r="C232" s="142"/>
      <c r="D232" s="145"/>
      <c r="E232" s="142" t="s">
        <v>242</v>
      </c>
      <c r="F232" s="142"/>
      <c r="G232" s="171" t="s">
        <v>1946</v>
      </c>
      <c r="H232" s="142" t="s">
        <v>8551</v>
      </c>
      <c r="I232" s="427" t="s">
        <v>204</v>
      </c>
      <c r="J232" s="155" t="s">
        <v>8490</v>
      </c>
      <c r="K232" s="155"/>
      <c r="L232" s="156" t="s">
        <v>191</v>
      </c>
      <c r="M232" s="331">
        <v>4</v>
      </c>
      <c r="N232" s="426"/>
      <c r="O232" s="151">
        <v>5</v>
      </c>
      <c r="P232" s="151" t="s">
        <v>199</v>
      </c>
      <c r="Q232" s="421"/>
    </row>
    <row r="233" spans="1:17" ht="33.75">
      <c r="A233" s="142" t="s">
        <v>8552</v>
      </c>
      <c r="B233" s="142" t="s">
        <v>8553</v>
      </c>
      <c r="C233" s="142"/>
      <c r="D233" s="145"/>
      <c r="E233" s="142" t="s">
        <v>242</v>
      </c>
      <c r="F233" s="142"/>
      <c r="G233" s="171" t="s">
        <v>1946</v>
      </c>
      <c r="H233" s="142" t="s">
        <v>8554</v>
      </c>
      <c r="I233" s="156" t="s">
        <v>204</v>
      </c>
      <c r="J233" s="155" t="s">
        <v>8494</v>
      </c>
      <c r="K233" s="155"/>
      <c r="L233" s="156" t="s">
        <v>191</v>
      </c>
      <c r="M233" s="331">
        <v>4</v>
      </c>
      <c r="N233" s="426"/>
      <c r="O233" s="151">
        <v>5</v>
      </c>
      <c r="P233" s="151" t="s">
        <v>199</v>
      </c>
      <c r="Q233" s="421"/>
    </row>
    <row r="234" spans="1:17" ht="33.75">
      <c r="A234" s="142" t="s">
        <v>8555</v>
      </c>
      <c r="B234" s="142" t="s">
        <v>8556</v>
      </c>
      <c r="C234" s="142"/>
      <c r="D234" s="145"/>
      <c r="E234" s="142" t="s">
        <v>242</v>
      </c>
      <c r="F234" s="142"/>
      <c r="G234" s="171" t="s">
        <v>1946</v>
      </c>
      <c r="H234" s="142" t="s">
        <v>8557</v>
      </c>
      <c r="I234" s="156" t="s">
        <v>204</v>
      </c>
      <c r="J234" s="155" t="s">
        <v>8494</v>
      </c>
      <c r="K234" s="155"/>
      <c r="L234" s="156" t="s">
        <v>191</v>
      </c>
      <c r="M234" s="331">
        <v>4</v>
      </c>
      <c r="N234" s="426"/>
      <c r="O234" s="151">
        <v>5</v>
      </c>
      <c r="P234" s="151" t="s">
        <v>199</v>
      </c>
      <c r="Q234" s="421"/>
    </row>
    <row r="235" spans="1:17" ht="33.75">
      <c r="A235" s="142" t="s">
        <v>8558</v>
      </c>
      <c r="B235" s="142" t="s">
        <v>8559</v>
      </c>
      <c r="C235" s="142"/>
      <c r="D235" s="145"/>
      <c r="E235" s="142" t="s">
        <v>242</v>
      </c>
      <c r="F235" s="142"/>
      <c r="G235" s="171" t="s">
        <v>6627</v>
      </c>
      <c r="H235" s="142" t="s">
        <v>8560</v>
      </c>
      <c r="I235" s="156" t="s">
        <v>204</v>
      </c>
      <c r="J235" s="155" t="s">
        <v>8494</v>
      </c>
      <c r="K235" s="155"/>
      <c r="L235" s="156" t="s">
        <v>191</v>
      </c>
      <c r="M235" s="331">
        <v>4</v>
      </c>
      <c r="N235" s="426"/>
      <c r="O235" s="151">
        <v>5</v>
      </c>
      <c r="P235" s="151" t="s">
        <v>199</v>
      </c>
      <c r="Q235" s="421"/>
    </row>
    <row r="236" spans="1:17" ht="45">
      <c r="A236" s="142" t="s">
        <v>8561</v>
      </c>
      <c r="B236" s="142" t="s">
        <v>8562</v>
      </c>
      <c r="C236" s="142"/>
      <c r="D236" s="145"/>
      <c r="E236" s="142" t="s">
        <v>242</v>
      </c>
      <c r="F236" s="142"/>
      <c r="G236" s="171" t="s">
        <v>6627</v>
      </c>
      <c r="H236" s="142" t="s">
        <v>8563</v>
      </c>
      <c r="I236" s="156" t="s">
        <v>204</v>
      </c>
      <c r="J236" s="155" t="s">
        <v>8494</v>
      </c>
      <c r="K236" s="155"/>
      <c r="L236" s="156" t="s">
        <v>191</v>
      </c>
      <c r="M236" s="331">
        <v>4</v>
      </c>
      <c r="N236" s="426"/>
      <c r="O236" s="151">
        <v>5</v>
      </c>
      <c r="P236" s="151" t="s">
        <v>199</v>
      </c>
      <c r="Q236" s="421"/>
    </row>
    <row r="237" spans="1:17" ht="45">
      <c r="A237" s="142" t="s">
        <v>8564</v>
      </c>
      <c r="B237" s="142" t="s">
        <v>8565</v>
      </c>
      <c r="C237" s="142"/>
      <c r="D237" s="145"/>
      <c r="E237" s="142" t="s">
        <v>242</v>
      </c>
      <c r="F237" s="142"/>
      <c r="G237" s="171" t="s">
        <v>1946</v>
      </c>
      <c r="H237" s="142" t="s">
        <v>8566</v>
      </c>
      <c r="I237" s="156" t="s">
        <v>204</v>
      </c>
      <c r="J237" s="155" t="s">
        <v>8490</v>
      </c>
      <c r="K237" s="155"/>
      <c r="L237" s="156" t="s">
        <v>191</v>
      </c>
      <c r="M237" s="331">
        <v>4</v>
      </c>
      <c r="N237" s="426"/>
      <c r="O237" s="151">
        <v>5</v>
      </c>
      <c r="P237" s="151" t="s">
        <v>199</v>
      </c>
      <c r="Q237" s="421"/>
    </row>
    <row r="238" spans="1:17" ht="22.5">
      <c r="A238" s="142" t="s">
        <v>8567</v>
      </c>
      <c r="B238" s="142" t="s">
        <v>8568</v>
      </c>
      <c r="C238" s="142"/>
      <c r="D238" s="145"/>
      <c r="E238" s="142" t="s">
        <v>242</v>
      </c>
      <c r="F238" s="142"/>
      <c r="G238" s="171" t="s">
        <v>1946</v>
      </c>
      <c r="H238" s="142" t="s">
        <v>8511</v>
      </c>
      <c r="I238" s="427" t="s">
        <v>204</v>
      </c>
      <c r="J238" s="155" t="s">
        <v>8448</v>
      </c>
      <c r="K238" s="155"/>
      <c r="L238" s="156" t="s">
        <v>191</v>
      </c>
      <c r="M238" s="331">
        <v>4</v>
      </c>
      <c r="N238" s="426"/>
      <c r="O238" s="151">
        <v>5</v>
      </c>
      <c r="P238" s="151" t="s">
        <v>199</v>
      </c>
      <c r="Q238" s="421"/>
    </row>
    <row r="239" spans="1:17" ht="22.5">
      <c r="A239" s="142" t="s">
        <v>8569</v>
      </c>
      <c r="B239" s="142" t="s">
        <v>8570</v>
      </c>
      <c r="C239" s="142"/>
      <c r="D239" s="145"/>
      <c r="E239" s="142" t="s">
        <v>242</v>
      </c>
      <c r="F239" s="142"/>
      <c r="G239" s="171" t="s">
        <v>6467</v>
      </c>
      <c r="H239" s="142" t="s">
        <v>8571</v>
      </c>
      <c r="I239" s="156" t="s">
        <v>188</v>
      </c>
      <c r="J239" s="155" t="s">
        <v>8456</v>
      </c>
      <c r="K239" s="155"/>
      <c r="L239" s="156" t="s">
        <v>191</v>
      </c>
      <c r="M239" s="331">
        <v>4</v>
      </c>
      <c r="N239" s="426"/>
      <c r="O239" s="151">
        <v>5</v>
      </c>
      <c r="P239" s="151" t="s">
        <v>199</v>
      </c>
      <c r="Q239" s="421"/>
    </row>
    <row r="240" spans="1:17" ht="11.25">
      <c r="A240" s="142" t="s">
        <v>8572</v>
      </c>
      <c r="B240" s="142" t="s">
        <v>8573</v>
      </c>
      <c r="C240" s="142"/>
      <c r="D240" s="145"/>
      <c r="E240" s="142" t="s">
        <v>242</v>
      </c>
      <c r="F240" s="142"/>
      <c r="G240" s="171" t="s">
        <v>8467</v>
      </c>
      <c r="H240" s="142" t="s">
        <v>8574</v>
      </c>
      <c r="I240" s="156" t="s">
        <v>198</v>
      </c>
      <c r="J240" s="155"/>
      <c r="K240" s="155"/>
      <c r="L240" s="156" t="s">
        <v>191</v>
      </c>
      <c r="M240" s="331">
        <v>4</v>
      </c>
      <c r="N240" s="426"/>
      <c r="O240" s="151">
        <v>5</v>
      </c>
      <c r="P240" s="151" t="s">
        <v>199</v>
      </c>
      <c r="Q240" s="421"/>
    </row>
    <row r="241" spans="1:17" ht="11.25">
      <c r="A241" s="142" t="s">
        <v>8575</v>
      </c>
      <c r="B241" s="142" t="s">
        <v>8576</v>
      </c>
      <c r="C241" s="142"/>
      <c r="D241" s="145"/>
      <c r="E241" s="142" t="s">
        <v>242</v>
      </c>
      <c r="F241" s="142"/>
      <c r="G241" s="171" t="s">
        <v>6757</v>
      </c>
      <c r="H241" s="142" t="s">
        <v>8577</v>
      </c>
      <c r="I241" s="156" t="s">
        <v>198</v>
      </c>
      <c r="J241" s="155"/>
      <c r="K241" s="155"/>
      <c r="L241" s="156" t="s">
        <v>191</v>
      </c>
      <c r="M241" s="331">
        <v>4</v>
      </c>
      <c r="N241" s="426"/>
      <c r="O241" s="151">
        <v>5</v>
      </c>
      <c r="P241" s="151" t="s">
        <v>199</v>
      </c>
      <c r="Q241" s="421"/>
    </row>
    <row r="242" spans="1:17" ht="11.25">
      <c r="A242" s="142" t="s">
        <v>8578</v>
      </c>
      <c r="B242" s="142" t="s">
        <v>8579</v>
      </c>
      <c r="C242" s="142"/>
      <c r="D242" s="145"/>
      <c r="E242" s="142" t="s">
        <v>242</v>
      </c>
      <c r="F242" s="142"/>
      <c r="G242" s="171" t="s">
        <v>6757</v>
      </c>
      <c r="H242" s="142" t="s">
        <v>8580</v>
      </c>
      <c r="I242" s="156" t="s">
        <v>198</v>
      </c>
      <c r="J242" s="155"/>
      <c r="K242" s="155"/>
      <c r="L242" s="156" t="s">
        <v>191</v>
      </c>
      <c r="M242" s="331">
        <v>4</v>
      </c>
      <c r="N242" s="426"/>
      <c r="O242" s="151">
        <v>5</v>
      </c>
      <c r="P242" s="151" t="s">
        <v>199</v>
      </c>
      <c r="Q242" s="421"/>
    </row>
    <row r="243" spans="1:17" ht="22.5">
      <c r="A243" s="142" t="s">
        <v>8581</v>
      </c>
      <c r="B243" s="142" t="s">
        <v>8582</v>
      </c>
      <c r="C243" s="142"/>
      <c r="D243" s="145"/>
      <c r="E243" s="142" t="s">
        <v>242</v>
      </c>
      <c r="F243" s="142"/>
      <c r="G243" s="171" t="s">
        <v>6757</v>
      </c>
      <c r="H243" s="142" t="s">
        <v>8583</v>
      </c>
      <c r="I243" s="156" t="s">
        <v>198</v>
      </c>
      <c r="J243" s="155" t="s">
        <v>8584</v>
      </c>
      <c r="K243" s="155"/>
      <c r="L243" s="156" t="s">
        <v>191</v>
      </c>
      <c r="M243" s="331">
        <v>4</v>
      </c>
      <c r="N243" s="426"/>
      <c r="O243" s="151">
        <v>5</v>
      </c>
      <c r="P243" s="151" t="s">
        <v>199</v>
      </c>
      <c r="Q243" s="421"/>
    </row>
    <row r="244" spans="1:17" ht="11.25">
      <c r="A244" s="142" t="s">
        <v>8585</v>
      </c>
      <c r="B244" s="142" t="s">
        <v>8586</v>
      </c>
      <c r="C244" s="142"/>
      <c r="D244" s="145"/>
      <c r="E244" s="142" t="s">
        <v>242</v>
      </c>
      <c r="F244" s="142"/>
      <c r="G244" s="171" t="s">
        <v>6627</v>
      </c>
      <c r="H244" s="142" t="s">
        <v>8587</v>
      </c>
      <c r="I244" s="156" t="s">
        <v>198</v>
      </c>
      <c r="J244" s="155"/>
      <c r="K244" s="155"/>
      <c r="L244" s="156" t="s">
        <v>191</v>
      </c>
      <c r="M244" s="331">
        <v>4</v>
      </c>
      <c r="N244" s="426"/>
      <c r="O244" s="151">
        <v>5</v>
      </c>
      <c r="P244" s="151" t="s">
        <v>199</v>
      </c>
      <c r="Q244" s="421"/>
    </row>
    <row r="245" spans="1:17" ht="11.25">
      <c r="A245" s="142" t="s">
        <v>8588</v>
      </c>
      <c r="B245" s="142" t="s">
        <v>8589</v>
      </c>
      <c r="C245" s="142"/>
      <c r="D245" s="145"/>
      <c r="E245" s="142" t="s">
        <v>242</v>
      </c>
      <c r="F245" s="142"/>
      <c r="G245" s="171" t="s">
        <v>6627</v>
      </c>
      <c r="H245" s="142" t="s">
        <v>8590</v>
      </c>
      <c r="I245" s="156" t="s">
        <v>198</v>
      </c>
      <c r="J245" s="155"/>
      <c r="K245" s="155"/>
      <c r="L245" s="156" t="s">
        <v>191</v>
      </c>
      <c r="M245" s="331">
        <v>4</v>
      </c>
      <c r="N245" s="426"/>
      <c r="O245" s="151">
        <v>5</v>
      </c>
      <c r="P245" s="151" t="s">
        <v>199</v>
      </c>
      <c r="Q245" s="421"/>
    </row>
    <row r="246" spans="1:17" ht="11.25">
      <c r="A246" s="142" t="s">
        <v>8591</v>
      </c>
      <c r="B246" s="142" t="s">
        <v>8592</v>
      </c>
      <c r="C246" s="142"/>
      <c r="D246" s="145"/>
      <c r="E246" s="142" t="s">
        <v>242</v>
      </c>
      <c r="F246" s="142"/>
      <c r="G246" s="171" t="s">
        <v>6627</v>
      </c>
      <c r="H246" s="142" t="s">
        <v>8593</v>
      </c>
      <c r="I246" s="156" t="s">
        <v>198</v>
      </c>
      <c r="J246" s="155"/>
      <c r="K246" s="155"/>
      <c r="L246" s="156" t="s">
        <v>191</v>
      </c>
      <c r="M246" s="331">
        <v>4</v>
      </c>
      <c r="N246" s="426"/>
      <c r="O246" s="151">
        <v>5</v>
      </c>
      <c r="P246" s="151" t="s">
        <v>199</v>
      </c>
      <c r="Q246" s="421"/>
    </row>
    <row r="247" spans="1:17" ht="11.25">
      <c r="A247" s="142" t="s">
        <v>8594</v>
      </c>
      <c r="B247" s="142" t="s">
        <v>8595</v>
      </c>
      <c r="C247" s="142"/>
      <c r="D247" s="145"/>
      <c r="E247" s="142" t="s">
        <v>242</v>
      </c>
      <c r="F247" s="142"/>
      <c r="G247" s="171" t="s">
        <v>6627</v>
      </c>
      <c r="H247" s="142" t="s">
        <v>8596</v>
      </c>
      <c r="I247" s="156" t="s">
        <v>198</v>
      </c>
      <c r="J247" s="155"/>
      <c r="K247" s="155"/>
      <c r="L247" s="156" t="s">
        <v>191</v>
      </c>
      <c r="M247" s="331">
        <v>4</v>
      </c>
      <c r="N247" s="426"/>
      <c r="O247" s="151">
        <v>5</v>
      </c>
      <c r="P247" s="151" t="s">
        <v>199</v>
      </c>
      <c r="Q247" s="421"/>
    </row>
    <row r="248" spans="1:17" ht="22.5">
      <c r="A248" s="142" t="s">
        <v>8597</v>
      </c>
      <c r="B248" s="142" t="s">
        <v>8598</v>
      </c>
      <c r="C248" s="142"/>
      <c r="D248" s="145"/>
      <c r="E248" s="142" t="s">
        <v>242</v>
      </c>
      <c r="F248" s="142"/>
      <c r="G248" s="171" t="s">
        <v>6627</v>
      </c>
      <c r="H248" s="142" t="s">
        <v>8599</v>
      </c>
      <c r="I248" s="156" t="s">
        <v>198</v>
      </c>
      <c r="J248" s="155"/>
      <c r="K248" s="155"/>
      <c r="L248" s="156" t="s">
        <v>191</v>
      </c>
      <c r="M248" s="331">
        <v>4</v>
      </c>
      <c r="N248" s="426"/>
      <c r="O248" s="151">
        <v>5</v>
      </c>
      <c r="P248" s="151" t="s">
        <v>199</v>
      </c>
      <c r="Q248" s="421"/>
    </row>
    <row r="249" spans="1:17" ht="22.5">
      <c r="A249" s="142" t="s">
        <v>8600</v>
      </c>
      <c r="B249" s="142" t="s">
        <v>8601</v>
      </c>
      <c r="C249" s="142"/>
      <c r="D249" s="145"/>
      <c r="E249" s="142" t="s">
        <v>242</v>
      </c>
      <c r="F249" s="142"/>
      <c r="G249" s="171" t="s">
        <v>1946</v>
      </c>
      <c r="H249" s="142" t="s">
        <v>8602</v>
      </c>
      <c r="I249" s="156" t="s">
        <v>204</v>
      </c>
      <c r="J249" s="155" t="s">
        <v>8603</v>
      </c>
      <c r="K249" s="155"/>
      <c r="L249" s="156" t="s">
        <v>191</v>
      </c>
      <c r="M249" s="331">
        <v>4</v>
      </c>
      <c r="N249" s="426"/>
      <c r="O249" s="151">
        <v>5</v>
      </c>
      <c r="P249" s="151" t="s">
        <v>199</v>
      </c>
      <c r="Q249" s="421"/>
    </row>
    <row r="250" spans="1:17" ht="22.5">
      <c r="A250" s="142" t="s">
        <v>8604</v>
      </c>
      <c r="B250" s="142" t="s">
        <v>8605</v>
      </c>
      <c r="C250" s="142"/>
      <c r="D250" s="145"/>
      <c r="E250" s="142" t="s">
        <v>242</v>
      </c>
      <c r="F250" s="142"/>
      <c r="G250" s="171" t="s">
        <v>1946</v>
      </c>
      <c r="H250" s="142" t="s">
        <v>8606</v>
      </c>
      <c r="I250" s="156" t="s">
        <v>204</v>
      </c>
      <c r="J250" s="155" t="s">
        <v>8603</v>
      </c>
      <c r="K250" s="155"/>
      <c r="L250" s="156" t="s">
        <v>191</v>
      </c>
      <c r="M250" s="331">
        <v>4</v>
      </c>
      <c r="N250" s="426"/>
      <c r="O250" s="151">
        <v>5</v>
      </c>
      <c r="P250" s="151" t="s">
        <v>199</v>
      </c>
      <c r="Q250" s="421"/>
    </row>
    <row r="251" spans="1:17" ht="22.5">
      <c r="A251" s="142" t="s">
        <v>8607</v>
      </c>
      <c r="B251" s="142" t="s">
        <v>8608</v>
      </c>
      <c r="C251" s="142"/>
      <c r="D251" s="145"/>
      <c r="E251" s="142" t="s">
        <v>242</v>
      </c>
      <c r="F251" s="142"/>
      <c r="G251" s="171" t="s">
        <v>1946</v>
      </c>
      <c r="H251" s="142" t="s">
        <v>8609</v>
      </c>
      <c r="I251" s="156" t="s">
        <v>204</v>
      </c>
      <c r="J251" s="155" t="s">
        <v>8603</v>
      </c>
      <c r="K251" s="155"/>
      <c r="L251" s="156" t="s">
        <v>191</v>
      </c>
      <c r="M251" s="331">
        <v>4</v>
      </c>
      <c r="N251" s="426"/>
      <c r="O251" s="151">
        <v>5</v>
      </c>
      <c r="P251" s="151" t="s">
        <v>199</v>
      </c>
      <c r="Q251" s="421"/>
    </row>
    <row r="252" spans="1:17" ht="22.5">
      <c r="A252" s="142" t="s">
        <v>8610</v>
      </c>
      <c r="B252" s="142" t="s">
        <v>8611</v>
      </c>
      <c r="C252" s="142"/>
      <c r="D252" s="145"/>
      <c r="E252" s="142" t="s">
        <v>242</v>
      </c>
      <c r="F252" s="142"/>
      <c r="G252" s="171" t="s">
        <v>1946</v>
      </c>
      <c r="H252" s="142" t="s">
        <v>8612</v>
      </c>
      <c r="I252" s="156" t="s">
        <v>204</v>
      </c>
      <c r="J252" s="155" t="s">
        <v>8603</v>
      </c>
      <c r="K252" s="155"/>
      <c r="L252" s="156" t="s">
        <v>191</v>
      </c>
      <c r="M252" s="331">
        <v>4</v>
      </c>
      <c r="N252" s="426"/>
      <c r="O252" s="151">
        <v>5</v>
      </c>
      <c r="P252" s="151" t="s">
        <v>199</v>
      </c>
      <c r="Q252" s="421"/>
    </row>
    <row r="253" spans="1:17" ht="22.5">
      <c r="A253" s="142" t="s">
        <v>8613</v>
      </c>
      <c r="B253" s="142" t="s">
        <v>8614</v>
      </c>
      <c r="C253" s="142"/>
      <c r="D253" s="145"/>
      <c r="E253" s="142" t="s">
        <v>242</v>
      </c>
      <c r="F253" s="142"/>
      <c r="G253" s="171" t="s">
        <v>1946</v>
      </c>
      <c r="H253" s="142" t="s">
        <v>8615</v>
      </c>
      <c r="I253" s="156" t="s">
        <v>204</v>
      </c>
      <c r="J253" s="155" t="s">
        <v>8603</v>
      </c>
      <c r="K253" s="155"/>
      <c r="L253" s="156" t="s">
        <v>191</v>
      </c>
      <c r="M253" s="331">
        <v>4</v>
      </c>
      <c r="N253" s="426"/>
      <c r="O253" s="151">
        <v>5</v>
      </c>
      <c r="P253" s="151" t="s">
        <v>199</v>
      </c>
      <c r="Q253" s="421"/>
    </row>
    <row r="254" spans="1:17" ht="22.5">
      <c r="A254" s="142" t="s">
        <v>8616</v>
      </c>
      <c r="B254" s="142" t="s">
        <v>8617</v>
      </c>
      <c r="C254" s="142"/>
      <c r="D254" s="145"/>
      <c r="E254" s="142" t="s">
        <v>242</v>
      </c>
      <c r="F254" s="142"/>
      <c r="G254" s="171" t="s">
        <v>1946</v>
      </c>
      <c r="H254" s="142" t="s">
        <v>8618</v>
      </c>
      <c r="I254" s="156" t="s">
        <v>204</v>
      </c>
      <c r="J254" s="155" t="s">
        <v>8619</v>
      </c>
      <c r="K254" s="155"/>
      <c r="L254" s="156" t="s">
        <v>191</v>
      </c>
      <c r="M254" s="331">
        <v>4</v>
      </c>
      <c r="N254" s="426"/>
      <c r="O254" s="151">
        <v>5</v>
      </c>
      <c r="P254" s="151" t="s">
        <v>199</v>
      </c>
      <c r="Q254" s="421"/>
    </row>
    <row r="255" spans="1:17" ht="22.5">
      <c r="A255" s="142" t="s">
        <v>8620</v>
      </c>
      <c r="B255" s="142" t="s">
        <v>8621</v>
      </c>
      <c r="C255" s="142"/>
      <c r="D255" s="145"/>
      <c r="E255" s="142" t="s">
        <v>242</v>
      </c>
      <c r="F255" s="142"/>
      <c r="G255" s="171" t="s">
        <v>1946</v>
      </c>
      <c r="H255" s="142" t="s">
        <v>8622</v>
      </c>
      <c r="I255" s="156" t="s">
        <v>204</v>
      </c>
      <c r="J255" s="155" t="s">
        <v>8619</v>
      </c>
      <c r="K255" s="155"/>
      <c r="L255" s="156" t="s">
        <v>191</v>
      </c>
      <c r="M255" s="331">
        <v>4</v>
      </c>
      <c r="N255" s="426"/>
      <c r="O255" s="151">
        <v>5</v>
      </c>
      <c r="P255" s="151" t="s">
        <v>199</v>
      </c>
      <c r="Q255" s="421"/>
    </row>
    <row r="256" spans="1:17" ht="22.5">
      <c r="A256" s="142" t="s">
        <v>8623</v>
      </c>
      <c r="B256" s="142" t="s">
        <v>8624</v>
      </c>
      <c r="C256" s="142"/>
      <c r="D256" s="145"/>
      <c r="E256" s="142" t="s">
        <v>242</v>
      </c>
      <c r="F256" s="142"/>
      <c r="G256" s="171" t="s">
        <v>1946</v>
      </c>
      <c r="H256" s="142" t="s">
        <v>8625</v>
      </c>
      <c r="I256" s="156" t="s">
        <v>204</v>
      </c>
      <c r="J256" s="155" t="s">
        <v>8619</v>
      </c>
      <c r="K256" s="155"/>
      <c r="L256" s="156" t="s">
        <v>191</v>
      </c>
      <c r="M256" s="331">
        <v>4</v>
      </c>
      <c r="N256" s="426"/>
      <c r="O256" s="151">
        <v>5</v>
      </c>
      <c r="P256" s="151" t="s">
        <v>199</v>
      </c>
      <c r="Q256" s="421"/>
    </row>
    <row r="257" spans="1:17" ht="33.75">
      <c r="A257" s="142" t="s">
        <v>8626</v>
      </c>
      <c r="B257" s="142" t="s">
        <v>8627</v>
      </c>
      <c r="C257" s="142"/>
      <c r="D257" s="145"/>
      <c r="E257" s="142" t="s">
        <v>242</v>
      </c>
      <c r="F257" s="142"/>
      <c r="G257" s="171" t="s">
        <v>1946</v>
      </c>
      <c r="H257" s="142" t="s">
        <v>8628</v>
      </c>
      <c r="I257" s="156" t="s">
        <v>188</v>
      </c>
      <c r="J257" s="155" t="s">
        <v>8416</v>
      </c>
      <c r="K257" s="155"/>
      <c r="L257" s="156" t="s">
        <v>191</v>
      </c>
      <c r="M257" s="331">
        <v>4</v>
      </c>
      <c r="N257" s="426"/>
      <c r="O257" s="151">
        <v>5</v>
      </c>
      <c r="P257" s="151" t="s">
        <v>199</v>
      </c>
      <c r="Q257" s="421"/>
    </row>
    <row r="258" spans="1:17" ht="33.75">
      <c r="A258" s="142" t="s">
        <v>8629</v>
      </c>
      <c r="B258" s="142" t="s">
        <v>8630</v>
      </c>
      <c r="C258" s="142"/>
      <c r="D258" s="145"/>
      <c r="E258" s="142" t="s">
        <v>242</v>
      </c>
      <c r="F258" s="142"/>
      <c r="G258" s="171" t="s">
        <v>1946</v>
      </c>
      <c r="H258" s="142" t="s">
        <v>8631</v>
      </c>
      <c r="I258" s="156" t="s">
        <v>188</v>
      </c>
      <c r="J258" s="155" t="s">
        <v>8416</v>
      </c>
      <c r="K258" s="155"/>
      <c r="L258" s="156" t="s">
        <v>191</v>
      </c>
      <c r="M258" s="331">
        <v>4</v>
      </c>
      <c r="N258" s="426"/>
      <c r="O258" s="151">
        <v>5</v>
      </c>
      <c r="P258" s="151" t="s">
        <v>199</v>
      </c>
      <c r="Q258" s="421"/>
    </row>
    <row r="259" spans="1:17" ht="45">
      <c r="A259" s="142" t="s">
        <v>7942</v>
      </c>
      <c r="B259" s="142" t="s">
        <v>463</v>
      </c>
      <c r="C259" s="142"/>
      <c r="D259" s="142"/>
      <c r="E259" s="142" t="s">
        <v>242</v>
      </c>
      <c r="F259" s="142"/>
      <c r="G259" s="141" t="s">
        <v>6627</v>
      </c>
      <c r="H259" s="145" t="s">
        <v>8632</v>
      </c>
      <c r="I259" s="155" t="s">
        <v>466</v>
      </c>
      <c r="J259" s="156" t="s">
        <v>8633</v>
      </c>
      <c r="K259" s="156"/>
      <c r="L259" s="156" t="s">
        <v>191</v>
      </c>
      <c r="M259" s="331">
        <v>4</v>
      </c>
      <c r="N259" s="426"/>
      <c r="O259" s="151">
        <v>4</v>
      </c>
      <c r="P259" s="151" t="s">
        <v>199</v>
      </c>
      <c r="Q259" s="421"/>
    </row>
    <row r="260" spans="1:17" ht="22.5">
      <c r="A260" s="142" t="s">
        <v>8634</v>
      </c>
      <c r="B260" s="142" t="s">
        <v>8635</v>
      </c>
      <c r="C260" s="142"/>
      <c r="D260" s="145"/>
      <c r="E260" s="142" t="s">
        <v>242</v>
      </c>
      <c r="F260" s="142"/>
      <c r="G260" s="171" t="s">
        <v>6627</v>
      </c>
      <c r="H260" s="142" t="s">
        <v>8636</v>
      </c>
      <c r="I260" s="156" t="s">
        <v>188</v>
      </c>
      <c r="J260" s="155" t="s">
        <v>8365</v>
      </c>
      <c r="K260" s="155"/>
      <c r="L260" s="156" t="s">
        <v>191</v>
      </c>
      <c r="M260" s="331">
        <v>4</v>
      </c>
      <c r="N260" s="426"/>
      <c r="O260" s="151">
        <v>5</v>
      </c>
      <c r="P260" s="151" t="s">
        <v>199</v>
      </c>
      <c r="Q260" s="421"/>
    </row>
    <row r="261" spans="1:17" ht="11.25">
      <c r="A261" s="142" t="s">
        <v>8637</v>
      </c>
      <c r="B261" s="142" t="s">
        <v>8638</v>
      </c>
      <c r="C261" s="142"/>
      <c r="D261" s="145"/>
      <c r="E261" s="142" t="s">
        <v>242</v>
      </c>
      <c r="F261" s="142"/>
      <c r="G261" s="171" t="s">
        <v>6627</v>
      </c>
      <c r="H261" s="142" t="s">
        <v>8639</v>
      </c>
      <c r="I261" s="156" t="s">
        <v>198</v>
      </c>
      <c r="J261" s="155">
        <v>9999.99</v>
      </c>
      <c r="K261" s="155"/>
      <c r="L261" s="156" t="s">
        <v>191</v>
      </c>
      <c r="M261" s="331">
        <v>4</v>
      </c>
      <c r="N261" s="426"/>
      <c r="O261" s="151">
        <v>5</v>
      </c>
      <c r="P261" s="151" t="s">
        <v>199</v>
      </c>
      <c r="Q261" s="421"/>
    </row>
    <row r="262" spans="1:17" ht="11.25">
      <c r="A262" s="142" t="s">
        <v>8640</v>
      </c>
      <c r="B262" s="142" t="s">
        <v>8641</v>
      </c>
      <c r="C262" s="142"/>
      <c r="D262" s="145"/>
      <c r="E262" s="142" t="s">
        <v>242</v>
      </c>
      <c r="F262" s="142"/>
      <c r="G262" s="171" t="s">
        <v>6627</v>
      </c>
      <c r="H262" s="142" t="s">
        <v>8642</v>
      </c>
      <c r="I262" s="156" t="s">
        <v>198</v>
      </c>
      <c r="J262" s="155">
        <v>99.99</v>
      </c>
      <c r="K262" s="155"/>
      <c r="L262" s="156" t="s">
        <v>191</v>
      </c>
      <c r="M262" s="331">
        <v>4</v>
      </c>
      <c r="N262" s="426"/>
      <c r="O262" s="151">
        <v>5</v>
      </c>
      <c r="P262" s="151" t="s">
        <v>199</v>
      </c>
      <c r="Q262" s="421"/>
    </row>
    <row r="263" spans="1:17" ht="22.5">
      <c r="A263" s="142" t="s">
        <v>8643</v>
      </c>
      <c r="B263" s="142" t="s">
        <v>8644</v>
      </c>
      <c r="C263" s="142"/>
      <c r="D263" s="145"/>
      <c r="E263" s="142" t="s">
        <v>242</v>
      </c>
      <c r="F263" s="142"/>
      <c r="G263" s="171" t="s">
        <v>8645</v>
      </c>
      <c r="H263" s="142" t="s">
        <v>8646</v>
      </c>
      <c r="I263" s="156" t="s">
        <v>188</v>
      </c>
      <c r="J263" s="155" t="s">
        <v>8365</v>
      </c>
      <c r="K263" s="155"/>
      <c r="L263" s="156" t="s">
        <v>191</v>
      </c>
      <c r="M263" s="331">
        <v>4</v>
      </c>
      <c r="N263" s="426"/>
      <c r="O263" s="151">
        <v>5</v>
      </c>
      <c r="P263" s="151" t="s">
        <v>199</v>
      </c>
      <c r="Q263" s="421"/>
    </row>
    <row r="264" spans="1:17" ht="11.25">
      <c r="A264" s="142" t="s">
        <v>8647</v>
      </c>
      <c r="B264" s="142" t="s">
        <v>8648</v>
      </c>
      <c r="C264" s="142"/>
      <c r="D264" s="145"/>
      <c r="E264" s="142" t="s">
        <v>242</v>
      </c>
      <c r="F264" s="142"/>
      <c r="G264" s="171" t="s">
        <v>8645</v>
      </c>
      <c r="H264" s="142" t="s">
        <v>8649</v>
      </c>
      <c r="I264" s="156" t="s">
        <v>198</v>
      </c>
      <c r="J264" s="155">
        <v>9999.99</v>
      </c>
      <c r="K264" s="155"/>
      <c r="L264" s="156" t="s">
        <v>191</v>
      </c>
      <c r="M264" s="331">
        <v>4</v>
      </c>
      <c r="N264" s="426"/>
      <c r="O264" s="151">
        <v>5</v>
      </c>
      <c r="P264" s="151" t="s">
        <v>199</v>
      </c>
      <c r="Q264" s="421"/>
    </row>
    <row r="265" spans="1:17" ht="11.25">
      <c r="A265" s="142" t="s">
        <v>8650</v>
      </c>
      <c r="B265" s="142" t="s">
        <v>8651</v>
      </c>
      <c r="C265" s="142"/>
      <c r="D265" s="145"/>
      <c r="E265" s="142" t="s">
        <v>242</v>
      </c>
      <c r="F265" s="142"/>
      <c r="G265" s="171" t="s">
        <v>8645</v>
      </c>
      <c r="H265" s="142" t="s">
        <v>8652</v>
      </c>
      <c r="I265" s="156" t="s">
        <v>198</v>
      </c>
      <c r="J265" s="155">
        <v>99.99</v>
      </c>
      <c r="K265" s="155"/>
      <c r="L265" s="156" t="s">
        <v>191</v>
      </c>
      <c r="M265" s="331">
        <v>4</v>
      </c>
      <c r="N265" s="426"/>
      <c r="O265" s="151">
        <v>5</v>
      </c>
      <c r="P265" s="151" t="s">
        <v>199</v>
      </c>
      <c r="Q265" s="421"/>
    </row>
    <row r="266" spans="1:17" ht="22.5">
      <c r="A266" s="142" t="s">
        <v>8653</v>
      </c>
      <c r="B266" s="142" t="s">
        <v>8654</v>
      </c>
      <c r="C266" s="142"/>
      <c r="D266" s="145"/>
      <c r="E266" s="142" t="s">
        <v>242</v>
      </c>
      <c r="F266" s="142"/>
      <c r="G266" s="171" t="s">
        <v>6627</v>
      </c>
      <c r="H266" s="142" t="s">
        <v>8655</v>
      </c>
      <c r="I266" s="156" t="s">
        <v>188</v>
      </c>
      <c r="J266" s="155" t="s">
        <v>8365</v>
      </c>
      <c r="K266" s="155"/>
      <c r="L266" s="156" t="s">
        <v>191</v>
      </c>
      <c r="M266" s="331">
        <v>4</v>
      </c>
      <c r="N266" s="426"/>
      <c r="O266" s="151">
        <v>5</v>
      </c>
      <c r="P266" s="151" t="s">
        <v>199</v>
      </c>
      <c r="Q266" s="421"/>
    </row>
    <row r="267" spans="1:17" ht="22.5">
      <c r="A267" s="142" t="s">
        <v>8656</v>
      </c>
      <c r="B267" s="142" t="s">
        <v>8657</v>
      </c>
      <c r="C267" s="142"/>
      <c r="D267" s="145"/>
      <c r="E267" s="142" t="s">
        <v>242</v>
      </c>
      <c r="F267" s="142"/>
      <c r="G267" s="171" t="s">
        <v>6627</v>
      </c>
      <c r="H267" s="142" t="s">
        <v>8658</v>
      </c>
      <c r="I267" s="156" t="s">
        <v>188</v>
      </c>
      <c r="J267" s="155" t="s">
        <v>8365</v>
      </c>
      <c r="K267" s="155"/>
      <c r="L267" s="156" t="s">
        <v>191</v>
      </c>
      <c r="M267" s="331">
        <v>4</v>
      </c>
      <c r="N267" s="426"/>
      <c r="O267" s="151">
        <v>5</v>
      </c>
      <c r="P267" s="151" t="s">
        <v>199</v>
      </c>
      <c r="Q267" s="421"/>
    </row>
    <row r="268" spans="1:17" ht="22.5">
      <c r="A268" s="142" t="s">
        <v>8659</v>
      </c>
      <c r="B268" s="142" t="s">
        <v>8660</v>
      </c>
      <c r="C268" s="142"/>
      <c r="D268" s="145"/>
      <c r="E268" s="142" t="s">
        <v>242</v>
      </c>
      <c r="F268" s="142"/>
      <c r="G268" s="171" t="s">
        <v>6627</v>
      </c>
      <c r="H268" s="142" t="s">
        <v>8661</v>
      </c>
      <c r="I268" s="156" t="s">
        <v>188</v>
      </c>
      <c r="J268" s="155" t="s">
        <v>8365</v>
      </c>
      <c r="K268" s="155"/>
      <c r="L268" s="156" t="s">
        <v>191</v>
      </c>
      <c r="M268" s="331">
        <v>4</v>
      </c>
      <c r="N268" s="426"/>
      <c r="O268" s="151">
        <v>5</v>
      </c>
      <c r="P268" s="151" t="s">
        <v>199</v>
      </c>
      <c r="Q268" s="421"/>
    </row>
    <row r="269" spans="1:17" ht="22.5">
      <c r="A269" s="142" t="s">
        <v>8662</v>
      </c>
      <c r="B269" s="142" t="s">
        <v>8663</v>
      </c>
      <c r="C269" s="142"/>
      <c r="D269" s="145"/>
      <c r="E269" s="142" t="s">
        <v>242</v>
      </c>
      <c r="F269" s="142"/>
      <c r="G269" s="171" t="s">
        <v>6627</v>
      </c>
      <c r="H269" s="142" t="s">
        <v>8664</v>
      </c>
      <c r="I269" s="156" t="s">
        <v>188</v>
      </c>
      <c r="J269" s="155" t="s">
        <v>8365</v>
      </c>
      <c r="K269" s="155"/>
      <c r="L269" s="156" t="s">
        <v>191</v>
      </c>
      <c r="M269" s="331">
        <v>4</v>
      </c>
      <c r="N269" s="426"/>
      <c r="O269" s="151">
        <v>5</v>
      </c>
      <c r="P269" s="151" t="s">
        <v>199</v>
      </c>
      <c r="Q269" s="421"/>
    </row>
    <row r="270" spans="1:17" ht="22.5">
      <c r="A270" s="142" t="s">
        <v>8665</v>
      </c>
      <c r="B270" s="142" t="s">
        <v>8666</v>
      </c>
      <c r="C270" s="142"/>
      <c r="D270" s="145"/>
      <c r="E270" s="142" t="s">
        <v>242</v>
      </c>
      <c r="F270" s="142"/>
      <c r="G270" s="171" t="s">
        <v>6627</v>
      </c>
      <c r="H270" s="142" t="s">
        <v>8667</v>
      </c>
      <c r="I270" s="156" t="s">
        <v>188</v>
      </c>
      <c r="J270" s="155" t="s">
        <v>8365</v>
      </c>
      <c r="K270" s="155"/>
      <c r="L270" s="156" t="s">
        <v>191</v>
      </c>
      <c r="M270" s="331">
        <v>4</v>
      </c>
      <c r="N270" s="426"/>
      <c r="O270" s="151">
        <v>5</v>
      </c>
      <c r="P270" s="151" t="s">
        <v>199</v>
      </c>
      <c r="Q270" s="421"/>
    </row>
    <row r="271" spans="1:17" ht="22.5">
      <c r="A271" s="142" t="s">
        <v>8668</v>
      </c>
      <c r="B271" s="142" t="s">
        <v>8669</v>
      </c>
      <c r="C271" s="142"/>
      <c r="D271" s="145"/>
      <c r="E271" s="142" t="s">
        <v>242</v>
      </c>
      <c r="F271" s="142"/>
      <c r="G271" s="171" t="s">
        <v>6627</v>
      </c>
      <c r="H271" s="142" t="s">
        <v>8670</v>
      </c>
      <c r="I271" s="156" t="s">
        <v>188</v>
      </c>
      <c r="J271" s="155" t="s">
        <v>8365</v>
      </c>
      <c r="K271" s="155"/>
      <c r="L271" s="156" t="s">
        <v>191</v>
      </c>
      <c r="M271" s="331">
        <v>4</v>
      </c>
      <c r="N271" s="426"/>
      <c r="O271" s="151">
        <v>5</v>
      </c>
      <c r="P271" s="151" t="s">
        <v>199</v>
      </c>
      <c r="Q271" s="421"/>
    </row>
    <row r="272" spans="1:17" ht="22.5">
      <c r="A272" s="142" t="s">
        <v>8671</v>
      </c>
      <c r="B272" s="142" t="s">
        <v>8672</v>
      </c>
      <c r="C272" s="142"/>
      <c r="D272" s="145"/>
      <c r="E272" s="142" t="s">
        <v>242</v>
      </c>
      <c r="F272" s="142"/>
      <c r="G272" s="171" t="s">
        <v>6627</v>
      </c>
      <c r="H272" s="142" t="s">
        <v>8673</v>
      </c>
      <c r="I272" s="156" t="s">
        <v>188</v>
      </c>
      <c r="J272" s="155" t="s">
        <v>8365</v>
      </c>
      <c r="K272" s="155"/>
      <c r="L272" s="156" t="s">
        <v>191</v>
      </c>
      <c r="M272" s="331">
        <v>4</v>
      </c>
      <c r="N272" s="426"/>
      <c r="O272" s="151">
        <v>5</v>
      </c>
      <c r="P272" s="151" t="s">
        <v>199</v>
      </c>
      <c r="Q272" s="421"/>
    </row>
    <row r="273" spans="1:17" ht="22.5">
      <c r="A273" s="142" t="s">
        <v>8674</v>
      </c>
      <c r="B273" s="142" t="s">
        <v>8675</v>
      </c>
      <c r="C273" s="142"/>
      <c r="D273" s="145"/>
      <c r="E273" s="142" t="s">
        <v>242</v>
      </c>
      <c r="F273" s="142"/>
      <c r="G273" s="171" t="s">
        <v>6627</v>
      </c>
      <c r="H273" s="142" t="s">
        <v>8676</v>
      </c>
      <c r="I273" s="156" t="s">
        <v>188</v>
      </c>
      <c r="J273" s="155" t="s">
        <v>8365</v>
      </c>
      <c r="K273" s="155"/>
      <c r="L273" s="156" t="s">
        <v>191</v>
      </c>
      <c r="M273" s="331">
        <v>4</v>
      </c>
      <c r="N273" s="426"/>
      <c r="O273" s="151">
        <v>5</v>
      </c>
      <c r="P273" s="151" t="s">
        <v>199</v>
      </c>
      <c r="Q273" s="421"/>
    </row>
    <row r="274" spans="1:17" ht="22.5">
      <c r="A274" s="142" t="s">
        <v>8677</v>
      </c>
      <c r="B274" s="142" t="s">
        <v>8678</v>
      </c>
      <c r="C274" s="142"/>
      <c r="D274" s="145"/>
      <c r="E274" s="142" t="s">
        <v>242</v>
      </c>
      <c r="F274" s="142"/>
      <c r="G274" s="171" t="s">
        <v>6627</v>
      </c>
      <c r="H274" s="142" t="s">
        <v>8679</v>
      </c>
      <c r="I274" s="156" t="s">
        <v>188</v>
      </c>
      <c r="J274" s="155" t="s">
        <v>8365</v>
      </c>
      <c r="K274" s="155"/>
      <c r="L274" s="156" t="s">
        <v>191</v>
      </c>
      <c r="M274" s="331">
        <v>4</v>
      </c>
      <c r="N274" s="426"/>
      <c r="O274" s="151">
        <v>5</v>
      </c>
      <c r="P274" s="151" t="s">
        <v>199</v>
      </c>
      <c r="Q274" s="421"/>
    </row>
    <row r="275" spans="1:17" ht="22.5">
      <c r="A275" s="142" t="s">
        <v>8680</v>
      </c>
      <c r="B275" s="142" t="s">
        <v>8681</v>
      </c>
      <c r="C275" s="142"/>
      <c r="D275" s="145"/>
      <c r="E275" s="142" t="s">
        <v>242</v>
      </c>
      <c r="F275" s="142"/>
      <c r="G275" s="171" t="s">
        <v>6627</v>
      </c>
      <c r="H275" s="142" t="s">
        <v>8682</v>
      </c>
      <c r="I275" s="156" t="s">
        <v>188</v>
      </c>
      <c r="J275" s="155" t="s">
        <v>8365</v>
      </c>
      <c r="K275" s="155"/>
      <c r="L275" s="156" t="s">
        <v>191</v>
      </c>
      <c r="M275" s="331">
        <v>4</v>
      </c>
      <c r="N275" s="426"/>
      <c r="O275" s="151">
        <v>5</v>
      </c>
      <c r="P275" s="151" t="s">
        <v>199</v>
      </c>
      <c r="Q275" s="421"/>
    </row>
    <row r="276" spans="1:17" ht="45">
      <c r="A276" s="142" t="s">
        <v>8683</v>
      </c>
      <c r="B276" s="142" t="s">
        <v>8684</v>
      </c>
      <c r="C276" s="142"/>
      <c r="D276" s="145"/>
      <c r="E276" s="142" t="s">
        <v>242</v>
      </c>
      <c r="F276" s="142"/>
      <c r="G276" s="171" t="s">
        <v>6627</v>
      </c>
      <c r="H276" s="142" t="s">
        <v>8685</v>
      </c>
      <c r="I276" s="156" t="s">
        <v>188</v>
      </c>
      <c r="J276" s="155" t="s">
        <v>8365</v>
      </c>
      <c r="K276" s="155"/>
      <c r="L276" s="156" t="s">
        <v>191</v>
      </c>
      <c r="M276" s="331">
        <v>4</v>
      </c>
      <c r="N276" s="426"/>
      <c r="O276" s="151">
        <v>5</v>
      </c>
      <c r="P276" s="151" t="s">
        <v>199</v>
      </c>
      <c r="Q276" s="421"/>
    </row>
    <row r="277" spans="1:17" ht="22.5">
      <c r="A277" s="142" t="s">
        <v>8686</v>
      </c>
      <c r="B277" s="142" t="s">
        <v>8687</v>
      </c>
      <c r="C277" s="142"/>
      <c r="D277" s="145"/>
      <c r="E277" s="142" t="s">
        <v>242</v>
      </c>
      <c r="F277" s="142"/>
      <c r="G277" s="171" t="s">
        <v>6627</v>
      </c>
      <c r="H277" s="142" t="s">
        <v>8688</v>
      </c>
      <c r="I277" s="156" t="s">
        <v>188</v>
      </c>
      <c r="J277" s="155" t="s">
        <v>8365</v>
      </c>
      <c r="K277" s="155"/>
      <c r="L277" s="156" t="s">
        <v>191</v>
      </c>
      <c r="M277" s="331">
        <v>4</v>
      </c>
      <c r="N277" s="426"/>
      <c r="O277" s="151">
        <v>5</v>
      </c>
      <c r="P277" s="151" t="s">
        <v>199</v>
      </c>
      <c r="Q277" s="421"/>
    </row>
    <row r="278" spans="1:17" ht="22.5">
      <c r="A278" s="142" t="s">
        <v>8689</v>
      </c>
      <c r="B278" s="142" t="s">
        <v>8690</v>
      </c>
      <c r="C278" s="142"/>
      <c r="D278" s="145"/>
      <c r="E278" s="142" t="s">
        <v>242</v>
      </c>
      <c r="F278" s="142"/>
      <c r="G278" s="171" t="s">
        <v>8645</v>
      </c>
      <c r="H278" s="142" t="s">
        <v>8691</v>
      </c>
      <c r="I278" s="156" t="s">
        <v>198</v>
      </c>
      <c r="J278" s="155">
        <v>99</v>
      </c>
      <c r="K278" s="155"/>
      <c r="L278" s="156" t="s">
        <v>191</v>
      </c>
      <c r="M278" s="331">
        <v>4</v>
      </c>
      <c r="N278" s="426"/>
      <c r="O278" s="151">
        <v>5</v>
      </c>
      <c r="P278" s="151" t="s">
        <v>199</v>
      </c>
      <c r="Q278" s="421"/>
    </row>
    <row r="279" spans="1:17" ht="22.5">
      <c r="A279" s="142" t="s">
        <v>8692</v>
      </c>
      <c r="B279" s="142" t="s">
        <v>8693</v>
      </c>
      <c r="C279" s="142"/>
      <c r="D279" s="145"/>
      <c r="E279" s="142" t="s">
        <v>242</v>
      </c>
      <c r="F279" s="142"/>
      <c r="G279" s="171" t="s">
        <v>8645</v>
      </c>
      <c r="H279" s="142" t="s">
        <v>8694</v>
      </c>
      <c r="I279" s="156" t="s">
        <v>198</v>
      </c>
      <c r="J279" s="155">
        <v>99</v>
      </c>
      <c r="K279" s="155"/>
      <c r="L279" s="156" t="s">
        <v>191</v>
      </c>
      <c r="M279" s="331">
        <v>4</v>
      </c>
      <c r="N279" s="426"/>
      <c r="O279" s="151">
        <v>5</v>
      </c>
      <c r="P279" s="151" t="s">
        <v>199</v>
      </c>
      <c r="Q279" s="421"/>
    </row>
    <row r="280" spans="1:17" ht="22.5">
      <c r="A280" s="142" t="s">
        <v>8695</v>
      </c>
      <c r="B280" s="142" t="s">
        <v>8696</v>
      </c>
      <c r="C280" s="142"/>
      <c r="D280" s="145"/>
      <c r="E280" s="142" t="s">
        <v>242</v>
      </c>
      <c r="F280" s="142"/>
      <c r="G280" s="171" t="s">
        <v>8645</v>
      </c>
      <c r="H280" s="142" t="s">
        <v>8697</v>
      </c>
      <c r="I280" s="156" t="s">
        <v>198</v>
      </c>
      <c r="J280" s="155">
        <v>99</v>
      </c>
      <c r="K280" s="155"/>
      <c r="L280" s="156" t="s">
        <v>191</v>
      </c>
      <c r="M280" s="331">
        <v>4</v>
      </c>
      <c r="N280" s="426"/>
      <c r="O280" s="151">
        <v>5</v>
      </c>
      <c r="P280" s="151" t="s">
        <v>199</v>
      </c>
      <c r="Q280" s="421"/>
    </row>
    <row r="281" spans="1:17" ht="22.5">
      <c r="A281" s="142" t="s">
        <v>8698</v>
      </c>
      <c r="B281" s="142" t="s">
        <v>8699</v>
      </c>
      <c r="C281" s="142"/>
      <c r="D281" s="145"/>
      <c r="E281" s="142" t="s">
        <v>242</v>
      </c>
      <c r="F281" s="142"/>
      <c r="G281" s="171" t="s">
        <v>8645</v>
      </c>
      <c r="H281" s="142" t="s">
        <v>8700</v>
      </c>
      <c r="I281" s="156" t="s">
        <v>198</v>
      </c>
      <c r="J281" s="155">
        <v>99.998999999999995</v>
      </c>
      <c r="K281" s="155"/>
      <c r="L281" s="156" t="s">
        <v>191</v>
      </c>
      <c r="M281" s="331">
        <v>4</v>
      </c>
      <c r="N281" s="426"/>
      <c r="O281" s="151">
        <v>5</v>
      </c>
      <c r="P281" s="151" t="s">
        <v>199</v>
      </c>
      <c r="Q281" s="421"/>
    </row>
    <row r="282" spans="1:17" ht="22.5">
      <c r="A282" s="142" t="s">
        <v>8701</v>
      </c>
      <c r="B282" s="142" t="s">
        <v>8702</v>
      </c>
      <c r="C282" s="142"/>
      <c r="D282" s="145"/>
      <c r="E282" s="142" t="s">
        <v>242</v>
      </c>
      <c r="F282" s="142"/>
      <c r="G282" s="171" t="s">
        <v>8645</v>
      </c>
      <c r="H282" s="142" t="s">
        <v>8703</v>
      </c>
      <c r="I282" s="156" t="s">
        <v>198</v>
      </c>
      <c r="J282" s="155" t="s">
        <v>8704</v>
      </c>
      <c r="K282" s="155"/>
      <c r="L282" s="156" t="s">
        <v>191</v>
      </c>
      <c r="M282" s="331">
        <v>4</v>
      </c>
      <c r="N282" s="426"/>
      <c r="O282" s="151">
        <v>5</v>
      </c>
      <c r="P282" s="151" t="s">
        <v>199</v>
      </c>
      <c r="Q282" s="421"/>
    </row>
    <row r="283" spans="1:17" ht="11.25">
      <c r="A283" s="142" t="s">
        <v>8705</v>
      </c>
      <c r="B283" s="142" t="s">
        <v>8706</v>
      </c>
      <c r="C283" s="142"/>
      <c r="D283" s="145"/>
      <c r="E283" s="142" t="s">
        <v>242</v>
      </c>
      <c r="F283" s="142"/>
      <c r="G283" s="171" t="s">
        <v>6627</v>
      </c>
      <c r="H283" s="142" t="s">
        <v>8707</v>
      </c>
      <c r="I283" s="156" t="s">
        <v>198</v>
      </c>
      <c r="J283" s="155">
        <v>99</v>
      </c>
      <c r="K283" s="155"/>
      <c r="L283" s="156" t="s">
        <v>191</v>
      </c>
      <c r="M283" s="331">
        <v>4</v>
      </c>
      <c r="N283" s="426"/>
      <c r="O283" s="151">
        <v>5</v>
      </c>
      <c r="P283" s="151" t="s">
        <v>199</v>
      </c>
      <c r="Q283" s="421"/>
    </row>
    <row r="284" spans="1:17" ht="11.25">
      <c r="A284" s="142" t="s">
        <v>8708</v>
      </c>
      <c r="B284" s="142" t="s">
        <v>8709</v>
      </c>
      <c r="C284" s="142"/>
      <c r="D284" s="145"/>
      <c r="E284" s="142" t="s">
        <v>242</v>
      </c>
      <c r="F284" s="142"/>
      <c r="G284" s="171" t="s">
        <v>6627</v>
      </c>
      <c r="H284" s="142" t="s">
        <v>8710</v>
      </c>
      <c r="I284" s="156" t="s">
        <v>198</v>
      </c>
      <c r="J284" s="155">
        <v>99</v>
      </c>
      <c r="K284" s="155"/>
      <c r="L284" s="156" t="s">
        <v>191</v>
      </c>
      <c r="M284" s="331">
        <v>4</v>
      </c>
      <c r="N284" s="426"/>
      <c r="O284" s="151">
        <v>5</v>
      </c>
      <c r="P284" s="151" t="s">
        <v>199</v>
      </c>
      <c r="Q284" s="421"/>
    </row>
    <row r="285" spans="1:17" ht="11.25">
      <c r="A285" s="142" t="s">
        <v>8711</v>
      </c>
      <c r="B285" s="142" t="s">
        <v>8712</v>
      </c>
      <c r="C285" s="142"/>
      <c r="D285" s="145"/>
      <c r="E285" s="142" t="s">
        <v>242</v>
      </c>
      <c r="F285" s="142"/>
      <c r="G285" s="171" t="s">
        <v>6627</v>
      </c>
      <c r="H285" s="142" t="s">
        <v>8713</v>
      </c>
      <c r="I285" s="156" t="s">
        <v>198</v>
      </c>
      <c r="J285" s="155">
        <v>99</v>
      </c>
      <c r="K285" s="155"/>
      <c r="L285" s="156" t="s">
        <v>191</v>
      </c>
      <c r="M285" s="331">
        <v>4</v>
      </c>
      <c r="N285" s="426"/>
      <c r="O285" s="151">
        <v>5</v>
      </c>
      <c r="P285" s="151" t="s">
        <v>199</v>
      </c>
      <c r="Q285" s="421"/>
    </row>
    <row r="286" spans="1:17" ht="11.25">
      <c r="A286" s="142" t="s">
        <v>8714</v>
      </c>
      <c r="B286" s="142" t="s">
        <v>8715</v>
      </c>
      <c r="C286" s="142"/>
      <c r="D286" s="145"/>
      <c r="E286" s="142" t="s">
        <v>242</v>
      </c>
      <c r="F286" s="142"/>
      <c r="G286" s="171" t="s">
        <v>6627</v>
      </c>
      <c r="H286" s="142" t="s">
        <v>8716</v>
      </c>
      <c r="I286" s="156" t="s">
        <v>198</v>
      </c>
      <c r="J286" s="155">
        <v>99.998999999999995</v>
      </c>
      <c r="K286" s="155"/>
      <c r="L286" s="156" t="s">
        <v>191</v>
      </c>
      <c r="M286" s="331">
        <v>4</v>
      </c>
      <c r="N286" s="426"/>
      <c r="O286" s="151">
        <v>5</v>
      </c>
      <c r="P286" s="151" t="s">
        <v>199</v>
      </c>
      <c r="Q286" s="421"/>
    </row>
    <row r="287" spans="1:17" ht="22.5">
      <c r="A287" s="142" t="s">
        <v>8717</v>
      </c>
      <c r="B287" s="142" t="s">
        <v>8718</v>
      </c>
      <c r="C287" s="142"/>
      <c r="D287" s="145"/>
      <c r="E287" s="142" t="s">
        <v>242</v>
      </c>
      <c r="F287" s="142"/>
      <c r="G287" s="171" t="s">
        <v>6627</v>
      </c>
      <c r="H287" s="142" t="s">
        <v>8719</v>
      </c>
      <c r="I287" s="156" t="s">
        <v>198</v>
      </c>
      <c r="J287" s="155" t="s">
        <v>8704</v>
      </c>
      <c r="K287" s="155"/>
      <c r="L287" s="156" t="s">
        <v>191</v>
      </c>
      <c r="M287" s="331">
        <v>4</v>
      </c>
      <c r="N287" s="426"/>
      <c r="O287" s="151">
        <v>5</v>
      </c>
      <c r="P287" s="151" t="s">
        <v>199</v>
      </c>
      <c r="Q287" s="421"/>
    </row>
    <row r="288" spans="1:17" ht="22.5">
      <c r="A288" s="142" t="s">
        <v>8720</v>
      </c>
      <c r="B288" s="142" t="s">
        <v>8721</v>
      </c>
      <c r="C288" s="142"/>
      <c r="D288" s="145"/>
      <c r="E288" s="142" t="s">
        <v>242</v>
      </c>
      <c r="F288" s="142"/>
      <c r="G288" s="171" t="s">
        <v>8645</v>
      </c>
      <c r="H288" s="142" t="s">
        <v>8722</v>
      </c>
      <c r="I288" s="156" t="s">
        <v>204</v>
      </c>
      <c r="J288" s="155" t="s">
        <v>8723</v>
      </c>
      <c r="K288" s="155"/>
      <c r="L288" s="156" t="s">
        <v>191</v>
      </c>
      <c r="M288" s="331">
        <v>4</v>
      </c>
      <c r="N288" s="426"/>
      <c r="O288" s="151">
        <v>5</v>
      </c>
      <c r="P288" s="151" t="s">
        <v>199</v>
      </c>
      <c r="Q288" s="421"/>
    </row>
    <row r="289" spans="1:17" ht="22.5">
      <c r="A289" s="142" t="s">
        <v>8724</v>
      </c>
      <c r="B289" s="142" t="s">
        <v>8725</v>
      </c>
      <c r="C289" s="142"/>
      <c r="D289" s="145"/>
      <c r="E289" s="142" t="s">
        <v>242</v>
      </c>
      <c r="F289" s="142"/>
      <c r="G289" s="171" t="s">
        <v>6627</v>
      </c>
      <c r="H289" s="142" t="s">
        <v>8726</v>
      </c>
      <c r="I289" s="156" t="s">
        <v>204</v>
      </c>
      <c r="J289" s="155" t="s">
        <v>8723</v>
      </c>
      <c r="K289" s="155"/>
      <c r="L289" s="156" t="s">
        <v>191</v>
      </c>
      <c r="M289" s="331">
        <v>4</v>
      </c>
      <c r="N289" s="426"/>
      <c r="O289" s="151">
        <v>5</v>
      </c>
      <c r="P289" s="151" t="s">
        <v>199</v>
      </c>
      <c r="Q289" s="421"/>
    </row>
    <row r="290" spans="1:17" ht="22.5">
      <c r="A290" s="142" t="s">
        <v>8727</v>
      </c>
      <c r="B290" s="142" t="s">
        <v>8728</v>
      </c>
      <c r="C290" s="142"/>
      <c r="D290" s="145"/>
      <c r="E290" s="142" t="s">
        <v>242</v>
      </c>
      <c r="F290" s="142"/>
      <c r="G290" s="171" t="s">
        <v>8645</v>
      </c>
      <c r="H290" s="142" t="s">
        <v>8729</v>
      </c>
      <c r="I290" s="156" t="s">
        <v>204</v>
      </c>
      <c r="J290" s="155" t="s">
        <v>8730</v>
      </c>
      <c r="K290" s="155"/>
      <c r="L290" s="156" t="s">
        <v>191</v>
      </c>
      <c r="M290" s="331">
        <v>4</v>
      </c>
      <c r="N290" s="426"/>
      <c r="O290" s="151">
        <v>5</v>
      </c>
      <c r="P290" s="151" t="s">
        <v>199</v>
      </c>
      <c r="Q290" s="421"/>
    </row>
    <row r="291" spans="1:17" ht="22.5">
      <c r="A291" s="142" t="s">
        <v>8731</v>
      </c>
      <c r="B291" s="142" t="s">
        <v>8732</v>
      </c>
      <c r="C291" s="142"/>
      <c r="D291" s="145"/>
      <c r="E291" s="142" t="s">
        <v>242</v>
      </c>
      <c r="F291" s="142"/>
      <c r="G291" s="171" t="s">
        <v>6627</v>
      </c>
      <c r="H291" s="142" t="s">
        <v>8733</v>
      </c>
      <c r="I291" s="156" t="s">
        <v>204</v>
      </c>
      <c r="J291" s="155" t="s">
        <v>8730</v>
      </c>
      <c r="K291" s="155"/>
      <c r="L291" s="156" t="s">
        <v>191</v>
      </c>
      <c r="M291" s="331">
        <v>4</v>
      </c>
      <c r="N291" s="426"/>
      <c r="O291" s="151">
        <v>5</v>
      </c>
      <c r="P291" s="151" t="s">
        <v>199</v>
      </c>
      <c r="Q291" s="421"/>
    </row>
    <row r="292" spans="1:17" ht="22.5">
      <c r="A292" s="142" t="s">
        <v>8734</v>
      </c>
      <c r="B292" s="142" t="s">
        <v>8735</v>
      </c>
      <c r="C292" s="142"/>
      <c r="D292" s="145"/>
      <c r="E292" s="142" t="s">
        <v>242</v>
      </c>
      <c r="F292" s="142"/>
      <c r="G292" s="171" t="s">
        <v>6627</v>
      </c>
      <c r="H292" s="142" t="s">
        <v>8736</v>
      </c>
      <c r="I292" s="156" t="s">
        <v>204</v>
      </c>
      <c r="J292" s="155" t="s">
        <v>8723</v>
      </c>
      <c r="K292" s="155"/>
      <c r="L292" s="156" t="s">
        <v>191</v>
      </c>
      <c r="M292" s="331">
        <v>4</v>
      </c>
      <c r="N292" s="426"/>
      <c r="O292" s="151">
        <v>5</v>
      </c>
      <c r="P292" s="151" t="s">
        <v>199</v>
      </c>
      <c r="Q292" s="421"/>
    </row>
    <row r="293" spans="1:17" ht="22.5">
      <c r="A293" s="142" t="s">
        <v>8737</v>
      </c>
      <c r="B293" s="142" t="s">
        <v>8738</v>
      </c>
      <c r="C293" s="142"/>
      <c r="D293" s="145"/>
      <c r="E293" s="142" t="s">
        <v>242</v>
      </c>
      <c r="F293" s="142"/>
      <c r="G293" s="171" t="s">
        <v>6627</v>
      </c>
      <c r="H293" s="142" t="s">
        <v>8739</v>
      </c>
      <c r="I293" s="156" t="s">
        <v>204</v>
      </c>
      <c r="J293" s="155" t="s">
        <v>8723</v>
      </c>
      <c r="K293" s="155"/>
      <c r="L293" s="156" t="s">
        <v>191</v>
      </c>
      <c r="M293" s="331">
        <v>4</v>
      </c>
      <c r="N293" s="426"/>
      <c r="O293" s="151">
        <v>5</v>
      </c>
      <c r="P293" s="151" t="s">
        <v>199</v>
      </c>
      <c r="Q293" s="421"/>
    </row>
    <row r="294" spans="1:17" ht="22.5">
      <c r="A294" s="142" t="s">
        <v>8740</v>
      </c>
      <c r="B294" s="142" t="s">
        <v>8741</v>
      </c>
      <c r="C294" s="142"/>
      <c r="D294" s="145"/>
      <c r="E294" s="142" t="s">
        <v>242</v>
      </c>
      <c r="F294" s="142"/>
      <c r="G294" s="171" t="s">
        <v>6627</v>
      </c>
      <c r="H294" s="142" t="s">
        <v>8742</v>
      </c>
      <c r="I294" s="156" t="s">
        <v>204</v>
      </c>
      <c r="J294" s="155" t="s">
        <v>8723</v>
      </c>
      <c r="K294" s="155"/>
      <c r="L294" s="156" t="s">
        <v>191</v>
      </c>
      <c r="M294" s="331">
        <v>4</v>
      </c>
      <c r="N294" s="426"/>
      <c r="O294" s="151">
        <v>5</v>
      </c>
      <c r="P294" s="151" t="s">
        <v>199</v>
      </c>
      <c r="Q294" s="421"/>
    </row>
    <row r="295" spans="1:17" ht="22.5">
      <c r="A295" s="142" t="s">
        <v>8743</v>
      </c>
      <c r="B295" s="142" t="s">
        <v>8744</v>
      </c>
      <c r="C295" s="142"/>
      <c r="D295" s="145"/>
      <c r="E295" s="142" t="s">
        <v>242</v>
      </c>
      <c r="F295" s="142"/>
      <c r="G295" s="171" t="s">
        <v>6627</v>
      </c>
      <c r="H295" s="142" t="s">
        <v>8745</v>
      </c>
      <c r="I295" s="156" t="s">
        <v>204</v>
      </c>
      <c r="J295" s="155" t="s">
        <v>8723</v>
      </c>
      <c r="K295" s="155"/>
      <c r="L295" s="156" t="s">
        <v>191</v>
      </c>
      <c r="M295" s="331">
        <v>4</v>
      </c>
      <c r="N295" s="426"/>
      <c r="O295" s="151">
        <v>5</v>
      </c>
      <c r="P295" s="151" t="s">
        <v>199</v>
      </c>
      <c r="Q295" s="421"/>
    </row>
    <row r="296" spans="1:17" ht="22.5">
      <c r="A296" s="142" t="s">
        <v>8746</v>
      </c>
      <c r="B296" s="142" t="s">
        <v>8747</v>
      </c>
      <c r="C296" s="142"/>
      <c r="D296" s="145"/>
      <c r="E296" s="142" t="s">
        <v>242</v>
      </c>
      <c r="F296" s="142"/>
      <c r="G296" s="171" t="s">
        <v>6627</v>
      </c>
      <c r="H296" s="142" t="s">
        <v>8748</v>
      </c>
      <c r="I296" s="156" t="s">
        <v>204</v>
      </c>
      <c r="J296" s="155" t="s">
        <v>8723</v>
      </c>
      <c r="K296" s="155"/>
      <c r="L296" s="156" t="s">
        <v>191</v>
      </c>
      <c r="M296" s="331">
        <v>4</v>
      </c>
      <c r="N296" s="426"/>
      <c r="O296" s="151">
        <v>5</v>
      </c>
      <c r="P296" s="151" t="s">
        <v>199</v>
      </c>
      <c r="Q296" s="421"/>
    </row>
    <row r="297" spans="1:17" ht="22.5">
      <c r="A297" s="142" t="s">
        <v>8749</v>
      </c>
      <c r="B297" s="142" t="s">
        <v>8750</v>
      </c>
      <c r="C297" s="142"/>
      <c r="D297" s="145"/>
      <c r="E297" s="142" t="s">
        <v>242</v>
      </c>
      <c r="F297" s="142"/>
      <c r="G297" s="171" t="s">
        <v>8645</v>
      </c>
      <c r="H297" s="142" t="s">
        <v>8751</v>
      </c>
      <c r="I297" s="156" t="s">
        <v>204</v>
      </c>
      <c r="J297" s="155" t="s">
        <v>8723</v>
      </c>
      <c r="K297" s="155"/>
      <c r="L297" s="156" t="s">
        <v>191</v>
      </c>
      <c r="M297" s="331">
        <v>4</v>
      </c>
      <c r="N297" s="426"/>
      <c r="O297" s="151">
        <v>5</v>
      </c>
      <c r="P297" s="151" t="s">
        <v>199</v>
      </c>
      <c r="Q297" s="421"/>
    </row>
    <row r="298" spans="1:17" ht="22.5">
      <c r="A298" s="142" t="s">
        <v>8752</v>
      </c>
      <c r="B298" s="142" t="s">
        <v>8753</v>
      </c>
      <c r="C298" s="142"/>
      <c r="D298" s="145"/>
      <c r="E298" s="142" t="s">
        <v>242</v>
      </c>
      <c r="F298" s="142"/>
      <c r="G298" s="171" t="s">
        <v>6627</v>
      </c>
      <c r="H298" s="142" t="s">
        <v>8754</v>
      </c>
      <c r="I298" s="156" t="s">
        <v>188</v>
      </c>
      <c r="J298" s="155" t="s">
        <v>8365</v>
      </c>
      <c r="K298" s="155"/>
      <c r="L298" s="156" t="s">
        <v>191</v>
      </c>
      <c r="M298" s="331">
        <v>4</v>
      </c>
      <c r="N298" s="426"/>
      <c r="O298" s="151">
        <v>5</v>
      </c>
      <c r="P298" s="151" t="s">
        <v>199</v>
      </c>
      <c r="Q298" s="421"/>
    </row>
    <row r="299" spans="1:17" ht="22.5">
      <c r="A299" s="142" t="s">
        <v>8755</v>
      </c>
      <c r="B299" s="142" t="s">
        <v>8756</v>
      </c>
      <c r="C299" s="142"/>
      <c r="D299" s="145"/>
      <c r="E299" s="142" t="s">
        <v>242</v>
      </c>
      <c r="F299" s="142"/>
      <c r="G299" s="171" t="s">
        <v>6627</v>
      </c>
      <c r="H299" s="142" t="s">
        <v>8757</v>
      </c>
      <c r="I299" s="156" t="s">
        <v>188</v>
      </c>
      <c r="J299" s="155" t="s">
        <v>8365</v>
      </c>
      <c r="K299" s="155"/>
      <c r="L299" s="156" t="s">
        <v>191</v>
      </c>
      <c r="M299" s="331">
        <v>4</v>
      </c>
      <c r="N299" s="426"/>
      <c r="O299" s="151">
        <v>5</v>
      </c>
      <c r="P299" s="151" t="s">
        <v>199</v>
      </c>
      <c r="Q299" s="421"/>
    </row>
    <row r="300" spans="1:17" ht="22.5">
      <c r="A300" s="142" t="s">
        <v>8758</v>
      </c>
      <c r="B300" s="142" t="s">
        <v>8759</v>
      </c>
      <c r="C300" s="142"/>
      <c r="D300" s="145"/>
      <c r="E300" s="142" t="s">
        <v>242</v>
      </c>
      <c r="F300" s="142"/>
      <c r="G300" s="171" t="s">
        <v>6627</v>
      </c>
      <c r="H300" s="142" t="s">
        <v>8760</v>
      </c>
      <c r="I300" s="156" t="s">
        <v>188</v>
      </c>
      <c r="J300" s="155" t="s">
        <v>8365</v>
      </c>
      <c r="K300" s="155"/>
      <c r="L300" s="156" t="s">
        <v>191</v>
      </c>
      <c r="M300" s="331">
        <v>4</v>
      </c>
      <c r="N300" s="426"/>
      <c r="O300" s="151">
        <v>5</v>
      </c>
      <c r="P300" s="151" t="s">
        <v>199</v>
      </c>
      <c r="Q300" s="421"/>
    </row>
    <row r="301" spans="1:17" ht="22.5">
      <c r="A301" s="142" t="s">
        <v>8761</v>
      </c>
      <c r="B301" s="142" t="s">
        <v>8762</v>
      </c>
      <c r="C301" s="142"/>
      <c r="D301" s="145"/>
      <c r="E301" s="142" t="s">
        <v>242</v>
      </c>
      <c r="F301" s="142"/>
      <c r="G301" s="171" t="s">
        <v>6627</v>
      </c>
      <c r="H301" s="142" t="s">
        <v>8763</v>
      </c>
      <c r="I301" s="156" t="s">
        <v>188</v>
      </c>
      <c r="J301" s="155" t="s">
        <v>8365</v>
      </c>
      <c r="K301" s="155"/>
      <c r="L301" s="156" t="s">
        <v>191</v>
      </c>
      <c r="M301" s="331">
        <v>4</v>
      </c>
      <c r="N301" s="426"/>
      <c r="O301" s="151">
        <v>5</v>
      </c>
      <c r="P301" s="151" t="s">
        <v>199</v>
      </c>
      <c r="Q301" s="421"/>
    </row>
    <row r="302" spans="1:17" ht="22.5">
      <c r="A302" s="142" t="s">
        <v>8764</v>
      </c>
      <c r="B302" s="142" t="s">
        <v>8765</v>
      </c>
      <c r="C302" s="142"/>
      <c r="D302" s="145"/>
      <c r="E302" s="142" t="s">
        <v>242</v>
      </c>
      <c r="F302" s="142"/>
      <c r="G302" s="171" t="s">
        <v>6627</v>
      </c>
      <c r="H302" s="142" t="s">
        <v>8766</v>
      </c>
      <c r="I302" s="156" t="s">
        <v>188</v>
      </c>
      <c r="J302" s="155" t="s">
        <v>8365</v>
      </c>
      <c r="K302" s="155"/>
      <c r="L302" s="156" t="s">
        <v>191</v>
      </c>
      <c r="M302" s="331">
        <v>4</v>
      </c>
      <c r="N302" s="426"/>
      <c r="O302" s="151">
        <v>5</v>
      </c>
      <c r="P302" s="151" t="s">
        <v>199</v>
      </c>
      <c r="Q302" s="421"/>
    </row>
    <row r="303" spans="1:17" ht="22.5">
      <c r="A303" s="142" t="s">
        <v>8767</v>
      </c>
      <c r="B303" s="142" t="s">
        <v>8768</v>
      </c>
      <c r="C303" s="142"/>
      <c r="D303" s="145"/>
      <c r="E303" s="142" t="s">
        <v>242</v>
      </c>
      <c r="F303" s="142"/>
      <c r="G303" s="171" t="s">
        <v>6627</v>
      </c>
      <c r="H303" s="142" t="s">
        <v>8769</v>
      </c>
      <c r="I303" s="156" t="s">
        <v>188</v>
      </c>
      <c r="J303" s="155" t="s">
        <v>8365</v>
      </c>
      <c r="K303" s="155"/>
      <c r="L303" s="156" t="s">
        <v>191</v>
      </c>
      <c r="M303" s="331">
        <v>4</v>
      </c>
      <c r="N303" s="426"/>
      <c r="O303" s="151">
        <v>5</v>
      </c>
      <c r="P303" s="151" t="s">
        <v>199</v>
      </c>
      <c r="Q303" s="421"/>
    </row>
    <row r="304" spans="1:17" ht="22.5">
      <c r="A304" s="142" t="s">
        <v>8770</v>
      </c>
      <c r="B304" s="142" t="s">
        <v>8771</v>
      </c>
      <c r="C304" s="142"/>
      <c r="D304" s="145"/>
      <c r="E304" s="142" t="s">
        <v>242</v>
      </c>
      <c r="F304" s="142"/>
      <c r="G304" s="171" t="s">
        <v>6627</v>
      </c>
      <c r="H304" s="142" t="s">
        <v>8772</v>
      </c>
      <c r="I304" s="156" t="s">
        <v>188</v>
      </c>
      <c r="J304" s="155" t="s">
        <v>8365</v>
      </c>
      <c r="K304" s="155"/>
      <c r="L304" s="156" t="s">
        <v>191</v>
      </c>
      <c r="M304" s="331">
        <v>4</v>
      </c>
      <c r="N304" s="426"/>
      <c r="O304" s="151">
        <v>5</v>
      </c>
      <c r="P304" s="151" t="s">
        <v>199</v>
      </c>
      <c r="Q304" s="421"/>
    </row>
    <row r="305" spans="1:17" ht="22.5">
      <c r="A305" s="142" t="s">
        <v>8773</v>
      </c>
      <c r="B305" s="142" t="s">
        <v>8774</v>
      </c>
      <c r="C305" s="142"/>
      <c r="D305" s="145"/>
      <c r="E305" s="142" t="s">
        <v>242</v>
      </c>
      <c r="F305" s="142"/>
      <c r="G305" s="171" t="s">
        <v>6627</v>
      </c>
      <c r="H305" s="142" t="s">
        <v>8775</v>
      </c>
      <c r="I305" s="156" t="s">
        <v>188</v>
      </c>
      <c r="J305" s="155" t="s">
        <v>8365</v>
      </c>
      <c r="K305" s="155"/>
      <c r="L305" s="156" t="s">
        <v>191</v>
      </c>
      <c r="M305" s="331">
        <v>4</v>
      </c>
      <c r="N305" s="426"/>
      <c r="O305" s="151">
        <v>5</v>
      </c>
      <c r="P305" s="151" t="s">
        <v>199</v>
      </c>
      <c r="Q305" s="421"/>
    </row>
    <row r="306" spans="1:17" ht="11.25">
      <c r="A306" s="142" t="s">
        <v>8309</v>
      </c>
      <c r="B306" s="142" t="s">
        <v>8310</v>
      </c>
      <c r="C306" s="142"/>
      <c r="D306" s="145"/>
      <c r="E306" s="142" t="s">
        <v>242</v>
      </c>
      <c r="F306" s="142"/>
      <c r="G306" s="171" t="s">
        <v>6627</v>
      </c>
      <c r="H306" s="142" t="s">
        <v>8311</v>
      </c>
      <c r="I306" s="427"/>
      <c r="J306" s="155"/>
      <c r="K306" s="155"/>
      <c r="L306" s="156" t="s">
        <v>191</v>
      </c>
      <c r="M306" s="331">
        <v>4</v>
      </c>
      <c r="N306" s="426"/>
      <c r="O306" s="151">
        <v>5</v>
      </c>
      <c r="P306" s="151" t="s">
        <v>199</v>
      </c>
      <c r="Q306" s="421"/>
    </row>
    <row r="307" spans="1:17" ht="22.5">
      <c r="A307" s="142" t="s">
        <v>8312</v>
      </c>
      <c r="B307" s="142" t="s">
        <v>8313</v>
      </c>
      <c r="C307" s="142"/>
      <c r="D307" s="145"/>
      <c r="E307" s="142" t="s">
        <v>242</v>
      </c>
      <c r="F307" s="142"/>
      <c r="G307" s="171" t="s">
        <v>6627</v>
      </c>
      <c r="H307" s="142" t="s">
        <v>8314</v>
      </c>
      <c r="I307" s="156" t="s">
        <v>188</v>
      </c>
      <c r="J307" s="155" t="s">
        <v>1453</v>
      </c>
      <c r="K307" s="155"/>
      <c r="L307" s="156" t="s">
        <v>191</v>
      </c>
      <c r="M307" s="331">
        <v>4</v>
      </c>
      <c r="N307" s="426"/>
      <c r="O307" s="151">
        <v>5</v>
      </c>
      <c r="P307" s="151" t="s">
        <v>199</v>
      </c>
      <c r="Q307" s="421"/>
    </row>
    <row r="308" spans="1:17" ht="11.25">
      <c r="A308" s="142" t="s">
        <v>8776</v>
      </c>
      <c r="B308" s="142" t="s">
        <v>8777</v>
      </c>
      <c r="C308" s="142"/>
      <c r="D308" s="145"/>
      <c r="E308" s="142" t="s">
        <v>242</v>
      </c>
      <c r="F308" s="142"/>
      <c r="G308" s="171" t="s">
        <v>6627</v>
      </c>
      <c r="H308" s="142" t="s">
        <v>8778</v>
      </c>
      <c r="I308" s="156" t="s">
        <v>204</v>
      </c>
      <c r="J308" s="155" t="s">
        <v>8779</v>
      </c>
      <c r="K308" s="155"/>
      <c r="L308" s="156" t="s">
        <v>191</v>
      </c>
      <c r="M308" s="331">
        <v>4</v>
      </c>
      <c r="N308" s="426"/>
      <c r="O308" s="151">
        <v>5</v>
      </c>
      <c r="P308" s="151" t="s">
        <v>199</v>
      </c>
      <c r="Q308" s="421"/>
    </row>
    <row r="309" spans="1:17" ht="11.25">
      <c r="A309" s="142" t="s">
        <v>8780</v>
      </c>
      <c r="B309" s="142" t="s">
        <v>8781</v>
      </c>
      <c r="C309" s="142"/>
      <c r="D309" s="145"/>
      <c r="E309" s="142" t="s">
        <v>242</v>
      </c>
      <c r="F309" s="142"/>
      <c r="G309" s="171" t="s">
        <v>1962</v>
      </c>
      <c r="H309" s="142" t="s">
        <v>8782</v>
      </c>
      <c r="I309" s="156" t="s">
        <v>198</v>
      </c>
      <c r="J309" s="155"/>
      <c r="K309" s="155"/>
      <c r="L309" s="156" t="s">
        <v>191</v>
      </c>
      <c r="M309" s="331">
        <v>4</v>
      </c>
      <c r="N309" s="426"/>
      <c r="O309" s="151">
        <v>5</v>
      </c>
      <c r="P309" s="151" t="s">
        <v>199</v>
      </c>
      <c r="Q309" s="421"/>
    </row>
    <row r="310" spans="1:17" ht="22.5">
      <c r="A310" s="142" t="s">
        <v>8783</v>
      </c>
      <c r="B310" s="142" t="s">
        <v>8784</v>
      </c>
      <c r="C310" s="142"/>
      <c r="D310" s="145"/>
      <c r="E310" s="142" t="s">
        <v>242</v>
      </c>
      <c r="F310" s="142"/>
      <c r="G310" s="171" t="s">
        <v>8785</v>
      </c>
      <c r="H310" s="142" t="s">
        <v>8786</v>
      </c>
      <c r="I310" s="156" t="s">
        <v>198</v>
      </c>
      <c r="J310" s="155" t="s">
        <v>8787</v>
      </c>
      <c r="K310" s="155"/>
      <c r="L310" s="156" t="s">
        <v>191</v>
      </c>
      <c r="M310" s="331">
        <v>4</v>
      </c>
      <c r="N310" s="426"/>
      <c r="O310" s="151">
        <v>5</v>
      </c>
      <c r="P310" s="151" t="s">
        <v>199</v>
      </c>
      <c r="Q310" s="421"/>
    </row>
    <row r="311" spans="1:17" ht="11.25">
      <c r="A311" s="142" t="s">
        <v>8788</v>
      </c>
      <c r="B311" s="142" t="s">
        <v>8789</v>
      </c>
      <c r="C311" s="142"/>
      <c r="D311" s="145"/>
      <c r="E311" s="142" t="s">
        <v>242</v>
      </c>
      <c r="F311" s="142"/>
      <c r="G311" s="171" t="s">
        <v>8785</v>
      </c>
      <c r="H311" s="142" t="s">
        <v>8790</v>
      </c>
      <c r="I311" s="156" t="s">
        <v>198</v>
      </c>
      <c r="J311" s="155" t="s">
        <v>8787</v>
      </c>
      <c r="K311" s="155"/>
      <c r="L311" s="156" t="s">
        <v>191</v>
      </c>
      <c r="M311" s="331">
        <v>4</v>
      </c>
      <c r="N311" s="426"/>
      <c r="O311" s="151">
        <v>5</v>
      </c>
      <c r="P311" s="151" t="s">
        <v>199</v>
      </c>
      <c r="Q311" s="421"/>
    </row>
    <row r="312" spans="1:17" ht="22.5">
      <c r="A312" s="142" t="s">
        <v>8791</v>
      </c>
      <c r="B312" s="142" t="s">
        <v>8792</v>
      </c>
      <c r="C312" s="142"/>
      <c r="D312" s="145"/>
      <c r="E312" s="142" t="s">
        <v>242</v>
      </c>
      <c r="F312" s="142"/>
      <c r="G312" s="171" t="s">
        <v>8785</v>
      </c>
      <c r="H312" s="142" t="s">
        <v>8793</v>
      </c>
      <c r="I312" s="156" t="s">
        <v>188</v>
      </c>
      <c r="J312" s="155" t="s">
        <v>1453</v>
      </c>
      <c r="K312" s="155"/>
      <c r="L312" s="156" t="s">
        <v>191</v>
      </c>
      <c r="M312" s="331">
        <v>4</v>
      </c>
      <c r="N312" s="426"/>
      <c r="O312" s="151">
        <v>5</v>
      </c>
      <c r="P312" s="151" t="s">
        <v>199</v>
      </c>
      <c r="Q312" s="421"/>
    </row>
    <row r="313" spans="1:17" ht="11.25">
      <c r="A313" s="142" t="s">
        <v>8794</v>
      </c>
      <c r="B313" s="142" t="s">
        <v>8795</v>
      </c>
      <c r="C313" s="142"/>
      <c r="D313" s="145"/>
      <c r="E313" s="142" t="s">
        <v>242</v>
      </c>
      <c r="F313" s="142"/>
      <c r="G313" s="171" t="s">
        <v>1917</v>
      </c>
      <c r="H313" s="142" t="s">
        <v>8796</v>
      </c>
      <c r="I313" s="156" t="s">
        <v>198</v>
      </c>
      <c r="J313" s="155" t="s">
        <v>8787</v>
      </c>
      <c r="K313" s="155"/>
      <c r="L313" s="156" t="s">
        <v>191</v>
      </c>
      <c r="M313" s="331">
        <v>4</v>
      </c>
      <c r="N313" s="426"/>
      <c r="O313" s="151">
        <v>5</v>
      </c>
      <c r="P313" s="151" t="s">
        <v>199</v>
      </c>
      <c r="Q313" s="421"/>
    </row>
    <row r="314" spans="1:17" ht="11.25">
      <c r="A314" s="142" t="s">
        <v>8797</v>
      </c>
      <c r="B314" s="142" t="s">
        <v>8798</v>
      </c>
      <c r="C314" s="142"/>
      <c r="D314" s="145"/>
      <c r="E314" s="142" t="s">
        <v>242</v>
      </c>
      <c r="F314" s="142"/>
      <c r="G314" s="171" t="s">
        <v>1917</v>
      </c>
      <c r="H314" s="142" t="s">
        <v>8799</v>
      </c>
      <c r="I314" s="156" t="s">
        <v>198</v>
      </c>
      <c r="J314" s="155" t="s">
        <v>8787</v>
      </c>
      <c r="K314" s="155"/>
      <c r="L314" s="156" t="s">
        <v>191</v>
      </c>
      <c r="M314" s="331">
        <v>4</v>
      </c>
      <c r="N314" s="426"/>
      <c r="O314" s="151">
        <v>5</v>
      </c>
      <c r="P314" s="151" t="s">
        <v>199</v>
      </c>
      <c r="Q314" s="421"/>
    </row>
    <row r="315" spans="1:17" ht="22.5">
      <c r="A315" s="142" t="s">
        <v>8800</v>
      </c>
      <c r="B315" s="142" t="s">
        <v>8801</v>
      </c>
      <c r="C315" s="142"/>
      <c r="D315" s="145"/>
      <c r="E315" s="142" t="s">
        <v>242</v>
      </c>
      <c r="F315" s="142"/>
      <c r="G315" s="171" t="s">
        <v>1917</v>
      </c>
      <c r="H315" s="142" t="s">
        <v>8802</v>
      </c>
      <c r="I315" s="156" t="s">
        <v>188</v>
      </c>
      <c r="J315" s="155" t="s">
        <v>1453</v>
      </c>
      <c r="K315" s="155"/>
      <c r="L315" s="156" t="s">
        <v>191</v>
      </c>
      <c r="M315" s="331">
        <v>4</v>
      </c>
      <c r="N315" s="426"/>
      <c r="O315" s="151">
        <v>5</v>
      </c>
      <c r="P315" s="151" t="s">
        <v>199</v>
      </c>
      <c r="Q315" s="421"/>
    </row>
    <row r="316" spans="1:17" ht="11.25">
      <c r="A316" s="142" t="s">
        <v>8803</v>
      </c>
      <c r="B316" s="142" t="s">
        <v>8804</v>
      </c>
      <c r="C316" s="142"/>
      <c r="D316" s="145"/>
      <c r="E316" s="142" t="s">
        <v>242</v>
      </c>
      <c r="F316" s="142"/>
      <c r="G316" s="171" t="s">
        <v>8785</v>
      </c>
      <c r="H316" s="142" t="s">
        <v>8805</v>
      </c>
      <c r="I316" s="427"/>
      <c r="J316" s="155"/>
      <c r="K316" s="155"/>
      <c r="L316" s="156" t="s">
        <v>191</v>
      </c>
      <c r="M316" s="331">
        <v>4</v>
      </c>
      <c r="N316" s="426"/>
      <c r="O316" s="151">
        <v>5</v>
      </c>
      <c r="P316" s="151" t="s">
        <v>199</v>
      </c>
      <c r="Q316" s="421"/>
    </row>
    <row r="317" spans="1:17" ht="11.25">
      <c r="A317" s="142" t="s">
        <v>8806</v>
      </c>
      <c r="B317" s="142" t="s">
        <v>8807</v>
      </c>
      <c r="C317" s="142"/>
      <c r="D317" s="145"/>
      <c r="E317" s="142" t="s">
        <v>242</v>
      </c>
      <c r="F317" s="142"/>
      <c r="G317" s="171" t="s">
        <v>8785</v>
      </c>
      <c r="H317" s="142" t="s">
        <v>8808</v>
      </c>
      <c r="I317" s="427"/>
      <c r="J317" s="155"/>
      <c r="K317" s="155"/>
      <c r="L317" s="156" t="s">
        <v>191</v>
      </c>
      <c r="M317" s="331">
        <v>4</v>
      </c>
      <c r="N317" s="426"/>
      <c r="O317" s="151">
        <v>5</v>
      </c>
      <c r="P317" s="151" t="s">
        <v>199</v>
      </c>
      <c r="Q317" s="421"/>
    </row>
    <row r="318" spans="1:17" ht="11.25">
      <c r="A318" s="142" t="s">
        <v>8809</v>
      </c>
      <c r="B318" s="142" t="s">
        <v>8810</v>
      </c>
      <c r="C318" s="142"/>
      <c r="D318" s="145"/>
      <c r="E318" s="142" t="s">
        <v>242</v>
      </c>
      <c r="F318" s="142"/>
      <c r="G318" s="171" t="s">
        <v>1917</v>
      </c>
      <c r="H318" s="142" t="s">
        <v>8811</v>
      </c>
      <c r="I318" s="427"/>
      <c r="J318" s="155"/>
      <c r="K318" s="155"/>
      <c r="L318" s="156" t="s">
        <v>191</v>
      </c>
      <c r="M318" s="331">
        <v>4</v>
      </c>
      <c r="N318" s="426"/>
      <c r="O318" s="151">
        <v>5</v>
      </c>
      <c r="P318" s="151" t="s">
        <v>199</v>
      </c>
      <c r="Q318" s="421"/>
    </row>
    <row r="319" spans="1:17" ht="22.5">
      <c r="A319" s="142" t="s">
        <v>8812</v>
      </c>
      <c r="B319" s="142" t="s">
        <v>8813</v>
      </c>
      <c r="C319" s="142"/>
      <c r="D319" s="145"/>
      <c r="E319" s="142" t="s">
        <v>242</v>
      </c>
      <c r="F319" s="142"/>
      <c r="G319" s="171" t="s">
        <v>8785</v>
      </c>
      <c r="H319" s="142" t="s">
        <v>8814</v>
      </c>
      <c r="I319" s="156" t="s">
        <v>188</v>
      </c>
      <c r="J319" s="155" t="s">
        <v>1453</v>
      </c>
      <c r="K319" s="155"/>
      <c r="L319" s="156" t="s">
        <v>191</v>
      </c>
      <c r="M319" s="331">
        <v>4</v>
      </c>
      <c r="N319" s="426"/>
      <c r="O319" s="151">
        <v>5</v>
      </c>
      <c r="P319" s="151" t="s">
        <v>199</v>
      </c>
      <c r="Q319" s="421"/>
    </row>
    <row r="320" spans="1:17" ht="22.5">
      <c r="A320" s="142" t="s">
        <v>8815</v>
      </c>
      <c r="B320" s="142" t="s">
        <v>8816</v>
      </c>
      <c r="C320" s="142"/>
      <c r="D320" s="145"/>
      <c r="E320" s="142" t="s">
        <v>242</v>
      </c>
      <c r="F320" s="142"/>
      <c r="G320" s="171" t="s">
        <v>8785</v>
      </c>
      <c r="H320" s="142" t="s">
        <v>8817</v>
      </c>
      <c r="I320" s="156" t="s">
        <v>188</v>
      </c>
      <c r="J320" s="155" t="s">
        <v>1453</v>
      </c>
      <c r="K320" s="155"/>
      <c r="L320" s="156" t="s">
        <v>191</v>
      </c>
      <c r="M320" s="331">
        <v>4</v>
      </c>
      <c r="N320" s="426"/>
      <c r="O320" s="151">
        <v>5</v>
      </c>
      <c r="P320" s="151" t="s">
        <v>199</v>
      </c>
      <c r="Q320" s="421"/>
    </row>
    <row r="321" spans="1:17" ht="22.5">
      <c r="A321" s="142" t="s">
        <v>8818</v>
      </c>
      <c r="B321" s="142" t="s">
        <v>8819</v>
      </c>
      <c r="C321" s="142"/>
      <c r="D321" s="145"/>
      <c r="E321" s="142" t="s">
        <v>242</v>
      </c>
      <c r="F321" s="142"/>
      <c r="G321" s="171" t="s">
        <v>8785</v>
      </c>
      <c r="H321" s="142" t="s">
        <v>8820</v>
      </c>
      <c r="I321" s="156" t="s">
        <v>188</v>
      </c>
      <c r="J321" s="155" t="s">
        <v>1453</v>
      </c>
      <c r="K321" s="155"/>
      <c r="L321" s="156" t="s">
        <v>191</v>
      </c>
      <c r="M321" s="331">
        <v>4</v>
      </c>
      <c r="N321" s="426"/>
      <c r="O321" s="151">
        <v>5</v>
      </c>
      <c r="P321" s="151" t="s">
        <v>199</v>
      </c>
      <c r="Q321" s="421"/>
    </row>
    <row r="322" spans="1:17" ht="22.5">
      <c r="A322" s="142" t="s">
        <v>8821</v>
      </c>
      <c r="B322" s="142" t="s">
        <v>8822</v>
      </c>
      <c r="C322" s="142"/>
      <c r="D322" s="145"/>
      <c r="E322" s="142" t="s">
        <v>242</v>
      </c>
      <c r="F322" s="142"/>
      <c r="G322" s="171" t="s">
        <v>8785</v>
      </c>
      <c r="H322" s="142" t="s">
        <v>8823</v>
      </c>
      <c r="I322" s="156" t="s">
        <v>188</v>
      </c>
      <c r="J322" s="155" t="s">
        <v>1453</v>
      </c>
      <c r="K322" s="155"/>
      <c r="L322" s="156" t="s">
        <v>191</v>
      </c>
      <c r="M322" s="331">
        <v>4</v>
      </c>
      <c r="N322" s="426"/>
      <c r="O322" s="151">
        <v>5</v>
      </c>
      <c r="P322" s="151" t="s">
        <v>199</v>
      </c>
      <c r="Q322" s="421"/>
    </row>
    <row r="323" spans="1:17" ht="22.5">
      <c r="A323" s="142" t="s">
        <v>8824</v>
      </c>
      <c r="B323" s="142" t="s">
        <v>8825</v>
      </c>
      <c r="C323" s="142"/>
      <c r="D323" s="145"/>
      <c r="E323" s="142" t="s">
        <v>242</v>
      </c>
      <c r="F323" s="142"/>
      <c r="G323" s="171" t="s">
        <v>8785</v>
      </c>
      <c r="H323" s="142" t="s">
        <v>8826</v>
      </c>
      <c r="I323" s="156" t="s">
        <v>188</v>
      </c>
      <c r="J323" s="155" t="s">
        <v>1453</v>
      </c>
      <c r="K323" s="155"/>
      <c r="L323" s="156" t="s">
        <v>191</v>
      </c>
      <c r="M323" s="331">
        <v>4</v>
      </c>
      <c r="N323" s="426"/>
      <c r="O323" s="151">
        <v>5</v>
      </c>
      <c r="P323" s="151" t="s">
        <v>199</v>
      </c>
      <c r="Q323" s="421"/>
    </row>
    <row r="324" spans="1:17" ht="22.5">
      <c r="A324" s="142" t="s">
        <v>8827</v>
      </c>
      <c r="B324" s="142" t="s">
        <v>8828</v>
      </c>
      <c r="C324" s="142"/>
      <c r="D324" s="145"/>
      <c r="E324" s="142" t="s">
        <v>242</v>
      </c>
      <c r="F324" s="142"/>
      <c r="G324" s="171" t="s">
        <v>8785</v>
      </c>
      <c r="H324" s="142" t="s">
        <v>8829</v>
      </c>
      <c r="I324" s="156" t="s">
        <v>188</v>
      </c>
      <c r="J324" s="155" t="s">
        <v>1453</v>
      </c>
      <c r="K324" s="155"/>
      <c r="L324" s="156" t="s">
        <v>191</v>
      </c>
      <c r="M324" s="331">
        <v>4</v>
      </c>
      <c r="N324" s="426"/>
      <c r="O324" s="151">
        <v>5</v>
      </c>
      <c r="P324" s="151" t="s">
        <v>199</v>
      </c>
      <c r="Q324" s="421"/>
    </row>
    <row r="325" spans="1:17" ht="22.5">
      <c r="A325" s="142" t="s">
        <v>8830</v>
      </c>
      <c r="B325" s="142" t="s">
        <v>8831</v>
      </c>
      <c r="C325" s="142"/>
      <c r="D325" s="145"/>
      <c r="E325" s="142" t="s">
        <v>242</v>
      </c>
      <c r="F325" s="142"/>
      <c r="G325" s="171" t="s">
        <v>1917</v>
      </c>
      <c r="H325" s="142" t="s">
        <v>8832</v>
      </c>
      <c r="I325" s="156" t="s">
        <v>188</v>
      </c>
      <c r="J325" s="155" t="s">
        <v>1453</v>
      </c>
      <c r="K325" s="155"/>
      <c r="L325" s="156" t="s">
        <v>191</v>
      </c>
      <c r="M325" s="331">
        <v>4</v>
      </c>
      <c r="N325" s="426"/>
      <c r="O325" s="151">
        <v>5</v>
      </c>
      <c r="P325" s="151" t="s">
        <v>199</v>
      </c>
      <c r="Q325" s="421"/>
    </row>
    <row r="326" spans="1:17" ht="22.5">
      <c r="A326" s="142" t="s">
        <v>8833</v>
      </c>
      <c r="B326" s="142" t="s">
        <v>8834</v>
      </c>
      <c r="C326" s="142"/>
      <c r="D326" s="145"/>
      <c r="E326" s="142" t="s">
        <v>242</v>
      </c>
      <c r="F326" s="142"/>
      <c r="G326" s="171" t="s">
        <v>1917</v>
      </c>
      <c r="H326" s="142" t="s">
        <v>8835</v>
      </c>
      <c r="I326" s="156" t="s">
        <v>188</v>
      </c>
      <c r="J326" s="155" t="s">
        <v>1453</v>
      </c>
      <c r="K326" s="155"/>
      <c r="L326" s="156" t="s">
        <v>191</v>
      </c>
      <c r="M326" s="331">
        <v>4</v>
      </c>
      <c r="N326" s="426"/>
      <c r="O326" s="151">
        <v>5</v>
      </c>
      <c r="P326" s="151" t="s">
        <v>199</v>
      </c>
      <c r="Q326" s="421"/>
    </row>
    <row r="327" spans="1:17" ht="22.5">
      <c r="A327" s="142" t="s">
        <v>8836</v>
      </c>
      <c r="B327" s="142" t="s">
        <v>8837</v>
      </c>
      <c r="C327" s="142"/>
      <c r="D327" s="145"/>
      <c r="E327" s="142" t="s">
        <v>242</v>
      </c>
      <c r="F327" s="142"/>
      <c r="G327" s="171" t="s">
        <v>1917</v>
      </c>
      <c r="H327" s="142" t="s">
        <v>8838</v>
      </c>
      <c r="I327" s="156" t="s">
        <v>188</v>
      </c>
      <c r="J327" s="155" t="s">
        <v>1453</v>
      </c>
      <c r="K327" s="155"/>
      <c r="L327" s="156" t="s">
        <v>191</v>
      </c>
      <c r="M327" s="331">
        <v>4</v>
      </c>
      <c r="N327" s="426"/>
      <c r="O327" s="151">
        <v>5</v>
      </c>
      <c r="P327" s="151" t="s">
        <v>199</v>
      </c>
      <c r="Q327" s="421"/>
    </row>
    <row r="328" spans="1:17" ht="22.5">
      <c r="A328" s="142" t="s">
        <v>8839</v>
      </c>
      <c r="B328" s="142" t="s">
        <v>8840</v>
      </c>
      <c r="C328" s="142"/>
      <c r="D328" s="145"/>
      <c r="E328" s="142" t="s">
        <v>242</v>
      </c>
      <c r="F328" s="142"/>
      <c r="G328" s="171" t="s">
        <v>2164</v>
      </c>
      <c r="H328" s="142" t="s">
        <v>8841</v>
      </c>
      <c r="I328" s="156" t="s">
        <v>188</v>
      </c>
      <c r="J328" s="155" t="s">
        <v>1453</v>
      </c>
      <c r="K328" s="155"/>
      <c r="L328" s="156" t="s">
        <v>191</v>
      </c>
      <c r="M328" s="331">
        <v>4</v>
      </c>
      <c r="N328" s="426"/>
      <c r="O328" s="151">
        <v>5</v>
      </c>
      <c r="P328" s="151" t="s">
        <v>199</v>
      </c>
      <c r="Q328" s="421"/>
    </row>
    <row r="329" spans="1:17" ht="22.5">
      <c r="A329" s="142" t="s">
        <v>8842</v>
      </c>
      <c r="B329" s="142" t="s">
        <v>8843</v>
      </c>
      <c r="C329" s="142"/>
      <c r="D329" s="145"/>
      <c r="E329" s="142" t="s">
        <v>242</v>
      </c>
      <c r="F329" s="142"/>
      <c r="G329" s="171" t="s">
        <v>1917</v>
      </c>
      <c r="H329" s="142" t="s">
        <v>8844</v>
      </c>
      <c r="I329" s="156" t="s">
        <v>188</v>
      </c>
      <c r="J329" s="155" t="s">
        <v>1453</v>
      </c>
      <c r="K329" s="155"/>
      <c r="L329" s="156" t="s">
        <v>191</v>
      </c>
      <c r="M329" s="331">
        <v>4</v>
      </c>
      <c r="N329" s="426"/>
      <c r="O329" s="151">
        <v>5</v>
      </c>
      <c r="P329" s="151" t="s">
        <v>199</v>
      </c>
      <c r="Q329" s="421"/>
    </row>
    <row r="330" spans="1:17" ht="11.25">
      <c r="A330" s="142" t="s">
        <v>8845</v>
      </c>
      <c r="B330" s="142" t="s">
        <v>8846</v>
      </c>
      <c r="C330" s="142"/>
      <c r="D330" s="145"/>
      <c r="E330" s="142" t="s">
        <v>242</v>
      </c>
      <c r="F330" s="142"/>
      <c r="G330" s="171" t="s">
        <v>1917</v>
      </c>
      <c r="H330" s="142" t="s">
        <v>8847</v>
      </c>
      <c r="I330" s="427"/>
      <c r="J330" s="155"/>
      <c r="K330" s="155"/>
      <c r="L330" s="156" t="s">
        <v>191</v>
      </c>
      <c r="M330" s="331">
        <v>4</v>
      </c>
      <c r="N330" s="426"/>
      <c r="O330" s="151">
        <v>5</v>
      </c>
      <c r="P330" s="151" t="s">
        <v>199</v>
      </c>
      <c r="Q330" s="421"/>
    </row>
    <row r="331" spans="1:17" ht="11.25">
      <c r="A331" s="142" t="s">
        <v>8848</v>
      </c>
      <c r="B331" s="142" t="s">
        <v>8849</v>
      </c>
      <c r="C331" s="142"/>
      <c r="D331" s="145"/>
      <c r="E331" s="142" t="s">
        <v>242</v>
      </c>
      <c r="F331" s="142"/>
      <c r="G331" s="171" t="s">
        <v>1917</v>
      </c>
      <c r="H331" s="142" t="s">
        <v>8850</v>
      </c>
      <c r="I331" s="427"/>
      <c r="J331" s="155"/>
      <c r="K331" s="155"/>
      <c r="L331" s="156" t="s">
        <v>191</v>
      </c>
      <c r="M331" s="331">
        <v>4</v>
      </c>
      <c r="N331" s="426"/>
      <c r="O331" s="151">
        <v>5</v>
      </c>
      <c r="P331" s="151" t="s">
        <v>199</v>
      </c>
      <c r="Q331" s="421"/>
    </row>
    <row r="332" spans="1:17" ht="11.25">
      <c r="A332" s="142" t="s">
        <v>8851</v>
      </c>
      <c r="B332" s="142" t="s">
        <v>8852</v>
      </c>
      <c r="C332" s="142"/>
      <c r="D332" s="145"/>
      <c r="E332" s="142" t="s">
        <v>242</v>
      </c>
      <c r="F332" s="142"/>
      <c r="G332" s="171" t="s">
        <v>1917</v>
      </c>
      <c r="H332" s="142" t="s">
        <v>8853</v>
      </c>
      <c r="I332" s="427"/>
      <c r="J332" s="155"/>
      <c r="K332" s="155"/>
      <c r="L332" s="156" t="s">
        <v>191</v>
      </c>
      <c r="M332" s="331">
        <v>4</v>
      </c>
      <c r="N332" s="426"/>
      <c r="O332" s="151">
        <v>5</v>
      </c>
      <c r="P332" s="151" t="s">
        <v>199</v>
      </c>
      <c r="Q332" s="421"/>
    </row>
    <row r="333" spans="1:17" ht="78.75">
      <c r="A333" s="142" t="s">
        <v>8854</v>
      </c>
      <c r="B333" s="142" t="s">
        <v>8855</v>
      </c>
      <c r="C333" s="142" t="s">
        <v>8856</v>
      </c>
      <c r="D333" s="142"/>
      <c r="E333" s="142" t="s">
        <v>242</v>
      </c>
      <c r="F333" s="142"/>
      <c r="G333" s="141" t="s">
        <v>8857</v>
      </c>
      <c r="H333" s="145" t="s">
        <v>8858</v>
      </c>
      <c r="I333" s="155" t="s">
        <v>204</v>
      </c>
      <c r="J333" s="156" t="s">
        <v>8859</v>
      </c>
      <c r="K333" s="156"/>
      <c r="L333" s="156" t="s">
        <v>191</v>
      </c>
      <c r="M333" s="331">
        <v>4</v>
      </c>
      <c r="N333" s="426"/>
      <c r="O333" s="151">
        <v>5</v>
      </c>
      <c r="P333" s="151" t="s">
        <v>199</v>
      </c>
      <c r="Q333" s="421"/>
    </row>
    <row r="334" spans="1:17" ht="78.75">
      <c r="A334" s="142" t="s">
        <v>8860</v>
      </c>
      <c r="B334" s="142" t="s">
        <v>8861</v>
      </c>
      <c r="C334" s="191"/>
      <c r="D334" s="145"/>
      <c r="E334" s="142" t="s">
        <v>242</v>
      </c>
      <c r="F334" s="142"/>
      <c r="G334" s="141" t="s">
        <v>3034</v>
      </c>
      <c r="H334" s="145" t="s">
        <v>8862</v>
      </c>
      <c r="I334" s="155" t="s">
        <v>204</v>
      </c>
      <c r="J334" s="156" t="s">
        <v>8859</v>
      </c>
      <c r="K334" s="156"/>
      <c r="L334" s="156" t="s">
        <v>191</v>
      </c>
      <c r="M334" s="331">
        <v>4</v>
      </c>
      <c r="N334" s="426"/>
      <c r="O334" s="151">
        <v>5</v>
      </c>
      <c r="P334" s="151" t="s">
        <v>199</v>
      </c>
      <c r="Q334" s="421"/>
    </row>
    <row r="335" spans="1:17" ht="11.25">
      <c r="A335" s="142" t="s">
        <v>8863</v>
      </c>
      <c r="B335" s="142" t="s">
        <v>8864</v>
      </c>
      <c r="C335" s="142" t="s">
        <v>8865</v>
      </c>
      <c r="D335" s="142"/>
      <c r="E335" s="142" t="s">
        <v>242</v>
      </c>
      <c r="F335" s="142"/>
      <c r="G335" s="141" t="s">
        <v>4206</v>
      </c>
      <c r="H335" s="145" t="s">
        <v>8866</v>
      </c>
      <c r="I335" s="155" t="s">
        <v>198</v>
      </c>
      <c r="J335" s="156"/>
      <c r="K335" s="156"/>
      <c r="L335" s="156" t="s">
        <v>191</v>
      </c>
      <c r="M335" s="331">
        <v>4</v>
      </c>
      <c r="N335" s="426"/>
      <c r="O335" s="151">
        <v>5</v>
      </c>
      <c r="P335" s="151" t="s">
        <v>199</v>
      </c>
      <c r="Q335" s="421"/>
    </row>
    <row r="336" spans="1:17" ht="11.25">
      <c r="A336" s="142" t="s">
        <v>8867</v>
      </c>
      <c r="B336" s="142" t="s">
        <v>8868</v>
      </c>
      <c r="C336" s="142" t="s">
        <v>8869</v>
      </c>
      <c r="D336" s="142"/>
      <c r="E336" s="142" t="s">
        <v>242</v>
      </c>
      <c r="F336" s="142"/>
      <c r="G336" s="141" t="s">
        <v>4206</v>
      </c>
      <c r="H336" s="145" t="s">
        <v>8870</v>
      </c>
      <c r="I336" s="155" t="s">
        <v>198</v>
      </c>
      <c r="J336" s="156"/>
      <c r="K336" s="156"/>
      <c r="L336" s="156" t="s">
        <v>191</v>
      </c>
      <c r="M336" s="331">
        <v>4</v>
      </c>
      <c r="N336" s="426"/>
      <c r="O336" s="151">
        <v>5</v>
      </c>
      <c r="P336" s="151" t="s">
        <v>199</v>
      </c>
      <c r="Q336" s="421"/>
    </row>
    <row r="337" spans="1:17" ht="11.25">
      <c r="A337" s="142" t="s">
        <v>8871</v>
      </c>
      <c r="B337" s="142" t="s">
        <v>8872</v>
      </c>
      <c r="C337" s="142" t="s">
        <v>8873</v>
      </c>
      <c r="D337" s="142"/>
      <c r="E337" s="142" t="s">
        <v>242</v>
      </c>
      <c r="F337" s="142"/>
      <c r="G337" s="141" t="s">
        <v>2092</v>
      </c>
      <c r="H337" s="145" t="s">
        <v>8874</v>
      </c>
      <c r="I337" s="155" t="s">
        <v>198</v>
      </c>
      <c r="J337" s="156"/>
      <c r="K337" s="156"/>
      <c r="L337" s="156" t="s">
        <v>191</v>
      </c>
      <c r="M337" s="331">
        <v>4</v>
      </c>
      <c r="N337" s="426"/>
      <c r="O337" s="151">
        <v>5</v>
      </c>
      <c r="P337" s="151" t="s">
        <v>199</v>
      </c>
      <c r="Q337" s="421"/>
    </row>
    <row r="338" spans="1:17" ht="11.25">
      <c r="A338" s="142" t="s">
        <v>8875</v>
      </c>
      <c r="B338" s="142" t="s">
        <v>8876</v>
      </c>
      <c r="C338" s="142" t="s">
        <v>8877</v>
      </c>
      <c r="D338" s="142"/>
      <c r="E338" s="142" t="s">
        <v>242</v>
      </c>
      <c r="F338" s="142"/>
      <c r="G338" s="141" t="s">
        <v>8878</v>
      </c>
      <c r="H338" s="145" t="s">
        <v>8879</v>
      </c>
      <c r="I338" s="155" t="s">
        <v>198</v>
      </c>
      <c r="J338" s="156"/>
      <c r="K338" s="156"/>
      <c r="L338" s="156" t="s">
        <v>191</v>
      </c>
      <c r="M338" s="331">
        <v>4</v>
      </c>
      <c r="N338" s="426"/>
      <c r="O338" s="151">
        <v>5</v>
      </c>
      <c r="P338" s="151" t="s">
        <v>199</v>
      </c>
      <c r="Q338" s="421"/>
    </row>
    <row r="339" spans="1:17" ht="11.25">
      <c r="A339" s="142" t="s">
        <v>8880</v>
      </c>
      <c r="B339" s="142" t="s">
        <v>8881</v>
      </c>
      <c r="C339" s="142"/>
      <c r="D339" s="142"/>
      <c r="E339" s="142" t="s">
        <v>242</v>
      </c>
      <c r="F339" s="142"/>
      <c r="G339" s="141" t="s">
        <v>2332</v>
      </c>
      <c r="H339" s="145" t="s">
        <v>8882</v>
      </c>
      <c r="I339" s="155" t="s">
        <v>198</v>
      </c>
      <c r="J339" s="156"/>
      <c r="K339" s="156"/>
      <c r="L339" s="156" t="s">
        <v>191</v>
      </c>
      <c r="M339" s="331">
        <v>4</v>
      </c>
      <c r="N339" s="426"/>
      <c r="O339" s="151">
        <v>5</v>
      </c>
      <c r="P339" s="151" t="s">
        <v>199</v>
      </c>
      <c r="Q339" s="421"/>
    </row>
    <row r="340" spans="1:17" ht="11.25">
      <c r="A340" s="142" t="s">
        <v>8883</v>
      </c>
      <c r="B340" s="142" t="s">
        <v>8884</v>
      </c>
      <c r="C340" s="142" t="s">
        <v>8885</v>
      </c>
      <c r="D340" s="142"/>
      <c r="E340" s="142" t="s">
        <v>242</v>
      </c>
      <c r="F340" s="142"/>
      <c r="G340" s="141" t="s">
        <v>8878</v>
      </c>
      <c r="H340" s="145" t="s">
        <v>8886</v>
      </c>
      <c r="I340" s="155" t="s">
        <v>198</v>
      </c>
      <c r="J340" s="156"/>
      <c r="K340" s="156"/>
      <c r="L340" s="156" t="s">
        <v>191</v>
      </c>
      <c r="M340" s="331">
        <v>4</v>
      </c>
      <c r="N340" s="426"/>
      <c r="O340" s="151">
        <v>5</v>
      </c>
      <c r="P340" s="151" t="s">
        <v>199</v>
      </c>
      <c r="Q340" s="421"/>
    </row>
    <row r="341" spans="1:17" ht="22.5">
      <c r="A341" s="142" t="s">
        <v>8887</v>
      </c>
      <c r="B341" s="142" t="s">
        <v>8888</v>
      </c>
      <c r="C341" s="142"/>
      <c r="D341" s="142"/>
      <c r="E341" s="142" t="s">
        <v>242</v>
      </c>
      <c r="F341" s="142"/>
      <c r="G341" s="141" t="s">
        <v>8267</v>
      </c>
      <c r="H341" s="145" t="s">
        <v>8889</v>
      </c>
      <c r="I341" s="155" t="s">
        <v>198</v>
      </c>
      <c r="J341" s="156"/>
      <c r="K341" s="156"/>
      <c r="L341" s="156" t="s">
        <v>191</v>
      </c>
      <c r="M341" s="331">
        <v>4</v>
      </c>
      <c r="N341" s="426"/>
      <c r="O341" s="151">
        <v>5</v>
      </c>
      <c r="P341" s="151" t="s">
        <v>199</v>
      </c>
      <c r="Q341" s="421"/>
    </row>
    <row r="342" spans="1:17" ht="11.25">
      <c r="A342" s="142" t="s">
        <v>8890</v>
      </c>
      <c r="B342" s="142" t="s">
        <v>8891</v>
      </c>
      <c r="C342" s="142" t="s">
        <v>8892</v>
      </c>
      <c r="D342" s="142"/>
      <c r="E342" s="142" t="s">
        <v>242</v>
      </c>
      <c r="F342" s="142"/>
      <c r="G342" s="141" t="s">
        <v>8878</v>
      </c>
      <c r="H342" s="145" t="s">
        <v>8893</v>
      </c>
      <c r="I342" s="155" t="s">
        <v>198</v>
      </c>
      <c r="J342" s="156"/>
      <c r="K342" s="156"/>
      <c r="L342" s="156" t="s">
        <v>191</v>
      </c>
      <c r="M342" s="331">
        <v>4</v>
      </c>
      <c r="N342" s="426"/>
      <c r="O342" s="151">
        <v>5</v>
      </c>
      <c r="P342" s="151" t="s">
        <v>199</v>
      </c>
      <c r="Q342" s="421"/>
    </row>
    <row r="343" spans="1:17" ht="11.25">
      <c r="A343" s="142" t="s">
        <v>8894</v>
      </c>
      <c r="B343" s="142" t="s">
        <v>8895</v>
      </c>
      <c r="C343" s="142"/>
      <c r="D343" s="142"/>
      <c r="E343" s="142" t="s">
        <v>242</v>
      </c>
      <c r="F343" s="142"/>
      <c r="G343" s="141" t="s">
        <v>8267</v>
      </c>
      <c r="H343" s="145" t="s">
        <v>8896</v>
      </c>
      <c r="I343" s="155" t="s">
        <v>198</v>
      </c>
      <c r="J343" s="156"/>
      <c r="K343" s="156"/>
      <c r="L343" s="156" t="s">
        <v>191</v>
      </c>
      <c r="M343" s="331">
        <v>4</v>
      </c>
      <c r="N343" s="426"/>
      <c r="O343" s="151">
        <v>5</v>
      </c>
      <c r="P343" s="151" t="s">
        <v>199</v>
      </c>
      <c r="Q343" s="421"/>
    </row>
    <row r="344" spans="1:17" ht="11.25">
      <c r="A344" s="142" t="s">
        <v>8897</v>
      </c>
      <c r="B344" s="142" t="s">
        <v>8898</v>
      </c>
      <c r="C344" s="142" t="s">
        <v>8899</v>
      </c>
      <c r="D344" s="173"/>
      <c r="E344" s="142" t="s">
        <v>242</v>
      </c>
      <c r="F344" s="142"/>
      <c r="G344" s="141" t="s">
        <v>4206</v>
      </c>
      <c r="H344" s="145" t="s">
        <v>8900</v>
      </c>
      <c r="I344" s="155" t="s">
        <v>198</v>
      </c>
      <c r="J344" s="156"/>
      <c r="K344" s="156"/>
      <c r="L344" s="156" t="s">
        <v>191</v>
      </c>
      <c r="M344" s="331">
        <v>4</v>
      </c>
      <c r="N344" s="426"/>
      <c r="O344" s="151">
        <v>5</v>
      </c>
      <c r="P344" s="151" t="s">
        <v>199</v>
      </c>
      <c r="Q344" s="421"/>
    </row>
    <row r="345" spans="1:17" ht="22.5">
      <c r="A345" s="142" t="s">
        <v>8901</v>
      </c>
      <c r="B345" s="142" t="s">
        <v>8902</v>
      </c>
      <c r="C345" s="142" t="s">
        <v>8903</v>
      </c>
      <c r="D345" s="142"/>
      <c r="E345" s="142" t="s">
        <v>242</v>
      </c>
      <c r="F345" s="142"/>
      <c r="G345" s="141" t="s">
        <v>2103</v>
      </c>
      <c r="H345" s="145" t="s">
        <v>8904</v>
      </c>
      <c r="I345" s="155" t="s">
        <v>198</v>
      </c>
      <c r="J345" s="156"/>
      <c r="K345" s="156"/>
      <c r="L345" s="156" t="s">
        <v>191</v>
      </c>
      <c r="M345" s="331">
        <v>4</v>
      </c>
      <c r="N345" s="426"/>
      <c r="O345" s="151">
        <v>5</v>
      </c>
      <c r="P345" s="151" t="s">
        <v>199</v>
      </c>
      <c r="Q345" s="421"/>
    </row>
    <row r="346" spans="1:17" ht="22.5">
      <c r="A346" s="142" t="s">
        <v>8905</v>
      </c>
      <c r="B346" s="142" t="s">
        <v>8906</v>
      </c>
      <c r="C346" s="145"/>
      <c r="D346" s="145"/>
      <c r="E346" s="142" t="s">
        <v>242</v>
      </c>
      <c r="F346" s="142"/>
      <c r="G346" s="141" t="s">
        <v>3034</v>
      </c>
      <c r="H346" s="145" t="s">
        <v>8907</v>
      </c>
      <c r="I346" s="155" t="s">
        <v>198</v>
      </c>
      <c r="J346" s="156"/>
      <c r="K346" s="156"/>
      <c r="L346" s="156" t="s">
        <v>191</v>
      </c>
      <c r="M346" s="331">
        <v>4</v>
      </c>
      <c r="N346" s="426"/>
      <c r="O346" s="151">
        <v>5</v>
      </c>
      <c r="P346" s="151" t="s">
        <v>199</v>
      </c>
      <c r="Q346" s="421"/>
    </row>
    <row r="347" spans="1:17" ht="11.25">
      <c r="A347" s="142" t="s">
        <v>8908</v>
      </c>
      <c r="B347" s="142" t="s">
        <v>8909</v>
      </c>
      <c r="C347" s="145"/>
      <c r="D347" s="145"/>
      <c r="E347" s="142" t="s">
        <v>242</v>
      </c>
      <c r="F347" s="142"/>
      <c r="G347" s="141" t="s">
        <v>3034</v>
      </c>
      <c r="H347" s="145" t="s">
        <v>8910</v>
      </c>
      <c r="I347" s="155" t="s">
        <v>198</v>
      </c>
      <c r="J347" s="156"/>
      <c r="K347" s="156"/>
      <c r="L347" s="156" t="s">
        <v>191</v>
      </c>
      <c r="M347" s="331">
        <v>4</v>
      </c>
      <c r="N347" s="426"/>
      <c r="O347" s="151">
        <v>5</v>
      </c>
      <c r="P347" s="151" t="s">
        <v>199</v>
      </c>
      <c r="Q347" s="421"/>
    </row>
    <row r="348" spans="1:17" ht="22.5">
      <c r="A348" s="142" t="s">
        <v>8235</v>
      </c>
      <c r="B348" s="142" t="s">
        <v>8236</v>
      </c>
      <c r="C348" s="145"/>
      <c r="D348" s="145"/>
      <c r="E348" s="142" t="s">
        <v>242</v>
      </c>
      <c r="F348" s="142"/>
      <c r="G348" s="141" t="s">
        <v>8911</v>
      </c>
      <c r="H348" s="145" t="s">
        <v>8912</v>
      </c>
      <c r="I348" s="155" t="s">
        <v>198</v>
      </c>
      <c r="J348" s="156"/>
      <c r="K348" s="156"/>
      <c r="L348" s="156" t="s">
        <v>191</v>
      </c>
      <c r="M348" s="331">
        <v>4</v>
      </c>
      <c r="N348" s="426"/>
      <c r="O348" s="151">
        <v>5</v>
      </c>
      <c r="P348" s="151" t="s">
        <v>199</v>
      </c>
      <c r="Q348" s="421"/>
    </row>
    <row r="349" spans="1:17" ht="22.5">
      <c r="A349" s="142" t="s">
        <v>8240</v>
      </c>
      <c r="B349" s="142" t="s">
        <v>8241</v>
      </c>
      <c r="C349" s="145"/>
      <c r="D349" s="145"/>
      <c r="E349" s="142" t="s">
        <v>242</v>
      </c>
      <c r="F349" s="142"/>
      <c r="G349" s="141" t="s">
        <v>8911</v>
      </c>
      <c r="H349" s="145" t="s">
        <v>8913</v>
      </c>
      <c r="I349" s="155" t="s">
        <v>198</v>
      </c>
      <c r="J349" s="156"/>
      <c r="K349" s="156"/>
      <c r="L349" s="156" t="s">
        <v>191</v>
      </c>
      <c r="M349" s="331">
        <v>4</v>
      </c>
      <c r="N349" s="426"/>
      <c r="O349" s="151">
        <v>5</v>
      </c>
      <c r="P349" s="151" t="s">
        <v>199</v>
      </c>
      <c r="Q349" s="421"/>
    </row>
    <row r="350" spans="1:17" ht="11.25">
      <c r="A350" s="142" t="s">
        <v>8914</v>
      </c>
      <c r="B350" s="142" t="s">
        <v>8915</v>
      </c>
      <c r="C350" s="145"/>
      <c r="D350" s="145"/>
      <c r="E350" s="142" t="s">
        <v>242</v>
      </c>
      <c r="F350" s="142"/>
      <c r="G350" s="141" t="s">
        <v>8916</v>
      </c>
      <c r="H350" s="145" t="s">
        <v>8917</v>
      </c>
      <c r="I350" s="155" t="s">
        <v>198</v>
      </c>
      <c r="J350" s="156"/>
      <c r="K350" s="156"/>
      <c r="L350" s="156" t="s">
        <v>191</v>
      </c>
      <c r="M350" s="331">
        <v>4</v>
      </c>
      <c r="N350" s="426"/>
      <c r="O350" s="151">
        <v>5</v>
      </c>
      <c r="P350" s="151" t="s">
        <v>199</v>
      </c>
      <c r="Q350" s="421"/>
    </row>
    <row r="351" spans="1:17" ht="11.25">
      <c r="A351" s="142" t="s">
        <v>8918</v>
      </c>
      <c r="B351" s="142" t="s">
        <v>8919</v>
      </c>
      <c r="C351" s="145"/>
      <c r="D351" s="145"/>
      <c r="E351" s="142" t="s">
        <v>242</v>
      </c>
      <c r="F351" s="142"/>
      <c r="G351" s="141" t="s">
        <v>8916</v>
      </c>
      <c r="H351" s="145" t="s">
        <v>8920</v>
      </c>
      <c r="I351" s="155" t="s">
        <v>198</v>
      </c>
      <c r="J351" s="156"/>
      <c r="K351" s="156"/>
      <c r="L351" s="156" t="s">
        <v>191</v>
      </c>
      <c r="M351" s="331">
        <v>4</v>
      </c>
      <c r="N351" s="426"/>
      <c r="O351" s="151">
        <v>5</v>
      </c>
      <c r="P351" s="151" t="s">
        <v>199</v>
      </c>
      <c r="Q351" s="421"/>
    </row>
    <row r="352" spans="1:17" ht="22.5">
      <c r="A352" s="142" t="s">
        <v>8921</v>
      </c>
      <c r="B352" s="142" t="s">
        <v>8922</v>
      </c>
      <c r="C352" s="142" t="s">
        <v>8923</v>
      </c>
      <c r="D352" s="142" t="s">
        <v>8924</v>
      </c>
      <c r="E352" s="142" t="s">
        <v>242</v>
      </c>
      <c r="F352" s="142"/>
      <c r="G352" s="141" t="s">
        <v>8911</v>
      </c>
      <c r="H352" s="145" t="s">
        <v>8925</v>
      </c>
      <c r="I352" s="155" t="s">
        <v>198</v>
      </c>
      <c r="J352" s="156"/>
      <c r="K352" s="156"/>
      <c r="L352" s="156" t="s">
        <v>191</v>
      </c>
      <c r="M352" s="331">
        <v>4</v>
      </c>
      <c r="N352" s="426"/>
      <c r="O352" s="151">
        <v>5</v>
      </c>
      <c r="P352" s="151" t="s">
        <v>199</v>
      </c>
      <c r="Q352" s="421"/>
    </row>
    <row r="353" spans="1:17" ht="11.25">
      <c r="A353" s="142" t="s">
        <v>8926</v>
      </c>
      <c r="B353" s="142" t="s">
        <v>8927</v>
      </c>
      <c r="C353" s="145"/>
      <c r="D353" s="145"/>
      <c r="E353" s="142" t="s">
        <v>242</v>
      </c>
      <c r="F353" s="142"/>
      <c r="G353" s="171" t="s">
        <v>3034</v>
      </c>
      <c r="H353" s="145" t="s">
        <v>8928</v>
      </c>
      <c r="I353" s="155" t="s">
        <v>198</v>
      </c>
      <c r="J353" s="155"/>
      <c r="K353" s="155"/>
      <c r="L353" s="156" t="s">
        <v>191</v>
      </c>
      <c r="M353" s="331">
        <v>4</v>
      </c>
      <c r="N353" s="426"/>
      <c r="O353" s="151">
        <v>5</v>
      </c>
      <c r="P353" s="151" t="s">
        <v>199</v>
      </c>
      <c r="Q353" s="421"/>
    </row>
    <row r="354" spans="1:17" ht="22.5">
      <c r="A354" s="142" t="s">
        <v>8929</v>
      </c>
      <c r="B354" s="142" t="s">
        <v>8930</v>
      </c>
      <c r="C354" s="145"/>
      <c r="D354" s="145"/>
      <c r="E354" s="142" t="s">
        <v>242</v>
      </c>
      <c r="F354" s="142"/>
      <c r="G354" s="171" t="s">
        <v>3034</v>
      </c>
      <c r="H354" s="145" t="s">
        <v>8931</v>
      </c>
      <c r="I354" s="155" t="s">
        <v>198</v>
      </c>
      <c r="J354" s="155"/>
      <c r="K354" s="155"/>
      <c r="L354" s="156" t="s">
        <v>191</v>
      </c>
      <c r="M354" s="331">
        <v>4</v>
      </c>
      <c r="N354" s="426"/>
      <c r="O354" s="151">
        <v>5</v>
      </c>
      <c r="P354" s="151" t="s">
        <v>199</v>
      </c>
      <c r="Q354" s="421"/>
    </row>
    <row r="355" spans="1:17" ht="11.25">
      <c r="A355" s="142" t="s">
        <v>8932</v>
      </c>
      <c r="B355" s="142" t="s">
        <v>8933</v>
      </c>
      <c r="C355" s="145"/>
      <c r="D355" s="145"/>
      <c r="E355" s="142" t="s">
        <v>242</v>
      </c>
      <c r="F355" s="142"/>
      <c r="G355" s="171" t="s">
        <v>3034</v>
      </c>
      <c r="H355" s="145" t="s">
        <v>8934</v>
      </c>
      <c r="I355" s="155" t="s">
        <v>198</v>
      </c>
      <c r="J355" s="155"/>
      <c r="K355" s="155"/>
      <c r="L355" s="156" t="s">
        <v>191</v>
      </c>
      <c r="M355" s="331">
        <v>4</v>
      </c>
      <c r="N355" s="426"/>
      <c r="O355" s="151">
        <v>5</v>
      </c>
      <c r="P355" s="151" t="s">
        <v>199</v>
      </c>
      <c r="Q355" s="421"/>
    </row>
    <row r="356" spans="1:17" ht="22.5">
      <c r="A356" s="142" t="s">
        <v>8935</v>
      </c>
      <c r="B356" s="142" t="s">
        <v>8936</v>
      </c>
      <c r="C356" s="145"/>
      <c r="D356" s="145"/>
      <c r="E356" s="142" t="s">
        <v>242</v>
      </c>
      <c r="F356" s="142"/>
      <c r="G356" s="171" t="s">
        <v>3034</v>
      </c>
      <c r="H356" s="145" t="s">
        <v>8937</v>
      </c>
      <c r="I356" s="155" t="s">
        <v>198</v>
      </c>
      <c r="J356" s="155"/>
      <c r="K356" s="155"/>
      <c r="L356" s="156" t="s">
        <v>191</v>
      </c>
      <c r="M356" s="331">
        <v>4</v>
      </c>
      <c r="N356" s="426"/>
      <c r="O356" s="151">
        <v>5</v>
      </c>
      <c r="P356" s="151" t="s">
        <v>199</v>
      </c>
      <c r="Q356" s="421"/>
    </row>
    <row r="357" spans="1:17" ht="11.25">
      <c r="A357" s="142" t="s">
        <v>8938</v>
      </c>
      <c r="B357" s="142" t="s">
        <v>8939</v>
      </c>
      <c r="C357" s="145"/>
      <c r="D357" s="145"/>
      <c r="E357" s="142" t="s">
        <v>242</v>
      </c>
      <c r="F357" s="142"/>
      <c r="G357" s="171" t="s">
        <v>3034</v>
      </c>
      <c r="H357" s="145" t="s">
        <v>8940</v>
      </c>
      <c r="I357" s="155" t="s">
        <v>198</v>
      </c>
      <c r="J357" s="155"/>
      <c r="K357" s="155"/>
      <c r="L357" s="156" t="s">
        <v>191</v>
      </c>
      <c r="M357" s="331">
        <v>4</v>
      </c>
      <c r="N357" s="426"/>
      <c r="O357" s="151">
        <v>5</v>
      </c>
      <c r="P357" s="151" t="s">
        <v>199</v>
      </c>
      <c r="Q357" s="421"/>
    </row>
    <row r="358" spans="1:17" ht="22.5">
      <c r="A358" s="142" t="s">
        <v>8941</v>
      </c>
      <c r="B358" s="142" t="s">
        <v>3126</v>
      </c>
      <c r="C358" s="145"/>
      <c r="D358" s="145"/>
      <c r="E358" s="142" t="s">
        <v>242</v>
      </c>
      <c r="F358" s="142"/>
      <c r="G358" s="171" t="s">
        <v>3034</v>
      </c>
      <c r="H358" s="145" t="s">
        <v>8942</v>
      </c>
      <c r="I358" s="155" t="s">
        <v>188</v>
      </c>
      <c r="J358" s="155" t="s">
        <v>1453</v>
      </c>
      <c r="K358" s="155"/>
      <c r="L358" s="156" t="s">
        <v>191</v>
      </c>
      <c r="M358" s="331">
        <v>4</v>
      </c>
      <c r="N358" s="426"/>
      <c r="O358" s="151">
        <v>5</v>
      </c>
      <c r="P358" s="151" t="s">
        <v>199</v>
      </c>
      <c r="Q358" s="421"/>
    </row>
    <row r="359" spans="1:17" ht="11.25">
      <c r="A359" s="142" t="s">
        <v>8943</v>
      </c>
      <c r="B359" s="142" t="s">
        <v>8944</v>
      </c>
      <c r="C359" s="145"/>
      <c r="D359" s="145"/>
      <c r="E359" s="142" t="s">
        <v>242</v>
      </c>
      <c r="F359" s="142"/>
      <c r="G359" s="171" t="s">
        <v>8916</v>
      </c>
      <c r="H359" s="145" t="s">
        <v>8945</v>
      </c>
      <c r="I359" s="240" t="s">
        <v>198</v>
      </c>
      <c r="J359" s="155"/>
      <c r="K359" s="155"/>
      <c r="L359" s="156" t="s">
        <v>191</v>
      </c>
      <c r="M359" s="331">
        <v>4</v>
      </c>
      <c r="N359" s="426"/>
      <c r="O359" s="151">
        <v>5</v>
      </c>
      <c r="P359" s="151" t="s">
        <v>199</v>
      </c>
      <c r="Q359" s="421"/>
    </row>
    <row r="360" spans="1:17" ht="11.25">
      <c r="A360" s="142" t="s">
        <v>8946</v>
      </c>
      <c r="B360" s="142" t="s">
        <v>8947</v>
      </c>
      <c r="C360" s="145"/>
      <c r="D360" s="145"/>
      <c r="E360" s="142" t="s">
        <v>242</v>
      </c>
      <c r="F360" s="142"/>
      <c r="G360" s="171" t="s">
        <v>3034</v>
      </c>
      <c r="H360" s="145" t="s">
        <v>8948</v>
      </c>
      <c r="I360" s="240" t="s">
        <v>198</v>
      </c>
      <c r="J360" s="155"/>
      <c r="K360" s="155"/>
      <c r="L360" s="156" t="s">
        <v>191</v>
      </c>
      <c r="M360" s="331">
        <v>4</v>
      </c>
      <c r="N360" s="426"/>
      <c r="O360" s="151">
        <v>5</v>
      </c>
      <c r="P360" s="151" t="s">
        <v>199</v>
      </c>
      <c r="Q360" s="421"/>
    </row>
    <row r="361" spans="1:17" ht="11.25">
      <c r="A361" s="142" t="s">
        <v>8949</v>
      </c>
      <c r="B361" s="142" t="s">
        <v>8950</v>
      </c>
      <c r="C361" s="145"/>
      <c r="D361" s="145"/>
      <c r="E361" s="142" t="s">
        <v>242</v>
      </c>
      <c r="F361" s="142"/>
      <c r="G361" s="171" t="s">
        <v>8916</v>
      </c>
      <c r="H361" s="145" t="s">
        <v>8951</v>
      </c>
      <c r="I361" s="155" t="s">
        <v>198</v>
      </c>
      <c r="J361" s="155"/>
      <c r="K361" s="155"/>
      <c r="L361" s="156" t="s">
        <v>191</v>
      </c>
      <c r="M361" s="331">
        <v>4</v>
      </c>
      <c r="N361" s="426"/>
      <c r="O361" s="151">
        <v>5</v>
      </c>
      <c r="P361" s="151" t="s">
        <v>199</v>
      </c>
      <c r="Q361" s="421"/>
    </row>
    <row r="362" spans="1:17" ht="11.25">
      <c r="A362" s="142" t="s">
        <v>8952</v>
      </c>
      <c r="B362" s="142" t="s">
        <v>8953</v>
      </c>
      <c r="C362" s="145"/>
      <c r="D362" s="145"/>
      <c r="E362" s="142" t="s">
        <v>242</v>
      </c>
      <c r="F362" s="142"/>
      <c r="G362" s="171" t="s">
        <v>3034</v>
      </c>
      <c r="H362" s="145" t="s">
        <v>8954</v>
      </c>
      <c r="I362" s="155" t="s">
        <v>198</v>
      </c>
      <c r="J362" s="155"/>
      <c r="K362" s="155"/>
      <c r="L362" s="156" t="s">
        <v>191</v>
      </c>
      <c r="M362" s="331">
        <v>4</v>
      </c>
      <c r="N362" s="426"/>
      <c r="O362" s="151">
        <v>5</v>
      </c>
      <c r="P362" s="151" t="s">
        <v>199</v>
      </c>
      <c r="Q362" s="421"/>
    </row>
    <row r="363" spans="1:17" ht="22.5">
      <c r="A363" s="142" t="s">
        <v>8955</v>
      </c>
      <c r="B363" s="142" t="s">
        <v>8956</v>
      </c>
      <c r="C363" s="145"/>
      <c r="D363" s="145"/>
      <c r="E363" s="142" t="s">
        <v>242</v>
      </c>
      <c r="F363" s="142"/>
      <c r="G363" s="171" t="s">
        <v>8916</v>
      </c>
      <c r="H363" s="145" t="s">
        <v>8957</v>
      </c>
      <c r="I363" s="240" t="s">
        <v>198</v>
      </c>
      <c r="J363" s="155"/>
      <c r="K363" s="155"/>
      <c r="L363" s="156" t="s">
        <v>191</v>
      </c>
      <c r="M363" s="331">
        <v>4</v>
      </c>
      <c r="N363" s="426"/>
      <c r="O363" s="151">
        <v>5</v>
      </c>
      <c r="P363" s="151" t="s">
        <v>199</v>
      </c>
      <c r="Q363" s="421"/>
    </row>
    <row r="364" spans="1:17" ht="22.5">
      <c r="A364" s="142" t="s">
        <v>8958</v>
      </c>
      <c r="B364" s="142" t="s">
        <v>8959</v>
      </c>
      <c r="C364" s="145"/>
      <c r="D364" s="145"/>
      <c r="E364" s="142" t="s">
        <v>242</v>
      </c>
      <c r="F364" s="142"/>
      <c r="G364" s="171" t="s">
        <v>3034</v>
      </c>
      <c r="H364" s="145" t="s">
        <v>8960</v>
      </c>
      <c r="I364" s="240" t="s">
        <v>198</v>
      </c>
      <c r="J364" s="155"/>
      <c r="K364" s="155"/>
      <c r="L364" s="156" t="s">
        <v>191</v>
      </c>
      <c r="M364" s="331">
        <v>4</v>
      </c>
      <c r="N364" s="426"/>
      <c r="O364" s="151">
        <v>5</v>
      </c>
      <c r="P364" s="151" t="s">
        <v>199</v>
      </c>
      <c r="Q364" s="421"/>
    </row>
    <row r="365" spans="1:17" ht="22.5">
      <c r="A365" s="142" t="s">
        <v>8961</v>
      </c>
      <c r="B365" s="142" t="s">
        <v>8962</v>
      </c>
      <c r="C365" s="145"/>
      <c r="D365" s="145"/>
      <c r="E365" s="142" t="s">
        <v>242</v>
      </c>
      <c r="F365" s="142"/>
      <c r="G365" s="171" t="s">
        <v>8916</v>
      </c>
      <c r="H365" s="145" t="s">
        <v>8963</v>
      </c>
      <c r="I365" s="155" t="s">
        <v>198</v>
      </c>
      <c r="J365" s="155"/>
      <c r="K365" s="155"/>
      <c r="L365" s="156" t="s">
        <v>191</v>
      </c>
      <c r="M365" s="331">
        <v>4</v>
      </c>
      <c r="N365" s="426"/>
      <c r="O365" s="151">
        <v>5</v>
      </c>
      <c r="P365" s="151" t="s">
        <v>199</v>
      </c>
      <c r="Q365" s="421"/>
    </row>
    <row r="366" spans="1:17" ht="22.5">
      <c r="A366" s="142" t="s">
        <v>8964</v>
      </c>
      <c r="B366" s="142" t="s">
        <v>8965</v>
      </c>
      <c r="C366" s="145"/>
      <c r="D366" s="145"/>
      <c r="E366" s="142" t="s">
        <v>242</v>
      </c>
      <c r="F366" s="142"/>
      <c r="G366" s="171" t="s">
        <v>3034</v>
      </c>
      <c r="H366" s="145" t="s">
        <v>8966</v>
      </c>
      <c r="I366" s="155" t="s">
        <v>198</v>
      </c>
      <c r="J366" s="155"/>
      <c r="K366" s="155"/>
      <c r="L366" s="156" t="s">
        <v>191</v>
      </c>
      <c r="M366" s="331">
        <v>4</v>
      </c>
      <c r="N366" s="426"/>
      <c r="O366" s="151">
        <v>5</v>
      </c>
      <c r="P366" s="151" t="s">
        <v>199</v>
      </c>
      <c r="Q366" s="421"/>
    </row>
    <row r="367" spans="1:17" ht="22.5">
      <c r="A367" s="142" t="s">
        <v>8967</v>
      </c>
      <c r="B367" s="142" t="s">
        <v>8968</v>
      </c>
      <c r="C367" s="145"/>
      <c r="D367" s="145"/>
      <c r="E367" s="142" t="s">
        <v>242</v>
      </c>
      <c r="F367" s="142"/>
      <c r="G367" s="171" t="s">
        <v>8969</v>
      </c>
      <c r="H367" s="145" t="s">
        <v>8970</v>
      </c>
      <c r="I367" s="240" t="s">
        <v>198</v>
      </c>
      <c r="J367" s="155"/>
      <c r="K367" s="155"/>
      <c r="L367" s="156" t="s">
        <v>191</v>
      </c>
      <c r="M367" s="331">
        <v>4</v>
      </c>
      <c r="N367" s="426"/>
      <c r="O367" s="151">
        <v>5</v>
      </c>
      <c r="P367" s="151" t="s">
        <v>199</v>
      </c>
      <c r="Q367" s="421"/>
    </row>
    <row r="368" spans="1:17" ht="22.5">
      <c r="A368" s="142" t="s">
        <v>8971</v>
      </c>
      <c r="B368" s="142" t="s">
        <v>8972</v>
      </c>
      <c r="C368" s="145"/>
      <c r="D368" s="145"/>
      <c r="E368" s="142" t="s">
        <v>242</v>
      </c>
      <c r="F368" s="142"/>
      <c r="G368" s="171" t="s">
        <v>8969</v>
      </c>
      <c r="H368" s="145" t="s">
        <v>8973</v>
      </c>
      <c r="I368" s="155" t="s">
        <v>198</v>
      </c>
      <c r="J368" s="155"/>
      <c r="K368" s="155"/>
      <c r="L368" s="156" t="s">
        <v>191</v>
      </c>
      <c r="M368" s="331">
        <v>4</v>
      </c>
      <c r="N368" s="426"/>
      <c r="O368" s="151">
        <v>5</v>
      </c>
      <c r="P368" s="151" t="s">
        <v>199</v>
      </c>
      <c r="Q368" s="421"/>
    </row>
    <row r="369" spans="1:17" ht="22.5">
      <c r="A369" s="142" t="s">
        <v>8974</v>
      </c>
      <c r="B369" s="142" t="s">
        <v>8975</v>
      </c>
      <c r="C369" s="145"/>
      <c r="D369" s="145"/>
      <c r="E369" s="142" t="s">
        <v>242</v>
      </c>
      <c r="F369" s="142"/>
      <c r="G369" s="171" t="s">
        <v>8969</v>
      </c>
      <c r="H369" s="145" t="s">
        <v>8976</v>
      </c>
      <c r="I369" s="240" t="s">
        <v>198</v>
      </c>
      <c r="J369" s="155"/>
      <c r="K369" s="155"/>
      <c r="L369" s="156" t="s">
        <v>191</v>
      </c>
      <c r="M369" s="331">
        <v>4</v>
      </c>
      <c r="N369" s="426"/>
      <c r="O369" s="151">
        <v>5</v>
      </c>
      <c r="P369" s="151" t="s">
        <v>199</v>
      </c>
      <c r="Q369" s="421"/>
    </row>
    <row r="370" spans="1:17" ht="22.5">
      <c r="A370" s="142" t="s">
        <v>8977</v>
      </c>
      <c r="B370" s="142" t="s">
        <v>8978</v>
      </c>
      <c r="C370" s="145"/>
      <c r="D370" s="145"/>
      <c r="E370" s="142" t="s">
        <v>242</v>
      </c>
      <c r="F370" s="142"/>
      <c r="G370" s="171" t="s">
        <v>8969</v>
      </c>
      <c r="H370" s="145" t="s">
        <v>8979</v>
      </c>
      <c r="I370" s="155" t="s">
        <v>198</v>
      </c>
      <c r="J370" s="155"/>
      <c r="K370" s="155"/>
      <c r="L370" s="156" t="s">
        <v>191</v>
      </c>
      <c r="M370" s="331">
        <v>4</v>
      </c>
      <c r="N370" s="426"/>
      <c r="O370" s="151">
        <v>5</v>
      </c>
      <c r="P370" s="151" t="s">
        <v>199</v>
      </c>
      <c r="Q370" s="421"/>
    </row>
    <row r="371" spans="1:17" ht="11.25">
      <c r="A371" s="142" t="s">
        <v>8980</v>
      </c>
      <c r="B371" s="142" t="s">
        <v>8981</v>
      </c>
      <c r="C371" s="145"/>
      <c r="D371" s="145"/>
      <c r="E371" s="142" t="s">
        <v>242</v>
      </c>
      <c r="F371" s="142"/>
      <c r="G371" s="171" t="s">
        <v>8969</v>
      </c>
      <c r="H371" s="145" t="s">
        <v>8982</v>
      </c>
      <c r="I371" s="240" t="s">
        <v>198</v>
      </c>
      <c r="J371" s="155"/>
      <c r="K371" s="155"/>
      <c r="L371" s="156" t="s">
        <v>191</v>
      </c>
      <c r="M371" s="331">
        <v>4</v>
      </c>
      <c r="N371" s="426"/>
      <c r="O371" s="151">
        <v>5</v>
      </c>
      <c r="P371" s="151" t="s">
        <v>199</v>
      </c>
      <c r="Q371" s="421"/>
    </row>
    <row r="372" spans="1:17" ht="11.25">
      <c r="A372" s="142" t="s">
        <v>8983</v>
      </c>
      <c r="B372" s="142" t="s">
        <v>8984</v>
      </c>
      <c r="C372" s="145"/>
      <c r="D372" s="145"/>
      <c r="E372" s="142" t="s">
        <v>242</v>
      </c>
      <c r="F372" s="142"/>
      <c r="G372" s="171" t="s">
        <v>8969</v>
      </c>
      <c r="H372" s="145" t="s">
        <v>8982</v>
      </c>
      <c r="I372" s="240" t="s">
        <v>198</v>
      </c>
      <c r="J372" s="155"/>
      <c r="K372" s="155"/>
      <c r="L372" s="156" t="s">
        <v>191</v>
      </c>
      <c r="M372" s="331">
        <v>4</v>
      </c>
      <c r="N372" s="426"/>
      <c r="O372" s="151">
        <v>5</v>
      </c>
      <c r="P372" s="151" t="s">
        <v>199</v>
      </c>
      <c r="Q372" s="421"/>
    </row>
    <row r="373" spans="1:17" ht="11.25">
      <c r="A373" s="142" t="s">
        <v>8985</v>
      </c>
      <c r="B373" s="142" t="s">
        <v>8986</v>
      </c>
      <c r="C373" s="145"/>
      <c r="D373" s="145"/>
      <c r="E373" s="142" t="s">
        <v>242</v>
      </c>
      <c r="F373" s="142"/>
      <c r="G373" s="171" t="s">
        <v>8916</v>
      </c>
      <c r="H373" s="145" t="s">
        <v>8987</v>
      </c>
      <c r="I373" s="240" t="s">
        <v>198</v>
      </c>
      <c r="J373" s="155"/>
      <c r="K373" s="155"/>
      <c r="L373" s="156" t="s">
        <v>191</v>
      </c>
      <c r="M373" s="331">
        <v>4</v>
      </c>
      <c r="N373" s="426"/>
      <c r="O373" s="151">
        <v>5</v>
      </c>
      <c r="P373" s="151" t="s">
        <v>199</v>
      </c>
      <c r="Q373" s="421"/>
    </row>
    <row r="374" spans="1:17" ht="11.25">
      <c r="A374" s="142" t="s">
        <v>8988</v>
      </c>
      <c r="B374" s="142" t="s">
        <v>8989</v>
      </c>
      <c r="C374" s="145"/>
      <c r="D374" s="145"/>
      <c r="E374" s="142" t="s">
        <v>242</v>
      </c>
      <c r="F374" s="142"/>
      <c r="G374" s="171" t="s">
        <v>8916</v>
      </c>
      <c r="H374" s="145" t="s">
        <v>8990</v>
      </c>
      <c r="I374" s="155" t="s">
        <v>198</v>
      </c>
      <c r="J374" s="155"/>
      <c r="K374" s="155"/>
      <c r="L374" s="156" t="s">
        <v>191</v>
      </c>
      <c r="M374" s="331">
        <v>4</v>
      </c>
      <c r="N374" s="426"/>
      <c r="O374" s="151">
        <v>5</v>
      </c>
      <c r="P374" s="151" t="s">
        <v>199</v>
      </c>
      <c r="Q374" s="421"/>
    </row>
    <row r="375" spans="1:17" ht="22.5">
      <c r="A375" s="142" t="s">
        <v>8991</v>
      </c>
      <c r="B375" s="142" t="s">
        <v>8992</v>
      </c>
      <c r="C375" s="145"/>
      <c r="D375" s="145"/>
      <c r="E375" s="142" t="s">
        <v>242</v>
      </c>
      <c r="F375" s="142"/>
      <c r="G375" s="171" t="s">
        <v>8916</v>
      </c>
      <c r="H375" s="145" t="s">
        <v>8993</v>
      </c>
      <c r="I375" s="240" t="s">
        <v>198</v>
      </c>
      <c r="J375" s="155"/>
      <c r="K375" s="155"/>
      <c r="L375" s="156" t="s">
        <v>191</v>
      </c>
      <c r="M375" s="331">
        <v>4</v>
      </c>
      <c r="N375" s="426"/>
      <c r="O375" s="151">
        <v>5</v>
      </c>
      <c r="P375" s="151" t="s">
        <v>199</v>
      </c>
      <c r="Q375" s="421"/>
    </row>
    <row r="376" spans="1:17" ht="22.5">
      <c r="A376" s="142" t="s">
        <v>8994</v>
      </c>
      <c r="B376" s="142" t="s">
        <v>8995</v>
      </c>
      <c r="C376" s="145"/>
      <c r="D376" s="145"/>
      <c r="E376" s="142" t="s">
        <v>242</v>
      </c>
      <c r="F376" s="142"/>
      <c r="G376" s="171" t="s">
        <v>8916</v>
      </c>
      <c r="H376" s="145" t="s">
        <v>8996</v>
      </c>
      <c r="I376" s="155" t="s">
        <v>198</v>
      </c>
      <c r="J376" s="155"/>
      <c r="K376" s="155"/>
      <c r="L376" s="156" t="s">
        <v>191</v>
      </c>
      <c r="M376" s="331">
        <v>4</v>
      </c>
      <c r="N376" s="426"/>
      <c r="O376" s="151">
        <v>5</v>
      </c>
      <c r="P376" s="151" t="s">
        <v>199</v>
      </c>
      <c r="Q376" s="421"/>
    </row>
    <row r="377" spans="1:17" ht="11.25">
      <c r="A377" s="142" t="s">
        <v>8997</v>
      </c>
      <c r="B377" s="142" t="s">
        <v>8998</v>
      </c>
      <c r="C377" s="145"/>
      <c r="D377" s="145"/>
      <c r="E377" s="142" t="s">
        <v>242</v>
      </c>
      <c r="F377" s="142"/>
      <c r="G377" s="171" t="s">
        <v>8916</v>
      </c>
      <c r="H377" s="145" t="s">
        <v>8999</v>
      </c>
      <c r="I377" s="240" t="s">
        <v>198</v>
      </c>
      <c r="J377" s="155"/>
      <c r="K377" s="155"/>
      <c r="L377" s="156" t="s">
        <v>191</v>
      </c>
      <c r="M377" s="331">
        <v>4</v>
      </c>
      <c r="N377" s="426"/>
      <c r="O377" s="151">
        <v>5</v>
      </c>
      <c r="P377" s="151" t="s">
        <v>199</v>
      </c>
      <c r="Q377" s="421"/>
    </row>
    <row r="378" spans="1:17" ht="11.25">
      <c r="A378" s="142" t="s">
        <v>9000</v>
      </c>
      <c r="B378" s="142" t="s">
        <v>9001</v>
      </c>
      <c r="C378" s="145"/>
      <c r="D378" s="145"/>
      <c r="E378" s="142" t="s">
        <v>242</v>
      </c>
      <c r="F378" s="142"/>
      <c r="G378" s="171" t="s">
        <v>8916</v>
      </c>
      <c r="H378" s="145" t="s">
        <v>9002</v>
      </c>
      <c r="I378" s="155" t="s">
        <v>198</v>
      </c>
      <c r="J378" s="155"/>
      <c r="K378" s="155"/>
      <c r="L378" s="156" t="s">
        <v>191</v>
      </c>
      <c r="M378" s="331">
        <v>4</v>
      </c>
      <c r="N378" s="426"/>
      <c r="O378" s="151">
        <v>5</v>
      </c>
      <c r="P378" s="151" t="s">
        <v>199</v>
      </c>
      <c r="Q378" s="421"/>
    </row>
    <row r="379" spans="1:17" ht="11.25">
      <c r="A379" s="142" t="s">
        <v>9003</v>
      </c>
      <c r="B379" s="142" t="s">
        <v>9004</v>
      </c>
      <c r="C379" s="145"/>
      <c r="D379" s="145"/>
      <c r="E379" s="142" t="s">
        <v>242</v>
      </c>
      <c r="F379" s="142"/>
      <c r="G379" s="171" t="s">
        <v>8916</v>
      </c>
      <c r="H379" s="145" t="s">
        <v>9005</v>
      </c>
      <c r="I379" s="240" t="s">
        <v>198</v>
      </c>
      <c r="J379" s="155"/>
      <c r="K379" s="155"/>
      <c r="L379" s="156" t="s">
        <v>191</v>
      </c>
      <c r="M379" s="331">
        <v>4</v>
      </c>
      <c r="N379" s="426"/>
      <c r="O379" s="151">
        <v>5</v>
      </c>
      <c r="P379" s="151" t="s">
        <v>199</v>
      </c>
      <c r="Q379" s="421"/>
    </row>
    <row r="380" spans="1:17" ht="11.25">
      <c r="A380" s="142" t="s">
        <v>9006</v>
      </c>
      <c r="B380" s="142" t="s">
        <v>9007</v>
      </c>
      <c r="C380" s="145"/>
      <c r="D380" s="145"/>
      <c r="E380" s="142" t="s">
        <v>242</v>
      </c>
      <c r="F380" s="142"/>
      <c r="G380" s="171" t="s">
        <v>8916</v>
      </c>
      <c r="H380" s="145" t="s">
        <v>9008</v>
      </c>
      <c r="I380" s="155" t="s">
        <v>198</v>
      </c>
      <c r="J380" s="155"/>
      <c r="K380" s="155"/>
      <c r="L380" s="156" t="s">
        <v>191</v>
      </c>
      <c r="M380" s="331">
        <v>4</v>
      </c>
      <c r="N380" s="426"/>
      <c r="O380" s="151">
        <v>5</v>
      </c>
      <c r="P380" s="151" t="s">
        <v>199</v>
      </c>
      <c r="Q380" s="421"/>
    </row>
    <row r="381" spans="1:17" ht="11.25">
      <c r="A381" s="142" t="s">
        <v>9009</v>
      </c>
      <c r="B381" s="142" t="s">
        <v>9010</v>
      </c>
      <c r="C381" s="145"/>
      <c r="D381" s="145"/>
      <c r="E381" s="142" t="s">
        <v>242</v>
      </c>
      <c r="F381" s="142"/>
      <c r="G381" s="171" t="s">
        <v>8916</v>
      </c>
      <c r="H381" s="145" t="s">
        <v>9011</v>
      </c>
      <c r="I381" s="240" t="s">
        <v>198</v>
      </c>
      <c r="J381" s="155"/>
      <c r="K381" s="155"/>
      <c r="L381" s="156" t="s">
        <v>191</v>
      </c>
      <c r="M381" s="331">
        <v>4</v>
      </c>
      <c r="N381" s="426"/>
      <c r="O381" s="151">
        <v>5</v>
      </c>
      <c r="P381" s="151" t="s">
        <v>199</v>
      </c>
      <c r="Q381" s="421"/>
    </row>
    <row r="382" spans="1:17" ht="11.25">
      <c r="A382" s="142" t="s">
        <v>9012</v>
      </c>
      <c r="B382" s="142" t="s">
        <v>9013</v>
      </c>
      <c r="C382" s="145"/>
      <c r="D382" s="145"/>
      <c r="E382" s="142" t="s">
        <v>242</v>
      </c>
      <c r="F382" s="142"/>
      <c r="G382" s="171" t="s">
        <v>8916</v>
      </c>
      <c r="H382" s="145" t="s">
        <v>9014</v>
      </c>
      <c r="I382" s="155" t="s">
        <v>198</v>
      </c>
      <c r="J382" s="155"/>
      <c r="K382" s="155"/>
      <c r="L382" s="156" t="s">
        <v>191</v>
      </c>
      <c r="M382" s="331">
        <v>4</v>
      </c>
      <c r="N382" s="426"/>
      <c r="O382" s="151">
        <v>5</v>
      </c>
      <c r="P382" s="151" t="s">
        <v>199</v>
      </c>
      <c r="Q382" s="421"/>
    </row>
    <row r="383" spans="1:17" ht="11.25">
      <c r="A383" s="142" t="s">
        <v>9015</v>
      </c>
      <c r="B383" s="142" t="s">
        <v>9016</v>
      </c>
      <c r="C383" s="145"/>
      <c r="D383" s="145"/>
      <c r="E383" s="142" t="s">
        <v>242</v>
      </c>
      <c r="F383" s="142"/>
      <c r="G383" s="171" t="s">
        <v>8916</v>
      </c>
      <c r="H383" s="145" t="s">
        <v>9017</v>
      </c>
      <c r="I383" s="240" t="s">
        <v>198</v>
      </c>
      <c r="J383" s="155"/>
      <c r="K383" s="155"/>
      <c r="L383" s="156" t="s">
        <v>191</v>
      </c>
      <c r="M383" s="331">
        <v>4</v>
      </c>
      <c r="N383" s="426"/>
      <c r="O383" s="151">
        <v>5</v>
      </c>
      <c r="P383" s="151" t="s">
        <v>199</v>
      </c>
      <c r="Q383" s="421"/>
    </row>
    <row r="384" spans="1:17" ht="11.25">
      <c r="A384" s="142" t="s">
        <v>9018</v>
      </c>
      <c r="B384" s="142" t="s">
        <v>9019</v>
      </c>
      <c r="C384" s="145"/>
      <c r="D384" s="145"/>
      <c r="E384" s="142" t="s">
        <v>242</v>
      </c>
      <c r="F384" s="142"/>
      <c r="G384" s="171" t="s">
        <v>8916</v>
      </c>
      <c r="H384" s="145" t="s">
        <v>9020</v>
      </c>
      <c r="I384" s="155" t="s">
        <v>198</v>
      </c>
      <c r="J384" s="155"/>
      <c r="K384" s="155"/>
      <c r="L384" s="156" t="s">
        <v>191</v>
      </c>
      <c r="M384" s="331">
        <v>4</v>
      </c>
      <c r="N384" s="426"/>
      <c r="O384" s="151">
        <v>5</v>
      </c>
      <c r="P384" s="151" t="s">
        <v>199</v>
      </c>
      <c r="Q384" s="421"/>
    </row>
    <row r="385" spans="1:17" ht="11.25">
      <c r="A385" s="142" t="s">
        <v>9021</v>
      </c>
      <c r="B385" s="142" t="s">
        <v>9022</v>
      </c>
      <c r="C385" s="145"/>
      <c r="D385" s="145"/>
      <c r="E385" s="142" t="s">
        <v>242</v>
      </c>
      <c r="F385" s="142"/>
      <c r="G385" s="171" t="s">
        <v>8916</v>
      </c>
      <c r="H385" s="145" t="s">
        <v>9023</v>
      </c>
      <c r="I385" s="240" t="s">
        <v>198</v>
      </c>
      <c r="J385" s="155"/>
      <c r="K385" s="155"/>
      <c r="L385" s="156" t="s">
        <v>191</v>
      </c>
      <c r="M385" s="331">
        <v>4</v>
      </c>
      <c r="N385" s="426"/>
      <c r="O385" s="151">
        <v>5</v>
      </c>
      <c r="P385" s="151" t="s">
        <v>199</v>
      </c>
      <c r="Q385" s="421"/>
    </row>
    <row r="386" spans="1:17" ht="11.25">
      <c r="A386" s="142" t="s">
        <v>9024</v>
      </c>
      <c r="B386" s="142" t="s">
        <v>9025</v>
      </c>
      <c r="C386" s="145"/>
      <c r="D386" s="145"/>
      <c r="E386" s="142" t="s">
        <v>242</v>
      </c>
      <c r="F386" s="142"/>
      <c r="G386" s="171" t="s">
        <v>8916</v>
      </c>
      <c r="H386" s="145" t="s">
        <v>9026</v>
      </c>
      <c r="I386" s="155" t="s">
        <v>198</v>
      </c>
      <c r="J386" s="155"/>
      <c r="K386" s="155"/>
      <c r="L386" s="156" t="s">
        <v>191</v>
      </c>
      <c r="M386" s="331">
        <v>4</v>
      </c>
      <c r="N386" s="426"/>
      <c r="O386" s="151">
        <v>5</v>
      </c>
      <c r="P386" s="151" t="s">
        <v>199</v>
      </c>
      <c r="Q386" s="421"/>
    </row>
    <row r="387" spans="1:17" ht="11.25">
      <c r="A387" s="142" t="s">
        <v>9027</v>
      </c>
      <c r="B387" s="142" t="s">
        <v>9028</v>
      </c>
      <c r="C387" s="145"/>
      <c r="D387" s="145"/>
      <c r="E387" s="142" t="s">
        <v>242</v>
      </c>
      <c r="F387" s="142"/>
      <c r="G387" s="171" t="s">
        <v>8916</v>
      </c>
      <c r="H387" s="145" t="s">
        <v>9029</v>
      </c>
      <c r="I387" s="240" t="s">
        <v>198</v>
      </c>
      <c r="J387" s="155"/>
      <c r="K387" s="155"/>
      <c r="L387" s="156" t="s">
        <v>191</v>
      </c>
      <c r="M387" s="331">
        <v>4</v>
      </c>
      <c r="N387" s="426"/>
      <c r="O387" s="151">
        <v>5</v>
      </c>
      <c r="P387" s="151" t="s">
        <v>199</v>
      </c>
      <c r="Q387" s="421"/>
    </row>
    <row r="388" spans="1:17" ht="11.25">
      <c r="A388" s="142" t="s">
        <v>9030</v>
      </c>
      <c r="B388" s="142" t="s">
        <v>9031</v>
      </c>
      <c r="C388" s="145"/>
      <c r="D388" s="145"/>
      <c r="E388" s="142" t="s">
        <v>242</v>
      </c>
      <c r="F388" s="142"/>
      <c r="G388" s="171" t="s">
        <v>8916</v>
      </c>
      <c r="H388" s="145" t="s">
        <v>9032</v>
      </c>
      <c r="I388" s="155" t="s">
        <v>198</v>
      </c>
      <c r="J388" s="155"/>
      <c r="K388" s="155"/>
      <c r="L388" s="156" t="s">
        <v>191</v>
      </c>
      <c r="M388" s="331">
        <v>4</v>
      </c>
      <c r="N388" s="426"/>
      <c r="O388" s="151">
        <v>5</v>
      </c>
      <c r="P388" s="151" t="s">
        <v>199</v>
      </c>
      <c r="Q388" s="421"/>
    </row>
    <row r="389" spans="1:17" ht="11.25">
      <c r="A389" s="142" t="s">
        <v>9033</v>
      </c>
      <c r="B389" s="142" t="s">
        <v>9034</v>
      </c>
      <c r="C389" s="145"/>
      <c r="D389" s="145"/>
      <c r="E389" s="142" t="s">
        <v>242</v>
      </c>
      <c r="F389" s="142"/>
      <c r="G389" s="171" t="s">
        <v>8916</v>
      </c>
      <c r="H389" s="145" t="s">
        <v>9035</v>
      </c>
      <c r="I389" s="240" t="s">
        <v>198</v>
      </c>
      <c r="J389" s="155"/>
      <c r="K389" s="155"/>
      <c r="L389" s="156" t="s">
        <v>191</v>
      </c>
      <c r="M389" s="331">
        <v>4</v>
      </c>
      <c r="N389" s="426"/>
      <c r="O389" s="151">
        <v>5</v>
      </c>
      <c r="P389" s="151" t="s">
        <v>199</v>
      </c>
      <c r="Q389" s="421"/>
    </row>
    <row r="390" spans="1:17" ht="11.25">
      <c r="A390" s="142" t="s">
        <v>9036</v>
      </c>
      <c r="B390" s="142" t="s">
        <v>9037</v>
      </c>
      <c r="C390" s="145"/>
      <c r="D390" s="145"/>
      <c r="E390" s="142" t="s">
        <v>242</v>
      </c>
      <c r="F390" s="142"/>
      <c r="G390" s="171" t="s">
        <v>8916</v>
      </c>
      <c r="H390" s="145" t="s">
        <v>9038</v>
      </c>
      <c r="I390" s="155" t="s">
        <v>198</v>
      </c>
      <c r="J390" s="155"/>
      <c r="K390" s="155"/>
      <c r="L390" s="156" t="s">
        <v>191</v>
      </c>
      <c r="M390" s="331">
        <v>4</v>
      </c>
      <c r="N390" s="426"/>
      <c r="O390" s="151">
        <v>5</v>
      </c>
      <c r="P390" s="151" t="s">
        <v>199</v>
      </c>
      <c r="Q390" s="421"/>
    </row>
    <row r="391" spans="1:17" ht="11.25">
      <c r="A391" s="142" t="s">
        <v>9039</v>
      </c>
      <c r="B391" s="142" t="s">
        <v>9040</v>
      </c>
      <c r="C391" s="145"/>
      <c r="D391" s="145"/>
      <c r="E391" s="142" t="s">
        <v>242</v>
      </c>
      <c r="F391" s="142"/>
      <c r="G391" s="171" t="s">
        <v>8916</v>
      </c>
      <c r="H391" s="145" t="s">
        <v>9041</v>
      </c>
      <c r="I391" s="240" t="s">
        <v>198</v>
      </c>
      <c r="J391" s="155"/>
      <c r="K391" s="155"/>
      <c r="L391" s="156" t="s">
        <v>191</v>
      </c>
      <c r="M391" s="331">
        <v>4</v>
      </c>
      <c r="N391" s="426"/>
      <c r="O391" s="151">
        <v>5</v>
      </c>
      <c r="P391" s="151" t="s">
        <v>199</v>
      </c>
      <c r="Q391" s="421"/>
    </row>
    <row r="392" spans="1:17" ht="11.25">
      <c r="A392" s="142" t="s">
        <v>9042</v>
      </c>
      <c r="B392" s="142" t="s">
        <v>9043</v>
      </c>
      <c r="C392" s="145"/>
      <c r="D392" s="145"/>
      <c r="E392" s="142" t="s">
        <v>242</v>
      </c>
      <c r="F392" s="142"/>
      <c r="G392" s="171" t="s">
        <v>8916</v>
      </c>
      <c r="H392" s="145" t="s">
        <v>9044</v>
      </c>
      <c r="I392" s="155" t="s">
        <v>198</v>
      </c>
      <c r="J392" s="155"/>
      <c r="K392" s="155"/>
      <c r="L392" s="156" t="s">
        <v>191</v>
      </c>
      <c r="M392" s="331">
        <v>4</v>
      </c>
      <c r="N392" s="426"/>
      <c r="O392" s="151">
        <v>5</v>
      </c>
      <c r="P392" s="151" t="s">
        <v>199</v>
      </c>
      <c r="Q392" s="421"/>
    </row>
    <row r="393" spans="1:17" ht="11.25">
      <c r="A393" s="142" t="s">
        <v>9045</v>
      </c>
      <c r="B393" s="142" t="s">
        <v>9046</v>
      </c>
      <c r="C393" s="145"/>
      <c r="D393" s="145"/>
      <c r="E393" s="142" t="s">
        <v>242</v>
      </c>
      <c r="F393" s="142"/>
      <c r="G393" s="171" t="s">
        <v>8916</v>
      </c>
      <c r="H393" s="145" t="s">
        <v>9047</v>
      </c>
      <c r="I393" s="240" t="s">
        <v>198</v>
      </c>
      <c r="J393" s="155"/>
      <c r="K393" s="155"/>
      <c r="L393" s="156" t="s">
        <v>191</v>
      </c>
      <c r="M393" s="331">
        <v>4</v>
      </c>
      <c r="N393" s="426"/>
      <c r="O393" s="151">
        <v>5</v>
      </c>
      <c r="P393" s="151" t="s">
        <v>199</v>
      </c>
      <c r="Q393" s="421"/>
    </row>
    <row r="394" spans="1:17" ht="11.25">
      <c r="A394" s="142" t="s">
        <v>9048</v>
      </c>
      <c r="B394" s="142" t="s">
        <v>9049</v>
      </c>
      <c r="C394" s="145"/>
      <c r="D394" s="145"/>
      <c r="E394" s="142" t="s">
        <v>242</v>
      </c>
      <c r="F394" s="142"/>
      <c r="G394" s="171" t="s">
        <v>8916</v>
      </c>
      <c r="H394" s="145" t="s">
        <v>9050</v>
      </c>
      <c r="I394" s="155" t="s">
        <v>198</v>
      </c>
      <c r="J394" s="155"/>
      <c r="K394" s="155"/>
      <c r="L394" s="156" t="s">
        <v>191</v>
      </c>
      <c r="M394" s="331">
        <v>4</v>
      </c>
      <c r="N394" s="426"/>
      <c r="O394" s="151">
        <v>5</v>
      </c>
      <c r="P394" s="151" t="s">
        <v>199</v>
      </c>
      <c r="Q394" s="421"/>
    </row>
    <row r="395" spans="1:17" ht="11.25">
      <c r="A395" s="142" t="s">
        <v>9051</v>
      </c>
      <c r="B395" s="142" t="s">
        <v>9052</v>
      </c>
      <c r="C395" s="145"/>
      <c r="D395" s="145"/>
      <c r="E395" s="142" t="s">
        <v>242</v>
      </c>
      <c r="F395" s="142"/>
      <c r="G395" s="171" t="s">
        <v>8916</v>
      </c>
      <c r="H395" s="145" t="s">
        <v>9053</v>
      </c>
      <c r="I395" s="240" t="s">
        <v>198</v>
      </c>
      <c r="J395" s="155"/>
      <c r="K395" s="155"/>
      <c r="L395" s="156" t="s">
        <v>191</v>
      </c>
      <c r="M395" s="331">
        <v>4</v>
      </c>
      <c r="N395" s="426"/>
      <c r="O395" s="151">
        <v>5</v>
      </c>
      <c r="P395" s="151" t="s">
        <v>199</v>
      </c>
      <c r="Q395" s="421"/>
    </row>
    <row r="396" spans="1:17" ht="11.25">
      <c r="A396" s="142" t="s">
        <v>9054</v>
      </c>
      <c r="B396" s="142" t="s">
        <v>9055</v>
      </c>
      <c r="C396" s="145"/>
      <c r="D396" s="145"/>
      <c r="E396" s="142" t="s">
        <v>242</v>
      </c>
      <c r="F396" s="142"/>
      <c r="G396" s="171" t="s">
        <v>8916</v>
      </c>
      <c r="H396" s="145" t="s">
        <v>9056</v>
      </c>
      <c r="I396" s="155" t="s">
        <v>198</v>
      </c>
      <c r="J396" s="155"/>
      <c r="K396" s="155"/>
      <c r="L396" s="156" t="s">
        <v>191</v>
      </c>
      <c r="M396" s="331">
        <v>4</v>
      </c>
      <c r="N396" s="426"/>
      <c r="O396" s="151">
        <v>5</v>
      </c>
      <c r="P396" s="151" t="s">
        <v>199</v>
      </c>
      <c r="Q396" s="421"/>
    </row>
    <row r="397" spans="1:17" ht="22.5">
      <c r="A397" s="142" t="s">
        <v>9057</v>
      </c>
      <c r="B397" s="142" t="s">
        <v>9058</v>
      </c>
      <c r="C397" s="145"/>
      <c r="D397" s="145"/>
      <c r="E397" s="142" t="s">
        <v>242</v>
      </c>
      <c r="F397" s="142"/>
      <c r="G397" s="171" t="s">
        <v>3034</v>
      </c>
      <c r="H397" s="145" t="s">
        <v>9059</v>
      </c>
      <c r="I397" s="240" t="s">
        <v>198</v>
      </c>
      <c r="J397" s="155"/>
      <c r="K397" s="155"/>
      <c r="L397" s="156" t="s">
        <v>191</v>
      </c>
      <c r="M397" s="331">
        <v>4</v>
      </c>
      <c r="N397" s="426"/>
      <c r="O397" s="151">
        <v>5</v>
      </c>
      <c r="P397" s="151" t="s">
        <v>199</v>
      </c>
      <c r="Q397" s="421"/>
    </row>
    <row r="398" spans="1:17" ht="22.5">
      <c r="A398" s="142" t="s">
        <v>9060</v>
      </c>
      <c r="B398" s="142" t="s">
        <v>9061</v>
      </c>
      <c r="C398" s="145"/>
      <c r="D398" s="145"/>
      <c r="E398" s="142" t="s">
        <v>242</v>
      </c>
      <c r="F398" s="142"/>
      <c r="G398" s="171" t="s">
        <v>3034</v>
      </c>
      <c r="H398" s="145" t="s">
        <v>9062</v>
      </c>
      <c r="I398" s="155" t="s">
        <v>198</v>
      </c>
      <c r="J398" s="155"/>
      <c r="K398" s="155"/>
      <c r="L398" s="156" t="s">
        <v>191</v>
      </c>
      <c r="M398" s="331">
        <v>4</v>
      </c>
      <c r="N398" s="426"/>
      <c r="O398" s="151">
        <v>5</v>
      </c>
      <c r="P398" s="151" t="s">
        <v>199</v>
      </c>
      <c r="Q398" s="421"/>
    </row>
    <row r="399" spans="1:17" ht="11.25">
      <c r="A399" s="142" t="s">
        <v>9063</v>
      </c>
      <c r="B399" s="142" t="s">
        <v>9064</v>
      </c>
      <c r="C399" s="145"/>
      <c r="D399" s="145"/>
      <c r="E399" s="142" t="s">
        <v>242</v>
      </c>
      <c r="F399" s="142"/>
      <c r="G399" s="171" t="s">
        <v>8916</v>
      </c>
      <c r="H399" s="145" t="s">
        <v>9065</v>
      </c>
      <c r="I399" s="240" t="s">
        <v>198</v>
      </c>
      <c r="J399" s="155"/>
      <c r="K399" s="155"/>
      <c r="L399" s="156" t="s">
        <v>191</v>
      </c>
      <c r="M399" s="331">
        <v>4</v>
      </c>
      <c r="N399" s="426"/>
      <c r="O399" s="151">
        <v>5</v>
      </c>
      <c r="P399" s="151" t="s">
        <v>199</v>
      </c>
      <c r="Q399" s="421"/>
    </row>
    <row r="400" spans="1:17" ht="11.25">
      <c r="A400" s="142" t="s">
        <v>9066</v>
      </c>
      <c r="B400" s="142" t="s">
        <v>9067</v>
      </c>
      <c r="C400" s="145"/>
      <c r="D400" s="145"/>
      <c r="E400" s="142" t="s">
        <v>242</v>
      </c>
      <c r="F400" s="142"/>
      <c r="G400" s="171" t="s">
        <v>8916</v>
      </c>
      <c r="H400" s="145" t="s">
        <v>9068</v>
      </c>
      <c r="I400" s="155" t="s">
        <v>198</v>
      </c>
      <c r="J400" s="155"/>
      <c r="K400" s="155"/>
      <c r="L400" s="156" t="s">
        <v>191</v>
      </c>
      <c r="M400" s="331">
        <v>4</v>
      </c>
      <c r="N400" s="426"/>
      <c r="O400" s="151">
        <v>5</v>
      </c>
      <c r="P400" s="151" t="s">
        <v>199</v>
      </c>
      <c r="Q400" s="421"/>
    </row>
    <row r="401" spans="1:17" ht="11.25">
      <c r="A401" s="142" t="s">
        <v>9069</v>
      </c>
      <c r="B401" s="142" t="s">
        <v>9070</v>
      </c>
      <c r="C401" s="145"/>
      <c r="D401" s="145"/>
      <c r="E401" s="142" t="s">
        <v>242</v>
      </c>
      <c r="F401" s="142"/>
      <c r="G401" s="171" t="s">
        <v>8916</v>
      </c>
      <c r="H401" s="145" t="s">
        <v>9071</v>
      </c>
      <c r="I401" s="240" t="s">
        <v>198</v>
      </c>
      <c r="J401" s="155"/>
      <c r="K401" s="155"/>
      <c r="L401" s="156" t="s">
        <v>191</v>
      </c>
      <c r="M401" s="331">
        <v>4</v>
      </c>
      <c r="N401" s="426"/>
      <c r="O401" s="151">
        <v>5</v>
      </c>
      <c r="P401" s="151" t="s">
        <v>199</v>
      </c>
      <c r="Q401" s="421"/>
    </row>
    <row r="402" spans="1:17" ht="11.25">
      <c r="A402" s="142" t="s">
        <v>9072</v>
      </c>
      <c r="B402" s="142" t="s">
        <v>9073</v>
      </c>
      <c r="C402" s="145"/>
      <c r="D402" s="145"/>
      <c r="E402" s="142" t="s">
        <v>242</v>
      </c>
      <c r="F402" s="142"/>
      <c r="G402" s="171" t="s">
        <v>8916</v>
      </c>
      <c r="H402" s="145" t="s">
        <v>9074</v>
      </c>
      <c r="I402" s="155" t="s">
        <v>198</v>
      </c>
      <c r="J402" s="155"/>
      <c r="K402" s="155"/>
      <c r="L402" s="156" t="s">
        <v>191</v>
      </c>
      <c r="M402" s="331">
        <v>4</v>
      </c>
      <c r="N402" s="426"/>
      <c r="O402" s="151">
        <v>5</v>
      </c>
      <c r="P402" s="151" t="s">
        <v>199</v>
      </c>
      <c r="Q402" s="421"/>
    </row>
    <row r="403" spans="1:17" ht="11.25">
      <c r="A403" s="142" t="s">
        <v>9075</v>
      </c>
      <c r="B403" s="142" t="s">
        <v>9076</v>
      </c>
      <c r="C403" s="145"/>
      <c r="D403" s="145"/>
      <c r="E403" s="142" t="s">
        <v>242</v>
      </c>
      <c r="F403" s="142"/>
      <c r="G403" s="171" t="s">
        <v>8916</v>
      </c>
      <c r="H403" s="145" t="s">
        <v>9077</v>
      </c>
      <c r="I403" s="240" t="s">
        <v>198</v>
      </c>
      <c r="J403" s="155"/>
      <c r="K403" s="155"/>
      <c r="L403" s="156" t="s">
        <v>191</v>
      </c>
      <c r="M403" s="331">
        <v>4</v>
      </c>
      <c r="N403" s="426"/>
      <c r="O403" s="151">
        <v>5</v>
      </c>
      <c r="P403" s="151" t="s">
        <v>199</v>
      </c>
      <c r="Q403" s="421"/>
    </row>
    <row r="404" spans="1:17" ht="11.25">
      <c r="A404" s="142" t="s">
        <v>9078</v>
      </c>
      <c r="B404" s="142" t="s">
        <v>9079</v>
      </c>
      <c r="C404" s="145"/>
      <c r="D404" s="145"/>
      <c r="E404" s="142" t="s">
        <v>242</v>
      </c>
      <c r="F404" s="142"/>
      <c r="G404" s="171" t="s">
        <v>8916</v>
      </c>
      <c r="H404" s="145" t="s">
        <v>9080</v>
      </c>
      <c r="I404" s="155" t="s">
        <v>198</v>
      </c>
      <c r="J404" s="155"/>
      <c r="K404" s="155"/>
      <c r="L404" s="156" t="s">
        <v>191</v>
      </c>
      <c r="M404" s="331">
        <v>4</v>
      </c>
      <c r="N404" s="426"/>
      <c r="O404" s="151">
        <v>5</v>
      </c>
      <c r="P404" s="151" t="s">
        <v>199</v>
      </c>
      <c r="Q404" s="421"/>
    </row>
    <row r="405" spans="1:17" ht="22.5">
      <c r="A405" s="142" t="s">
        <v>9081</v>
      </c>
      <c r="B405" s="142" t="s">
        <v>9082</v>
      </c>
      <c r="C405" s="145"/>
      <c r="D405" s="145"/>
      <c r="E405" s="142" t="s">
        <v>242</v>
      </c>
      <c r="F405" s="142"/>
      <c r="G405" s="171" t="s">
        <v>3034</v>
      </c>
      <c r="H405" s="145" t="s">
        <v>9083</v>
      </c>
      <c r="I405" s="155" t="s">
        <v>198</v>
      </c>
      <c r="J405" s="155"/>
      <c r="K405" s="155"/>
      <c r="L405" s="156" t="s">
        <v>191</v>
      </c>
      <c r="M405" s="331">
        <v>4</v>
      </c>
      <c r="N405" s="426"/>
      <c r="O405" s="151">
        <v>5</v>
      </c>
      <c r="P405" s="151" t="s">
        <v>199</v>
      </c>
      <c r="Q405" s="421"/>
    </row>
    <row r="406" spans="1:17" ht="22.5">
      <c r="A406" s="142" t="s">
        <v>9084</v>
      </c>
      <c r="B406" s="142" t="s">
        <v>9085</v>
      </c>
      <c r="C406" s="145"/>
      <c r="D406" s="145"/>
      <c r="E406" s="142" t="s">
        <v>242</v>
      </c>
      <c r="F406" s="142"/>
      <c r="G406" s="171" t="s">
        <v>3034</v>
      </c>
      <c r="H406" s="145" t="s">
        <v>9086</v>
      </c>
      <c r="I406" s="155" t="s">
        <v>198</v>
      </c>
      <c r="J406" s="155"/>
      <c r="K406" s="155"/>
      <c r="L406" s="156" t="s">
        <v>191</v>
      </c>
      <c r="M406" s="331">
        <v>4</v>
      </c>
      <c r="N406" s="426"/>
      <c r="O406" s="151">
        <v>5</v>
      </c>
      <c r="P406" s="151" t="s">
        <v>199</v>
      </c>
      <c r="Q406" s="421"/>
    </row>
    <row r="407" spans="1:17" ht="11.25">
      <c r="A407" s="142" t="s">
        <v>9087</v>
      </c>
      <c r="B407" s="142" t="s">
        <v>9088</v>
      </c>
      <c r="C407" s="145"/>
      <c r="D407" s="145"/>
      <c r="E407" s="142" t="s">
        <v>242</v>
      </c>
      <c r="F407" s="142"/>
      <c r="G407" s="171" t="s">
        <v>3034</v>
      </c>
      <c r="H407" s="145" t="s">
        <v>9089</v>
      </c>
      <c r="I407" s="155" t="s">
        <v>198</v>
      </c>
      <c r="J407" s="155"/>
      <c r="K407" s="155"/>
      <c r="L407" s="156" t="s">
        <v>191</v>
      </c>
      <c r="M407" s="331">
        <v>4</v>
      </c>
      <c r="N407" s="426"/>
      <c r="O407" s="151">
        <v>5</v>
      </c>
      <c r="P407" s="151" t="s">
        <v>199</v>
      </c>
      <c r="Q407" s="421"/>
    </row>
    <row r="408" spans="1:17" ht="11.25">
      <c r="A408" s="142" t="s">
        <v>9090</v>
      </c>
      <c r="B408" s="142" t="s">
        <v>9091</v>
      </c>
      <c r="C408" s="145"/>
      <c r="D408" s="145"/>
      <c r="E408" s="142" t="s">
        <v>242</v>
      </c>
      <c r="F408" s="142"/>
      <c r="G408" s="171" t="s">
        <v>3034</v>
      </c>
      <c r="H408" s="145" t="s">
        <v>9092</v>
      </c>
      <c r="I408" s="155" t="s">
        <v>198</v>
      </c>
      <c r="J408" s="155"/>
      <c r="K408" s="155"/>
      <c r="L408" s="156" t="s">
        <v>191</v>
      </c>
      <c r="M408" s="331">
        <v>4</v>
      </c>
      <c r="N408" s="426"/>
      <c r="O408" s="151">
        <v>5</v>
      </c>
      <c r="P408" s="151" t="s">
        <v>199</v>
      </c>
      <c r="Q408" s="421"/>
    </row>
    <row r="409" spans="1:17" ht="22.5">
      <c r="A409" s="142" t="s">
        <v>9093</v>
      </c>
      <c r="B409" s="142" t="s">
        <v>9094</v>
      </c>
      <c r="C409" s="145"/>
      <c r="D409" s="145"/>
      <c r="E409" s="142" t="s">
        <v>242</v>
      </c>
      <c r="F409" s="142"/>
      <c r="G409" s="171" t="s">
        <v>3034</v>
      </c>
      <c r="H409" s="145" t="s">
        <v>9095</v>
      </c>
      <c r="I409" s="155" t="s">
        <v>198</v>
      </c>
      <c r="J409" s="155"/>
      <c r="K409" s="155"/>
      <c r="L409" s="156" t="s">
        <v>191</v>
      </c>
      <c r="M409" s="331">
        <v>4</v>
      </c>
      <c r="N409" s="426"/>
      <c r="O409" s="151">
        <v>5</v>
      </c>
      <c r="P409" s="151" t="s">
        <v>199</v>
      </c>
      <c r="Q409" s="421"/>
    </row>
    <row r="410" spans="1:17" ht="22.5">
      <c r="A410" s="142" t="s">
        <v>9096</v>
      </c>
      <c r="B410" s="142" t="s">
        <v>9097</v>
      </c>
      <c r="C410" s="145"/>
      <c r="D410" s="145"/>
      <c r="E410" s="142" t="s">
        <v>242</v>
      </c>
      <c r="F410" s="142"/>
      <c r="G410" s="171" t="s">
        <v>3034</v>
      </c>
      <c r="H410" s="145" t="s">
        <v>9098</v>
      </c>
      <c r="I410" s="155" t="s">
        <v>198</v>
      </c>
      <c r="J410" s="155"/>
      <c r="K410" s="155"/>
      <c r="L410" s="156" t="s">
        <v>191</v>
      </c>
      <c r="M410" s="331">
        <v>4</v>
      </c>
      <c r="N410" s="426"/>
      <c r="O410" s="151">
        <v>5</v>
      </c>
      <c r="P410" s="151" t="s">
        <v>199</v>
      </c>
      <c r="Q410" s="421"/>
    </row>
    <row r="411" spans="1:17" ht="22.5">
      <c r="A411" s="142" t="s">
        <v>9099</v>
      </c>
      <c r="B411" s="142" t="s">
        <v>9100</v>
      </c>
      <c r="C411" s="145"/>
      <c r="D411" s="145"/>
      <c r="E411" s="142" t="s">
        <v>242</v>
      </c>
      <c r="F411" s="142"/>
      <c r="G411" s="171" t="s">
        <v>3034</v>
      </c>
      <c r="H411" s="145" t="s">
        <v>9101</v>
      </c>
      <c r="I411" s="155" t="s">
        <v>198</v>
      </c>
      <c r="J411" s="155"/>
      <c r="K411" s="155"/>
      <c r="L411" s="156" t="s">
        <v>191</v>
      </c>
      <c r="M411" s="331">
        <v>4</v>
      </c>
      <c r="N411" s="426"/>
      <c r="O411" s="151">
        <v>5</v>
      </c>
      <c r="P411" s="151" t="s">
        <v>199</v>
      </c>
      <c r="Q411" s="421"/>
    </row>
    <row r="412" spans="1:17" ht="11.25">
      <c r="A412" s="142" t="s">
        <v>9102</v>
      </c>
      <c r="B412" s="142" t="s">
        <v>9103</v>
      </c>
      <c r="C412" s="145"/>
      <c r="D412" s="145"/>
      <c r="E412" s="142" t="s">
        <v>242</v>
      </c>
      <c r="F412" s="142"/>
      <c r="G412" s="171" t="s">
        <v>3034</v>
      </c>
      <c r="H412" s="145" t="s">
        <v>9104</v>
      </c>
      <c r="I412" s="155" t="s">
        <v>198</v>
      </c>
      <c r="J412" s="155"/>
      <c r="K412" s="155"/>
      <c r="L412" s="156" t="s">
        <v>191</v>
      </c>
      <c r="M412" s="331">
        <v>4</v>
      </c>
      <c r="N412" s="426"/>
      <c r="O412" s="151">
        <v>5</v>
      </c>
      <c r="P412" s="151" t="s">
        <v>199</v>
      </c>
      <c r="Q412" s="421"/>
    </row>
    <row r="413" spans="1:17" ht="11.25">
      <c r="A413" s="142" t="s">
        <v>8167</v>
      </c>
      <c r="B413" s="142" t="s">
        <v>1524</v>
      </c>
      <c r="C413" s="142" t="s">
        <v>8168</v>
      </c>
      <c r="D413" s="142"/>
      <c r="E413" s="142" t="s">
        <v>242</v>
      </c>
      <c r="F413" s="142"/>
      <c r="G413" s="141" t="s">
        <v>4220</v>
      </c>
      <c r="H413" s="142" t="s">
        <v>2133</v>
      </c>
      <c r="I413" s="156" t="s">
        <v>188</v>
      </c>
      <c r="J413" s="156"/>
      <c r="K413" s="156"/>
      <c r="L413" s="156" t="s">
        <v>191</v>
      </c>
      <c r="M413" s="331">
        <v>4</v>
      </c>
      <c r="N413" s="426"/>
      <c r="O413" s="151">
        <v>5</v>
      </c>
      <c r="P413" s="151" t="s">
        <v>199</v>
      </c>
      <c r="Q413" s="421"/>
    </row>
    <row r="414" spans="1:17" ht="11.25">
      <c r="A414" s="142" t="s">
        <v>9105</v>
      </c>
      <c r="B414" s="142" t="s">
        <v>9106</v>
      </c>
      <c r="C414" s="142" t="s">
        <v>9107</v>
      </c>
      <c r="D414" s="142"/>
      <c r="E414" s="142" t="s">
        <v>242</v>
      </c>
      <c r="F414" s="142"/>
      <c r="G414" s="141" t="s">
        <v>4206</v>
      </c>
      <c r="H414" s="145" t="s">
        <v>9108</v>
      </c>
      <c r="I414" s="155" t="s">
        <v>198</v>
      </c>
      <c r="J414" s="156"/>
      <c r="K414" s="156"/>
      <c r="L414" s="156" t="s">
        <v>191</v>
      </c>
      <c r="M414" s="331">
        <v>4</v>
      </c>
      <c r="N414" s="426"/>
      <c r="O414" s="151">
        <v>5</v>
      </c>
      <c r="P414" s="151" t="s">
        <v>199</v>
      </c>
      <c r="Q414" s="421"/>
    </row>
    <row r="415" spans="1:17" ht="11.25">
      <c r="A415" s="142" t="s">
        <v>9109</v>
      </c>
      <c r="B415" s="142" t="s">
        <v>9110</v>
      </c>
      <c r="C415" s="142" t="s">
        <v>9111</v>
      </c>
      <c r="D415" s="142"/>
      <c r="E415" s="142" t="s">
        <v>242</v>
      </c>
      <c r="F415" s="142"/>
      <c r="G415" s="141" t="s">
        <v>8263</v>
      </c>
      <c r="H415" s="145" t="s">
        <v>9112</v>
      </c>
      <c r="I415" s="155" t="s">
        <v>198</v>
      </c>
      <c r="J415" s="156"/>
      <c r="K415" s="156"/>
      <c r="L415" s="156" t="s">
        <v>191</v>
      </c>
      <c r="M415" s="331">
        <v>4</v>
      </c>
      <c r="N415" s="426"/>
      <c r="O415" s="151">
        <v>5</v>
      </c>
      <c r="P415" s="151" t="s">
        <v>199</v>
      </c>
      <c r="Q415" s="421"/>
    </row>
    <row r="416" spans="1:17" ht="11.25">
      <c r="A416" s="142" t="s">
        <v>9113</v>
      </c>
      <c r="B416" s="142" t="s">
        <v>9114</v>
      </c>
      <c r="C416" s="142"/>
      <c r="D416" s="142"/>
      <c r="E416" s="142" t="s">
        <v>242</v>
      </c>
      <c r="F416" s="142"/>
      <c r="G416" s="141" t="s">
        <v>2194</v>
      </c>
      <c r="H416" s="145" t="s">
        <v>9115</v>
      </c>
      <c r="I416" s="155" t="s">
        <v>198</v>
      </c>
      <c r="J416" s="156"/>
      <c r="K416" s="156"/>
      <c r="L416" s="156" t="s">
        <v>191</v>
      </c>
      <c r="M416" s="331">
        <v>4</v>
      </c>
      <c r="N416" s="426"/>
      <c r="O416" s="151">
        <v>5</v>
      </c>
      <c r="P416" s="151" t="s">
        <v>199</v>
      </c>
      <c r="Q416" s="421"/>
    </row>
    <row r="417" spans="1:17" ht="11.25">
      <c r="A417" s="142" t="s">
        <v>9116</v>
      </c>
      <c r="B417" s="142" t="s">
        <v>9117</v>
      </c>
      <c r="C417" s="142" t="s">
        <v>9118</v>
      </c>
      <c r="D417" s="142"/>
      <c r="E417" s="142" t="s">
        <v>242</v>
      </c>
      <c r="F417" s="142"/>
      <c r="G417" s="141" t="s">
        <v>8263</v>
      </c>
      <c r="H417" s="145" t="s">
        <v>9119</v>
      </c>
      <c r="I417" s="155" t="s">
        <v>198</v>
      </c>
      <c r="J417" s="156"/>
      <c r="K417" s="156"/>
      <c r="L417" s="156" t="s">
        <v>191</v>
      </c>
      <c r="M417" s="331">
        <v>4</v>
      </c>
      <c r="N417" s="426"/>
      <c r="O417" s="151">
        <v>5</v>
      </c>
      <c r="P417" s="151" t="s">
        <v>199</v>
      </c>
      <c r="Q417" s="421"/>
    </row>
    <row r="418" spans="1:17" ht="22.5">
      <c r="A418" s="142" t="s">
        <v>9120</v>
      </c>
      <c r="B418" s="142" t="s">
        <v>9121</v>
      </c>
      <c r="C418" s="142"/>
      <c r="D418" s="142"/>
      <c r="E418" s="142" t="s">
        <v>242</v>
      </c>
      <c r="F418" s="142"/>
      <c r="G418" s="141" t="s">
        <v>2194</v>
      </c>
      <c r="H418" s="145" t="s">
        <v>9122</v>
      </c>
      <c r="I418" s="155" t="s">
        <v>198</v>
      </c>
      <c r="J418" s="156"/>
      <c r="K418" s="156"/>
      <c r="L418" s="156" t="s">
        <v>191</v>
      </c>
      <c r="M418" s="331">
        <v>4</v>
      </c>
      <c r="N418" s="426"/>
      <c r="O418" s="151">
        <v>5</v>
      </c>
      <c r="P418" s="151" t="s">
        <v>199</v>
      </c>
      <c r="Q418" s="421"/>
    </row>
    <row r="419" spans="1:17" ht="11.25">
      <c r="A419" s="142" t="s">
        <v>9123</v>
      </c>
      <c r="B419" s="142" t="s">
        <v>9124</v>
      </c>
      <c r="C419" s="142" t="s">
        <v>9125</v>
      </c>
      <c r="D419" s="142"/>
      <c r="E419" s="142" t="s">
        <v>242</v>
      </c>
      <c r="F419" s="142"/>
      <c r="G419" s="141" t="s">
        <v>8263</v>
      </c>
      <c r="H419" s="145" t="s">
        <v>9126</v>
      </c>
      <c r="I419" s="155" t="s">
        <v>198</v>
      </c>
      <c r="J419" s="156"/>
      <c r="K419" s="156"/>
      <c r="L419" s="156" t="s">
        <v>191</v>
      </c>
      <c r="M419" s="331">
        <v>4</v>
      </c>
      <c r="N419" s="426"/>
      <c r="O419" s="151">
        <v>5</v>
      </c>
      <c r="P419" s="151" t="s">
        <v>199</v>
      </c>
      <c r="Q419" s="421"/>
    </row>
    <row r="420" spans="1:17" ht="22.5">
      <c r="A420" s="142" t="s">
        <v>9127</v>
      </c>
      <c r="B420" s="142" t="s">
        <v>9128</v>
      </c>
      <c r="C420" s="142"/>
      <c r="D420" s="142"/>
      <c r="E420" s="142" t="s">
        <v>242</v>
      </c>
      <c r="F420" s="142"/>
      <c r="G420" s="141" t="s">
        <v>2194</v>
      </c>
      <c r="H420" s="145" t="s">
        <v>9129</v>
      </c>
      <c r="I420" s="155" t="s">
        <v>198</v>
      </c>
      <c r="J420" s="156"/>
      <c r="K420" s="156"/>
      <c r="L420" s="156" t="s">
        <v>191</v>
      </c>
      <c r="M420" s="331">
        <v>4</v>
      </c>
      <c r="N420" s="426"/>
      <c r="O420" s="151">
        <v>5</v>
      </c>
      <c r="P420" s="151" t="s">
        <v>199</v>
      </c>
      <c r="Q420" s="421"/>
    </row>
    <row r="421" spans="1:17" ht="33.75">
      <c r="A421" s="142" t="s">
        <v>9130</v>
      </c>
      <c r="B421" s="142" t="s">
        <v>9131</v>
      </c>
      <c r="C421" s="142" t="s">
        <v>9132</v>
      </c>
      <c r="D421" s="142"/>
      <c r="E421" s="142" t="s">
        <v>242</v>
      </c>
      <c r="F421" s="142"/>
      <c r="G421" s="141" t="s">
        <v>4206</v>
      </c>
      <c r="H421" s="145" t="s">
        <v>9133</v>
      </c>
      <c r="I421" s="155" t="s">
        <v>198</v>
      </c>
      <c r="J421" s="156"/>
      <c r="K421" s="156"/>
      <c r="L421" s="156" t="s">
        <v>191</v>
      </c>
      <c r="M421" s="331">
        <v>4</v>
      </c>
      <c r="N421" s="426"/>
      <c r="O421" s="151">
        <v>5</v>
      </c>
      <c r="P421" s="151" t="s">
        <v>199</v>
      </c>
      <c r="Q421" s="421"/>
    </row>
    <row r="422" spans="1:17" ht="11.25">
      <c r="A422" s="142" t="s">
        <v>9134</v>
      </c>
      <c r="B422" s="142" t="s">
        <v>9135</v>
      </c>
      <c r="C422" s="142" t="s">
        <v>9136</v>
      </c>
      <c r="D422" s="142"/>
      <c r="E422" s="142" t="s">
        <v>242</v>
      </c>
      <c r="F422" s="142"/>
      <c r="G422" s="141" t="s">
        <v>4206</v>
      </c>
      <c r="H422" s="145" t="s">
        <v>9137</v>
      </c>
      <c r="I422" s="155" t="s">
        <v>198</v>
      </c>
      <c r="J422" s="156"/>
      <c r="K422" s="156"/>
      <c r="L422" s="156" t="s">
        <v>191</v>
      </c>
      <c r="M422" s="331">
        <v>4</v>
      </c>
      <c r="N422" s="426"/>
      <c r="O422" s="151">
        <v>5</v>
      </c>
      <c r="P422" s="151" t="s">
        <v>199</v>
      </c>
      <c r="Q422" s="421"/>
    </row>
    <row r="423" spans="1:17" ht="11.25">
      <c r="A423" s="142" t="s">
        <v>9138</v>
      </c>
      <c r="B423" s="142" t="s">
        <v>9139</v>
      </c>
      <c r="C423" s="142" t="s">
        <v>9140</v>
      </c>
      <c r="D423" s="142"/>
      <c r="E423" s="142" t="s">
        <v>242</v>
      </c>
      <c r="F423" s="142"/>
      <c r="G423" s="141" t="s">
        <v>8263</v>
      </c>
      <c r="H423" s="145" t="s">
        <v>9141</v>
      </c>
      <c r="I423" s="155" t="s">
        <v>198</v>
      </c>
      <c r="J423" s="156"/>
      <c r="K423" s="156"/>
      <c r="L423" s="156" t="s">
        <v>191</v>
      </c>
      <c r="M423" s="331">
        <v>4</v>
      </c>
      <c r="N423" s="426"/>
      <c r="O423" s="151">
        <v>5</v>
      </c>
      <c r="P423" s="151" t="s">
        <v>199</v>
      </c>
      <c r="Q423" s="421"/>
    </row>
    <row r="424" spans="1:17" ht="11.25">
      <c r="A424" s="142" t="s">
        <v>9142</v>
      </c>
      <c r="B424" s="142" t="s">
        <v>9143</v>
      </c>
      <c r="C424" s="142"/>
      <c r="D424" s="142"/>
      <c r="E424" s="142" t="s">
        <v>242</v>
      </c>
      <c r="F424" s="142"/>
      <c r="G424" s="141" t="s">
        <v>2332</v>
      </c>
      <c r="H424" s="145" t="s">
        <v>9141</v>
      </c>
      <c r="I424" s="155" t="s">
        <v>198</v>
      </c>
      <c r="J424" s="156"/>
      <c r="K424" s="156"/>
      <c r="L424" s="156" t="s">
        <v>191</v>
      </c>
      <c r="M424" s="331">
        <v>4</v>
      </c>
      <c r="N424" s="426"/>
      <c r="O424" s="151">
        <v>5</v>
      </c>
      <c r="P424" s="151" t="s">
        <v>199</v>
      </c>
      <c r="Q424" s="421"/>
    </row>
    <row r="425" spans="1:17" ht="11.25">
      <c r="A425" s="142" t="s">
        <v>9144</v>
      </c>
      <c r="B425" s="142" t="s">
        <v>9145</v>
      </c>
      <c r="C425" s="142" t="s">
        <v>9146</v>
      </c>
      <c r="D425" s="142"/>
      <c r="E425" s="142" t="s">
        <v>242</v>
      </c>
      <c r="F425" s="142"/>
      <c r="G425" s="141" t="s">
        <v>9147</v>
      </c>
      <c r="H425" s="145" t="s">
        <v>9148</v>
      </c>
      <c r="I425" s="155" t="s">
        <v>198</v>
      </c>
      <c r="J425" s="156"/>
      <c r="K425" s="156"/>
      <c r="L425" s="156" t="s">
        <v>191</v>
      </c>
      <c r="M425" s="331">
        <v>4</v>
      </c>
      <c r="N425" s="426"/>
      <c r="O425" s="151">
        <v>5</v>
      </c>
      <c r="P425" s="151" t="s">
        <v>199</v>
      </c>
      <c r="Q425" s="421"/>
    </row>
    <row r="426" spans="1:17" ht="11.25">
      <c r="A426" s="142" t="s">
        <v>9149</v>
      </c>
      <c r="B426" s="142" t="s">
        <v>9150</v>
      </c>
      <c r="C426" s="142" t="s">
        <v>9151</v>
      </c>
      <c r="D426" s="142"/>
      <c r="E426" s="142" t="s">
        <v>242</v>
      </c>
      <c r="F426" s="142"/>
      <c r="G426" s="141" t="s">
        <v>2092</v>
      </c>
      <c r="H426" s="145" t="s">
        <v>9152</v>
      </c>
      <c r="I426" s="155" t="s">
        <v>198</v>
      </c>
      <c r="J426" s="156"/>
      <c r="K426" s="156"/>
      <c r="L426" s="156" t="s">
        <v>191</v>
      </c>
      <c r="M426" s="331">
        <v>4</v>
      </c>
      <c r="N426" s="426"/>
      <c r="O426" s="151">
        <v>5</v>
      </c>
      <c r="P426" s="151" t="s">
        <v>199</v>
      </c>
      <c r="Q426" s="421"/>
    </row>
    <row r="427" spans="1:17" ht="11.25">
      <c r="A427" s="142" t="s">
        <v>9153</v>
      </c>
      <c r="B427" s="142" t="s">
        <v>9154</v>
      </c>
      <c r="C427" s="142" t="s">
        <v>9155</v>
      </c>
      <c r="D427" s="142"/>
      <c r="E427" s="142" t="s">
        <v>242</v>
      </c>
      <c r="F427" s="142"/>
      <c r="G427" s="141" t="s">
        <v>8263</v>
      </c>
      <c r="H427" s="145" t="s">
        <v>9156</v>
      </c>
      <c r="I427" s="155" t="s">
        <v>198</v>
      </c>
      <c r="J427" s="156"/>
      <c r="K427" s="156"/>
      <c r="L427" s="156" t="s">
        <v>191</v>
      </c>
      <c r="M427" s="331">
        <v>4</v>
      </c>
      <c r="N427" s="426"/>
      <c r="O427" s="151">
        <v>5</v>
      </c>
      <c r="P427" s="151" t="s">
        <v>199</v>
      </c>
      <c r="Q427" s="421"/>
    </row>
    <row r="428" spans="1:17" ht="11.25">
      <c r="A428" s="142" t="s">
        <v>9157</v>
      </c>
      <c r="B428" s="142" t="s">
        <v>9158</v>
      </c>
      <c r="C428" s="142"/>
      <c r="D428" s="142"/>
      <c r="E428" s="142" t="s">
        <v>242</v>
      </c>
      <c r="F428" s="142"/>
      <c r="G428" s="141" t="s">
        <v>2332</v>
      </c>
      <c r="H428" s="145" t="s">
        <v>9159</v>
      </c>
      <c r="I428" s="155" t="s">
        <v>198</v>
      </c>
      <c r="J428" s="156"/>
      <c r="K428" s="156"/>
      <c r="L428" s="156" t="s">
        <v>191</v>
      </c>
      <c r="M428" s="331">
        <v>4</v>
      </c>
      <c r="N428" s="426"/>
      <c r="O428" s="151">
        <v>5</v>
      </c>
      <c r="P428" s="151" t="s">
        <v>199</v>
      </c>
      <c r="Q428" s="421"/>
    </row>
    <row r="429" spans="1:17" ht="11.25">
      <c r="A429" s="142" t="s">
        <v>9160</v>
      </c>
      <c r="B429" s="142" t="s">
        <v>9161</v>
      </c>
      <c r="C429" s="142" t="s">
        <v>9162</v>
      </c>
      <c r="D429" s="142"/>
      <c r="E429" s="142" t="s">
        <v>242</v>
      </c>
      <c r="F429" s="142"/>
      <c r="G429" s="141" t="s">
        <v>8263</v>
      </c>
      <c r="H429" s="145" t="s">
        <v>9163</v>
      </c>
      <c r="I429" s="155" t="s">
        <v>198</v>
      </c>
      <c r="J429" s="156"/>
      <c r="K429" s="156"/>
      <c r="L429" s="156" t="s">
        <v>191</v>
      </c>
      <c r="M429" s="331">
        <v>4</v>
      </c>
      <c r="N429" s="426"/>
      <c r="O429" s="151">
        <v>5</v>
      </c>
      <c r="P429" s="151" t="s">
        <v>199</v>
      </c>
      <c r="Q429" s="421"/>
    </row>
    <row r="430" spans="1:17" ht="11.25">
      <c r="A430" s="142" t="s">
        <v>9164</v>
      </c>
      <c r="B430" s="142" t="s">
        <v>9165</v>
      </c>
      <c r="C430" s="142"/>
      <c r="D430" s="142"/>
      <c r="E430" s="142" t="s">
        <v>242</v>
      </c>
      <c r="F430" s="142"/>
      <c r="G430" s="141" t="s">
        <v>2332</v>
      </c>
      <c r="H430" s="145" t="s">
        <v>9166</v>
      </c>
      <c r="I430" s="155" t="s">
        <v>198</v>
      </c>
      <c r="J430" s="156"/>
      <c r="K430" s="156"/>
      <c r="L430" s="156" t="s">
        <v>191</v>
      </c>
      <c r="M430" s="331">
        <v>4</v>
      </c>
      <c r="N430" s="426"/>
      <c r="O430" s="151">
        <v>5</v>
      </c>
      <c r="P430" s="151" t="s">
        <v>199</v>
      </c>
      <c r="Q430" s="421"/>
    </row>
    <row r="431" spans="1:17" ht="22.5">
      <c r="A431" s="142" t="s">
        <v>9167</v>
      </c>
      <c r="B431" s="142" t="s">
        <v>9168</v>
      </c>
      <c r="C431" s="142" t="s">
        <v>9169</v>
      </c>
      <c r="D431" s="142"/>
      <c r="E431" s="142" t="s">
        <v>242</v>
      </c>
      <c r="F431" s="142"/>
      <c r="G431" s="141" t="s">
        <v>4206</v>
      </c>
      <c r="H431" s="145" t="s">
        <v>9170</v>
      </c>
      <c r="I431" s="155" t="s">
        <v>198</v>
      </c>
      <c r="J431" s="156"/>
      <c r="K431" s="156"/>
      <c r="L431" s="156" t="s">
        <v>191</v>
      </c>
      <c r="M431" s="331">
        <v>4</v>
      </c>
      <c r="N431" s="426"/>
      <c r="O431" s="151">
        <v>5</v>
      </c>
      <c r="P431" s="151" t="s">
        <v>199</v>
      </c>
      <c r="Q431" s="421"/>
    </row>
    <row r="432" spans="1:17" ht="11.25">
      <c r="A432" s="142" t="s">
        <v>8167</v>
      </c>
      <c r="B432" s="142" t="s">
        <v>1524</v>
      </c>
      <c r="C432" s="142" t="s">
        <v>8168</v>
      </c>
      <c r="D432" s="142"/>
      <c r="E432" s="142" t="s">
        <v>242</v>
      </c>
      <c r="F432" s="142"/>
      <c r="G432" s="141" t="s">
        <v>4220</v>
      </c>
      <c r="H432" s="142" t="s">
        <v>2133</v>
      </c>
      <c r="I432" s="156" t="s">
        <v>188</v>
      </c>
      <c r="J432" s="156"/>
      <c r="K432" s="156"/>
      <c r="L432" s="156" t="s">
        <v>191</v>
      </c>
      <c r="M432" s="331">
        <v>4</v>
      </c>
      <c r="N432" s="426"/>
      <c r="O432" s="151">
        <v>5</v>
      </c>
      <c r="P432" s="151" t="s">
        <v>199</v>
      </c>
      <c r="Q432" s="421"/>
    </row>
    <row r="433" spans="1:17" ht="11.25">
      <c r="A433" s="142" t="s">
        <v>9171</v>
      </c>
      <c r="B433" s="142" t="s">
        <v>9172</v>
      </c>
      <c r="C433" s="142" t="s">
        <v>9173</v>
      </c>
      <c r="D433" s="142"/>
      <c r="E433" s="142" t="s">
        <v>242</v>
      </c>
      <c r="F433" s="142"/>
      <c r="G433" s="141" t="s">
        <v>4206</v>
      </c>
      <c r="H433" s="142" t="s">
        <v>9174</v>
      </c>
      <c r="I433" s="156" t="s">
        <v>204</v>
      </c>
      <c r="J433" s="156" t="s">
        <v>9175</v>
      </c>
      <c r="K433" s="156"/>
      <c r="L433" s="156" t="s">
        <v>191</v>
      </c>
      <c r="M433" s="331">
        <v>4</v>
      </c>
      <c r="N433" s="426"/>
      <c r="O433" s="151">
        <v>5</v>
      </c>
      <c r="P433" s="151" t="s">
        <v>199</v>
      </c>
      <c r="Q433" s="421"/>
    </row>
    <row r="434" spans="1:17" ht="11.25">
      <c r="A434" s="142" t="s">
        <v>9176</v>
      </c>
      <c r="B434" s="142" t="s">
        <v>9177</v>
      </c>
      <c r="C434" s="142" t="s">
        <v>9178</v>
      </c>
      <c r="D434" s="142"/>
      <c r="E434" s="142" t="s">
        <v>242</v>
      </c>
      <c r="F434" s="142"/>
      <c r="G434" s="141" t="s">
        <v>7915</v>
      </c>
      <c r="H434" s="142" t="s">
        <v>9179</v>
      </c>
      <c r="I434" s="156" t="s">
        <v>204</v>
      </c>
      <c r="J434" s="156" t="s">
        <v>9180</v>
      </c>
      <c r="K434" s="156"/>
      <c r="L434" s="156" t="s">
        <v>191</v>
      </c>
      <c r="M434" s="331">
        <v>4</v>
      </c>
      <c r="N434" s="426"/>
      <c r="O434" s="151">
        <v>5</v>
      </c>
      <c r="P434" s="151" t="s">
        <v>199</v>
      </c>
      <c r="Q434" s="421"/>
    </row>
    <row r="435" spans="1:17" ht="11.25">
      <c r="A435" s="142" t="s">
        <v>9181</v>
      </c>
      <c r="B435" s="142" t="s">
        <v>9182</v>
      </c>
      <c r="C435" s="142" t="s">
        <v>9183</v>
      </c>
      <c r="D435" s="142"/>
      <c r="E435" s="142" t="s">
        <v>242</v>
      </c>
      <c r="F435" s="142"/>
      <c r="G435" s="141" t="s">
        <v>4206</v>
      </c>
      <c r="H435" s="142" t="s">
        <v>9184</v>
      </c>
      <c r="I435" s="156" t="s">
        <v>204</v>
      </c>
      <c r="J435" s="156" t="s">
        <v>9180</v>
      </c>
      <c r="K435" s="156"/>
      <c r="L435" s="156" t="s">
        <v>191</v>
      </c>
      <c r="M435" s="331">
        <v>4</v>
      </c>
      <c r="N435" s="426"/>
      <c r="O435" s="151">
        <v>5</v>
      </c>
      <c r="P435" s="151" t="s">
        <v>199</v>
      </c>
      <c r="Q435" s="421"/>
    </row>
    <row r="436" spans="1:17" ht="11.25">
      <c r="A436" s="142" t="s">
        <v>9185</v>
      </c>
      <c r="B436" s="142" t="s">
        <v>9186</v>
      </c>
      <c r="C436" s="142" t="s">
        <v>9187</v>
      </c>
      <c r="D436" s="142"/>
      <c r="E436" s="142" t="s">
        <v>242</v>
      </c>
      <c r="F436" s="142"/>
      <c r="G436" s="141" t="s">
        <v>4206</v>
      </c>
      <c r="H436" s="142" t="s">
        <v>9188</v>
      </c>
      <c r="I436" s="156" t="s">
        <v>204</v>
      </c>
      <c r="J436" s="156" t="s">
        <v>9180</v>
      </c>
      <c r="K436" s="156"/>
      <c r="L436" s="156" t="s">
        <v>191</v>
      </c>
      <c r="M436" s="331">
        <v>4</v>
      </c>
      <c r="N436" s="426"/>
      <c r="O436" s="151">
        <v>5</v>
      </c>
      <c r="P436" s="151" t="s">
        <v>199</v>
      </c>
      <c r="Q436" s="421"/>
    </row>
    <row r="437" spans="1:17" ht="11.25">
      <c r="A437" s="142" t="s">
        <v>9189</v>
      </c>
      <c r="B437" s="142" t="s">
        <v>9190</v>
      </c>
      <c r="C437" s="142" t="s">
        <v>9191</v>
      </c>
      <c r="D437" s="142"/>
      <c r="E437" s="142" t="s">
        <v>242</v>
      </c>
      <c r="F437" s="142"/>
      <c r="G437" s="141" t="s">
        <v>7915</v>
      </c>
      <c r="H437" s="142" t="s">
        <v>9192</v>
      </c>
      <c r="I437" s="156" t="s">
        <v>204</v>
      </c>
      <c r="J437" s="156" t="s">
        <v>9180</v>
      </c>
      <c r="K437" s="156"/>
      <c r="L437" s="156" t="s">
        <v>191</v>
      </c>
      <c r="M437" s="331">
        <v>4</v>
      </c>
      <c r="N437" s="426"/>
      <c r="O437" s="151">
        <v>5</v>
      </c>
      <c r="P437" s="151" t="s">
        <v>199</v>
      </c>
      <c r="Q437" s="421"/>
    </row>
    <row r="438" spans="1:17" ht="11.25">
      <c r="A438" s="142" t="s">
        <v>9193</v>
      </c>
      <c r="B438" s="142" t="s">
        <v>9194</v>
      </c>
      <c r="C438" s="142" t="s">
        <v>9195</v>
      </c>
      <c r="D438" s="142"/>
      <c r="E438" s="142" t="s">
        <v>242</v>
      </c>
      <c r="F438" s="142"/>
      <c r="G438" s="141" t="s">
        <v>4206</v>
      </c>
      <c r="H438" s="142" t="s">
        <v>9196</v>
      </c>
      <c r="I438" s="156" t="s">
        <v>204</v>
      </c>
      <c r="J438" s="156" t="s">
        <v>9180</v>
      </c>
      <c r="K438" s="156"/>
      <c r="L438" s="156" t="s">
        <v>191</v>
      </c>
      <c r="M438" s="331">
        <v>4</v>
      </c>
      <c r="N438" s="426"/>
      <c r="O438" s="151">
        <v>5</v>
      </c>
      <c r="P438" s="151" t="s">
        <v>199</v>
      </c>
      <c r="Q438" s="421"/>
    </row>
    <row r="439" spans="1:17" ht="11.25">
      <c r="A439" s="142" t="s">
        <v>9197</v>
      </c>
      <c r="B439" s="142" t="s">
        <v>9198</v>
      </c>
      <c r="C439" s="142" t="s">
        <v>9199</v>
      </c>
      <c r="D439" s="142"/>
      <c r="E439" s="142" t="s">
        <v>242</v>
      </c>
      <c r="F439" s="142"/>
      <c r="G439" s="141" t="s">
        <v>4206</v>
      </c>
      <c r="H439" s="142" t="s">
        <v>9200</v>
      </c>
      <c r="I439" s="156" t="s">
        <v>204</v>
      </c>
      <c r="J439" s="156" t="s">
        <v>9180</v>
      </c>
      <c r="K439" s="156"/>
      <c r="L439" s="156" t="s">
        <v>191</v>
      </c>
      <c r="M439" s="331">
        <v>4</v>
      </c>
      <c r="N439" s="426"/>
      <c r="O439" s="151">
        <v>5</v>
      </c>
      <c r="P439" s="151" t="s">
        <v>199</v>
      </c>
      <c r="Q439" s="421"/>
    </row>
    <row r="440" spans="1:17" ht="11.25">
      <c r="A440" s="142" t="s">
        <v>9201</v>
      </c>
      <c r="B440" s="142" t="s">
        <v>9202</v>
      </c>
      <c r="C440" s="142" t="s">
        <v>9203</v>
      </c>
      <c r="D440" s="142"/>
      <c r="E440" s="142" t="s">
        <v>242</v>
      </c>
      <c r="F440" s="142"/>
      <c r="G440" s="141" t="s">
        <v>4206</v>
      </c>
      <c r="H440" s="142" t="s">
        <v>9204</v>
      </c>
      <c r="I440" s="156" t="s">
        <v>204</v>
      </c>
      <c r="J440" s="156" t="s">
        <v>9180</v>
      </c>
      <c r="K440" s="156"/>
      <c r="L440" s="156" t="s">
        <v>191</v>
      </c>
      <c r="M440" s="331">
        <v>4</v>
      </c>
      <c r="N440" s="426"/>
      <c r="O440" s="151">
        <v>5</v>
      </c>
      <c r="P440" s="151" t="s">
        <v>199</v>
      </c>
      <c r="Q440" s="421"/>
    </row>
    <row r="441" spans="1:17" ht="11.25">
      <c r="A441" s="142" t="s">
        <v>9205</v>
      </c>
      <c r="B441" s="142" t="s">
        <v>9206</v>
      </c>
      <c r="C441" s="142" t="s">
        <v>9207</v>
      </c>
      <c r="D441" s="142"/>
      <c r="E441" s="142" t="s">
        <v>242</v>
      </c>
      <c r="F441" s="142"/>
      <c r="G441" s="141" t="s">
        <v>7915</v>
      </c>
      <c r="H441" s="142" t="s">
        <v>9208</v>
      </c>
      <c r="I441" s="156" t="s">
        <v>204</v>
      </c>
      <c r="J441" s="156" t="s">
        <v>9180</v>
      </c>
      <c r="K441" s="156"/>
      <c r="L441" s="156" t="s">
        <v>191</v>
      </c>
      <c r="M441" s="331">
        <v>4</v>
      </c>
      <c r="N441" s="426"/>
      <c r="O441" s="151">
        <v>5</v>
      </c>
      <c r="P441" s="151" t="s">
        <v>199</v>
      </c>
      <c r="Q441" s="421"/>
    </row>
    <row r="442" spans="1:17" ht="11.25">
      <c r="A442" s="142" t="s">
        <v>9209</v>
      </c>
      <c r="B442" s="142" t="s">
        <v>9210</v>
      </c>
      <c r="C442" s="142" t="s">
        <v>9211</v>
      </c>
      <c r="D442" s="142"/>
      <c r="E442" s="142" t="s">
        <v>242</v>
      </c>
      <c r="F442" s="142"/>
      <c r="G442" s="141" t="s">
        <v>7915</v>
      </c>
      <c r="H442" s="142" t="s">
        <v>9212</v>
      </c>
      <c r="I442" s="156" t="s">
        <v>204</v>
      </c>
      <c r="J442" s="156" t="s">
        <v>9180</v>
      </c>
      <c r="K442" s="156"/>
      <c r="L442" s="156" t="s">
        <v>191</v>
      </c>
      <c r="M442" s="331">
        <v>4</v>
      </c>
      <c r="N442" s="426"/>
      <c r="O442" s="151">
        <v>5</v>
      </c>
      <c r="P442" s="151" t="s">
        <v>199</v>
      </c>
      <c r="Q442" s="421"/>
    </row>
    <row r="443" spans="1:17" ht="11.25">
      <c r="A443" s="142" t="s">
        <v>9213</v>
      </c>
      <c r="B443" s="142" t="s">
        <v>9214</v>
      </c>
      <c r="C443" s="142" t="s">
        <v>9215</v>
      </c>
      <c r="D443" s="142"/>
      <c r="E443" s="142" t="s">
        <v>242</v>
      </c>
      <c r="F443" s="142"/>
      <c r="G443" s="141" t="s">
        <v>4206</v>
      </c>
      <c r="H443" s="142" t="s">
        <v>9216</v>
      </c>
      <c r="I443" s="156" t="s">
        <v>204</v>
      </c>
      <c r="J443" s="156" t="s">
        <v>9180</v>
      </c>
      <c r="K443" s="156"/>
      <c r="L443" s="156" t="s">
        <v>191</v>
      </c>
      <c r="M443" s="331">
        <v>4</v>
      </c>
      <c r="N443" s="426"/>
      <c r="O443" s="151">
        <v>5</v>
      </c>
      <c r="P443" s="151" t="s">
        <v>199</v>
      </c>
      <c r="Q443" s="421"/>
    </row>
    <row r="444" spans="1:17" ht="11.25">
      <c r="A444" s="142" t="s">
        <v>9217</v>
      </c>
      <c r="B444" s="142" t="s">
        <v>9218</v>
      </c>
      <c r="C444" s="142" t="s">
        <v>9219</v>
      </c>
      <c r="D444" s="142"/>
      <c r="E444" s="142" t="s">
        <v>242</v>
      </c>
      <c r="F444" s="142"/>
      <c r="G444" s="141" t="s">
        <v>7915</v>
      </c>
      <c r="H444" s="142" t="s">
        <v>9220</v>
      </c>
      <c r="I444" s="156" t="s">
        <v>204</v>
      </c>
      <c r="J444" s="156" t="s">
        <v>9180</v>
      </c>
      <c r="K444" s="156"/>
      <c r="L444" s="156" t="s">
        <v>191</v>
      </c>
      <c r="M444" s="331">
        <v>4</v>
      </c>
      <c r="N444" s="426"/>
      <c r="O444" s="151">
        <v>5</v>
      </c>
      <c r="P444" s="151" t="s">
        <v>199</v>
      </c>
      <c r="Q444" s="421"/>
    </row>
    <row r="445" spans="1:17" ht="11.25">
      <c r="A445" s="142" t="s">
        <v>9221</v>
      </c>
      <c r="B445" s="142" t="s">
        <v>9222</v>
      </c>
      <c r="C445" s="142" t="s">
        <v>9223</v>
      </c>
      <c r="D445" s="142"/>
      <c r="E445" s="142" t="s">
        <v>242</v>
      </c>
      <c r="F445" s="142"/>
      <c r="G445" s="141" t="s">
        <v>4206</v>
      </c>
      <c r="H445" s="142" t="s">
        <v>9224</v>
      </c>
      <c r="I445" s="156" t="s">
        <v>204</v>
      </c>
      <c r="J445" s="156" t="s">
        <v>9180</v>
      </c>
      <c r="K445" s="156"/>
      <c r="L445" s="156" t="s">
        <v>191</v>
      </c>
      <c r="M445" s="331">
        <v>4</v>
      </c>
      <c r="N445" s="426"/>
      <c r="O445" s="151">
        <v>5</v>
      </c>
      <c r="P445" s="151" t="s">
        <v>199</v>
      </c>
      <c r="Q445" s="421"/>
    </row>
    <row r="446" spans="1:17" ht="11.25">
      <c r="A446" s="142" t="s">
        <v>9225</v>
      </c>
      <c r="B446" s="142" t="s">
        <v>9226</v>
      </c>
      <c r="C446" s="142" t="s">
        <v>9227</v>
      </c>
      <c r="D446" s="142"/>
      <c r="E446" s="142" t="s">
        <v>242</v>
      </c>
      <c r="F446" s="142"/>
      <c r="G446" s="141" t="s">
        <v>7915</v>
      </c>
      <c r="H446" s="142" t="s">
        <v>9228</v>
      </c>
      <c r="I446" s="156" t="s">
        <v>204</v>
      </c>
      <c r="J446" s="156" t="s">
        <v>9180</v>
      </c>
      <c r="K446" s="156"/>
      <c r="L446" s="156" t="s">
        <v>191</v>
      </c>
      <c r="M446" s="331">
        <v>4</v>
      </c>
      <c r="N446" s="426"/>
      <c r="O446" s="151">
        <v>5</v>
      </c>
      <c r="P446" s="151" t="s">
        <v>199</v>
      </c>
      <c r="Q446" s="421"/>
    </row>
    <row r="447" spans="1:17" ht="11.25">
      <c r="A447" s="142" t="s">
        <v>9229</v>
      </c>
      <c r="B447" s="142" t="s">
        <v>9230</v>
      </c>
      <c r="C447" s="142" t="s">
        <v>9231</v>
      </c>
      <c r="D447" s="142"/>
      <c r="E447" s="142" t="s">
        <v>242</v>
      </c>
      <c r="F447" s="142"/>
      <c r="G447" s="141" t="s">
        <v>7915</v>
      </c>
      <c r="H447" s="142" t="s">
        <v>9232</v>
      </c>
      <c r="I447" s="156" t="s">
        <v>204</v>
      </c>
      <c r="J447" s="156" t="s">
        <v>9180</v>
      </c>
      <c r="K447" s="156"/>
      <c r="L447" s="156" t="s">
        <v>191</v>
      </c>
      <c r="M447" s="331">
        <v>4</v>
      </c>
      <c r="N447" s="426"/>
      <c r="O447" s="151">
        <v>5</v>
      </c>
      <c r="P447" s="151" t="s">
        <v>199</v>
      </c>
      <c r="Q447" s="421"/>
    </row>
    <row r="448" spans="1:17" ht="11.25">
      <c r="A448" s="142" t="s">
        <v>9233</v>
      </c>
      <c r="B448" s="142" t="s">
        <v>9234</v>
      </c>
      <c r="C448" s="142" t="s">
        <v>9235</v>
      </c>
      <c r="D448" s="142"/>
      <c r="E448" s="142" t="s">
        <v>242</v>
      </c>
      <c r="F448" s="142"/>
      <c r="G448" s="141" t="s">
        <v>4206</v>
      </c>
      <c r="H448" s="142" t="s">
        <v>9236</v>
      </c>
      <c r="I448" s="156" t="s">
        <v>204</v>
      </c>
      <c r="J448" s="156" t="s">
        <v>9180</v>
      </c>
      <c r="K448" s="156"/>
      <c r="L448" s="156" t="s">
        <v>191</v>
      </c>
      <c r="M448" s="331">
        <v>4</v>
      </c>
      <c r="N448" s="426"/>
      <c r="O448" s="151">
        <v>5</v>
      </c>
      <c r="P448" s="151" t="s">
        <v>199</v>
      </c>
      <c r="Q448" s="421"/>
    </row>
    <row r="449" spans="1:17" ht="11.25">
      <c r="A449" s="142" t="s">
        <v>9237</v>
      </c>
      <c r="B449" s="142" t="s">
        <v>9238</v>
      </c>
      <c r="C449" s="142" t="s">
        <v>9239</v>
      </c>
      <c r="D449" s="142"/>
      <c r="E449" s="142" t="s">
        <v>242</v>
      </c>
      <c r="F449" s="142"/>
      <c r="G449" s="141" t="s">
        <v>4206</v>
      </c>
      <c r="H449" s="142" t="s">
        <v>9240</v>
      </c>
      <c r="I449" s="156" t="s">
        <v>204</v>
      </c>
      <c r="J449" s="156" t="s">
        <v>9180</v>
      </c>
      <c r="K449" s="156"/>
      <c r="L449" s="156" t="s">
        <v>191</v>
      </c>
      <c r="M449" s="331">
        <v>4</v>
      </c>
      <c r="N449" s="426"/>
      <c r="O449" s="151">
        <v>5</v>
      </c>
      <c r="P449" s="151" t="s">
        <v>199</v>
      </c>
      <c r="Q449" s="421"/>
    </row>
    <row r="450" spans="1:17" ht="11.25">
      <c r="A450" s="142" t="s">
        <v>9241</v>
      </c>
      <c r="B450" s="142" t="s">
        <v>9242</v>
      </c>
      <c r="C450" s="142" t="s">
        <v>9243</v>
      </c>
      <c r="D450" s="142"/>
      <c r="E450" s="142" t="s">
        <v>242</v>
      </c>
      <c r="F450" s="142"/>
      <c r="G450" s="141" t="s">
        <v>4206</v>
      </c>
      <c r="H450" s="142" t="s">
        <v>9244</v>
      </c>
      <c r="I450" s="156" t="s">
        <v>204</v>
      </c>
      <c r="J450" s="156" t="s">
        <v>9180</v>
      </c>
      <c r="K450" s="156"/>
      <c r="L450" s="156" t="s">
        <v>191</v>
      </c>
      <c r="M450" s="331">
        <v>4</v>
      </c>
      <c r="N450" s="426"/>
      <c r="O450" s="151">
        <v>5</v>
      </c>
      <c r="P450" s="151" t="s">
        <v>199</v>
      </c>
      <c r="Q450" s="421"/>
    </row>
    <row r="451" spans="1:17" ht="11.25">
      <c r="A451" s="142" t="s">
        <v>9245</v>
      </c>
      <c r="B451" s="142" t="s">
        <v>9246</v>
      </c>
      <c r="C451" s="142" t="s">
        <v>9247</v>
      </c>
      <c r="D451" s="142"/>
      <c r="E451" s="142" t="s">
        <v>242</v>
      </c>
      <c r="F451" s="142"/>
      <c r="G451" s="141" t="s">
        <v>4206</v>
      </c>
      <c r="H451" s="142" t="s">
        <v>9248</v>
      </c>
      <c r="I451" s="156" t="s">
        <v>204</v>
      </c>
      <c r="J451" s="156" t="s">
        <v>9180</v>
      </c>
      <c r="K451" s="156"/>
      <c r="L451" s="156" t="s">
        <v>191</v>
      </c>
      <c r="M451" s="331">
        <v>4</v>
      </c>
      <c r="N451" s="426"/>
      <c r="O451" s="151">
        <v>5</v>
      </c>
      <c r="P451" s="151" t="s">
        <v>199</v>
      </c>
      <c r="Q451" s="421"/>
    </row>
    <row r="452" spans="1:17" ht="11.25">
      <c r="A452" s="142" t="s">
        <v>9249</v>
      </c>
      <c r="B452" s="142" t="s">
        <v>9250</v>
      </c>
      <c r="C452" s="142" t="s">
        <v>9251</v>
      </c>
      <c r="D452" s="142"/>
      <c r="E452" s="142" t="s">
        <v>242</v>
      </c>
      <c r="F452" s="142"/>
      <c r="G452" s="141" t="s">
        <v>4206</v>
      </c>
      <c r="H452" s="142" t="s">
        <v>9252</v>
      </c>
      <c r="I452" s="156" t="s">
        <v>204</v>
      </c>
      <c r="J452" s="156" t="s">
        <v>9180</v>
      </c>
      <c r="K452" s="156"/>
      <c r="L452" s="156" t="s">
        <v>191</v>
      </c>
      <c r="M452" s="331">
        <v>4</v>
      </c>
      <c r="N452" s="426"/>
      <c r="O452" s="151">
        <v>5</v>
      </c>
      <c r="P452" s="151" t="s">
        <v>199</v>
      </c>
      <c r="Q452" s="421"/>
    </row>
    <row r="453" spans="1:17" ht="11.25">
      <c r="A453" s="142" t="s">
        <v>9253</v>
      </c>
      <c r="B453" s="142" t="s">
        <v>9254</v>
      </c>
      <c r="C453" s="142" t="s">
        <v>9255</v>
      </c>
      <c r="D453" s="142"/>
      <c r="E453" s="142" t="s">
        <v>242</v>
      </c>
      <c r="F453" s="142"/>
      <c r="G453" s="141" t="s">
        <v>4206</v>
      </c>
      <c r="H453" s="142" t="s">
        <v>9256</v>
      </c>
      <c r="I453" s="156" t="s">
        <v>204</v>
      </c>
      <c r="J453" s="156" t="s">
        <v>9180</v>
      </c>
      <c r="K453" s="156"/>
      <c r="L453" s="156" t="s">
        <v>191</v>
      </c>
      <c r="M453" s="331">
        <v>4</v>
      </c>
      <c r="N453" s="426"/>
      <c r="O453" s="151">
        <v>5</v>
      </c>
      <c r="P453" s="151" t="s">
        <v>199</v>
      </c>
      <c r="Q453" s="421"/>
    </row>
    <row r="454" spans="1:17" ht="11.25">
      <c r="A454" s="142" t="s">
        <v>9257</v>
      </c>
      <c r="B454" s="142" t="s">
        <v>9258</v>
      </c>
      <c r="C454" s="142" t="s">
        <v>9259</v>
      </c>
      <c r="D454" s="142"/>
      <c r="E454" s="142" t="s">
        <v>242</v>
      </c>
      <c r="F454" s="142"/>
      <c r="G454" s="141" t="s">
        <v>7915</v>
      </c>
      <c r="H454" s="142" t="s">
        <v>9260</v>
      </c>
      <c r="I454" s="156" t="s">
        <v>204</v>
      </c>
      <c r="J454" s="156" t="s">
        <v>9180</v>
      </c>
      <c r="K454" s="156"/>
      <c r="L454" s="156" t="s">
        <v>191</v>
      </c>
      <c r="M454" s="331">
        <v>4</v>
      </c>
      <c r="N454" s="426"/>
      <c r="O454" s="151">
        <v>5</v>
      </c>
      <c r="P454" s="151" t="s">
        <v>199</v>
      </c>
      <c r="Q454" s="421"/>
    </row>
    <row r="455" spans="1:17" ht="11.25">
      <c r="A455" s="142" t="s">
        <v>9261</v>
      </c>
      <c r="B455" s="142" t="s">
        <v>9262</v>
      </c>
      <c r="C455" s="142" t="s">
        <v>9263</v>
      </c>
      <c r="D455" s="142"/>
      <c r="E455" s="142" t="s">
        <v>242</v>
      </c>
      <c r="F455" s="142"/>
      <c r="G455" s="141" t="s">
        <v>7915</v>
      </c>
      <c r="H455" s="142" t="s">
        <v>9264</v>
      </c>
      <c r="I455" s="156" t="s">
        <v>204</v>
      </c>
      <c r="J455" s="156" t="s">
        <v>9180</v>
      </c>
      <c r="K455" s="156"/>
      <c r="L455" s="156" t="s">
        <v>191</v>
      </c>
      <c r="M455" s="331">
        <v>4</v>
      </c>
      <c r="N455" s="426"/>
      <c r="O455" s="151">
        <v>5</v>
      </c>
      <c r="P455" s="151" t="s">
        <v>199</v>
      </c>
      <c r="Q455" s="421"/>
    </row>
    <row r="456" spans="1:17" ht="11.25">
      <c r="A456" s="142" t="s">
        <v>9265</v>
      </c>
      <c r="B456" s="142" t="s">
        <v>9266</v>
      </c>
      <c r="C456" s="142" t="s">
        <v>9267</v>
      </c>
      <c r="D456" s="142"/>
      <c r="E456" s="142" t="s">
        <v>242</v>
      </c>
      <c r="F456" s="142"/>
      <c r="G456" s="141" t="s">
        <v>4206</v>
      </c>
      <c r="H456" s="142" t="s">
        <v>9268</v>
      </c>
      <c r="I456" s="156" t="s">
        <v>204</v>
      </c>
      <c r="J456" s="156" t="s">
        <v>9180</v>
      </c>
      <c r="K456" s="156"/>
      <c r="L456" s="156" t="s">
        <v>191</v>
      </c>
      <c r="M456" s="331">
        <v>4</v>
      </c>
      <c r="N456" s="426"/>
      <c r="O456" s="151">
        <v>5</v>
      </c>
      <c r="P456" s="151" t="s">
        <v>199</v>
      </c>
      <c r="Q456" s="421"/>
    </row>
    <row r="457" spans="1:17" ht="11.25">
      <c r="A457" s="142" t="s">
        <v>9269</v>
      </c>
      <c r="B457" s="142" t="s">
        <v>9270</v>
      </c>
      <c r="C457" s="142" t="s">
        <v>9271</v>
      </c>
      <c r="D457" s="142"/>
      <c r="E457" s="142" t="s">
        <v>242</v>
      </c>
      <c r="F457" s="142"/>
      <c r="G457" s="141" t="s">
        <v>4206</v>
      </c>
      <c r="H457" s="142" t="s">
        <v>9272</v>
      </c>
      <c r="I457" s="156" t="s">
        <v>204</v>
      </c>
      <c r="J457" s="156" t="s">
        <v>9180</v>
      </c>
      <c r="K457" s="156"/>
      <c r="L457" s="156" t="s">
        <v>191</v>
      </c>
      <c r="M457" s="331">
        <v>4</v>
      </c>
      <c r="N457" s="426"/>
      <c r="O457" s="151">
        <v>5</v>
      </c>
      <c r="P457" s="151" t="s">
        <v>199</v>
      </c>
      <c r="Q457" s="421"/>
    </row>
    <row r="458" spans="1:17" ht="11.25">
      <c r="A458" s="142" t="s">
        <v>9273</v>
      </c>
      <c r="B458" s="142" t="s">
        <v>9274</v>
      </c>
      <c r="C458" s="142" t="s">
        <v>9275</v>
      </c>
      <c r="D458" s="142"/>
      <c r="E458" s="142" t="s">
        <v>242</v>
      </c>
      <c r="F458" s="142"/>
      <c r="G458" s="141" t="s">
        <v>4206</v>
      </c>
      <c r="H458" s="142" t="s">
        <v>9276</v>
      </c>
      <c r="I458" s="156" t="s">
        <v>204</v>
      </c>
      <c r="J458" s="156" t="s">
        <v>9180</v>
      </c>
      <c r="K458" s="156"/>
      <c r="L458" s="156" t="s">
        <v>191</v>
      </c>
      <c r="M458" s="331">
        <v>4</v>
      </c>
      <c r="N458" s="426"/>
      <c r="O458" s="151">
        <v>5</v>
      </c>
      <c r="P458" s="151" t="s">
        <v>199</v>
      </c>
      <c r="Q458" s="421"/>
    </row>
    <row r="459" spans="1:17" ht="11.25">
      <c r="A459" s="142" t="s">
        <v>9277</v>
      </c>
      <c r="B459" s="142" t="s">
        <v>9278</v>
      </c>
      <c r="C459" s="142" t="s">
        <v>9279</v>
      </c>
      <c r="D459" s="142"/>
      <c r="E459" s="142" t="s">
        <v>242</v>
      </c>
      <c r="F459" s="142"/>
      <c r="G459" s="141" t="s">
        <v>4206</v>
      </c>
      <c r="H459" s="142" t="s">
        <v>9280</v>
      </c>
      <c r="I459" s="156" t="s">
        <v>204</v>
      </c>
      <c r="J459" s="156" t="s">
        <v>9180</v>
      </c>
      <c r="K459" s="156"/>
      <c r="L459" s="156" t="s">
        <v>191</v>
      </c>
      <c r="M459" s="331">
        <v>4</v>
      </c>
      <c r="N459" s="426"/>
      <c r="O459" s="151">
        <v>5</v>
      </c>
      <c r="P459" s="151" t="s">
        <v>199</v>
      </c>
      <c r="Q459" s="421"/>
    </row>
    <row r="460" spans="1:17" ht="11.25">
      <c r="A460" s="142" t="s">
        <v>9281</v>
      </c>
      <c r="B460" s="142" t="s">
        <v>9282</v>
      </c>
      <c r="C460" s="142" t="s">
        <v>9283</v>
      </c>
      <c r="D460" s="142"/>
      <c r="E460" s="142" t="s">
        <v>242</v>
      </c>
      <c r="F460" s="142"/>
      <c r="G460" s="141" t="s">
        <v>4206</v>
      </c>
      <c r="H460" s="142" t="s">
        <v>9284</v>
      </c>
      <c r="I460" s="156" t="s">
        <v>204</v>
      </c>
      <c r="J460" s="156" t="s">
        <v>9180</v>
      </c>
      <c r="K460" s="156"/>
      <c r="L460" s="156" t="s">
        <v>191</v>
      </c>
      <c r="M460" s="331">
        <v>4</v>
      </c>
      <c r="N460" s="426"/>
      <c r="O460" s="151">
        <v>5</v>
      </c>
      <c r="P460" s="151" t="s">
        <v>199</v>
      </c>
      <c r="Q460" s="421"/>
    </row>
    <row r="461" spans="1:17" ht="11.25">
      <c r="A461" s="142" t="s">
        <v>9285</v>
      </c>
      <c r="B461" s="142" t="s">
        <v>9286</v>
      </c>
      <c r="C461" s="142" t="s">
        <v>9287</v>
      </c>
      <c r="D461" s="142"/>
      <c r="E461" s="142" t="s">
        <v>242</v>
      </c>
      <c r="F461" s="142"/>
      <c r="G461" s="141" t="s">
        <v>4206</v>
      </c>
      <c r="H461" s="142" t="s">
        <v>9288</v>
      </c>
      <c r="I461" s="156" t="s">
        <v>204</v>
      </c>
      <c r="J461" s="156" t="s">
        <v>9180</v>
      </c>
      <c r="K461" s="156"/>
      <c r="L461" s="156" t="s">
        <v>191</v>
      </c>
      <c r="M461" s="331">
        <v>4</v>
      </c>
      <c r="N461" s="426"/>
      <c r="O461" s="151">
        <v>5</v>
      </c>
      <c r="P461" s="151" t="s">
        <v>199</v>
      </c>
      <c r="Q461" s="421"/>
    </row>
    <row r="462" spans="1:17" ht="11.25">
      <c r="A462" s="142" t="s">
        <v>9289</v>
      </c>
      <c r="B462" s="142" t="s">
        <v>9290</v>
      </c>
      <c r="C462" s="142" t="s">
        <v>9291</v>
      </c>
      <c r="D462" s="142"/>
      <c r="E462" s="142" t="s">
        <v>242</v>
      </c>
      <c r="F462" s="142"/>
      <c r="G462" s="141" t="s">
        <v>4206</v>
      </c>
      <c r="H462" s="142" t="s">
        <v>9292</v>
      </c>
      <c r="I462" s="156" t="s">
        <v>204</v>
      </c>
      <c r="J462" s="156" t="s">
        <v>9180</v>
      </c>
      <c r="K462" s="156"/>
      <c r="L462" s="156" t="s">
        <v>191</v>
      </c>
      <c r="M462" s="331">
        <v>4</v>
      </c>
      <c r="N462" s="426"/>
      <c r="O462" s="151">
        <v>5</v>
      </c>
      <c r="P462" s="151" t="s">
        <v>199</v>
      </c>
      <c r="Q462" s="421"/>
    </row>
    <row r="463" spans="1:17" ht="11.25">
      <c r="A463" s="142" t="s">
        <v>9293</v>
      </c>
      <c r="B463" s="142" t="s">
        <v>9294</v>
      </c>
      <c r="C463" s="142" t="s">
        <v>9295</v>
      </c>
      <c r="D463" s="142"/>
      <c r="E463" s="142" t="s">
        <v>242</v>
      </c>
      <c r="F463" s="142"/>
      <c r="G463" s="141" t="s">
        <v>4206</v>
      </c>
      <c r="H463" s="142" t="s">
        <v>9296</v>
      </c>
      <c r="I463" s="156" t="s">
        <v>204</v>
      </c>
      <c r="J463" s="156" t="s">
        <v>9180</v>
      </c>
      <c r="K463" s="156"/>
      <c r="L463" s="156" t="s">
        <v>191</v>
      </c>
      <c r="M463" s="331">
        <v>4</v>
      </c>
      <c r="N463" s="426"/>
      <c r="O463" s="151">
        <v>5</v>
      </c>
      <c r="P463" s="151" t="s">
        <v>199</v>
      </c>
      <c r="Q463" s="421"/>
    </row>
    <row r="464" spans="1:17" ht="11.25">
      <c r="A464" s="142" t="s">
        <v>9297</v>
      </c>
      <c r="B464" s="142" t="s">
        <v>9298</v>
      </c>
      <c r="C464" s="142" t="s">
        <v>9299</v>
      </c>
      <c r="D464" s="142"/>
      <c r="E464" s="142" t="s">
        <v>242</v>
      </c>
      <c r="F464" s="142"/>
      <c r="G464" s="141" t="s">
        <v>4206</v>
      </c>
      <c r="H464" s="142" t="s">
        <v>9300</v>
      </c>
      <c r="I464" s="156" t="s">
        <v>204</v>
      </c>
      <c r="J464" s="156" t="s">
        <v>9180</v>
      </c>
      <c r="K464" s="156"/>
      <c r="L464" s="156" t="s">
        <v>191</v>
      </c>
      <c r="M464" s="331">
        <v>4</v>
      </c>
      <c r="N464" s="426"/>
      <c r="O464" s="151">
        <v>5</v>
      </c>
      <c r="P464" s="151" t="s">
        <v>199</v>
      </c>
      <c r="Q464" s="421"/>
    </row>
    <row r="465" spans="1:17" ht="11.25">
      <c r="A465" s="142" t="s">
        <v>9301</v>
      </c>
      <c r="B465" s="142" t="s">
        <v>9302</v>
      </c>
      <c r="C465" s="142" t="s">
        <v>9303</v>
      </c>
      <c r="D465" s="142"/>
      <c r="E465" s="142" t="s">
        <v>242</v>
      </c>
      <c r="F465" s="142"/>
      <c r="G465" s="141" t="s">
        <v>4206</v>
      </c>
      <c r="H465" s="142" t="s">
        <v>9304</v>
      </c>
      <c r="I465" s="156" t="s">
        <v>204</v>
      </c>
      <c r="J465" s="156" t="s">
        <v>9180</v>
      </c>
      <c r="K465" s="156"/>
      <c r="L465" s="156" t="s">
        <v>191</v>
      </c>
      <c r="M465" s="331">
        <v>4</v>
      </c>
      <c r="N465" s="426"/>
      <c r="O465" s="151">
        <v>5</v>
      </c>
      <c r="P465" s="151" t="s">
        <v>199</v>
      </c>
      <c r="Q465" s="421"/>
    </row>
    <row r="466" spans="1:17" ht="11.25">
      <c r="A466" s="142" t="s">
        <v>9305</v>
      </c>
      <c r="B466" s="142" t="s">
        <v>9306</v>
      </c>
      <c r="C466" s="142" t="s">
        <v>9307</v>
      </c>
      <c r="D466" s="142"/>
      <c r="E466" s="142" t="s">
        <v>242</v>
      </c>
      <c r="F466" s="142"/>
      <c r="G466" s="141" t="s">
        <v>4206</v>
      </c>
      <c r="H466" s="142" t="s">
        <v>9308</v>
      </c>
      <c r="I466" s="156" t="s">
        <v>204</v>
      </c>
      <c r="J466" s="156" t="s">
        <v>9180</v>
      </c>
      <c r="K466" s="156"/>
      <c r="L466" s="156" t="s">
        <v>191</v>
      </c>
      <c r="M466" s="331">
        <v>4</v>
      </c>
      <c r="N466" s="426"/>
      <c r="O466" s="151">
        <v>5</v>
      </c>
      <c r="P466" s="151" t="s">
        <v>199</v>
      </c>
      <c r="Q466" s="421"/>
    </row>
    <row r="467" spans="1:17" ht="11.25">
      <c r="A467" s="142" t="s">
        <v>9309</v>
      </c>
      <c r="B467" s="142" t="s">
        <v>9310</v>
      </c>
      <c r="C467" s="142" t="s">
        <v>9311</v>
      </c>
      <c r="D467" s="142"/>
      <c r="E467" s="142" t="s">
        <v>242</v>
      </c>
      <c r="F467" s="142"/>
      <c r="G467" s="141" t="s">
        <v>7915</v>
      </c>
      <c r="H467" s="142" t="s">
        <v>9312</v>
      </c>
      <c r="I467" s="156" t="s">
        <v>204</v>
      </c>
      <c r="J467" s="156" t="s">
        <v>9180</v>
      </c>
      <c r="K467" s="156"/>
      <c r="L467" s="156" t="s">
        <v>191</v>
      </c>
      <c r="M467" s="331">
        <v>4</v>
      </c>
      <c r="N467" s="426"/>
      <c r="O467" s="151">
        <v>5</v>
      </c>
      <c r="P467" s="151" t="s">
        <v>199</v>
      </c>
      <c r="Q467" s="421"/>
    </row>
    <row r="468" spans="1:17" ht="11.25">
      <c r="A468" s="142" t="s">
        <v>9313</v>
      </c>
      <c r="B468" s="142" t="s">
        <v>9314</v>
      </c>
      <c r="C468" s="142" t="s">
        <v>9315</v>
      </c>
      <c r="D468" s="142"/>
      <c r="E468" s="142" t="s">
        <v>242</v>
      </c>
      <c r="F468" s="142"/>
      <c r="G468" s="141" t="s">
        <v>4206</v>
      </c>
      <c r="H468" s="142" t="s">
        <v>9316</v>
      </c>
      <c r="I468" s="156" t="s">
        <v>204</v>
      </c>
      <c r="J468" s="156" t="s">
        <v>9180</v>
      </c>
      <c r="K468" s="156"/>
      <c r="L468" s="156" t="s">
        <v>191</v>
      </c>
      <c r="M468" s="331">
        <v>4</v>
      </c>
      <c r="N468" s="426"/>
      <c r="O468" s="151">
        <v>5</v>
      </c>
      <c r="P468" s="151" t="s">
        <v>199</v>
      </c>
      <c r="Q468" s="421"/>
    </row>
    <row r="469" spans="1:17" ht="11.25">
      <c r="A469" s="142" t="s">
        <v>9317</v>
      </c>
      <c r="B469" s="142" t="s">
        <v>9318</v>
      </c>
      <c r="C469" s="142" t="s">
        <v>9319</v>
      </c>
      <c r="D469" s="142"/>
      <c r="E469" s="142" t="s">
        <v>242</v>
      </c>
      <c r="F469" s="142"/>
      <c r="G469" s="141" t="s">
        <v>4206</v>
      </c>
      <c r="H469" s="142" t="s">
        <v>9320</v>
      </c>
      <c r="I469" s="156" t="s">
        <v>204</v>
      </c>
      <c r="J469" s="156" t="s">
        <v>9180</v>
      </c>
      <c r="K469" s="156"/>
      <c r="L469" s="156" t="s">
        <v>191</v>
      </c>
      <c r="M469" s="331">
        <v>4</v>
      </c>
      <c r="N469" s="426"/>
      <c r="O469" s="151">
        <v>5</v>
      </c>
      <c r="P469" s="151" t="s">
        <v>199</v>
      </c>
      <c r="Q469" s="421"/>
    </row>
    <row r="470" spans="1:17" ht="11.25">
      <c r="A470" s="142" t="s">
        <v>9321</v>
      </c>
      <c r="B470" s="142" t="s">
        <v>9322</v>
      </c>
      <c r="C470" s="142" t="s">
        <v>9323</v>
      </c>
      <c r="D470" s="142"/>
      <c r="E470" s="142" t="s">
        <v>242</v>
      </c>
      <c r="F470" s="142"/>
      <c r="G470" s="141" t="s">
        <v>4206</v>
      </c>
      <c r="H470" s="142" t="s">
        <v>9324</v>
      </c>
      <c r="I470" s="156" t="s">
        <v>204</v>
      </c>
      <c r="J470" s="156" t="s">
        <v>9180</v>
      </c>
      <c r="K470" s="156"/>
      <c r="L470" s="156" t="s">
        <v>191</v>
      </c>
      <c r="M470" s="331">
        <v>4</v>
      </c>
      <c r="N470" s="426"/>
      <c r="O470" s="151">
        <v>5</v>
      </c>
      <c r="P470" s="151" t="s">
        <v>199</v>
      </c>
      <c r="Q470" s="421"/>
    </row>
    <row r="471" spans="1:17" ht="11.25">
      <c r="A471" s="142" t="s">
        <v>9325</v>
      </c>
      <c r="B471" s="142" t="s">
        <v>9326</v>
      </c>
      <c r="C471" s="142" t="s">
        <v>9327</v>
      </c>
      <c r="D471" s="142"/>
      <c r="E471" s="142" t="s">
        <v>242</v>
      </c>
      <c r="F471" s="142"/>
      <c r="G471" s="141" t="s">
        <v>4206</v>
      </c>
      <c r="H471" s="142" t="s">
        <v>9328</v>
      </c>
      <c r="I471" s="156" t="s">
        <v>204</v>
      </c>
      <c r="J471" s="156" t="s">
        <v>9180</v>
      </c>
      <c r="K471" s="156"/>
      <c r="L471" s="156" t="s">
        <v>191</v>
      </c>
      <c r="M471" s="331">
        <v>4</v>
      </c>
      <c r="N471" s="426"/>
      <c r="O471" s="151">
        <v>5</v>
      </c>
      <c r="P471" s="151" t="s">
        <v>199</v>
      </c>
      <c r="Q471" s="421"/>
    </row>
    <row r="472" spans="1:17" ht="11.25">
      <c r="A472" s="142" t="s">
        <v>9329</v>
      </c>
      <c r="B472" s="142" t="s">
        <v>9330</v>
      </c>
      <c r="C472" s="142" t="s">
        <v>9331</v>
      </c>
      <c r="D472" s="142"/>
      <c r="E472" s="142" t="s">
        <v>242</v>
      </c>
      <c r="F472" s="142"/>
      <c r="G472" s="141" t="s">
        <v>4206</v>
      </c>
      <c r="H472" s="142" t="s">
        <v>9332</v>
      </c>
      <c r="I472" s="156" t="s">
        <v>204</v>
      </c>
      <c r="J472" s="156" t="s">
        <v>9180</v>
      </c>
      <c r="K472" s="156"/>
      <c r="L472" s="156" t="s">
        <v>191</v>
      </c>
      <c r="M472" s="331">
        <v>4</v>
      </c>
      <c r="N472" s="426"/>
      <c r="O472" s="151">
        <v>5</v>
      </c>
      <c r="P472" s="151" t="s">
        <v>199</v>
      </c>
      <c r="Q472" s="421"/>
    </row>
    <row r="473" spans="1:17" ht="11.25">
      <c r="A473" s="142" t="s">
        <v>9333</v>
      </c>
      <c r="B473" s="142" t="s">
        <v>9334</v>
      </c>
      <c r="C473" s="142" t="s">
        <v>9335</v>
      </c>
      <c r="D473" s="142"/>
      <c r="E473" s="142" t="s">
        <v>242</v>
      </c>
      <c r="F473" s="142"/>
      <c r="G473" s="141" t="s">
        <v>4206</v>
      </c>
      <c r="H473" s="142" t="s">
        <v>9336</v>
      </c>
      <c r="I473" s="156" t="s">
        <v>204</v>
      </c>
      <c r="J473" s="156" t="s">
        <v>9180</v>
      </c>
      <c r="K473" s="156"/>
      <c r="L473" s="156" t="s">
        <v>191</v>
      </c>
      <c r="M473" s="331">
        <v>4</v>
      </c>
      <c r="N473" s="426"/>
      <c r="O473" s="151">
        <v>5</v>
      </c>
      <c r="P473" s="151" t="s">
        <v>199</v>
      </c>
      <c r="Q473" s="421"/>
    </row>
    <row r="474" spans="1:17" ht="11.25">
      <c r="A474" s="142" t="s">
        <v>9337</v>
      </c>
      <c r="B474" s="142" t="s">
        <v>9338</v>
      </c>
      <c r="C474" s="142" t="s">
        <v>9339</v>
      </c>
      <c r="D474" s="142"/>
      <c r="E474" s="142" t="s">
        <v>242</v>
      </c>
      <c r="F474" s="142"/>
      <c r="G474" s="141" t="s">
        <v>4206</v>
      </c>
      <c r="H474" s="142" t="s">
        <v>9340</v>
      </c>
      <c r="I474" s="156" t="s">
        <v>204</v>
      </c>
      <c r="J474" s="156" t="s">
        <v>9180</v>
      </c>
      <c r="K474" s="156"/>
      <c r="L474" s="156" t="s">
        <v>191</v>
      </c>
      <c r="M474" s="331">
        <v>4</v>
      </c>
      <c r="N474" s="426"/>
      <c r="O474" s="151">
        <v>5</v>
      </c>
      <c r="P474" s="151" t="s">
        <v>199</v>
      </c>
      <c r="Q474" s="421"/>
    </row>
    <row r="475" spans="1:17" ht="11.25">
      <c r="A475" s="142" t="s">
        <v>9341</v>
      </c>
      <c r="B475" s="142" t="s">
        <v>9342</v>
      </c>
      <c r="C475" s="142" t="s">
        <v>9343</v>
      </c>
      <c r="D475" s="142"/>
      <c r="E475" s="142" t="s">
        <v>242</v>
      </c>
      <c r="F475" s="142"/>
      <c r="G475" s="141" t="s">
        <v>4206</v>
      </c>
      <c r="H475" s="142" t="s">
        <v>9344</v>
      </c>
      <c r="I475" s="156" t="s">
        <v>204</v>
      </c>
      <c r="J475" s="156" t="s">
        <v>9180</v>
      </c>
      <c r="K475" s="156"/>
      <c r="L475" s="156" t="s">
        <v>191</v>
      </c>
      <c r="M475" s="331">
        <v>4</v>
      </c>
      <c r="N475" s="426"/>
      <c r="O475" s="151">
        <v>5</v>
      </c>
      <c r="P475" s="151" t="s">
        <v>199</v>
      </c>
      <c r="Q475" s="421"/>
    </row>
    <row r="476" spans="1:17" ht="11.25">
      <c r="A476" s="142" t="s">
        <v>9345</v>
      </c>
      <c r="B476" s="142" t="s">
        <v>9346</v>
      </c>
      <c r="C476" s="142" t="s">
        <v>9347</v>
      </c>
      <c r="D476" s="142"/>
      <c r="E476" s="142" t="s">
        <v>242</v>
      </c>
      <c r="F476" s="142"/>
      <c r="G476" s="141" t="s">
        <v>7915</v>
      </c>
      <c r="H476" s="142" t="s">
        <v>9348</v>
      </c>
      <c r="I476" s="156" t="s">
        <v>204</v>
      </c>
      <c r="J476" s="156" t="s">
        <v>9180</v>
      </c>
      <c r="K476" s="156"/>
      <c r="L476" s="156" t="s">
        <v>191</v>
      </c>
      <c r="M476" s="331">
        <v>4</v>
      </c>
      <c r="N476" s="426"/>
      <c r="O476" s="151">
        <v>5</v>
      </c>
      <c r="P476" s="151" t="s">
        <v>199</v>
      </c>
      <c r="Q476" s="421"/>
    </row>
    <row r="477" spans="1:17" ht="11.25">
      <c r="A477" s="142" t="s">
        <v>9349</v>
      </c>
      <c r="B477" s="142" t="s">
        <v>9350</v>
      </c>
      <c r="C477" s="142" t="s">
        <v>9351</v>
      </c>
      <c r="D477" s="142"/>
      <c r="E477" s="142" t="s">
        <v>242</v>
      </c>
      <c r="F477" s="142"/>
      <c r="G477" s="141" t="s">
        <v>4206</v>
      </c>
      <c r="H477" s="142" t="s">
        <v>9352</v>
      </c>
      <c r="I477" s="156" t="s">
        <v>204</v>
      </c>
      <c r="J477" s="156" t="s">
        <v>9180</v>
      </c>
      <c r="K477" s="156"/>
      <c r="L477" s="156" t="s">
        <v>191</v>
      </c>
      <c r="M477" s="331">
        <v>4</v>
      </c>
      <c r="N477" s="426"/>
      <c r="O477" s="151">
        <v>5</v>
      </c>
      <c r="P477" s="151" t="s">
        <v>199</v>
      </c>
      <c r="Q477" s="421"/>
    </row>
    <row r="478" spans="1:17" ht="11.25">
      <c r="A478" s="142" t="s">
        <v>9353</v>
      </c>
      <c r="B478" s="142" t="s">
        <v>9354</v>
      </c>
      <c r="C478" s="142" t="s">
        <v>9355</v>
      </c>
      <c r="D478" s="142"/>
      <c r="E478" s="142" t="s">
        <v>242</v>
      </c>
      <c r="F478" s="142"/>
      <c r="G478" s="141" t="s">
        <v>4206</v>
      </c>
      <c r="H478" s="142" t="s">
        <v>9356</v>
      </c>
      <c r="I478" s="156" t="s">
        <v>204</v>
      </c>
      <c r="J478" s="156" t="s">
        <v>9180</v>
      </c>
      <c r="K478" s="156"/>
      <c r="L478" s="156" t="s">
        <v>191</v>
      </c>
      <c r="M478" s="331">
        <v>4</v>
      </c>
      <c r="N478" s="426"/>
      <c r="O478" s="151">
        <v>5</v>
      </c>
      <c r="P478" s="151" t="s">
        <v>199</v>
      </c>
      <c r="Q478" s="421"/>
    </row>
    <row r="479" spans="1:17" ht="11.25">
      <c r="A479" s="142" t="s">
        <v>9357</v>
      </c>
      <c r="B479" s="142" t="s">
        <v>9358</v>
      </c>
      <c r="C479" s="142" t="s">
        <v>9359</v>
      </c>
      <c r="D479" s="142"/>
      <c r="E479" s="142" t="s">
        <v>242</v>
      </c>
      <c r="F479" s="142"/>
      <c r="G479" s="141" t="s">
        <v>4206</v>
      </c>
      <c r="H479" s="142" t="s">
        <v>9360</v>
      </c>
      <c r="I479" s="156" t="s">
        <v>204</v>
      </c>
      <c r="J479" s="156" t="s">
        <v>9180</v>
      </c>
      <c r="K479" s="156"/>
      <c r="L479" s="156" t="s">
        <v>191</v>
      </c>
      <c r="M479" s="331">
        <v>4</v>
      </c>
      <c r="N479" s="426"/>
      <c r="O479" s="151">
        <v>5</v>
      </c>
      <c r="P479" s="151" t="s">
        <v>199</v>
      </c>
      <c r="Q479" s="421"/>
    </row>
    <row r="480" spans="1:17" ht="11.25">
      <c r="A480" s="142" t="s">
        <v>9361</v>
      </c>
      <c r="B480" s="142" t="s">
        <v>9362</v>
      </c>
      <c r="C480" s="142" t="s">
        <v>9363</v>
      </c>
      <c r="D480" s="142"/>
      <c r="E480" s="142" t="s">
        <v>242</v>
      </c>
      <c r="F480" s="142"/>
      <c r="G480" s="141" t="s">
        <v>4206</v>
      </c>
      <c r="H480" s="142" t="s">
        <v>9364</v>
      </c>
      <c r="I480" s="156" t="s">
        <v>204</v>
      </c>
      <c r="J480" s="156" t="s">
        <v>9180</v>
      </c>
      <c r="K480" s="156"/>
      <c r="L480" s="156" t="s">
        <v>191</v>
      </c>
      <c r="M480" s="331">
        <v>4</v>
      </c>
      <c r="N480" s="426"/>
      <c r="O480" s="151">
        <v>5</v>
      </c>
      <c r="P480" s="151" t="s">
        <v>199</v>
      </c>
      <c r="Q480" s="421"/>
    </row>
    <row r="481" spans="1:17" ht="11.25">
      <c r="A481" s="142" t="s">
        <v>9365</v>
      </c>
      <c r="B481" s="142" t="s">
        <v>9366</v>
      </c>
      <c r="C481" s="142" t="s">
        <v>9367</v>
      </c>
      <c r="D481" s="142"/>
      <c r="E481" s="142" t="s">
        <v>242</v>
      </c>
      <c r="F481" s="142"/>
      <c r="G481" s="141" t="s">
        <v>4206</v>
      </c>
      <c r="H481" s="142" t="s">
        <v>9368</v>
      </c>
      <c r="I481" s="156" t="s">
        <v>204</v>
      </c>
      <c r="J481" s="156" t="s">
        <v>9180</v>
      </c>
      <c r="K481" s="156"/>
      <c r="L481" s="156" t="s">
        <v>191</v>
      </c>
      <c r="M481" s="331">
        <v>4</v>
      </c>
      <c r="N481" s="426"/>
      <c r="O481" s="151">
        <v>5</v>
      </c>
      <c r="P481" s="151" t="s">
        <v>199</v>
      </c>
      <c r="Q481" s="421"/>
    </row>
    <row r="482" spans="1:17" ht="11.25">
      <c r="A482" s="142" t="s">
        <v>9369</v>
      </c>
      <c r="B482" s="142" t="s">
        <v>9370</v>
      </c>
      <c r="C482" s="142" t="s">
        <v>9371</v>
      </c>
      <c r="D482" s="142"/>
      <c r="E482" s="142" t="s">
        <v>242</v>
      </c>
      <c r="F482" s="142"/>
      <c r="G482" s="141" t="s">
        <v>4206</v>
      </c>
      <c r="H482" s="142" t="s">
        <v>9372</v>
      </c>
      <c r="I482" s="156" t="s">
        <v>204</v>
      </c>
      <c r="J482" s="156" t="s">
        <v>9180</v>
      </c>
      <c r="K482" s="156"/>
      <c r="L482" s="156" t="s">
        <v>191</v>
      </c>
      <c r="M482" s="331">
        <v>4</v>
      </c>
      <c r="N482" s="426"/>
      <c r="O482" s="151">
        <v>5</v>
      </c>
      <c r="P482" s="151" t="s">
        <v>199</v>
      </c>
      <c r="Q482" s="421"/>
    </row>
    <row r="483" spans="1:17" ht="11.25">
      <c r="A483" s="142" t="s">
        <v>9373</v>
      </c>
      <c r="B483" s="142" t="s">
        <v>9374</v>
      </c>
      <c r="C483" s="142" t="s">
        <v>9375</v>
      </c>
      <c r="D483" s="142"/>
      <c r="E483" s="142" t="s">
        <v>242</v>
      </c>
      <c r="F483" s="142"/>
      <c r="G483" s="141" t="s">
        <v>4206</v>
      </c>
      <c r="H483" s="142" t="s">
        <v>9376</v>
      </c>
      <c r="I483" s="156" t="s">
        <v>204</v>
      </c>
      <c r="J483" s="156" t="s">
        <v>9180</v>
      </c>
      <c r="K483" s="156"/>
      <c r="L483" s="156" t="s">
        <v>191</v>
      </c>
      <c r="M483" s="331">
        <v>4</v>
      </c>
      <c r="N483" s="426"/>
      <c r="O483" s="151">
        <v>5</v>
      </c>
      <c r="P483" s="151" t="s">
        <v>199</v>
      </c>
      <c r="Q483" s="421"/>
    </row>
    <row r="484" spans="1:17" ht="11.25">
      <c r="A484" s="142" t="s">
        <v>9377</v>
      </c>
      <c r="B484" s="142" t="s">
        <v>9378</v>
      </c>
      <c r="C484" s="142" t="s">
        <v>9379</v>
      </c>
      <c r="D484" s="142"/>
      <c r="E484" s="142" t="s">
        <v>242</v>
      </c>
      <c r="F484" s="142"/>
      <c r="G484" s="141" t="s">
        <v>4206</v>
      </c>
      <c r="H484" s="142" t="s">
        <v>9380</v>
      </c>
      <c r="I484" s="156" t="s">
        <v>204</v>
      </c>
      <c r="J484" s="156" t="s">
        <v>9180</v>
      </c>
      <c r="K484" s="156"/>
      <c r="L484" s="156" t="s">
        <v>191</v>
      </c>
      <c r="M484" s="331">
        <v>4</v>
      </c>
      <c r="N484" s="426"/>
      <c r="O484" s="151">
        <v>5</v>
      </c>
      <c r="P484" s="151" t="s">
        <v>199</v>
      </c>
      <c r="Q484" s="421"/>
    </row>
    <row r="485" spans="1:17" ht="11.25">
      <c r="A485" s="142" t="s">
        <v>9381</v>
      </c>
      <c r="B485" s="142" t="s">
        <v>9382</v>
      </c>
      <c r="C485" s="142" t="s">
        <v>9383</v>
      </c>
      <c r="D485" s="142"/>
      <c r="E485" s="142" t="s">
        <v>242</v>
      </c>
      <c r="F485" s="142"/>
      <c r="G485" s="141" t="s">
        <v>4206</v>
      </c>
      <c r="H485" s="142" t="s">
        <v>9384</v>
      </c>
      <c r="I485" s="156" t="s">
        <v>204</v>
      </c>
      <c r="J485" s="156" t="s">
        <v>9180</v>
      </c>
      <c r="K485" s="156"/>
      <c r="L485" s="156" t="s">
        <v>191</v>
      </c>
      <c r="M485" s="331">
        <v>4</v>
      </c>
      <c r="N485" s="426"/>
      <c r="O485" s="151">
        <v>5</v>
      </c>
      <c r="P485" s="151" t="s">
        <v>199</v>
      </c>
      <c r="Q485" s="421"/>
    </row>
    <row r="486" spans="1:17" ht="11.25">
      <c r="A486" s="142" t="s">
        <v>9385</v>
      </c>
      <c r="B486" s="142" t="s">
        <v>9386</v>
      </c>
      <c r="C486" s="142" t="s">
        <v>9387</v>
      </c>
      <c r="D486" s="142"/>
      <c r="E486" s="142" t="s">
        <v>242</v>
      </c>
      <c r="F486" s="142"/>
      <c r="G486" s="141" t="s">
        <v>4206</v>
      </c>
      <c r="H486" s="142" t="s">
        <v>9388</v>
      </c>
      <c r="I486" s="156" t="s">
        <v>204</v>
      </c>
      <c r="J486" s="156" t="s">
        <v>9180</v>
      </c>
      <c r="K486" s="156"/>
      <c r="L486" s="156" t="s">
        <v>191</v>
      </c>
      <c r="M486" s="331">
        <v>4</v>
      </c>
      <c r="N486" s="426"/>
      <c r="O486" s="151">
        <v>5</v>
      </c>
      <c r="P486" s="151" t="s">
        <v>199</v>
      </c>
      <c r="Q486" s="421"/>
    </row>
    <row r="487" spans="1:17" ht="11.25">
      <c r="A487" s="142" t="s">
        <v>9389</v>
      </c>
      <c r="B487" s="142" t="s">
        <v>9390</v>
      </c>
      <c r="C487" s="142" t="s">
        <v>9391</v>
      </c>
      <c r="D487" s="142"/>
      <c r="E487" s="142" t="s">
        <v>242</v>
      </c>
      <c r="F487" s="142"/>
      <c r="G487" s="141" t="s">
        <v>4206</v>
      </c>
      <c r="H487" s="142" t="s">
        <v>9392</v>
      </c>
      <c r="I487" s="156" t="s">
        <v>204</v>
      </c>
      <c r="J487" s="156" t="s">
        <v>9180</v>
      </c>
      <c r="K487" s="156"/>
      <c r="L487" s="156" t="s">
        <v>191</v>
      </c>
      <c r="M487" s="331">
        <v>4</v>
      </c>
      <c r="N487" s="426"/>
      <c r="O487" s="151">
        <v>5</v>
      </c>
      <c r="P487" s="151" t="s">
        <v>199</v>
      </c>
      <c r="Q487" s="421"/>
    </row>
    <row r="488" spans="1:17" ht="11.25">
      <c r="A488" s="142" t="s">
        <v>9393</v>
      </c>
      <c r="B488" s="142" t="s">
        <v>9394</v>
      </c>
      <c r="C488" s="142" t="s">
        <v>9395</v>
      </c>
      <c r="D488" s="142"/>
      <c r="E488" s="142" t="s">
        <v>242</v>
      </c>
      <c r="F488" s="142"/>
      <c r="G488" s="141" t="s">
        <v>4206</v>
      </c>
      <c r="H488" s="142" t="s">
        <v>9396</v>
      </c>
      <c r="I488" s="156" t="s">
        <v>204</v>
      </c>
      <c r="J488" s="156" t="s">
        <v>9180</v>
      </c>
      <c r="K488" s="156"/>
      <c r="L488" s="156" t="s">
        <v>191</v>
      </c>
      <c r="M488" s="331">
        <v>4</v>
      </c>
      <c r="N488" s="426"/>
      <c r="O488" s="151">
        <v>5</v>
      </c>
      <c r="P488" s="151" t="s">
        <v>199</v>
      </c>
      <c r="Q488" s="421"/>
    </row>
    <row r="489" spans="1:17" ht="11.25">
      <c r="A489" s="142" t="s">
        <v>9397</v>
      </c>
      <c r="B489" s="142" t="s">
        <v>9398</v>
      </c>
      <c r="C489" s="142" t="s">
        <v>9399</v>
      </c>
      <c r="D489" s="142"/>
      <c r="E489" s="142" t="s">
        <v>242</v>
      </c>
      <c r="F489" s="142"/>
      <c r="G489" s="141" t="s">
        <v>4206</v>
      </c>
      <c r="H489" s="142" t="s">
        <v>9400</v>
      </c>
      <c r="I489" s="156" t="s">
        <v>204</v>
      </c>
      <c r="J489" s="156" t="s">
        <v>9180</v>
      </c>
      <c r="K489" s="156"/>
      <c r="L489" s="156" t="s">
        <v>191</v>
      </c>
      <c r="M489" s="331">
        <v>4</v>
      </c>
      <c r="N489" s="426"/>
      <c r="O489" s="151">
        <v>5</v>
      </c>
      <c r="P489" s="151" t="s">
        <v>199</v>
      </c>
      <c r="Q489" s="421"/>
    </row>
    <row r="490" spans="1:17" ht="11.25">
      <c r="A490" s="142" t="s">
        <v>9401</v>
      </c>
      <c r="B490" s="142" t="s">
        <v>9402</v>
      </c>
      <c r="C490" s="142" t="s">
        <v>9403</v>
      </c>
      <c r="D490" s="142"/>
      <c r="E490" s="142" t="s">
        <v>242</v>
      </c>
      <c r="F490" s="142"/>
      <c r="G490" s="141" t="s">
        <v>4206</v>
      </c>
      <c r="H490" s="142" t="s">
        <v>9404</v>
      </c>
      <c r="I490" s="156" t="s">
        <v>204</v>
      </c>
      <c r="J490" s="156" t="s">
        <v>9180</v>
      </c>
      <c r="K490" s="156"/>
      <c r="L490" s="156" t="s">
        <v>191</v>
      </c>
      <c r="M490" s="331">
        <v>4</v>
      </c>
      <c r="N490" s="426"/>
      <c r="O490" s="151">
        <v>5</v>
      </c>
      <c r="P490" s="151" t="s">
        <v>199</v>
      </c>
      <c r="Q490" s="421"/>
    </row>
    <row r="491" spans="1:17" ht="11.25">
      <c r="A491" s="142" t="s">
        <v>9405</v>
      </c>
      <c r="B491" s="142" t="s">
        <v>9406</v>
      </c>
      <c r="C491" s="142" t="s">
        <v>9407</v>
      </c>
      <c r="D491" s="142"/>
      <c r="E491" s="142" t="s">
        <v>242</v>
      </c>
      <c r="F491" s="142"/>
      <c r="G491" s="141" t="s">
        <v>4206</v>
      </c>
      <c r="H491" s="142" t="s">
        <v>9408</v>
      </c>
      <c r="I491" s="156" t="s">
        <v>204</v>
      </c>
      <c r="J491" s="156" t="s">
        <v>9180</v>
      </c>
      <c r="K491" s="156"/>
      <c r="L491" s="156" t="s">
        <v>191</v>
      </c>
      <c r="M491" s="331">
        <v>4</v>
      </c>
      <c r="N491" s="426"/>
      <c r="O491" s="151">
        <v>5</v>
      </c>
      <c r="P491" s="151" t="s">
        <v>199</v>
      </c>
      <c r="Q491" s="421"/>
    </row>
    <row r="492" spans="1:17" ht="11.25">
      <c r="A492" s="142" t="s">
        <v>9409</v>
      </c>
      <c r="B492" s="142" t="s">
        <v>9410</v>
      </c>
      <c r="C492" s="142" t="s">
        <v>9411</v>
      </c>
      <c r="D492" s="142"/>
      <c r="E492" s="142" t="s">
        <v>242</v>
      </c>
      <c r="F492" s="142"/>
      <c r="G492" s="141" t="s">
        <v>4206</v>
      </c>
      <c r="H492" s="142" t="s">
        <v>9412</v>
      </c>
      <c r="I492" s="156" t="s">
        <v>204</v>
      </c>
      <c r="J492" s="156" t="s">
        <v>9180</v>
      </c>
      <c r="K492" s="156"/>
      <c r="L492" s="156" t="s">
        <v>191</v>
      </c>
      <c r="M492" s="331">
        <v>4</v>
      </c>
      <c r="N492" s="426"/>
      <c r="O492" s="151">
        <v>5</v>
      </c>
      <c r="P492" s="151" t="s">
        <v>199</v>
      </c>
      <c r="Q492" s="421"/>
    </row>
    <row r="493" spans="1:17" ht="11.25">
      <c r="A493" s="142" t="s">
        <v>9413</v>
      </c>
      <c r="B493" s="142" t="s">
        <v>9414</v>
      </c>
      <c r="C493" s="142" t="s">
        <v>9415</v>
      </c>
      <c r="D493" s="142"/>
      <c r="E493" s="142" t="s">
        <v>242</v>
      </c>
      <c r="F493" s="142"/>
      <c r="G493" s="141" t="s">
        <v>4206</v>
      </c>
      <c r="H493" s="142" t="s">
        <v>9416</v>
      </c>
      <c r="I493" s="156" t="s">
        <v>204</v>
      </c>
      <c r="J493" s="156" t="s">
        <v>9180</v>
      </c>
      <c r="K493" s="156"/>
      <c r="L493" s="156" t="s">
        <v>191</v>
      </c>
      <c r="M493" s="331">
        <v>4</v>
      </c>
      <c r="N493" s="426"/>
      <c r="O493" s="151">
        <v>5</v>
      </c>
      <c r="P493" s="151" t="s">
        <v>199</v>
      </c>
      <c r="Q493" s="421"/>
    </row>
    <row r="494" spans="1:17" ht="11.25">
      <c r="A494" s="142" t="s">
        <v>9417</v>
      </c>
      <c r="B494" s="142" t="s">
        <v>9418</v>
      </c>
      <c r="C494" s="142" t="s">
        <v>9419</v>
      </c>
      <c r="D494" s="142"/>
      <c r="E494" s="142" t="s">
        <v>242</v>
      </c>
      <c r="F494" s="142"/>
      <c r="G494" s="141" t="s">
        <v>4206</v>
      </c>
      <c r="H494" s="142" t="s">
        <v>9420</v>
      </c>
      <c r="I494" s="156" t="s">
        <v>204</v>
      </c>
      <c r="J494" s="156" t="s">
        <v>9180</v>
      </c>
      <c r="K494" s="156"/>
      <c r="L494" s="156" t="s">
        <v>191</v>
      </c>
      <c r="M494" s="331">
        <v>4</v>
      </c>
      <c r="N494" s="426"/>
      <c r="O494" s="151">
        <v>5</v>
      </c>
      <c r="P494" s="151" t="s">
        <v>199</v>
      </c>
      <c r="Q494" s="421"/>
    </row>
    <row r="495" spans="1:17" ht="11.25">
      <c r="A495" s="142" t="s">
        <v>9421</v>
      </c>
      <c r="B495" s="142" t="s">
        <v>9422</v>
      </c>
      <c r="C495" s="142" t="s">
        <v>9423</v>
      </c>
      <c r="D495" s="142"/>
      <c r="E495" s="142" t="s">
        <v>242</v>
      </c>
      <c r="F495" s="142"/>
      <c r="G495" s="141" t="s">
        <v>4206</v>
      </c>
      <c r="H495" s="142" t="s">
        <v>9424</v>
      </c>
      <c r="I495" s="156" t="s">
        <v>204</v>
      </c>
      <c r="J495" s="156" t="s">
        <v>9180</v>
      </c>
      <c r="K495" s="156"/>
      <c r="L495" s="156" t="s">
        <v>191</v>
      </c>
      <c r="M495" s="331">
        <v>4</v>
      </c>
      <c r="N495" s="426"/>
      <c r="O495" s="151">
        <v>5</v>
      </c>
      <c r="P495" s="151" t="s">
        <v>199</v>
      </c>
      <c r="Q495" s="421"/>
    </row>
    <row r="496" spans="1:17" ht="11.25">
      <c r="A496" s="142" t="s">
        <v>9425</v>
      </c>
      <c r="B496" s="142" t="s">
        <v>9426</v>
      </c>
      <c r="C496" s="142" t="s">
        <v>9427</v>
      </c>
      <c r="D496" s="142"/>
      <c r="E496" s="142" t="s">
        <v>242</v>
      </c>
      <c r="F496" s="142"/>
      <c r="G496" s="141" t="s">
        <v>4206</v>
      </c>
      <c r="H496" s="142" t="s">
        <v>9428</v>
      </c>
      <c r="I496" s="156" t="s">
        <v>204</v>
      </c>
      <c r="J496" s="156" t="s">
        <v>9180</v>
      </c>
      <c r="K496" s="156"/>
      <c r="L496" s="156" t="s">
        <v>191</v>
      </c>
      <c r="M496" s="331">
        <v>4</v>
      </c>
      <c r="N496" s="426"/>
      <c r="O496" s="151">
        <v>5</v>
      </c>
      <c r="P496" s="151" t="s">
        <v>199</v>
      </c>
      <c r="Q496" s="421"/>
    </row>
    <row r="497" spans="1:17" ht="11.25">
      <c r="A497" s="142" t="s">
        <v>9429</v>
      </c>
      <c r="B497" s="142" t="s">
        <v>9430</v>
      </c>
      <c r="C497" s="142" t="s">
        <v>9431</v>
      </c>
      <c r="D497" s="142"/>
      <c r="E497" s="142" t="s">
        <v>242</v>
      </c>
      <c r="F497" s="142"/>
      <c r="G497" s="141" t="s">
        <v>4206</v>
      </c>
      <c r="H497" s="142" t="s">
        <v>9432</v>
      </c>
      <c r="I497" s="156" t="s">
        <v>204</v>
      </c>
      <c r="J497" s="156" t="s">
        <v>9180</v>
      </c>
      <c r="K497" s="156"/>
      <c r="L497" s="156" t="s">
        <v>191</v>
      </c>
      <c r="M497" s="331">
        <v>4</v>
      </c>
      <c r="N497" s="426"/>
      <c r="O497" s="151">
        <v>5</v>
      </c>
      <c r="P497" s="151" t="s">
        <v>199</v>
      </c>
      <c r="Q497" s="421"/>
    </row>
    <row r="498" spans="1:17" ht="11.25">
      <c r="A498" s="142" t="s">
        <v>9433</v>
      </c>
      <c r="B498" s="142" t="s">
        <v>9434</v>
      </c>
      <c r="C498" s="142" t="s">
        <v>9435</v>
      </c>
      <c r="D498" s="142"/>
      <c r="E498" s="142" t="s">
        <v>242</v>
      </c>
      <c r="F498" s="142"/>
      <c r="G498" s="141" t="s">
        <v>4206</v>
      </c>
      <c r="H498" s="142" t="s">
        <v>9436</v>
      </c>
      <c r="I498" s="156" t="s">
        <v>204</v>
      </c>
      <c r="J498" s="156" t="s">
        <v>9180</v>
      </c>
      <c r="K498" s="156"/>
      <c r="L498" s="156" t="s">
        <v>191</v>
      </c>
      <c r="M498" s="331">
        <v>4</v>
      </c>
      <c r="N498" s="426"/>
      <c r="O498" s="151">
        <v>5</v>
      </c>
      <c r="P498" s="151" t="s">
        <v>199</v>
      </c>
      <c r="Q498" s="421"/>
    </row>
    <row r="499" spans="1:17" ht="11.25">
      <c r="A499" s="142" t="s">
        <v>9437</v>
      </c>
      <c r="B499" s="142" t="s">
        <v>9438</v>
      </c>
      <c r="C499" s="142" t="s">
        <v>9439</v>
      </c>
      <c r="D499" s="142"/>
      <c r="E499" s="142" t="s">
        <v>242</v>
      </c>
      <c r="F499" s="142"/>
      <c r="G499" s="141" t="s">
        <v>4206</v>
      </c>
      <c r="H499" s="142" t="s">
        <v>9440</v>
      </c>
      <c r="I499" s="156" t="s">
        <v>204</v>
      </c>
      <c r="J499" s="156" t="s">
        <v>9180</v>
      </c>
      <c r="K499" s="156"/>
      <c r="L499" s="156" t="s">
        <v>191</v>
      </c>
      <c r="M499" s="331">
        <v>4</v>
      </c>
      <c r="N499" s="426"/>
      <c r="O499" s="151">
        <v>5</v>
      </c>
      <c r="P499" s="151" t="s">
        <v>199</v>
      </c>
      <c r="Q499" s="421"/>
    </row>
    <row r="500" spans="1:17" ht="11.25">
      <c r="A500" s="142" t="s">
        <v>9441</v>
      </c>
      <c r="B500" s="142" t="s">
        <v>9442</v>
      </c>
      <c r="C500" s="142" t="s">
        <v>9443</v>
      </c>
      <c r="D500" s="142"/>
      <c r="E500" s="142" t="s">
        <v>242</v>
      </c>
      <c r="F500" s="142"/>
      <c r="G500" s="141" t="s">
        <v>4206</v>
      </c>
      <c r="H500" s="142" t="s">
        <v>9444</v>
      </c>
      <c r="I500" s="156" t="s">
        <v>204</v>
      </c>
      <c r="J500" s="156" t="s">
        <v>9180</v>
      </c>
      <c r="K500" s="156"/>
      <c r="L500" s="156" t="s">
        <v>191</v>
      </c>
      <c r="M500" s="331">
        <v>4</v>
      </c>
      <c r="N500" s="426"/>
      <c r="O500" s="151">
        <v>5</v>
      </c>
      <c r="P500" s="151" t="s">
        <v>199</v>
      </c>
      <c r="Q500" s="421"/>
    </row>
    <row r="501" spans="1:17" ht="11.25">
      <c r="A501" s="142" t="s">
        <v>9445</v>
      </c>
      <c r="B501" s="142" t="s">
        <v>9446</v>
      </c>
      <c r="C501" s="142" t="s">
        <v>9447</v>
      </c>
      <c r="D501" s="142"/>
      <c r="E501" s="142" t="s">
        <v>242</v>
      </c>
      <c r="F501" s="142"/>
      <c r="G501" s="141" t="s">
        <v>4206</v>
      </c>
      <c r="H501" s="142" t="s">
        <v>9448</v>
      </c>
      <c r="I501" s="156" t="s">
        <v>204</v>
      </c>
      <c r="J501" s="156" t="s">
        <v>9180</v>
      </c>
      <c r="K501" s="156"/>
      <c r="L501" s="156" t="s">
        <v>191</v>
      </c>
      <c r="M501" s="331">
        <v>4</v>
      </c>
      <c r="N501" s="426"/>
      <c r="O501" s="151">
        <v>5</v>
      </c>
      <c r="P501" s="151" t="s">
        <v>199</v>
      </c>
      <c r="Q501" s="421"/>
    </row>
    <row r="502" spans="1:17" ht="11.25">
      <c r="A502" s="142" t="s">
        <v>9449</v>
      </c>
      <c r="B502" s="142" t="s">
        <v>9450</v>
      </c>
      <c r="C502" s="142" t="s">
        <v>9451</v>
      </c>
      <c r="D502" s="142"/>
      <c r="E502" s="142" t="s">
        <v>242</v>
      </c>
      <c r="F502" s="142"/>
      <c r="G502" s="141" t="s">
        <v>4206</v>
      </c>
      <c r="H502" s="142" t="s">
        <v>9452</v>
      </c>
      <c r="I502" s="156" t="s">
        <v>204</v>
      </c>
      <c r="J502" s="156" t="s">
        <v>9180</v>
      </c>
      <c r="K502" s="156"/>
      <c r="L502" s="156" t="s">
        <v>191</v>
      </c>
      <c r="M502" s="331">
        <v>4</v>
      </c>
      <c r="N502" s="426"/>
      <c r="O502" s="151">
        <v>5</v>
      </c>
      <c r="P502" s="151" t="s">
        <v>199</v>
      </c>
      <c r="Q502" s="421"/>
    </row>
    <row r="503" spans="1:17" ht="11.25">
      <c r="A503" s="142" t="s">
        <v>9453</v>
      </c>
      <c r="B503" s="142" t="s">
        <v>9454</v>
      </c>
      <c r="C503" s="142" t="s">
        <v>9455</v>
      </c>
      <c r="D503" s="142"/>
      <c r="E503" s="142" t="s">
        <v>242</v>
      </c>
      <c r="F503" s="142"/>
      <c r="G503" s="141" t="s">
        <v>4206</v>
      </c>
      <c r="H503" s="142" t="s">
        <v>9456</v>
      </c>
      <c r="I503" s="156" t="s">
        <v>204</v>
      </c>
      <c r="J503" s="156" t="s">
        <v>9180</v>
      </c>
      <c r="K503" s="156"/>
      <c r="L503" s="156" t="s">
        <v>191</v>
      </c>
      <c r="M503" s="331">
        <v>4</v>
      </c>
      <c r="N503" s="426"/>
      <c r="O503" s="151">
        <v>5</v>
      </c>
      <c r="P503" s="151" t="s">
        <v>199</v>
      </c>
      <c r="Q503" s="421"/>
    </row>
    <row r="504" spans="1:17" ht="11.25">
      <c r="A504" s="142" t="s">
        <v>9457</v>
      </c>
      <c r="B504" s="142" t="s">
        <v>9458</v>
      </c>
      <c r="C504" s="142" t="s">
        <v>9459</v>
      </c>
      <c r="D504" s="142"/>
      <c r="E504" s="142" t="s">
        <v>242</v>
      </c>
      <c r="F504" s="142"/>
      <c r="G504" s="141" t="s">
        <v>4206</v>
      </c>
      <c r="H504" s="142" t="s">
        <v>9460</v>
      </c>
      <c r="I504" s="156" t="s">
        <v>204</v>
      </c>
      <c r="J504" s="156" t="s">
        <v>9180</v>
      </c>
      <c r="K504" s="156"/>
      <c r="L504" s="156" t="s">
        <v>191</v>
      </c>
      <c r="M504" s="331">
        <v>4</v>
      </c>
      <c r="N504" s="426"/>
      <c r="O504" s="151">
        <v>5</v>
      </c>
      <c r="P504" s="151" t="s">
        <v>199</v>
      </c>
      <c r="Q504" s="421"/>
    </row>
    <row r="505" spans="1:17" ht="11.25">
      <c r="A505" s="142" t="s">
        <v>9461</v>
      </c>
      <c r="B505" s="142" t="s">
        <v>9462</v>
      </c>
      <c r="C505" s="142" t="s">
        <v>9463</v>
      </c>
      <c r="D505" s="142"/>
      <c r="E505" s="142" t="s">
        <v>242</v>
      </c>
      <c r="F505" s="142"/>
      <c r="G505" s="141" t="s">
        <v>4206</v>
      </c>
      <c r="H505" s="142" t="s">
        <v>9464</v>
      </c>
      <c r="I505" s="156" t="s">
        <v>204</v>
      </c>
      <c r="J505" s="156" t="s">
        <v>9180</v>
      </c>
      <c r="K505" s="156"/>
      <c r="L505" s="156" t="s">
        <v>191</v>
      </c>
      <c r="M505" s="331">
        <v>4</v>
      </c>
      <c r="N505" s="426"/>
      <c r="O505" s="151">
        <v>5</v>
      </c>
      <c r="P505" s="151" t="s">
        <v>199</v>
      </c>
      <c r="Q505" s="421"/>
    </row>
    <row r="506" spans="1:17" ht="11.25">
      <c r="A506" s="142" t="s">
        <v>9465</v>
      </c>
      <c r="B506" s="142" t="s">
        <v>9466</v>
      </c>
      <c r="C506" s="142" t="s">
        <v>9467</v>
      </c>
      <c r="D506" s="142"/>
      <c r="E506" s="142" t="s">
        <v>242</v>
      </c>
      <c r="F506" s="142"/>
      <c r="G506" s="141" t="s">
        <v>4206</v>
      </c>
      <c r="H506" s="142" t="s">
        <v>9468</v>
      </c>
      <c r="I506" s="156" t="s">
        <v>204</v>
      </c>
      <c r="J506" s="156" t="s">
        <v>9180</v>
      </c>
      <c r="K506" s="156"/>
      <c r="L506" s="156" t="s">
        <v>191</v>
      </c>
      <c r="M506" s="331">
        <v>4</v>
      </c>
      <c r="N506" s="426"/>
      <c r="O506" s="151">
        <v>5</v>
      </c>
      <c r="P506" s="151" t="s">
        <v>199</v>
      </c>
      <c r="Q506" s="421"/>
    </row>
    <row r="507" spans="1:17" ht="11.25">
      <c r="A507" s="142" t="s">
        <v>9469</v>
      </c>
      <c r="B507" s="142" t="s">
        <v>9470</v>
      </c>
      <c r="C507" s="142" t="s">
        <v>9471</v>
      </c>
      <c r="D507" s="142"/>
      <c r="E507" s="142" t="s">
        <v>242</v>
      </c>
      <c r="F507" s="142"/>
      <c r="G507" s="141" t="s">
        <v>4206</v>
      </c>
      <c r="H507" s="142" t="s">
        <v>9472</v>
      </c>
      <c r="I507" s="156" t="s">
        <v>204</v>
      </c>
      <c r="J507" s="156" t="s">
        <v>9180</v>
      </c>
      <c r="K507" s="156"/>
      <c r="L507" s="156" t="s">
        <v>191</v>
      </c>
      <c r="M507" s="331">
        <v>4</v>
      </c>
      <c r="N507" s="426"/>
      <c r="O507" s="151">
        <v>5</v>
      </c>
      <c r="P507" s="151" t="s">
        <v>199</v>
      </c>
      <c r="Q507" s="421"/>
    </row>
    <row r="508" spans="1:17" ht="11.25">
      <c r="A508" s="142" t="s">
        <v>9473</v>
      </c>
      <c r="B508" s="142" t="s">
        <v>9474</v>
      </c>
      <c r="C508" s="142" t="s">
        <v>9475</v>
      </c>
      <c r="D508" s="142"/>
      <c r="E508" s="142" t="s">
        <v>242</v>
      </c>
      <c r="F508" s="142"/>
      <c r="G508" s="141" t="s">
        <v>4206</v>
      </c>
      <c r="H508" s="142" t="s">
        <v>9476</v>
      </c>
      <c r="I508" s="156" t="s">
        <v>204</v>
      </c>
      <c r="J508" s="156" t="s">
        <v>9180</v>
      </c>
      <c r="K508" s="156"/>
      <c r="L508" s="156" t="s">
        <v>191</v>
      </c>
      <c r="M508" s="331">
        <v>4</v>
      </c>
      <c r="N508" s="426"/>
      <c r="O508" s="151">
        <v>5</v>
      </c>
      <c r="P508" s="151" t="s">
        <v>199</v>
      </c>
      <c r="Q508" s="421"/>
    </row>
    <row r="509" spans="1:17" ht="11.25">
      <c r="A509" s="142" t="s">
        <v>9477</v>
      </c>
      <c r="B509" s="142" t="s">
        <v>9478</v>
      </c>
      <c r="C509" s="142" t="s">
        <v>9479</v>
      </c>
      <c r="D509" s="142"/>
      <c r="E509" s="142" t="s">
        <v>242</v>
      </c>
      <c r="F509" s="142"/>
      <c r="G509" s="141" t="s">
        <v>4206</v>
      </c>
      <c r="H509" s="142" t="s">
        <v>9480</v>
      </c>
      <c r="I509" s="156" t="s">
        <v>204</v>
      </c>
      <c r="J509" s="156" t="s">
        <v>9180</v>
      </c>
      <c r="K509" s="156"/>
      <c r="L509" s="156" t="s">
        <v>191</v>
      </c>
      <c r="M509" s="331">
        <v>4</v>
      </c>
      <c r="N509" s="426"/>
      <c r="O509" s="151">
        <v>5</v>
      </c>
      <c r="P509" s="151" t="s">
        <v>199</v>
      </c>
      <c r="Q509" s="421"/>
    </row>
    <row r="510" spans="1:17" ht="11.25">
      <c r="A510" s="142" t="s">
        <v>9481</v>
      </c>
      <c r="B510" s="142" t="s">
        <v>9482</v>
      </c>
      <c r="C510" s="142" t="s">
        <v>9483</v>
      </c>
      <c r="D510" s="142"/>
      <c r="E510" s="142" t="s">
        <v>242</v>
      </c>
      <c r="F510" s="142"/>
      <c r="G510" s="141" t="s">
        <v>4206</v>
      </c>
      <c r="H510" s="142" t="s">
        <v>9484</v>
      </c>
      <c r="I510" s="156" t="s">
        <v>204</v>
      </c>
      <c r="J510" s="156" t="s">
        <v>9180</v>
      </c>
      <c r="K510" s="156"/>
      <c r="L510" s="156" t="s">
        <v>191</v>
      </c>
      <c r="M510" s="331">
        <v>4</v>
      </c>
      <c r="N510" s="426"/>
      <c r="O510" s="151">
        <v>5</v>
      </c>
      <c r="P510" s="151" t="s">
        <v>199</v>
      </c>
      <c r="Q510" s="421"/>
    </row>
    <row r="511" spans="1:17" ht="11.25">
      <c r="A511" s="142" t="s">
        <v>9485</v>
      </c>
      <c r="B511" s="142" t="s">
        <v>9486</v>
      </c>
      <c r="C511" s="142" t="s">
        <v>9487</v>
      </c>
      <c r="D511" s="142"/>
      <c r="E511" s="142" t="s">
        <v>242</v>
      </c>
      <c r="F511" s="142"/>
      <c r="G511" s="141" t="s">
        <v>4206</v>
      </c>
      <c r="H511" s="142" t="s">
        <v>9488</v>
      </c>
      <c r="I511" s="156" t="s">
        <v>204</v>
      </c>
      <c r="J511" s="156" t="s">
        <v>9180</v>
      </c>
      <c r="K511" s="156"/>
      <c r="L511" s="156" t="s">
        <v>191</v>
      </c>
      <c r="M511" s="331">
        <v>4</v>
      </c>
      <c r="N511" s="426"/>
      <c r="O511" s="151">
        <v>5</v>
      </c>
      <c r="P511" s="151" t="s">
        <v>199</v>
      </c>
      <c r="Q511" s="421"/>
    </row>
    <row r="512" spans="1:17" ht="11.25">
      <c r="A512" s="142" t="s">
        <v>9489</v>
      </c>
      <c r="B512" s="142" t="s">
        <v>9490</v>
      </c>
      <c r="C512" s="142" t="s">
        <v>9491</v>
      </c>
      <c r="D512" s="142"/>
      <c r="E512" s="142" t="s">
        <v>242</v>
      </c>
      <c r="F512" s="142"/>
      <c r="G512" s="141" t="s">
        <v>4206</v>
      </c>
      <c r="H512" s="142" t="s">
        <v>9492</v>
      </c>
      <c r="I512" s="156" t="s">
        <v>204</v>
      </c>
      <c r="J512" s="156" t="s">
        <v>9180</v>
      </c>
      <c r="K512" s="156"/>
      <c r="L512" s="156" t="s">
        <v>191</v>
      </c>
      <c r="M512" s="331">
        <v>4</v>
      </c>
      <c r="N512" s="426"/>
      <c r="O512" s="151">
        <v>5</v>
      </c>
      <c r="P512" s="151" t="s">
        <v>199</v>
      </c>
      <c r="Q512" s="421"/>
    </row>
    <row r="513" spans="1:17" ht="11.25">
      <c r="A513" s="142" t="s">
        <v>9493</v>
      </c>
      <c r="B513" s="142" t="s">
        <v>9494</v>
      </c>
      <c r="C513" s="142" t="s">
        <v>9495</v>
      </c>
      <c r="D513" s="142"/>
      <c r="E513" s="142" t="s">
        <v>242</v>
      </c>
      <c r="F513" s="142"/>
      <c r="G513" s="141" t="s">
        <v>4206</v>
      </c>
      <c r="H513" s="142" t="s">
        <v>9496</v>
      </c>
      <c r="I513" s="156" t="s">
        <v>204</v>
      </c>
      <c r="J513" s="156" t="s">
        <v>9180</v>
      </c>
      <c r="K513" s="156"/>
      <c r="L513" s="156" t="s">
        <v>191</v>
      </c>
      <c r="M513" s="331">
        <v>4</v>
      </c>
      <c r="N513" s="426"/>
      <c r="O513" s="151">
        <v>5</v>
      </c>
      <c r="P513" s="151" t="s">
        <v>199</v>
      </c>
      <c r="Q513" s="421"/>
    </row>
    <row r="514" spans="1:17" ht="11.25">
      <c r="A514" s="142" t="s">
        <v>9497</v>
      </c>
      <c r="B514" s="142" t="s">
        <v>9498</v>
      </c>
      <c r="C514" s="142" t="s">
        <v>9499</v>
      </c>
      <c r="D514" s="142"/>
      <c r="E514" s="142" t="s">
        <v>242</v>
      </c>
      <c r="F514" s="142"/>
      <c r="G514" s="141" t="s">
        <v>4206</v>
      </c>
      <c r="H514" s="142" t="s">
        <v>9500</v>
      </c>
      <c r="I514" s="156" t="s">
        <v>204</v>
      </c>
      <c r="J514" s="156" t="s">
        <v>9180</v>
      </c>
      <c r="K514" s="156"/>
      <c r="L514" s="156" t="s">
        <v>191</v>
      </c>
      <c r="M514" s="331">
        <v>4</v>
      </c>
      <c r="N514" s="426"/>
      <c r="O514" s="151">
        <v>5</v>
      </c>
      <c r="P514" s="151" t="s">
        <v>199</v>
      </c>
      <c r="Q514" s="421"/>
    </row>
    <row r="515" spans="1:17" ht="11.25">
      <c r="A515" s="142" t="s">
        <v>9501</v>
      </c>
      <c r="B515" s="142" t="s">
        <v>9502</v>
      </c>
      <c r="C515" s="142" t="s">
        <v>9503</v>
      </c>
      <c r="D515" s="142"/>
      <c r="E515" s="142" t="s">
        <v>242</v>
      </c>
      <c r="F515" s="142"/>
      <c r="G515" s="141" t="s">
        <v>4206</v>
      </c>
      <c r="H515" s="142" t="s">
        <v>9504</v>
      </c>
      <c r="I515" s="156" t="s">
        <v>204</v>
      </c>
      <c r="J515" s="156" t="s">
        <v>9180</v>
      </c>
      <c r="K515" s="156"/>
      <c r="L515" s="156" t="s">
        <v>191</v>
      </c>
      <c r="M515" s="331">
        <v>4</v>
      </c>
      <c r="N515" s="426"/>
      <c r="O515" s="151">
        <v>5</v>
      </c>
      <c r="P515" s="151" t="s">
        <v>199</v>
      </c>
      <c r="Q515" s="421"/>
    </row>
    <row r="516" spans="1:17" ht="11.25">
      <c r="A516" s="142" t="s">
        <v>9505</v>
      </c>
      <c r="B516" s="142" t="s">
        <v>9506</v>
      </c>
      <c r="C516" s="142" t="s">
        <v>9507</v>
      </c>
      <c r="D516" s="142"/>
      <c r="E516" s="142" t="s">
        <v>242</v>
      </c>
      <c r="F516" s="142"/>
      <c r="G516" s="141" t="s">
        <v>4206</v>
      </c>
      <c r="H516" s="142" t="s">
        <v>9508</v>
      </c>
      <c r="I516" s="156" t="s">
        <v>204</v>
      </c>
      <c r="J516" s="156" t="s">
        <v>9180</v>
      </c>
      <c r="K516" s="156"/>
      <c r="L516" s="156" t="s">
        <v>191</v>
      </c>
      <c r="M516" s="331">
        <v>4</v>
      </c>
      <c r="N516" s="426"/>
      <c r="O516" s="151">
        <v>5</v>
      </c>
      <c r="P516" s="151" t="s">
        <v>199</v>
      </c>
      <c r="Q516" s="421"/>
    </row>
    <row r="517" spans="1:17" ht="11.25">
      <c r="A517" s="142" t="s">
        <v>9509</v>
      </c>
      <c r="B517" s="142" t="s">
        <v>9510</v>
      </c>
      <c r="C517" s="142" t="s">
        <v>9511</v>
      </c>
      <c r="D517" s="142"/>
      <c r="E517" s="142" t="s">
        <v>242</v>
      </c>
      <c r="F517" s="142"/>
      <c r="G517" s="141" t="s">
        <v>4206</v>
      </c>
      <c r="H517" s="142" t="s">
        <v>9512</v>
      </c>
      <c r="I517" s="156" t="s">
        <v>204</v>
      </c>
      <c r="J517" s="156" t="s">
        <v>9180</v>
      </c>
      <c r="K517" s="156"/>
      <c r="L517" s="156" t="s">
        <v>191</v>
      </c>
      <c r="M517" s="331">
        <v>4</v>
      </c>
      <c r="N517" s="426"/>
      <c r="O517" s="151">
        <v>5</v>
      </c>
      <c r="P517" s="151" t="s">
        <v>199</v>
      </c>
      <c r="Q517" s="421"/>
    </row>
    <row r="518" spans="1:17" ht="11.25">
      <c r="A518" s="142" t="s">
        <v>9513</v>
      </c>
      <c r="B518" s="142" t="s">
        <v>9514</v>
      </c>
      <c r="C518" s="142" t="s">
        <v>9515</v>
      </c>
      <c r="D518" s="142"/>
      <c r="E518" s="142" t="s">
        <v>242</v>
      </c>
      <c r="F518" s="142"/>
      <c r="G518" s="141" t="s">
        <v>4206</v>
      </c>
      <c r="H518" s="142" t="s">
        <v>9516</v>
      </c>
      <c r="I518" s="156" t="s">
        <v>204</v>
      </c>
      <c r="J518" s="156" t="s">
        <v>9180</v>
      </c>
      <c r="K518" s="156"/>
      <c r="L518" s="156" t="s">
        <v>191</v>
      </c>
      <c r="M518" s="331">
        <v>4</v>
      </c>
      <c r="N518" s="426"/>
      <c r="O518" s="151">
        <v>5</v>
      </c>
      <c r="P518" s="151" t="s">
        <v>199</v>
      </c>
      <c r="Q518" s="421"/>
    </row>
    <row r="519" spans="1:17" ht="11.25">
      <c r="A519" s="142" t="s">
        <v>9517</v>
      </c>
      <c r="B519" s="142" t="s">
        <v>9518</v>
      </c>
      <c r="C519" s="142" t="s">
        <v>9519</v>
      </c>
      <c r="D519" s="142"/>
      <c r="E519" s="142" t="s">
        <v>242</v>
      </c>
      <c r="F519" s="142"/>
      <c r="G519" s="141" t="s">
        <v>4206</v>
      </c>
      <c r="H519" s="142" t="s">
        <v>9520</v>
      </c>
      <c r="I519" s="156" t="s">
        <v>204</v>
      </c>
      <c r="J519" s="156" t="s">
        <v>9180</v>
      </c>
      <c r="K519" s="156"/>
      <c r="L519" s="156" t="s">
        <v>191</v>
      </c>
      <c r="M519" s="331">
        <v>4</v>
      </c>
      <c r="N519" s="426"/>
      <c r="O519" s="151">
        <v>5</v>
      </c>
      <c r="P519" s="151" t="s">
        <v>199</v>
      </c>
      <c r="Q519" s="421"/>
    </row>
    <row r="520" spans="1:17" ht="11.25">
      <c r="A520" s="142" t="s">
        <v>9521</v>
      </c>
      <c r="B520" s="142" t="s">
        <v>9522</v>
      </c>
      <c r="C520" s="142" t="s">
        <v>9523</v>
      </c>
      <c r="D520" s="142"/>
      <c r="E520" s="142" t="s">
        <v>242</v>
      </c>
      <c r="F520" s="142"/>
      <c r="G520" s="141" t="s">
        <v>4206</v>
      </c>
      <c r="H520" s="142" t="s">
        <v>9524</v>
      </c>
      <c r="I520" s="156" t="s">
        <v>204</v>
      </c>
      <c r="J520" s="156" t="s">
        <v>9180</v>
      </c>
      <c r="K520" s="156"/>
      <c r="L520" s="156" t="s">
        <v>191</v>
      </c>
      <c r="M520" s="331">
        <v>4</v>
      </c>
      <c r="N520" s="426"/>
      <c r="O520" s="151">
        <v>5</v>
      </c>
      <c r="P520" s="151" t="s">
        <v>199</v>
      </c>
      <c r="Q520" s="421"/>
    </row>
    <row r="521" spans="1:17" ht="11.25">
      <c r="A521" s="142" t="s">
        <v>9525</v>
      </c>
      <c r="B521" s="142" t="s">
        <v>9526</v>
      </c>
      <c r="C521" s="142" t="s">
        <v>9527</v>
      </c>
      <c r="D521" s="142"/>
      <c r="E521" s="142" t="s">
        <v>242</v>
      </c>
      <c r="F521" s="142"/>
      <c r="G521" s="141" t="s">
        <v>4206</v>
      </c>
      <c r="H521" s="142" t="s">
        <v>9528</v>
      </c>
      <c r="I521" s="156" t="s">
        <v>204</v>
      </c>
      <c r="J521" s="156" t="s">
        <v>9180</v>
      </c>
      <c r="K521" s="156"/>
      <c r="L521" s="156" t="s">
        <v>191</v>
      </c>
      <c r="M521" s="331">
        <v>4</v>
      </c>
      <c r="N521" s="426"/>
      <c r="O521" s="151">
        <v>5</v>
      </c>
      <c r="P521" s="151" t="s">
        <v>199</v>
      </c>
      <c r="Q521" s="421"/>
    </row>
    <row r="522" spans="1:17" ht="11.25">
      <c r="A522" s="142" t="s">
        <v>9529</v>
      </c>
      <c r="B522" s="142" t="s">
        <v>9530</v>
      </c>
      <c r="C522" s="142" t="s">
        <v>9531</v>
      </c>
      <c r="D522" s="142"/>
      <c r="E522" s="142" t="s">
        <v>242</v>
      </c>
      <c r="F522" s="142"/>
      <c r="G522" s="141" t="s">
        <v>7915</v>
      </c>
      <c r="H522" s="142" t="s">
        <v>9532</v>
      </c>
      <c r="I522" s="156" t="s">
        <v>204</v>
      </c>
      <c r="J522" s="156" t="s">
        <v>9180</v>
      </c>
      <c r="K522" s="156"/>
      <c r="L522" s="156" t="s">
        <v>191</v>
      </c>
      <c r="M522" s="331">
        <v>4</v>
      </c>
      <c r="N522" s="426"/>
      <c r="O522" s="151">
        <v>5</v>
      </c>
      <c r="P522" s="151" t="s">
        <v>199</v>
      </c>
      <c r="Q522" s="421"/>
    </row>
    <row r="523" spans="1:17" ht="11.25">
      <c r="A523" s="142" t="s">
        <v>9533</v>
      </c>
      <c r="B523" s="142" t="s">
        <v>9534</v>
      </c>
      <c r="C523" s="142" t="s">
        <v>9535</v>
      </c>
      <c r="D523" s="142"/>
      <c r="E523" s="142" t="s">
        <v>242</v>
      </c>
      <c r="F523" s="142"/>
      <c r="G523" s="141" t="s">
        <v>4206</v>
      </c>
      <c r="H523" s="142" t="s">
        <v>9536</v>
      </c>
      <c r="I523" s="156" t="s">
        <v>204</v>
      </c>
      <c r="J523" s="156" t="s">
        <v>9180</v>
      </c>
      <c r="K523" s="156"/>
      <c r="L523" s="156" t="s">
        <v>191</v>
      </c>
      <c r="M523" s="331">
        <v>4</v>
      </c>
      <c r="N523" s="426"/>
      <c r="O523" s="151">
        <v>5</v>
      </c>
      <c r="P523" s="151" t="s">
        <v>199</v>
      </c>
      <c r="Q523" s="421"/>
    </row>
    <row r="524" spans="1:17" ht="11.25">
      <c r="A524" s="142" t="s">
        <v>9537</v>
      </c>
      <c r="B524" s="142" t="s">
        <v>9538</v>
      </c>
      <c r="C524" s="142" t="s">
        <v>9539</v>
      </c>
      <c r="D524" s="142"/>
      <c r="E524" s="142" t="s">
        <v>242</v>
      </c>
      <c r="F524" s="142"/>
      <c r="G524" s="141" t="s">
        <v>4206</v>
      </c>
      <c r="H524" s="142" t="s">
        <v>9540</v>
      </c>
      <c r="I524" s="156" t="s">
        <v>204</v>
      </c>
      <c r="J524" s="156" t="s">
        <v>9180</v>
      </c>
      <c r="K524" s="156"/>
      <c r="L524" s="156" t="s">
        <v>191</v>
      </c>
      <c r="M524" s="331">
        <v>4</v>
      </c>
      <c r="N524" s="426"/>
      <c r="O524" s="151">
        <v>5</v>
      </c>
      <c r="P524" s="151" t="s">
        <v>199</v>
      </c>
      <c r="Q524" s="421"/>
    </row>
    <row r="525" spans="1:17" ht="11.25">
      <c r="A525" s="142" t="s">
        <v>9541</v>
      </c>
      <c r="B525" s="142" t="s">
        <v>9542</v>
      </c>
      <c r="C525" s="142" t="s">
        <v>9543</v>
      </c>
      <c r="D525" s="142"/>
      <c r="E525" s="142" t="s">
        <v>242</v>
      </c>
      <c r="F525" s="142"/>
      <c r="G525" s="141" t="s">
        <v>4206</v>
      </c>
      <c r="H525" s="142" t="s">
        <v>9544</v>
      </c>
      <c r="I525" s="156" t="s">
        <v>204</v>
      </c>
      <c r="J525" s="156" t="s">
        <v>9180</v>
      </c>
      <c r="K525" s="156"/>
      <c r="L525" s="156" t="s">
        <v>191</v>
      </c>
      <c r="M525" s="331">
        <v>4</v>
      </c>
      <c r="N525" s="426"/>
      <c r="O525" s="151">
        <v>5</v>
      </c>
      <c r="P525" s="151" t="s">
        <v>199</v>
      </c>
      <c r="Q525" s="421"/>
    </row>
    <row r="526" spans="1:17" ht="11.25">
      <c r="A526" s="142" t="s">
        <v>9545</v>
      </c>
      <c r="B526" s="142" t="s">
        <v>9546</v>
      </c>
      <c r="C526" s="142" t="s">
        <v>9547</v>
      </c>
      <c r="D526" s="142"/>
      <c r="E526" s="142" t="s">
        <v>242</v>
      </c>
      <c r="F526" s="142"/>
      <c r="G526" s="141" t="s">
        <v>4206</v>
      </c>
      <c r="H526" s="142" t="s">
        <v>9548</v>
      </c>
      <c r="I526" s="156" t="s">
        <v>204</v>
      </c>
      <c r="J526" s="156" t="s">
        <v>9180</v>
      </c>
      <c r="K526" s="156"/>
      <c r="L526" s="156" t="s">
        <v>191</v>
      </c>
      <c r="M526" s="331">
        <v>4</v>
      </c>
      <c r="N526" s="426"/>
      <c r="O526" s="151">
        <v>5</v>
      </c>
      <c r="P526" s="151" t="s">
        <v>199</v>
      </c>
      <c r="Q526" s="421"/>
    </row>
    <row r="527" spans="1:17" ht="11.25">
      <c r="A527" s="142" t="s">
        <v>9549</v>
      </c>
      <c r="B527" s="142" t="s">
        <v>9550</v>
      </c>
      <c r="C527" s="142" t="s">
        <v>9551</v>
      </c>
      <c r="D527" s="142"/>
      <c r="E527" s="142" t="s">
        <v>242</v>
      </c>
      <c r="F527" s="142"/>
      <c r="G527" s="141" t="s">
        <v>4206</v>
      </c>
      <c r="H527" s="142" t="s">
        <v>9552</v>
      </c>
      <c r="I527" s="156" t="s">
        <v>204</v>
      </c>
      <c r="J527" s="156" t="s">
        <v>9180</v>
      </c>
      <c r="K527" s="156"/>
      <c r="L527" s="156" t="s">
        <v>191</v>
      </c>
      <c r="M527" s="331">
        <v>4</v>
      </c>
      <c r="N527" s="426"/>
      <c r="O527" s="151">
        <v>5</v>
      </c>
      <c r="P527" s="151" t="s">
        <v>199</v>
      </c>
      <c r="Q527" s="421"/>
    </row>
    <row r="528" spans="1:17" ht="11.25">
      <c r="A528" s="142" t="s">
        <v>9553</v>
      </c>
      <c r="B528" s="142" t="s">
        <v>9554</v>
      </c>
      <c r="C528" s="142" t="s">
        <v>9555</v>
      </c>
      <c r="D528" s="142"/>
      <c r="E528" s="142" t="s">
        <v>242</v>
      </c>
      <c r="F528" s="142"/>
      <c r="G528" s="141" t="s">
        <v>4206</v>
      </c>
      <c r="H528" s="142" t="s">
        <v>9556</v>
      </c>
      <c r="I528" s="156" t="s">
        <v>204</v>
      </c>
      <c r="J528" s="156" t="s">
        <v>9180</v>
      </c>
      <c r="K528" s="156"/>
      <c r="L528" s="156" t="s">
        <v>191</v>
      </c>
      <c r="M528" s="331">
        <v>4</v>
      </c>
      <c r="N528" s="426"/>
      <c r="O528" s="151">
        <v>5</v>
      </c>
      <c r="P528" s="151" t="s">
        <v>199</v>
      </c>
      <c r="Q528" s="421"/>
    </row>
    <row r="529" spans="1:17" ht="11.25">
      <c r="A529" s="142" t="s">
        <v>9557</v>
      </c>
      <c r="B529" s="142" t="s">
        <v>9558</v>
      </c>
      <c r="C529" s="142" t="s">
        <v>9559</v>
      </c>
      <c r="D529" s="142"/>
      <c r="E529" s="142" t="s">
        <v>242</v>
      </c>
      <c r="F529" s="142"/>
      <c r="G529" s="141" t="s">
        <v>4206</v>
      </c>
      <c r="H529" s="142" t="s">
        <v>9560</v>
      </c>
      <c r="I529" s="156" t="s">
        <v>204</v>
      </c>
      <c r="J529" s="156" t="s">
        <v>9180</v>
      </c>
      <c r="K529" s="156"/>
      <c r="L529" s="156" t="s">
        <v>191</v>
      </c>
      <c r="M529" s="331">
        <v>4</v>
      </c>
      <c r="N529" s="426"/>
      <c r="O529" s="151">
        <v>5</v>
      </c>
      <c r="P529" s="151" t="s">
        <v>199</v>
      </c>
      <c r="Q529" s="421"/>
    </row>
    <row r="530" spans="1:17" ht="11.25">
      <c r="A530" s="142" t="s">
        <v>9561</v>
      </c>
      <c r="B530" s="142" t="s">
        <v>9562</v>
      </c>
      <c r="C530" s="142" t="s">
        <v>9563</v>
      </c>
      <c r="D530" s="142"/>
      <c r="E530" s="142" t="s">
        <v>242</v>
      </c>
      <c r="F530" s="142"/>
      <c r="G530" s="141" t="s">
        <v>7915</v>
      </c>
      <c r="H530" s="142" t="s">
        <v>9564</v>
      </c>
      <c r="I530" s="156" t="s">
        <v>204</v>
      </c>
      <c r="J530" s="156" t="s">
        <v>9180</v>
      </c>
      <c r="K530" s="156"/>
      <c r="L530" s="156" t="s">
        <v>191</v>
      </c>
      <c r="M530" s="331">
        <v>4</v>
      </c>
      <c r="N530" s="426"/>
      <c r="O530" s="151">
        <v>5</v>
      </c>
      <c r="P530" s="151" t="s">
        <v>199</v>
      </c>
      <c r="Q530" s="421"/>
    </row>
    <row r="531" spans="1:17" ht="11.25">
      <c r="A531" s="142" t="s">
        <v>9565</v>
      </c>
      <c r="B531" s="142" t="s">
        <v>9566</v>
      </c>
      <c r="C531" s="142" t="s">
        <v>9567</v>
      </c>
      <c r="D531" s="142"/>
      <c r="E531" s="142" t="s">
        <v>242</v>
      </c>
      <c r="F531" s="142"/>
      <c r="G531" s="141" t="s">
        <v>4206</v>
      </c>
      <c r="H531" s="142" t="s">
        <v>9568</v>
      </c>
      <c r="I531" s="156" t="s">
        <v>204</v>
      </c>
      <c r="J531" s="156" t="s">
        <v>9180</v>
      </c>
      <c r="K531" s="156"/>
      <c r="L531" s="156" t="s">
        <v>191</v>
      </c>
      <c r="M531" s="331">
        <v>4</v>
      </c>
      <c r="N531" s="426"/>
      <c r="O531" s="151">
        <v>5</v>
      </c>
      <c r="P531" s="151" t="s">
        <v>199</v>
      </c>
      <c r="Q531" s="421"/>
    </row>
    <row r="532" spans="1:17" ht="11.25">
      <c r="A532" s="142" t="s">
        <v>9569</v>
      </c>
      <c r="B532" s="142" t="s">
        <v>9570</v>
      </c>
      <c r="C532" s="142" t="s">
        <v>9571</v>
      </c>
      <c r="D532" s="142"/>
      <c r="E532" s="142" t="s">
        <v>242</v>
      </c>
      <c r="F532" s="142"/>
      <c r="G532" s="141" t="s">
        <v>7915</v>
      </c>
      <c r="H532" s="142" t="s">
        <v>9572</v>
      </c>
      <c r="I532" s="156" t="s">
        <v>204</v>
      </c>
      <c r="J532" s="156" t="s">
        <v>9180</v>
      </c>
      <c r="K532" s="156"/>
      <c r="L532" s="156" t="s">
        <v>191</v>
      </c>
      <c r="M532" s="331">
        <v>4</v>
      </c>
      <c r="N532" s="426"/>
      <c r="O532" s="151">
        <v>5</v>
      </c>
      <c r="P532" s="151" t="s">
        <v>199</v>
      </c>
      <c r="Q532" s="421"/>
    </row>
    <row r="533" spans="1:17" ht="11.25">
      <c r="A533" s="142" t="s">
        <v>9573</v>
      </c>
      <c r="B533" s="142" t="s">
        <v>9574</v>
      </c>
      <c r="C533" s="142" t="s">
        <v>9575</v>
      </c>
      <c r="D533" s="142"/>
      <c r="E533" s="142" t="s">
        <v>242</v>
      </c>
      <c r="F533" s="142"/>
      <c r="G533" s="141" t="s">
        <v>4206</v>
      </c>
      <c r="H533" s="142" t="s">
        <v>9576</v>
      </c>
      <c r="I533" s="156" t="s">
        <v>204</v>
      </c>
      <c r="J533" s="156" t="s">
        <v>9180</v>
      </c>
      <c r="K533" s="156"/>
      <c r="L533" s="156" t="s">
        <v>191</v>
      </c>
      <c r="M533" s="331">
        <v>4</v>
      </c>
      <c r="N533" s="426"/>
      <c r="O533" s="151">
        <v>5</v>
      </c>
      <c r="P533" s="151" t="s">
        <v>199</v>
      </c>
      <c r="Q533" s="421"/>
    </row>
    <row r="534" spans="1:17" ht="11.25">
      <c r="A534" s="142" t="s">
        <v>9577</v>
      </c>
      <c r="B534" s="142" t="s">
        <v>9578</v>
      </c>
      <c r="C534" s="142" t="s">
        <v>9579</v>
      </c>
      <c r="D534" s="142"/>
      <c r="E534" s="142" t="s">
        <v>242</v>
      </c>
      <c r="F534" s="142"/>
      <c r="G534" s="141" t="s">
        <v>7915</v>
      </c>
      <c r="H534" s="142" t="s">
        <v>9580</v>
      </c>
      <c r="I534" s="156" t="s">
        <v>204</v>
      </c>
      <c r="J534" s="156" t="s">
        <v>9180</v>
      </c>
      <c r="K534" s="156"/>
      <c r="L534" s="156" t="s">
        <v>191</v>
      </c>
      <c r="M534" s="331">
        <v>4</v>
      </c>
      <c r="N534" s="426"/>
      <c r="O534" s="151">
        <v>5</v>
      </c>
      <c r="P534" s="151" t="s">
        <v>199</v>
      </c>
      <c r="Q534" s="421"/>
    </row>
    <row r="535" spans="1:17" ht="11.25">
      <c r="A535" s="142" t="s">
        <v>9581</v>
      </c>
      <c r="B535" s="142" t="s">
        <v>9582</v>
      </c>
      <c r="C535" s="142" t="s">
        <v>9583</v>
      </c>
      <c r="D535" s="142"/>
      <c r="E535" s="142" t="s">
        <v>242</v>
      </c>
      <c r="F535" s="142"/>
      <c r="G535" s="141" t="s">
        <v>7915</v>
      </c>
      <c r="H535" s="142" t="s">
        <v>9584</v>
      </c>
      <c r="I535" s="156" t="s">
        <v>204</v>
      </c>
      <c r="J535" s="156" t="s">
        <v>9180</v>
      </c>
      <c r="K535" s="156"/>
      <c r="L535" s="156" t="s">
        <v>191</v>
      </c>
      <c r="M535" s="331">
        <v>4</v>
      </c>
      <c r="N535" s="426"/>
      <c r="O535" s="151">
        <v>5</v>
      </c>
      <c r="P535" s="151" t="s">
        <v>199</v>
      </c>
      <c r="Q535" s="421"/>
    </row>
    <row r="536" spans="1:17" ht="11.25">
      <c r="A536" s="142" t="s">
        <v>9585</v>
      </c>
      <c r="B536" s="142" t="s">
        <v>9586</v>
      </c>
      <c r="C536" s="142" t="s">
        <v>9587</v>
      </c>
      <c r="D536" s="142"/>
      <c r="E536" s="142" t="s">
        <v>242</v>
      </c>
      <c r="F536" s="142"/>
      <c r="G536" s="141" t="s">
        <v>4206</v>
      </c>
      <c r="H536" s="142" t="s">
        <v>9588</v>
      </c>
      <c r="I536" s="156" t="s">
        <v>204</v>
      </c>
      <c r="J536" s="156" t="s">
        <v>9180</v>
      </c>
      <c r="K536" s="156"/>
      <c r="L536" s="156" t="s">
        <v>191</v>
      </c>
      <c r="M536" s="331">
        <v>4</v>
      </c>
      <c r="N536" s="426"/>
      <c r="O536" s="151">
        <v>5</v>
      </c>
      <c r="P536" s="151" t="s">
        <v>199</v>
      </c>
      <c r="Q536" s="421"/>
    </row>
    <row r="537" spans="1:17" ht="11.25">
      <c r="A537" s="142" t="s">
        <v>9589</v>
      </c>
      <c r="B537" s="142" t="s">
        <v>9590</v>
      </c>
      <c r="C537" s="142" t="s">
        <v>9591</v>
      </c>
      <c r="D537" s="142"/>
      <c r="E537" s="142" t="s">
        <v>242</v>
      </c>
      <c r="F537" s="142"/>
      <c r="G537" s="141" t="s">
        <v>4206</v>
      </c>
      <c r="H537" s="142" t="s">
        <v>9592</v>
      </c>
      <c r="I537" s="156" t="s">
        <v>204</v>
      </c>
      <c r="J537" s="156" t="s">
        <v>9180</v>
      </c>
      <c r="K537" s="156"/>
      <c r="L537" s="156" t="s">
        <v>191</v>
      </c>
      <c r="M537" s="331">
        <v>4</v>
      </c>
      <c r="N537" s="426"/>
      <c r="O537" s="151">
        <v>5</v>
      </c>
      <c r="P537" s="151" t="s">
        <v>199</v>
      </c>
      <c r="Q537" s="421"/>
    </row>
    <row r="538" spans="1:17" ht="11.25">
      <c r="A538" s="142" t="s">
        <v>9593</v>
      </c>
      <c r="B538" s="142" t="s">
        <v>9594</v>
      </c>
      <c r="C538" s="142" t="s">
        <v>9595</v>
      </c>
      <c r="D538" s="142"/>
      <c r="E538" s="142" t="s">
        <v>242</v>
      </c>
      <c r="F538" s="142"/>
      <c r="G538" s="141" t="s">
        <v>4206</v>
      </c>
      <c r="H538" s="142" t="s">
        <v>9596</v>
      </c>
      <c r="I538" s="156" t="s">
        <v>204</v>
      </c>
      <c r="J538" s="156" t="s">
        <v>9180</v>
      </c>
      <c r="K538" s="156"/>
      <c r="L538" s="156" t="s">
        <v>191</v>
      </c>
      <c r="M538" s="331">
        <v>4</v>
      </c>
      <c r="N538" s="426"/>
      <c r="O538" s="151">
        <v>5</v>
      </c>
      <c r="P538" s="151" t="s">
        <v>199</v>
      </c>
      <c r="Q538" s="421"/>
    </row>
    <row r="539" spans="1:17" ht="11.25">
      <c r="A539" s="142" t="s">
        <v>9597</v>
      </c>
      <c r="B539" s="142" t="s">
        <v>9598</v>
      </c>
      <c r="C539" s="142" t="s">
        <v>9599</v>
      </c>
      <c r="D539" s="142"/>
      <c r="E539" s="142" t="s">
        <v>242</v>
      </c>
      <c r="F539" s="142"/>
      <c r="G539" s="141" t="s">
        <v>4206</v>
      </c>
      <c r="H539" s="142" t="s">
        <v>9600</v>
      </c>
      <c r="I539" s="156" t="s">
        <v>204</v>
      </c>
      <c r="J539" s="156" t="s">
        <v>9180</v>
      </c>
      <c r="K539" s="156"/>
      <c r="L539" s="156" t="s">
        <v>191</v>
      </c>
      <c r="M539" s="331">
        <v>4</v>
      </c>
      <c r="N539" s="426"/>
      <c r="O539" s="151">
        <v>5</v>
      </c>
      <c r="P539" s="151" t="s">
        <v>199</v>
      </c>
      <c r="Q539" s="421"/>
    </row>
    <row r="540" spans="1:17" ht="11.25">
      <c r="A540" s="142" t="s">
        <v>9601</v>
      </c>
      <c r="B540" s="142" t="s">
        <v>9602</v>
      </c>
      <c r="C540" s="142" t="s">
        <v>9603</v>
      </c>
      <c r="D540" s="142"/>
      <c r="E540" s="142" t="s">
        <v>242</v>
      </c>
      <c r="F540" s="142"/>
      <c r="G540" s="141" t="s">
        <v>4206</v>
      </c>
      <c r="H540" s="142" t="s">
        <v>9604</v>
      </c>
      <c r="I540" s="156" t="s">
        <v>204</v>
      </c>
      <c r="J540" s="156" t="s">
        <v>9180</v>
      </c>
      <c r="K540" s="156"/>
      <c r="L540" s="156" t="s">
        <v>191</v>
      </c>
      <c r="M540" s="331">
        <v>4</v>
      </c>
      <c r="N540" s="426"/>
      <c r="O540" s="151">
        <v>5</v>
      </c>
      <c r="P540" s="151" t="s">
        <v>199</v>
      </c>
      <c r="Q540" s="421"/>
    </row>
    <row r="541" spans="1:17" ht="11.25">
      <c r="A541" s="142" t="s">
        <v>9605</v>
      </c>
      <c r="B541" s="142" t="s">
        <v>9606</v>
      </c>
      <c r="C541" s="142" t="s">
        <v>9607</v>
      </c>
      <c r="D541" s="142"/>
      <c r="E541" s="142" t="s">
        <v>242</v>
      </c>
      <c r="F541" s="142"/>
      <c r="G541" s="141" t="s">
        <v>4206</v>
      </c>
      <c r="H541" s="142" t="s">
        <v>9608</v>
      </c>
      <c r="I541" s="156" t="s">
        <v>204</v>
      </c>
      <c r="J541" s="156" t="s">
        <v>9180</v>
      </c>
      <c r="K541" s="156"/>
      <c r="L541" s="156" t="s">
        <v>191</v>
      </c>
      <c r="M541" s="331">
        <v>4</v>
      </c>
      <c r="N541" s="426"/>
      <c r="O541" s="151">
        <v>5</v>
      </c>
      <c r="P541" s="151" t="s">
        <v>199</v>
      </c>
      <c r="Q541" s="421"/>
    </row>
    <row r="542" spans="1:17" ht="11.25">
      <c r="A542" s="142" t="s">
        <v>9609</v>
      </c>
      <c r="B542" s="142" t="s">
        <v>9610</v>
      </c>
      <c r="C542" s="142" t="s">
        <v>9611</v>
      </c>
      <c r="D542" s="142"/>
      <c r="E542" s="142" t="s">
        <v>242</v>
      </c>
      <c r="F542" s="142"/>
      <c r="G542" s="141" t="s">
        <v>4206</v>
      </c>
      <c r="H542" s="142" t="s">
        <v>9612</v>
      </c>
      <c r="I542" s="156" t="s">
        <v>204</v>
      </c>
      <c r="J542" s="156" t="s">
        <v>9180</v>
      </c>
      <c r="K542" s="156"/>
      <c r="L542" s="156" t="s">
        <v>191</v>
      </c>
      <c r="M542" s="331">
        <v>4</v>
      </c>
      <c r="N542" s="426"/>
      <c r="O542" s="151">
        <v>5</v>
      </c>
      <c r="P542" s="151" t="s">
        <v>199</v>
      </c>
      <c r="Q542" s="421"/>
    </row>
    <row r="543" spans="1:17" ht="11.25">
      <c r="A543" s="142" t="s">
        <v>9613</v>
      </c>
      <c r="B543" s="142" t="s">
        <v>9614</v>
      </c>
      <c r="C543" s="142" t="s">
        <v>9615</v>
      </c>
      <c r="D543" s="142"/>
      <c r="E543" s="142" t="s">
        <v>242</v>
      </c>
      <c r="F543" s="142"/>
      <c r="G543" s="141" t="s">
        <v>4206</v>
      </c>
      <c r="H543" s="142" t="s">
        <v>9616</v>
      </c>
      <c r="I543" s="156" t="s">
        <v>204</v>
      </c>
      <c r="J543" s="156" t="s">
        <v>9180</v>
      </c>
      <c r="K543" s="156"/>
      <c r="L543" s="156" t="s">
        <v>191</v>
      </c>
      <c r="M543" s="331">
        <v>4</v>
      </c>
      <c r="N543" s="426"/>
      <c r="O543" s="151">
        <v>5</v>
      </c>
      <c r="P543" s="151" t="s">
        <v>199</v>
      </c>
      <c r="Q543" s="421"/>
    </row>
    <row r="544" spans="1:17" ht="11.25">
      <c r="A544" s="142" t="s">
        <v>9617</v>
      </c>
      <c r="B544" s="142" t="s">
        <v>9618</v>
      </c>
      <c r="C544" s="142" t="s">
        <v>9619</v>
      </c>
      <c r="D544" s="142"/>
      <c r="E544" s="142" t="s">
        <v>242</v>
      </c>
      <c r="F544" s="142"/>
      <c r="G544" s="141" t="s">
        <v>4206</v>
      </c>
      <c r="H544" s="142" t="s">
        <v>9620</v>
      </c>
      <c r="I544" s="156" t="s">
        <v>204</v>
      </c>
      <c r="J544" s="156" t="s">
        <v>9180</v>
      </c>
      <c r="K544" s="156"/>
      <c r="L544" s="156" t="s">
        <v>191</v>
      </c>
      <c r="M544" s="331">
        <v>4</v>
      </c>
      <c r="N544" s="426"/>
      <c r="O544" s="151">
        <v>5</v>
      </c>
      <c r="P544" s="151" t="s">
        <v>199</v>
      </c>
      <c r="Q544" s="421"/>
    </row>
    <row r="545" spans="1:17" ht="11.25">
      <c r="A545" s="142" t="s">
        <v>9621</v>
      </c>
      <c r="B545" s="142" t="s">
        <v>9622</v>
      </c>
      <c r="C545" s="142" t="s">
        <v>9623</v>
      </c>
      <c r="D545" s="142"/>
      <c r="E545" s="142" t="s">
        <v>242</v>
      </c>
      <c r="F545" s="142"/>
      <c r="G545" s="141" t="s">
        <v>4206</v>
      </c>
      <c r="H545" s="142" t="s">
        <v>9624</v>
      </c>
      <c r="I545" s="156" t="s">
        <v>204</v>
      </c>
      <c r="J545" s="156" t="s">
        <v>9180</v>
      </c>
      <c r="K545" s="156"/>
      <c r="L545" s="156" t="s">
        <v>191</v>
      </c>
      <c r="M545" s="331">
        <v>4</v>
      </c>
      <c r="N545" s="426"/>
      <c r="O545" s="151">
        <v>5</v>
      </c>
      <c r="P545" s="151" t="s">
        <v>199</v>
      </c>
      <c r="Q545" s="421"/>
    </row>
    <row r="546" spans="1:17" ht="11.25">
      <c r="A546" s="142" t="s">
        <v>9625</v>
      </c>
      <c r="B546" s="142" t="s">
        <v>9626</v>
      </c>
      <c r="C546" s="142" t="s">
        <v>9627</v>
      </c>
      <c r="D546" s="142"/>
      <c r="E546" s="142" t="s">
        <v>242</v>
      </c>
      <c r="F546" s="142"/>
      <c r="G546" s="141" t="s">
        <v>4206</v>
      </c>
      <c r="H546" s="142" t="s">
        <v>9628</v>
      </c>
      <c r="I546" s="156" t="s">
        <v>204</v>
      </c>
      <c r="J546" s="156" t="s">
        <v>9180</v>
      </c>
      <c r="K546" s="156"/>
      <c r="L546" s="156" t="s">
        <v>191</v>
      </c>
      <c r="M546" s="331">
        <v>4</v>
      </c>
      <c r="N546" s="426"/>
      <c r="O546" s="151">
        <v>5</v>
      </c>
      <c r="P546" s="151" t="s">
        <v>199</v>
      </c>
      <c r="Q546" s="421"/>
    </row>
    <row r="547" spans="1:17" ht="11.25">
      <c r="A547" s="142" t="s">
        <v>9629</v>
      </c>
      <c r="B547" s="142" t="s">
        <v>9630</v>
      </c>
      <c r="C547" s="142" t="s">
        <v>9631</v>
      </c>
      <c r="D547" s="142"/>
      <c r="E547" s="142" t="s">
        <v>242</v>
      </c>
      <c r="F547" s="142"/>
      <c r="G547" s="141" t="s">
        <v>4206</v>
      </c>
      <c r="H547" s="142" t="s">
        <v>9632</v>
      </c>
      <c r="I547" s="156" t="s">
        <v>204</v>
      </c>
      <c r="J547" s="156" t="s">
        <v>9180</v>
      </c>
      <c r="K547" s="156"/>
      <c r="L547" s="156" t="s">
        <v>191</v>
      </c>
      <c r="M547" s="331">
        <v>4</v>
      </c>
      <c r="N547" s="426"/>
      <c r="O547" s="151">
        <v>5</v>
      </c>
      <c r="P547" s="151" t="s">
        <v>199</v>
      </c>
      <c r="Q547" s="421"/>
    </row>
    <row r="548" spans="1:17" ht="11.25">
      <c r="A548" s="142" t="s">
        <v>9633</v>
      </c>
      <c r="B548" s="142" t="s">
        <v>9634</v>
      </c>
      <c r="C548" s="142" t="s">
        <v>9635</v>
      </c>
      <c r="D548" s="142"/>
      <c r="E548" s="142" t="s">
        <v>242</v>
      </c>
      <c r="F548" s="142"/>
      <c r="G548" s="141" t="s">
        <v>4206</v>
      </c>
      <c r="H548" s="142" t="s">
        <v>9636</v>
      </c>
      <c r="I548" s="156" t="s">
        <v>204</v>
      </c>
      <c r="J548" s="156" t="s">
        <v>9180</v>
      </c>
      <c r="K548" s="156"/>
      <c r="L548" s="156" t="s">
        <v>191</v>
      </c>
      <c r="M548" s="331">
        <v>4</v>
      </c>
      <c r="N548" s="426"/>
      <c r="O548" s="151">
        <v>5</v>
      </c>
      <c r="P548" s="151" t="s">
        <v>199</v>
      </c>
      <c r="Q548" s="421"/>
    </row>
    <row r="549" spans="1:17" ht="11.25">
      <c r="A549" s="142" t="s">
        <v>9637</v>
      </c>
      <c r="B549" s="142" t="s">
        <v>9638</v>
      </c>
      <c r="C549" s="142" t="s">
        <v>9639</v>
      </c>
      <c r="D549" s="142"/>
      <c r="E549" s="142" t="s">
        <v>242</v>
      </c>
      <c r="F549" s="142"/>
      <c r="G549" s="141" t="s">
        <v>4206</v>
      </c>
      <c r="H549" s="142" t="s">
        <v>9640</v>
      </c>
      <c r="I549" s="156" t="s">
        <v>204</v>
      </c>
      <c r="J549" s="156" t="s">
        <v>9180</v>
      </c>
      <c r="K549" s="156"/>
      <c r="L549" s="156" t="s">
        <v>191</v>
      </c>
      <c r="M549" s="331">
        <v>4</v>
      </c>
      <c r="N549" s="426"/>
      <c r="O549" s="151">
        <v>5</v>
      </c>
      <c r="P549" s="151" t="s">
        <v>199</v>
      </c>
      <c r="Q549" s="421"/>
    </row>
    <row r="550" spans="1:17" ht="11.25">
      <c r="A550" s="142" t="s">
        <v>9641</v>
      </c>
      <c r="B550" s="142" t="s">
        <v>9642</v>
      </c>
      <c r="C550" s="142" t="s">
        <v>9643</v>
      </c>
      <c r="D550" s="142"/>
      <c r="E550" s="142" t="s">
        <v>242</v>
      </c>
      <c r="F550" s="142"/>
      <c r="G550" s="141" t="s">
        <v>4206</v>
      </c>
      <c r="H550" s="142" t="s">
        <v>9644</v>
      </c>
      <c r="I550" s="156" t="s">
        <v>204</v>
      </c>
      <c r="J550" s="156" t="s">
        <v>9180</v>
      </c>
      <c r="K550" s="156"/>
      <c r="L550" s="156" t="s">
        <v>191</v>
      </c>
      <c r="M550" s="331">
        <v>4</v>
      </c>
      <c r="N550" s="426"/>
      <c r="O550" s="151">
        <v>5</v>
      </c>
      <c r="P550" s="151" t="s">
        <v>199</v>
      </c>
      <c r="Q550" s="421"/>
    </row>
    <row r="551" spans="1:17" ht="11.25">
      <c r="A551" s="142" t="s">
        <v>9645</v>
      </c>
      <c r="B551" s="142" t="s">
        <v>9646</v>
      </c>
      <c r="C551" s="142" t="s">
        <v>9647</v>
      </c>
      <c r="D551" s="142"/>
      <c r="E551" s="142" t="s">
        <v>242</v>
      </c>
      <c r="F551" s="142"/>
      <c r="G551" s="141" t="s">
        <v>4206</v>
      </c>
      <c r="H551" s="142" t="s">
        <v>9648</v>
      </c>
      <c r="I551" s="156" t="s">
        <v>204</v>
      </c>
      <c r="J551" s="156" t="s">
        <v>9180</v>
      </c>
      <c r="K551" s="156"/>
      <c r="L551" s="156" t="s">
        <v>191</v>
      </c>
      <c r="M551" s="331">
        <v>4</v>
      </c>
      <c r="N551" s="426"/>
      <c r="O551" s="151">
        <v>5</v>
      </c>
      <c r="P551" s="151" t="s">
        <v>199</v>
      </c>
      <c r="Q551" s="421"/>
    </row>
    <row r="552" spans="1:17" ht="11.25">
      <c r="A552" s="142" t="s">
        <v>9649</v>
      </c>
      <c r="B552" s="142" t="s">
        <v>9650</v>
      </c>
      <c r="C552" s="142" t="s">
        <v>9651</v>
      </c>
      <c r="D552" s="142"/>
      <c r="E552" s="142" t="s">
        <v>242</v>
      </c>
      <c r="F552" s="142"/>
      <c r="G552" s="141" t="s">
        <v>4206</v>
      </c>
      <c r="H552" s="142" t="s">
        <v>9652</v>
      </c>
      <c r="I552" s="156" t="s">
        <v>204</v>
      </c>
      <c r="J552" s="156" t="s">
        <v>9180</v>
      </c>
      <c r="K552" s="156"/>
      <c r="L552" s="156" t="s">
        <v>191</v>
      </c>
      <c r="M552" s="331">
        <v>4</v>
      </c>
      <c r="N552" s="426"/>
      <c r="O552" s="151">
        <v>5</v>
      </c>
      <c r="P552" s="151" t="s">
        <v>199</v>
      </c>
      <c r="Q552" s="421"/>
    </row>
    <row r="553" spans="1:17" ht="11.25">
      <c r="A553" s="142" t="s">
        <v>9653</v>
      </c>
      <c r="B553" s="142" t="s">
        <v>9654</v>
      </c>
      <c r="C553" s="142" t="s">
        <v>9655</v>
      </c>
      <c r="D553" s="142"/>
      <c r="E553" s="142" t="s">
        <v>242</v>
      </c>
      <c r="F553" s="142"/>
      <c r="G553" s="141" t="s">
        <v>4206</v>
      </c>
      <c r="H553" s="142" t="s">
        <v>9656</v>
      </c>
      <c r="I553" s="156" t="s">
        <v>204</v>
      </c>
      <c r="J553" s="156" t="s">
        <v>9180</v>
      </c>
      <c r="K553" s="156"/>
      <c r="L553" s="156" t="s">
        <v>191</v>
      </c>
      <c r="M553" s="331">
        <v>4</v>
      </c>
      <c r="N553" s="426"/>
      <c r="O553" s="151">
        <v>5</v>
      </c>
      <c r="P553" s="151" t="s">
        <v>199</v>
      </c>
      <c r="Q553" s="421"/>
    </row>
    <row r="554" spans="1:17" ht="11.25">
      <c r="A554" s="142" t="s">
        <v>9657</v>
      </c>
      <c r="B554" s="142" t="s">
        <v>9658</v>
      </c>
      <c r="C554" s="142" t="s">
        <v>9659</v>
      </c>
      <c r="D554" s="142"/>
      <c r="E554" s="142" t="s">
        <v>242</v>
      </c>
      <c r="F554" s="142"/>
      <c r="G554" s="141" t="s">
        <v>4206</v>
      </c>
      <c r="H554" s="142" t="s">
        <v>9660</v>
      </c>
      <c r="I554" s="156" t="s">
        <v>204</v>
      </c>
      <c r="J554" s="156" t="s">
        <v>9180</v>
      </c>
      <c r="K554" s="156"/>
      <c r="L554" s="156" t="s">
        <v>191</v>
      </c>
      <c r="M554" s="331">
        <v>4</v>
      </c>
      <c r="N554" s="426"/>
      <c r="O554" s="151">
        <v>5</v>
      </c>
      <c r="P554" s="151" t="s">
        <v>199</v>
      </c>
      <c r="Q554" s="421"/>
    </row>
    <row r="555" spans="1:17" ht="11.25">
      <c r="A555" s="142" t="s">
        <v>9661</v>
      </c>
      <c r="B555" s="142" t="s">
        <v>9662</v>
      </c>
      <c r="C555" s="142" t="s">
        <v>9663</v>
      </c>
      <c r="D555" s="142"/>
      <c r="E555" s="142" t="s">
        <v>242</v>
      </c>
      <c r="F555" s="142"/>
      <c r="G555" s="141" t="s">
        <v>7915</v>
      </c>
      <c r="H555" s="142" t="s">
        <v>9664</v>
      </c>
      <c r="I555" s="156" t="s">
        <v>204</v>
      </c>
      <c r="J555" s="156" t="s">
        <v>9180</v>
      </c>
      <c r="K555" s="156"/>
      <c r="L555" s="156" t="s">
        <v>191</v>
      </c>
      <c r="M555" s="331">
        <v>4</v>
      </c>
      <c r="N555" s="426"/>
      <c r="O555" s="151">
        <v>5</v>
      </c>
      <c r="P555" s="151" t="s">
        <v>199</v>
      </c>
      <c r="Q555" s="421"/>
    </row>
    <row r="556" spans="1:17" ht="11.25">
      <c r="A556" s="142" t="s">
        <v>9665</v>
      </c>
      <c r="B556" s="142" t="s">
        <v>9666</v>
      </c>
      <c r="C556" s="142" t="s">
        <v>9667</v>
      </c>
      <c r="D556" s="142"/>
      <c r="E556" s="142" t="s">
        <v>242</v>
      </c>
      <c r="F556" s="142"/>
      <c r="G556" s="141" t="s">
        <v>4206</v>
      </c>
      <c r="H556" s="142" t="s">
        <v>9668</v>
      </c>
      <c r="I556" s="156" t="s">
        <v>204</v>
      </c>
      <c r="J556" s="156" t="s">
        <v>9180</v>
      </c>
      <c r="K556" s="156"/>
      <c r="L556" s="156" t="s">
        <v>191</v>
      </c>
      <c r="M556" s="331">
        <v>4</v>
      </c>
      <c r="N556" s="426"/>
      <c r="O556" s="151">
        <v>5</v>
      </c>
      <c r="P556" s="151" t="s">
        <v>199</v>
      </c>
      <c r="Q556" s="421"/>
    </row>
    <row r="557" spans="1:17" ht="11.25">
      <c r="A557" s="142" t="s">
        <v>9669</v>
      </c>
      <c r="B557" s="142" t="s">
        <v>9670</v>
      </c>
      <c r="C557" s="142" t="s">
        <v>9671</v>
      </c>
      <c r="D557" s="142"/>
      <c r="E557" s="142" t="s">
        <v>242</v>
      </c>
      <c r="F557" s="142"/>
      <c r="G557" s="141" t="s">
        <v>4206</v>
      </c>
      <c r="H557" s="142" t="s">
        <v>9672</v>
      </c>
      <c r="I557" s="156" t="s">
        <v>204</v>
      </c>
      <c r="J557" s="156" t="s">
        <v>9180</v>
      </c>
      <c r="K557" s="156"/>
      <c r="L557" s="156" t="s">
        <v>191</v>
      </c>
      <c r="M557" s="331">
        <v>4</v>
      </c>
      <c r="N557" s="426"/>
      <c r="O557" s="151">
        <v>5</v>
      </c>
      <c r="P557" s="151" t="s">
        <v>199</v>
      </c>
      <c r="Q557" s="421"/>
    </row>
    <row r="558" spans="1:17" ht="11.25">
      <c r="A558" s="142" t="s">
        <v>9673</v>
      </c>
      <c r="B558" s="142" t="s">
        <v>9674</v>
      </c>
      <c r="C558" s="142" t="s">
        <v>9675</v>
      </c>
      <c r="D558" s="142"/>
      <c r="E558" s="142" t="s">
        <v>242</v>
      </c>
      <c r="F558" s="142"/>
      <c r="G558" s="141" t="s">
        <v>4206</v>
      </c>
      <c r="H558" s="142" t="s">
        <v>9676</v>
      </c>
      <c r="I558" s="156" t="s">
        <v>204</v>
      </c>
      <c r="J558" s="156" t="s">
        <v>9180</v>
      </c>
      <c r="K558" s="156"/>
      <c r="L558" s="156" t="s">
        <v>191</v>
      </c>
      <c r="M558" s="331">
        <v>4</v>
      </c>
      <c r="N558" s="426"/>
      <c r="O558" s="151">
        <v>5</v>
      </c>
      <c r="P558" s="151" t="s">
        <v>199</v>
      </c>
      <c r="Q558" s="421"/>
    </row>
    <row r="559" spans="1:17" ht="11.25">
      <c r="A559" s="142" t="s">
        <v>9677</v>
      </c>
      <c r="B559" s="142" t="s">
        <v>9678</v>
      </c>
      <c r="C559" s="142" t="s">
        <v>9679</v>
      </c>
      <c r="D559" s="142"/>
      <c r="E559" s="142" t="s">
        <v>242</v>
      </c>
      <c r="F559" s="142"/>
      <c r="G559" s="141" t="s">
        <v>4206</v>
      </c>
      <c r="H559" s="142" t="s">
        <v>9680</v>
      </c>
      <c r="I559" s="156" t="s">
        <v>204</v>
      </c>
      <c r="J559" s="156" t="s">
        <v>9180</v>
      </c>
      <c r="K559" s="156"/>
      <c r="L559" s="156" t="s">
        <v>191</v>
      </c>
      <c r="M559" s="331">
        <v>4</v>
      </c>
      <c r="N559" s="426"/>
      <c r="O559" s="151">
        <v>5</v>
      </c>
      <c r="P559" s="151" t="s">
        <v>199</v>
      </c>
      <c r="Q559" s="421"/>
    </row>
    <row r="560" spans="1:17" ht="11.25">
      <c r="A560" s="142" t="s">
        <v>9681</v>
      </c>
      <c r="B560" s="142" t="s">
        <v>9682</v>
      </c>
      <c r="C560" s="142" t="s">
        <v>9683</v>
      </c>
      <c r="D560" s="142"/>
      <c r="E560" s="142" t="s">
        <v>242</v>
      </c>
      <c r="F560" s="142"/>
      <c r="G560" s="141" t="s">
        <v>4206</v>
      </c>
      <c r="H560" s="142" t="s">
        <v>9684</v>
      </c>
      <c r="I560" s="156" t="s">
        <v>204</v>
      </c>
      <c r="J560" s="156" t="s">
        <v>9180</v>
      </c>
      <c r="K560" s="156"/>
      <c r="L560" s="156" t="s">
        <v>191</v>
      </c>
      <c r="M560" s="331">
        <v>4</v>
      </c>
      <c r="N560" s="426"/>
      <c r="O560" s="151">
        <v>5</v>
      </c>
      <c r="P560" s="151" t="s">
        <v>199</v>
      </c>
      <c r="Q560" s="421"/>
    </row>
    <row r="561" spans="1:17" ht="11.25">
      <c r="A561" s="142" t="s">
        <v>9685</v>
      </c>
      <c r="B561" s="142" t="s">
        <v>9686</v>
      </c>
      <c r="C561" s="142" t="s">
        <v>9687</v>
      </c>
      <c r="D561" s="142"/>
      <c r="E561" s="142" t="s">
        <v>242</v>
      </c>
      <c r="F561" s="142"/>
      <c r="G561" s="141" t="s">
        <v>4206</v>
      </c>
      <c r="H561" s="142" t="s">
        <v>9688</v>
      </c>
      <c r="I561" s="156" t="s">
        <v>204</v>
      </c>
      <c r="J561" s="156" t="s">
        <v>9180</v>
      </c>
      <c r="K561" s="156"/>
      <c r="L561" s="156" t="s">
        <v>191</v>
      </c>
      <c r="M561" s="331">
        <v>4</v>
      </c>
      <c r="N561" s="426"/>
      <c r="O561" s="151">
        <v>5</v>
      </c>
      <c r="P561" s="151" t="s">
        <v>199</v>
      </c>
      <c r="Q561" s="421"/>
    </row>
    <row r="562" spans="1:17" ht="11.25">
      <c r="A562" s="142" t="s">
        <v>9689</v>
      </c>
      <c r="B562" s="142" t="s">
        <v>9690</v>
      </c>
      <c r="C562" s="142" t="s">
        <v>9691</v>
      </c>
      <c r="D562" s="142"/>
      <c r="E562" s="142" t="s">
        <v>242</v>
      </c>
      <c r="F562" s="142"/>
      <c r="G562" s="141" t="s">
        <v>4206</v>
      </c>
      <c r="H562" s="142" t="s">
        <v>9692</v>
      </c>
      <c r="I562" s="156" t="s">
        <v>204</v>
      </c>
      <c r="J562" s="156" t="s">
        <v>9180</v>
      </c>
      <c r="K562" s="156"/>
      <c r="L562" s="156" t="s">
        <v>191</v>
      </c>
      <c r="M562" s="331">
        <v>4</v>
      </c>
      <c r="N562" s="426"/>
      <c r="O562" s="151">
        <v>5</v>
      </c>
      <c r="P562" s="151" t="s">
        <v>199</v>
      </c>
      <c r="Q562" s="421"/>
    </row>
    <row r="563" spans="1:17" ht="11.25">
      <c r="A563" s="142" t="s">
        <v>9693</v>
      </c>
      <c r="B563" s="142" t="s">
        <v>9694</v>
      </c>
      <c r="C563" s="142" t="s">
        <v>9695</v>
      </c>
      <c r="D563" s="142"/>
      <c r="E563" s="142" t="s">
        <v>242</v>
      </c>
      <c r="F563" s="142"/>
      <c r="G563" s="141" t="s">
        <v>4206</v>
      </c>
      <c r="H563" s="142" t="s">
        <v>9696</v>
      </c>
      <c r="I563" s="156" t="s">
        <v>204</v>
      </c>
      <c r="J563" s="156" t="s">
        <v>9180</v>
      </c>
      <c r="K563" s="156"/>
      <c r="L563" s="156" t="s">
        <v>191</v>
      </c>
      <c r="M563" s="331">
        <v>4</v>
      </c>
      <c r="N563" s="426"/>
      <c r="O563" s="151">
        <v>5</v>
      </c>
      <c r="P563" s="151" t="s">
        <v>199</v>
      </c>
      <c r="Q563" s="421"/>
    </row>
    <row r="564" spans="1:17" ht="11.25">
      <c r="A564" s="142" t="s">
        <v>9697</v>
      </c>
      <c r="B564" s="142" t="s">
        <v>9698</v>
      </c>
      <c r="C564" s="142" t="s">
        <v>9699</v>
      </c>
      <c r="D564" s="142"/>
      <c r="E564" s="142" t="s">
        <v>242</v>
      </c>
      <c r="F564" s="142"/>
      <c r="G564" s="141" t="s">
        <v>7915</v>
      </c>
      <c r="H564" s="142" t="s">
        <v>9700</v>
      </c>
      <c r="I564" s="156" t="s">
        <v>204</v>
      </c>
      <c r="J564" s="156" t="s">
        <v>9180</v>
      </c>
      <c r="K564" s="156"/>
      <c r="L564" s="156" t="s">
        <v>191</v>
      </c>
      <c r="M564" s="331">
        <v>4</v>
      </c>
      <c r="N564" s="426"/>
      <c r="O564" s="151">
        <v>5</v>
      </c>
      <c r="P564" s="151" t="s">
        <v>199</v>
      </c>
      <c r="Q564" s="421"/>
    </row>
    <row r="565" spans="1:17" ht="11.25">
      <c r="A565" s="142" t="s">
        <v>9701</v>
      </c>
      <c r="B565" s="142" t="s">
        <v>9702</v>
      </c>
      <c r="C565" s="142" t="s">
        <v>9703</v>
      </c>
      <c r="D565" s="142"/>
      <c r="E565" s="142" t="s">
        <v>242</v>
      </c>
      <c r="F565" s="142"/>
      <c r="G565" s="141" t="s">
        <v>4206</v>
      </c>
      <c r="H565" s="142" t="s">
        <v>9704</v>
      </c>
      <c r="I565" s="156" t="s">
        <v>204</v>
      </c>
      <c r="J565" s="156" t="s">
        <v>9180</v>
      </c>
      <c r="K565" s="156"/>
      <c r="L565" s="156" t="s">
        <v>191</v>
      </c>
      <c r="M565" s="331">
        <v>4</v>
      </c>
      <c r="N565" s="426"/>
      <c r="O565" s="151">
        <v>5</v>
      </c>
      <c r="P565" s="151" t="s">
        <v>199</v>
      </c>
      <c r="Q565" s="421"/>
    </row>
    <row r="566" spans="1:17" ht="11.25">
      <c r="A566" s="142" t="s">
        <v>9705</v>
      </c>
      <c r="B566" s="142" t="s">
        <v>9706</v>
      </c>
      <c r="C566" s="142" t="s">
        <v>9707</v>
      </c>
      <c r="D566" s="142"/>
      <c r="E566" s="142" t="s">
        <v>242</v>
      </c>
      <c r="F566" s="142"/>
      <c r="G566" s="141" t="s">
        <v>4206</v>
      </c>
      <c r="H566" s="142" t="s">
        <v>9708</v>
      </c>
      <c r="I566" s="156" t="s">
        <v>204</v>
      </c>
      <c r="J566" s="156" t="s">
        <v>9180</v>
      </c>
      <c r="K566" s="156"/>
      <c r="L566" s="156" t="s">
        <v>191</v>
      </c>
      <c r="M566" s="331">
        <v>4</v>
      </c>
      <c r="N566" s="426"/>
      <c r="O566" s="151">
        <v>5</v>
      </c>
      <c r="P566" s="151" t="s">
        <v>199</v>
      </c>
      <c r="Q566" s="421"/>
    </row>
    <row r="567" spans="1:17" ht="11.25">
      <c r="A567" s="142" t="s">
        <v>9709</v>
      </c>
      <c r="B567" s="142" t="s">
        <v>9710</v>
      </c>
      <c r="C567" s="142" t="s">
        <v>9711</v>
      </c>
      <c r="D567" s="142"/>
      <c r="E567" s="142" t="s">
        <v>242</v>
      </c>
      <c r="F567" s="142"/>
      <c r="G567" s="141" t="s">
        <v>4206</v>
      </c>
      <c r="H567" s="142" t="s">
        <v>9712</v>
      </c>
      <c r="I567" s="156" t="s">
        <v>204</v>
      </c>
      <c r="J567" s="156" t="s">
        <v>9180</v>
      </c>
      <c r="K567" s="156"/>
      <c r="L567" s="156" t="s">
        <v>191</v>
      </c>
      <c r="M567" s="331">
        <v>4</v>
      </c>
      <c r="N567" s="426"/>
      <c r="O567" s="151">
        <v>5</v>
      </c>
      <c r="P567" s="151" t="s">
        <v>199</v>
      </c>
      <c r="Q567" s="421"/>
    </row>
    <row r="568" spans="1:17" ht="11.25">
      <c r="A568" s="142" t="s">
        <v>9713</v>
      </c>
      <c r="B568" s="142" t="s">
        <v>9714</v>
      </c>
      <c r="C568" s="142" t="s">
        <v>9715</v>
      </c>
      <c r="D568" s="142"/>
      <c r="E568" s="142" t="s">
        <v>242</v>
      </c>
      <c r="F568" s="142"/>
      <c r="G568" s="141" t="s">
        <v>4206</v>
      </c>
      <c r="H568" s="142" t="s">
        <v>9716</v>
      </c>
      <c r="I568" s="156" t="s">
        <v>204</v>
      </c>
      <c r="J568" s="156" t="s">
        <v>9180</v>
      </c>
      <c r="K568" s="156"/>
      <c r="L568" s="156" t="s">
        <v>191</v>
      </c>
      <c r="M568" s="331">
        <v>4</v>
      </c>
      <c r="N568" s="426"/>
      <c r="O568" s="151">
        <v>5</v>
      </c>
      <c r="P568" s="151" t="s">
        <v>199</v>
      </c>
      <c r="Q568" s="421"/>
    </row>
    <row r="569" spans="1:17" ht="11.25">
      <c r="A569" s="142" t="s">
        <v>9717</v>
      </c>
      <c r="B569" s="142" t="s">
        <v>9718</v>
      </c>
      <c r="C569" s="142" t="s">
        <v>9719</v>
      </c>
      <c r="D569" s="142"/>
      <c r="E569" s="142" t="s">
        <v>242</v>
      </c>
      <c r="F569" s="142"/>
      <c r="G569" s="141" t="s">
        <v>4206</v>
      </c>
      <c r="H569" s="142" t="s">
        <v>9720</v>
      </c>
      <c r="I569" s="156" t="s">
        <v>204</v>
      </c>
      <c r="J569" s="156" t="s">
        <v>9180</v>
      </c>
      <c r="K569" s="156"/>
      <c r="L569" s="156" t="s">
        <v>191</v>
      </c>
      <c r="M569" s="331">
        <v>4</v>
      </c>
      <c r="N569" s="426"/>
      <c r="O569" s="151">
        <v>5</v>
      </c>
      <c r="P569" s="151" t="s">
        <v>199</v>
      </c>
      <c r="Q569" s="421"/>
    </row>
    <row r="570" spans="1:17" ht="11.25">
      <c r="A570" s="142" t="s">
        <v>9721</v>
      </c>
      <c r="B570" s="142" t="s">
        <v>9722</v>
      </c>
      <c r="C570" s="142" t="s">
        <v>9723</v>
      </c>
      <c r="D570" s="142"/>
      <c r="E570" s="142" t="s">
        <v>242</v>
      </c>
      <c r="F570" s="142"/>
      <c r="G570" s="141" t="s">
        <v>4206</v>
      </c>
      <c r="H570" s="142" t="s">
        <v>9724</v>
      </c>
      <c r="I570" s="156" t="s">
        <v>204</v>
      </c>
      <c r="J570" s="156" t="s">
        <v>9180</v>
      </c>
      <c r="K570" s="156"/>
      <c r="L570" s="156" t="s">
        <v>191</v>
      </c>
      <c r="M570" s="331">
        <v>4</v>
      </c>
      <c r="N570" s="426"/>
      <c r="O570" s="151">
        <v>5</v>
      </c>
      <c r="P570" s="151" t="s">
        <v>199</v>
      </c>
      <c r="Q570" s="421"/>
    </row>
    <row r="571" spans="1:17" ht="11.25">
      <c r="A571" s="142" t="s">
        <v>9725</v>
      </c>
      <c r="B571" s="142" t="s">
        <v>9726</v>
      </c>
      <c r="C571" s="142" t="s">
        <v>9727</v>
      </c>
      <c r="D571" s="142"/>
      <c r="E571" s="142" t="s">
        <v>242</v>
      </c>
      <c r="F571" s="142"/>
      <c r="G571" s="141" t="s">
        <v>4206</v>
      </c>
      <c r="H571" s="142" t="s">
        <v>9728</v>
      </c>
      <c r="I571" s="156" t="s">
        <v>204</v>
      </c>
      <c r="J571" s="156" t="s">
        <v>9180</v>
      </c>
      <c r="K571" s="156"/>
      <c r="L571" s="156" t="s">
        <v>191</v>
      </c>
      <c r="M571" s="331">
        <v>4</v>
      </c>
      <c r="N571" s="426"/>
      <c r="O571" s="151">
        <v>5</v>
      </c>
      <c r="P571" s="151" t="s">
        <v>199</v>
      </c>
      <c r="Q571" s="421"/>
    </row>
    <row r="572" spans="1:17" ht="11.25">
      <c r="A572" s="142" t="s">
        <v>9729</v>
      </c>
      <c r="B572" s="142" t="s">
        <v>9730</v>
      </c>
      <c r="C572" s="142" t="s">
        <v>9731</v>
      </c>
      <c r="D572" s="142"/>
      <c r="E572" s="142" t="s">
        <v>242</v>
      </c>
      <c r="F572" s="142"/>
      <c r="G572" s="141" t="s">
        <v>4206</v>
      </c>
      <c r="H572" s="142" t="s">
        <v>9732</v>
      </c>
      <c r="I572" s="156" t="s">
        <v>204</v>
      </c>
      <c r="J572" s="156" t="s">
        <v>9180</v>
      </c>
      <c r="K572" s="156"/>
      <c r="L572" s="156" t="s">
        <v>191</v>
      </c>
      <c r="M572" s="331">
        <v>4</v>
      </c>
      <c r="N572" s="426"/>
      <c r="O572" s="151">
        <v>5</v>
      </c>
      <c r="P572" s="151" t="s">
        <v>199</v>
      </c>
      <c r="Q572" s="421"/>
    </row>
    <row r="573" spans="1:17" ht="11.25">
      <c r="A573" s="142" t="s">
        <v>9733</v>
      </c>
      <c r="B573" s="142" t="s">
        <v>9734</v>
      </c>
      <c r="C573" s="142" t="s">
        <v>9735</v>
      </c>
      <c r="D573" s="142"/>
      <c r="E573" s="142" t="s">
        <v>242</v>
      </c>
      <c r="F573" s="142"/>
      <c r="G573" s="141" t="s">
        <v>4206</v>
      </c>
      <c r="H573" s="142" t="s">
        <v>9736</v>
      </c>
      <c r="I573" s="156" t="s">
        <v>204</v>
      </c>
      <c r="J573" s="156" t="s">
        <v>9180</v>
      </c>
      <c r="K573" s="156"/>
      <c r="L573" s="156" t="s">
        <v>191</v>
      </c>
      <c r="M573" s="331">
        <v>4</v>
      </c>
      <c r="N573" s="426"/>
      <c r="O573" s="151">
        <v>5</v>
      </c>
      <c r="P573" s="151" t="s">
        <v>199</v>
      </c>
      <c r="Q573" s="421"/>
    </row>
    <row r="574" spans="1:17" ht="11.25">
      <c r="A574" s="142" t="s">
        <v>9737</v>
      </c>
      <c r="B574" s="142" t="s">
        <v>9738</v>
      </c>
      <c r="C574" s="142" t="s">
        <v>9739</v>
      </c>
      <c r="D574" s="142"/>
      <c r="E574" s="142" t="s">
        <v>242</v>
      </c>
      <c r="F574" s="142"/>
      <c r="G574" s="141" t="s">
        <v>4206</v>
      </c>
      <c r="H574" s="142" t="s">
        <v>9740</v>
      </c>
      <c r="I574" s="156" t="s">
        <v>204</v>
      </c>
      <c r="J574" s="156" t="s">
        <v>9180</v>
      </c>
      <c r="K574" s="156"/>
      <c r="L574" s="156" t="s">
        <v>191</v>
      </c>
      <c r="M574" s="331">
        <v>4</v>
      </c>
      <c r="N574" s="426"/>
      <c r="O574" s="151">
        <v>5</v>
      </c>
      <c r="P574" s="151" t="s">
        <v>199</v>
      </c>
      <c r="Q574" s="421"/>
    </row>
    <row r="575" spans="1:17" ht="11.25">
      <c r="A575" s="142" t="s">
        <v>9741</v>
      </c>
      <c r="B575" s="142" t="s">
        <v>9742</v>
      </c>
      <c r="C575" s="142" t="s">
        <v>9743</v>
      </c>
      <c r="D575" s="142"/>
      <c r="E575" s="142" t="s">
        <v>242</v>
      </c>
      <c r="F575" s="142"/>
      <c r="G575" s="141" t="s">
        <v>4206</v>
      </c>
      <c r="H575" s="142" t="s">
        <v>9744</v>
      </c>
      <c r="I575" s="156" t="s">
        <v>204</v>
      </c>
      <c r="J575" s="156" t="s">
        <v>9180</v>
      </c>
      <c r="K575" s="156"/>
      <c r="L575" s="156" t="s">
        <v>191</v>
      </c>
      <c r="M575" s="331">
        <v>4</v>
      </c>
      <c r="N575" s="426"/>
      <c r="O575" s="151">
        <v>5</v>
      </c>
      <c r="P575" s="151" t="s">
        <v>199</v>
      </c>
      <c r="Q575" s="421"/>
    </row>
    <row r="576" spans="1:17" ht="11.25">
      <c r="A576" s="142" t="s">
        <v>9745</v>
      </c>
      <c r="B576" s="142" t="s">
        <v>9746</v>
      </c>
      <c r="C576" s="142" t="s">
        <v>9747</v>
      </c>
      <c r="D576" s="142"/>
      <c r="E576" s="142" t="s">
        <v>242</v>
      </c>
      <c r="F576" s="142"/>
      <c r="G576" s="141" t="s">
        <v>4206</v>
      </c>
      <c r="H576" s="142" t="s">
        <v>9748</v>
      </c>
      <c r="I576" s="156" t="s">
        <v>204</v>
      </c>
      <c r="J576" s="156" t="s">
        <v>9180</v>
      </c>
      <c r="K576" s="156"/>
      <c r="L576" s="156" t="s">
        <v>191</v>
      </c>
      <c r="M576" s="331">
        <v>4</v>
      </c>
      <c r="N576" s="426"/>
      <c r="O576" s="151">
        <v>5</v>
      </c>
      <c r="P576" s="151" t="s">
        <v>199</v>
      </c>
      <c r="Q576" s="421"/>
    </row>
    <row r="577" spans="1:17" ht="11.25">
      <c r="A577" s="142" t="s">
        <v>9749</v>
      </c>
      <c r="B577" s="142" t="s">
        <v>9750</v>
      </c>
      <c r="C577" s="142" t="s">
        <v>9751</v>
      </c>
      <c r="D577" s="142"/>
      <c r="E577" s="142" t="s">
        <v>242</v>
      </c>
      <c r="F577" s="142"/>
      <c r="G577" s="141" t="s">
        <v>4206</v>
      </c>
      <c r="H577" s="142" t="s">
        <v>9752</v>
      </c>
      <c r="I577" s="156" t="s">
        <v>204</v>
      </c>
      <c r="J577" s="156" t="s">
        <v>9180</v>
      </c>
      <c r="K577" s="156"/>
      <c r="L577" s="156" t="s">
        <v>191</v>
      </c>
      <c r="M577" s="331">
        <v>4</v>
      </c>
      <c r="N577" s="426"/>
      <c r="O577" s="151">
        <v>5</v>
      </c>
      <c r="P577" s="151" t="s">
        <v>199</v>
      </c>
      <c r="Q577" s="421"/>
    </row>
    <row r="578" spans="1:17" ht="11.25">
      <c r="A578" s="142" t="s">
        <v>9753</v>
      </c>
      <c r="B578" s="142" t="s">
        <v>9754</v>
      </c>
      <c r="C578" s="142" t="s">
        <v>9755</v>
      </c>
      <c r="D578" s="142"/>
      <c r="E578" s="142" t="s">
        <v>242</v>
      </c>
      <c r="F578" s="142"/>
      <c r="G578" s="141" t="s">
        <v>4206</v>
      </c>
      <c r="H578" s="142" t="s">
        <v>9756</v>
      </c>
      <c r="I578" s="156" t="s">
        <v>204</v>
      </c>
      <c r="J578" s="156" t="s">
        <v>9180</v>
      </c>
      <c r="K578" s="156"/>
      <c r="L578" s="156" t="s">
        <v>191</v>
      </c>
      <c r="M578" s="331">
        <v>4</v>
      </c>
      <c r="N578" s="426"/>
      <c r="O578" s="151">
        <v>5</v>
      </c>
      <c r="P578" s="151" t="s">
        <v>199</v>
      </c>
      <c r="Q578" s="421"/>
    </row>
    <row r="579" spans="1:17" ht="11.25">
      <c r="A579" s="142" t="s">
        <v>9757</v>
      </c>
      <c r="B579" s="142" t="s">
        <v>9758</v>
      </c>
      <c r="C579" s="142" t="s">
        <v>9759</v>
      </c>
      <c r="D579" s="142"/>
      <c r="E579" s="142" t="s">
        <v>242</v>
      </c>
      <c r="F579" s="142"/>
      <c r="G579" s="141" t="s">
        <v>4206</v>
      </c>
      <c r="H579" s="142" t="s">
        <v>9760</v>
      </c>
      <c r="I579" s="156" t="s">
        <v>204</v>
      </c>
      <c r="J579" s="156" t="s">
        <v>9180</v>
      </c>
      <c r="K579" s="156"/>
      <c r="L579" s="156" t="s">
        <v>191</v>
      </c>
      <c r="M579" s="331">
        <v>4</v>
      </c>
      <c r="N579" s="426"/>
      <c r="O579" s="151">
        <v>5</v>
      </c>
      <c r="P579" s="151" t="s">
        <v>199</v>
      </c>
      <c r="Q579" s="421"/>
    </row>
    <row r="580" spans="1:17" ht="11.25">
      <c r="A580" s="142" t="s">
        <v>9761</v>
      </c>
      <c r="B580" s="142" t="s">
        <v>9762</v>
      </c>
      <c r="C580" s="142" t="s">
        <v>9763</v>
      </c>
      <c r="D580" s="142"/>
      <c r="E580" s="142" t="s">
        <v>242</v>
      </c>
      <c r="F580" s="142"/>
      <c r="G580" s="141" t="s">
        <v>4206</v>
      </c>
      <c r="H580" s="142" t="s">
        <v>9764</v>
      </c>
      <c r="I580" s="156" t="s">
        <v>204</v>
      </c>
      <c r="J580" s="156" t="s">
        <v>9180</v>
      </c>
      <c r="K580" s="156"/>
      <c r="L580" s="156" t="s">
        <v>191</v>
      </c>
      <c r="M580" s="331">
        <v>4</v>
      </c>
      <c r="N580" s="426"/>
      <c r="O580" s="151">
        <v>5</v>
      </c>
      <c r="P580" s="151" t="s">
        <v>199</v>
      </c>
      <c r="Q580" s="421"/>
    </row>
    <row r="581" spans="1:17" ht="11.25">
      <c r="A581" s="142" t="s">
        <v>9765</v>
      </c>
      <c r="B581" s="142" t="s">
        <v>9766</v>
      </c>
      <c r="C581" s="142" t="s">
        <v>9767</v>
      </c>
      <c r="D581" s="142"/>
      <c r="E581" s="142" t="s">
        <v>242</v>
      </c>
      <c r="F581" s="142"/>
      <c r="G581" s="141" t="s">
        <v>4206</v>
      </c>
      <c r="H581" s="142" t="s">
        <v>9768</v>
      </c>
      <c r="I581" s="156" t="s">
        <v>204</v>
      </c>
      <c r="J581" s="156" t="s">
        <v>9180</v>
      </c>
      <c r="K581" s="156"/>
      <c r="L581" s="156" t="s">
        <v>191</v>
      </c>
      <c r="M581" s="331">
        <v>4</v>
      </c>
      <c r="N581" s="426"/>
      <c r="O581" s="151">
        <v>5</v>
      </c>
      <c r="P581" s="151" t="s">
        <v>199</v>
      </c>
      <c r="Q581" s="421"/>
    </row>
    <row r="582" spans="1:17" ht="11.25">
      <c r="A582" s="142" t="s">
        <v>9769</v>
      </c>
      <c r="B582" s="142" t="s">
        <v>9770</v>
      </c>
      <c r="C582" s="142" t="s">
        <v>9771</v>
      </c>
      <c r="D582" s="142"/>
      <c r="E582" s="142" t="s">
        <v>242</v>
      </c>
      <c r="F582" s="142"/>
      <c r="G582" s="141" t="s">
        <v>4206</v>
      </c>
      <c r="H582" s="142" t="s">
        <v>9772</v>
      </c>
      <c r="I582" s="156" t="s">
        <v>204</v>
      </c>
      <c r="J582" s="156" t="s">
        <v>9180</v>
      </c>
      <c r="K582" s="156"/>
      <c r="L582" s="156" t="s">
        <v>191</v>
      </c>
      <c r="M582" s="331">
        <v>4</v>
      </c>
      <c r="N582" s="426"/>
      <c r="O582" s="151">
        <v>5</v>
      </c>
      <c r="P582" s="151" t="s">
        <v>199</v>
      </c>
      <c r="Q582" s="421"/>
    </row>
    <row r="583" spans="1:17" ht="11.25">
      <c r="A583" s="142" t="s">
        <v>9773</v>
      </c>
      <c r="B583" s="142" t="s">
        <v>9774</v>
      </c>
      <c r="C583" s="142" t="s">
        <v>9775</v>
      </c>
      <c r="D583" s="142"/>
      <c r="E583" s="142" t="s">
        <v>242</v>
      </c>
      <c r="F583" s="142"/>
      <c r="G583" s="141" t="s">
        <v>4206</v>
      </c>
      <c r="H583" s="142" t="s">
        <v>9776</v>
      </c>
      <c r="I583" s="156" t="s">
        <v>204</v>
      </c>
      <c r="J583" s="156" t="s">
        <v>9180</v>
      </c>
      <c r="K583" s="156"/>
      <c r="L583" s="156" t="s">
        <v>191</v>
      </c>
      <c r="M583" s="331">
        <v>4</v>
      </c>
      <c r="N583" s="426"/>
      <c r="O583" s="151">
        <v>5</v>
      </c>
      <c r="P583" s="151" t="s">
        <v>199</v>
      </c>
      <c r="Q583" s="421"/>
    </row>
    <row r="584" spans="1:17" ht="11.25">
      <c r="A584" s="142" t="s">
        <v>9777</v>
      </c>
      <c r="B584" s="142" t="s">
        <v>9778</v>
      </c>
      <c r="C584" s="142" t="s">
        <v>9779</v>
      </c>
      <c r="D584" s="142"/>
      <c r="E584" s="142" t="s">
        <v>242</v>
      </c>
      <c r="F584" s="142"/>
      <c r="G584" s="141" t="s">
        <v>4206</v>
      </c>
      <c r="H584" s="142" t="s">
        <v>9780</v>
      </c>
      <c r="I584" s="156" t="s">
        <v>204</v>
      </c>
      <c r="J584" s="156" t="s">
        <v>9180</v>
      </c>
      <c r="K584" s="156"/>
      <c r="L584" s="156" t="s">
        <v>191</v>
      </c>
      <c r="M584" s="331">
        <v>4</v>
      </c>
      <c r="N584" s="426"/>
      <c r="O584" s="151">
        <v>5</v>
      </c>
      <c r="P584" s="151" t="s">
        <v>199</v>
      </c>
      <c r="Q584" s="421"/>
    </row>
    <row r="585" spans="1:17" ht="11.25">
      <c r="A585" s="142" t="s">
        <v>9781</v>
      </c>
      <c r="B585" s="142" t="s">
        <v>9782</v>
      </c>
      <c r="C585" s="142" t="s">
        <v>9783</v>
      </c>
      <c r="D585" s="142"/>
      <c r="E585" s="142" t="s">
        <v>242</v>
      </c>
      <c r="F585" s="142"/>
      <c r="G585" s="141" t="s">
        <v>4206</v>
      </c>
      <c r="H585" s="142" t="s">
        <v>9784</v>
      </c>
      <c r="I585" s="156" t="s">
        <v>204</v>
      </c>
      <c r="J585" s="156" t="s">
        <v>9180</v>
      </c>
      <c r="K585" s="156"/>
      <c r="L585" s="156" t="s">
        <v>191</v>
      </c>
      <c r="M585" s="331">
        <v>4</v>
      </c>
      <c r="N585" s="426"/>
      <c r="O585" s="151">
        <v>5</v>
      </c>
      <c r="P585" s="151" t="s">
        <v>199</v>
      </c>
      <c r="Q585" s="421"/>
    </row>
    <row r="586" spans="1:17" ht="11.25">
      <c r="A586" s="142" t="s">
        <v>9785</v>
      </c>
      <c r="B586" s="142" t="s">
        <v>9786</v>
      </c>
      <c r="C586" s="142" t="s">
        <v>9787</v>
      </c>
      <c r="D586" s="142"/>
      <c r="E586" s="142" t="s">
        <v>242</v>
      </c>
      <c r="F586" s="142"/>
      <c r="G586" s="141" t="s">
        <v>4206</v>
      </c>
      <c r="H586" s="142" t="s">
        <v>9788</v>
      </c>
      <c r="I586" s="156" t="s">
        <v>204</v>
      </c>
      <c r="J586" s="156" t="s">
        <v>9180</v>
      </c>
      <c r="K586" s="156"/>
      <c r="L586" s="156" t="s">
        <v>191</v>
      </c>
      <c r="M586" s="331">
        <v>4</v>
      </c>
      <c r="N586" s="426"/>
      <c r="O586" s="151">
        <v>5</v>
      </c>
      <c r="P586" s="151" t="s">
        <v>199</v>
      </c>
      <c r="Q586" s="421"/>
    </row>
    <row r="587" spans="1:17" ht="11.25">
      <c r="A587" s="142" t="s">
        <v>9789</v>
      </c>
      <c r="B587" s="142" t="s">
        <v>9790</v>
      </c>
      <c r="C587" s="142" t="s">
        <v>9791</v>
      </c>
      <c r="D587" s="142"/>
      <c r="E587" s="142" t="s">
        <v>242</v>
      </c>
      <c r="F587" s="142"/>
      <c r="G587" s="141" t="s">
        <v>4206</v>
      </c>
      <c r="H587" s="142" t="s">
        <v>9792</v>
      </c>
      <c r="I587" s="156" t="s">
        <v>204</v>
      </c>
      <c r="J587" s="156" t="s">
        <v>9180</v>
      </c>
      <c r="K587" s="156"/>
      <c r="L587" s="156" t="s">
        <v>191</v>
      </c>
      <c r="M587" s="331">
        <v>4</v>
      </c>
      <c r="N587" s="426"/>
      <c r="O587" s="151">
        <v>5</v>
      </c>
      <c r="P587" s="151" t="s">
        <v>199</v>
      </c>
      <c r="Q587" s="421"/>
    </row>
    <row r="588" spans="1:17" ht="11.25">
      <c r="A588" s="142" t="s">
        <v>9793</v>
      </c>
      <c r="B588" s="142" t="s">
        <v>9794</v>
      </c>
      <c r="C588" s="142" t="s">
        <v>9795</v>
      </c>
      <c r="D588" s="142"/>
      <c r="E588" s="142" t="s">
        <v>242</v>
      </c>
      <c r="F588" s="142"/>
      <c r="G588" s="141" t="s">
        <v>4206</v>
      </c>
      <c r="H588" s="142" t="s">
        <v>9796</v>
      </c>
      <c r="I588" s="156" t="s">
        <v>204</v>
      </c>
      <c r="J588" s="156" t="s">
        <v>9180</v>
      </c>
      <c r="K588" s="156"/>
      <c r="L588" s="156" t="s">
        <v>191</v>
      </c>
      <c r="M588" s="331">
        <v>4</v>
      </c>
      <c r="N588" s="426"/>
      <c r="O588" s="151">
        <v>5</v>
      </c>
      <c r="P588" s="151" t="s">
        <v>199</v>
      </c>
      <c r="Q588" s="421"/>
    </row>
    <row r="589" spans="1:17" ht="11.25">
      <c r="A589" s="142" t="s">
        <v>9797</v>
      </c>
      <c r="B589" s="142" t="s">
        <v>9798</v>
      </c>
      <c r="C589" s="142" t="s">
        <v>9799</v>
      </c>
      <c r="D589" s="142"/>
      <c r="E589" s="142" t="s">
        <v>242</v>
      </c>
      <c r="F589" s="142"/>
      <c r="G589" s="141" t="s">
        <v>4206</v>
      </c>
      <c r="H589" s="142" t="s">
        <v>9800</v>
      </c>
      <c r="I589" s="156" t="s">
        <v>204</v>
      </c>
      <c r="J589" s="156" t="s">
        <v>9180</v>
      </c>
      <c r="K589" s="156"/>
      <c r="L589" s="156" t="s">
        <v>191</v>
      </c>
      <c r="M589" s="331">
        <v>4</v>
      </c>
      <c r="N589" s="426"/>
      <c r="O589" s="151">
        <v>5</v>
      </c>
      <c r="P589" s="151" t="s">
        <v>199</v>
      </c>
      <c r="Q589" s="421"/>
    </row>
    <row r="590" spans="1:17" ht="11.25">
      <c r="A590" s="142" t="s">
        <v>9801</v>
      </c>
      <c r="B590" s="142" t="s">
        <v>9802</v>
      </c>
      <c r="C590" s="142" t="s">
        <v>9803</v>
      </c>
      <c r="D590" s="142"/>
      <c r="E590" s="142" t="s">
        <v>242</v>
      </c>
      <c r="F590" s="142"/>
      <c r="G590" s="141" t="s">
        <v>4206</v>
      </c>
      <c r="H590" s="142" t="s">
        <v>9804</v>
      </c>
      <c r="I590" s="156" t="s">
        <v>204</v>
      </c>
      <c r="J590" s="156" t="s">
        <v>9180</v>
      </c>
      <c r="K590" s="156"/>
      <c r="L590" s="156" t="s">
        <v>191</v>
      </c>
      <c r="M590" s="331">
        <v>4</v>
      </c>
      <c r="N590" s="426"/>
      <c r="O590" s="151">
        <v>5</v>
      </c>
      <c r="P590" s="151" t="s">
        <v>199</v>
      </c>
      <c r="Q590" s="421"/>
    </row>
    <row r="591" spans="1:17" ht="11.25">
      <c r="A591" s="142" t="s">
        <v>9805</v>
      </c>
      <c r="B591" s="142" t="s">
        <v>9806</v>
      </c>
      <c r="C591" s="142" t="s">
        <v>9807</v>
      </c>
      <c r="D591" s="142"/>
      <c r="E591" s="142" t="s">
        <v>242</v>
      </c>
      <c r="F591" s="142"/>
      <c r="G591" s="141" t="s">
        <v>4206</v>
      </c>
      <c r="H591" s="142" t="s">
        <v>9808</v>
      </c>
      <c r="I591" s="156" t="s">
        <v>204</v>
      </c>
      <c r="J591" s="156" t="s">
        <v>9180</v>
      </c>
      <c r="K591" s="156"/>
      <c r="L591" s="156" t="s">
        <v>191</v>
      </c>
      <c r="M591" s="331">
        <v>4</v>
      </c>
      <c r="N591" s="426"/>
      <c r="O591" s="151">
        <v>5</v>
      </c>
      <c r="P591" s="151" t="s">
        <v>199</v>
      </c>
      <c r="Q591" s="421"/>
    </row>
    <row r="592" spans="1:17" ht="11.25">
      <c r="A592" s="142" t="s">
        <v>9809</v>
      </c>
      <c r="B592" s="142" t="s">
        <v>9810</v>
      </c>
      <c r="C592" s="142" t="s">
        <v>9811</v>
      </c>
      <c r="D592" s="142"/>
      <c r="E592" s="142" t="s">
        <v>242</v>
      </c>
      <c r="F592" s="142"/>
      <c r="G592" s="141" t="s">
        <v>4206</v>
      </c>
      <c r="H592" s="142" t="s">
        <v>9812</v>
      </c>
      <c r="I592" s="156" t="s">
        <v>204</v>
      </c>
      <c r="J592" s="156" t="s">
        <v>9180</v>
      </c>
      <c r="K592" s="156"/>
      <c r="L592" s="156" t="s">
        <v>191</v>
      </c>
      <c r="M592" s="331">
        <v>4</v>
      </c>
      <c r="N592" s="426"/>
      <c r="O592" s="151">
        <v>5</v>
      </c>
      <c r="P592" s="151" t="s">
        <v>199</v>
      </c>
      <c r="Q592" s="421"/>
    </row>
    <row r="593" spans="1:17" ht="11.25">
      <c r="A593" s="142" t="s">
        <v>9813</v>
      </c>
      <c r="B593" s="142" t="s">
        <v>9814</v>
      </c>
      <c r="C593" s="142" t="s">
        <v>9815</v>
      </c>
      <c r="D593" s="142"/>
      <c r="E593" s="142" t="s">
        <v>242</v>
      </c>
      <c r="F593" s="142"/>
      <c r="G593" s="141" t="s">
        <v>4206</v>
      </c>
      <c r="H593" s="142" t="s">
        <v>9816</v>
      </c>
      <c r="I593" s="156" t="s">
        <v>204</v>
      </c>
      <c r="J593" s="156" t="s">
        <v>9180</v>
      </c>
      <c r="K593" s="156"/>
      <c r="L593" s="156" t="s">
        <v>191</v>
      </c>
      <c r="M593" s="331">
        <v>4</v>
      </c>
      <c r="N593" s="426"/>
      <c r="O593" s="151">
        <v>5</v>
      </c>
      <c r="P593" s="151" t="s">
        <v>199</v>
      </c>
      <c r="Q593" s="421"/>
    </row>
    <row r="594" spans="1:17" ht="11.25">
      <c r="A594" s="142" t="s">
        <v>9817</v>
      </c>
      <c r="B594" s="142" t="s">
        <v>9818</v>
      </c>
      <c r="C594" s="142" t="s">
        <v>9819</v>
      </c>
      <c r="D594" s="142"/>
      <c r="E594" s="142" t="s">
        <v>242</v>
      </c>
      <c r="F594" s="142"/>
      <c r="G594" s="141" t="s">
        <v>4206</v>
      </c>
      <c r="H594" s="142" t="s">
        <v>9820</v>
      </c>
      <c r="I594" s="156" t="s">
        <v>204</v>
      </c>
      <c r="J594" s="156" t="s">
        <v>9180</v>
      </c>
      <c r="K594" s="156"/>
      <c r="L594" s="156" t="s">
        <v>191</v>
      </c>
      <c r="M594" s="331">
        <v>4</v>
      </c>
      <c r="N594" s="426"/>
      <c r="O594" s="151">
        <v>5</v>
      </c>
      <c r="P594" s="151" t="s">
        <v>199</v>
      </c>
      <c r="Q594" s="421"/>
    </row>
    <row r="595" spans="1:17" ht="11.25">
      <c r="A595" s="142" t="s">
        <v>9821</v>
      </c>
      <c r="B595" s="142" t="s">
        <v>9822</v>
      </c>
      <c r="C595" s="142" t="s">
        <v>9823</v>
      </c>
      <c r="D595" s="142"/>
      <c r="E595" s="142" t="s">
        <v>242</v>
      </c>
      <c r="F595" s="142"/>
      <c r="G595" s="141" t="s">
        <v>4206</v>
      </c>
      <c r="H595" s="142" t="s">
        <v>9824</v>
      </c>
      <c r="I595" s="156" t="s">
        <v>204</v>
      </c>
      <c r="J595" s="156" t="s">
        <v>9180</v>
      </c>
      <c r="K595" s="156"/>
      <c r="L595" s="156" t="s">
        <v>191</v>
      </c>
      <c r="M595" s="331">
        <v>4</v>
      </c>
      <c r="N595" s="426"/>
      <c r="O595" s="151">
        <v>5</v>
      </c>
      <c r="P595" s="151" t="s">
        <v>199</v>
      </c>
      <c r="Q595" s="421"/>
    </row>
    <row r="596" spans="1:17" ht="11.25">
      <c r="A596" s="142" t="s">
        <v>9825</v>
      </c>
      <c r="B596" s="142" t="s">
        <v>9826</v>
      </c>
      <c r="C596" s="142" t="s">
        <v>9827</v>
      </c>
      <c r="D596" s="142"/>
      <c r="E596" s="142" t="s">
        <v>242</v>
      </c>
      <c r="F596" s="142"/>
      <c r="G596" s="141" t="s">
        <v>4206</v>
      </c>
      <c r="H596" s="142" t="s">
        <v>9828</v>
      </c>
      <c r="I596" s="156" t="s">
        <v>204</v>
      </c>
      <c r="J596" s="156" t="s">
        <v>9180</v>
      </c>
      <c r="K596" s="156"/>
      <c r="L596" s="156" t="s">
        <v>191</v>
      </c>
      <c r="M596" s="331">
        <v>4</v>
      </c>
      <c r="N596" s="426"/>
      <c r="O596" s="151">
        <v>5</v>
      </c>
      <c r="P596" s="151" t="s">
        <v>199</v>
      </c>
      <c r="Q596" s="421"/>
    </row>
    <row r="597" spans="1:17" ht="11.25">
      <c r="A597" s="142" t="s">
        <v>9829</v>
      </c>
      <c r="B597" s="142" t="s">
        <v>9830</v>
      </c>
      <c r="C597" s="142" t="s">
        <v>9831</v>
      </c>
      <c r="D597" s="142"/>
      <c r="E597" s="142" t="s">
        <v>242</v>
      </c>
      <c r="F597" s="142"/>
      <c r="G597" s="141" t="s">
        <v>4206</v>
      </c>
      <c r="H597" s="142" t="s">
        <v>9832</v>
      </c>
      <c r="I597" s="156" t="s">
        <v>204</v>
      </c>
      <c r="J597" s="156" t="s">
        <v>9180</v>
      </c>
      <c r="K597" s="156"/>
      <c r="L597" s="156" t="s">
        <v>191</v>
      </c>
      <c r="M597" s="331">
        <v>4</v>
      </c>
      <c r="N597" s="426"/>
      <c r="O597" s="151">
        <v>5</v>
      </c>
      <c r="P597" s="151" t="s">
        <v>199</v>
      </c>
      <c r="Q597" s="421"/>
    </row>
    <row r="598" spans="1:17" ht="11.25">
      <c r="A598" s="142" t="s">
        <v>9833</v>
      </c>
      <c r="B598" s="142" t="s">
        <v>9834</v>
      </c>
      <c r="C598" s="142" t="s">
        <v>9835</v>
      </c>
      <c r="D598" s="142"/>
      <c r="E598" s="142" t="s">
        <v>242</v>
      </c>
      <c r="F598" s="142"/>
      <c r="G598" s="141" t="s">
        <v>4206</v>
      </c>
      <c r="H598" s="142" t="s">
        <v>9836</v>
      </c>
      <c r="I598" s="156" t="s">
        <v>204</v>
      </c>
      <c r="J598" s="156" t="s">
        <v>9180</v>
      </c>
      <c r="K598" s="156"/>
      <c r="L598" s="156" t="s">
        <v>191</v>
      </c>
      <c r="M598" s="331">
        <v>4</v>
      </c>
      <c r="N598" s="426"/>
      <c r="O598" s="151">
        <v>5</v>
      </c>
      <c r="P598" s="151" t="s">
        <v>199</v>
      </c>
      <c r="Q598" s="421"/>
    </row>
    <row r="599" spans="1:17" ht="11.25">
      <c r="A599" s="142" t="s">
        <v>9837</v>
      </c>
      <c r="B599" s="142" t="s">
        <v>9838</v>
      </c>
      <c r="C599" s="142" t="s">
        <v>9839</v>
      </c>
      <c r="D599" s="142"/>
      <c r="E599" s="142" t="s">
        <v>242</v>
      </c>
      <c r="F599" s="142"/>
      <c r="G599" s="141" t="s">
        <v>4206</v>
      </c>
      <c r="H599" s="142" t="s">
        <v>9840</v>
      </c>
      <c r="I599" s="156" t="s">
        <v>204</v>
      </c>
      <c r="J599" s="156" t="s">
        <v>9180</v>
      </c>
      <c r="K599" s="156"/>
      <c r="L599" s="156" t="s">
        <v>191</v>
      </c>
      <c r="M599" s="331">
        <v>4</v>
      </c>
      <c r="N599" s="426"/>
      <c r="O599" s="151">
        <v>5</v>
      </c>
      <c r="P599" s="151" t="s">
        <v>199</v>
      </c>
      <c r="Q599" s="421"/>
    </row>
    <row r="600" spans="1:17" ht="11.25">
      <c r="A600" s="142" t="s">
        <v>9841</v>
      </c>
      <c r="B600" s="142" t="s">
        <v>9842</v>
      </c>
      <c r="C600" s="142" t="s">
        <v>9843</v>
      </c>
      <c r="D600" s="142"/>
      <c r="E600" s="142" t="s">
        <v>242</v>
      </c>
      <c r="F600" s="142"/>
      <c r="G600" s="141" t="s">
        <v>4206</v>
      </c>
      <c r="H600" s="142" t="s">
        <v>9844</v>
      </c>
      <c r="I600" s="156" t="s">
        <v>204</v>
      </c>
      <c r="J600" s="156" t="s">
        <v>9180</v>
      </c>
      <c r="K600" s="156"/>
      <c r="L600" s="156" t="s">
        <v>191</v>
      </c>
      <c r="M600" s="331">
        <v>4</v>
      </c>
      <c r="N600" s="426"/>
      <c r="O600" s="151">
        <v>5</v>
      </c>
      <c r="P600" s="151" t="s">
        <v>199</v>
      </c>
      <c r="Q600" s="421"/>
    </row>
    <row r="601" spans="1:17" ht="11.25">
      <c r="A601" s="142" t="s">
        <v>9845</v>
      </c>
      <c r="B601" s="142" t="s">
        <v>9846</v>
      </c>
      <c r="C601" s="142" t="s">
        <v>9847</v>
      </c>
      <c r="D601" s="142"/>
      <c r="E601" s="142" t="s">
        <v>242</v>
      </c>
      <c r="F601" s="142"/>
      <c r="G601" s="141" t="s">
        <v>4206</v>
      </c>
      <c r="H601" s="142" t="s">
        <v>9848</v>
      </c>
      <c r="I601" s="156" t="s">
        <v>204</v>
      </c>
      <c r="J601" s="156" t="s">
        <v>9180</v>
      </c>
      <c r="K601" s="156"/>
      <c r="L601" s="156" t="s">
        <v>191</v>
      </c>
      <c r="M601" s="331">
        <v>4</v>
      </c>
      <c r="N601" s="426"/>
      <c r="O601" s="151">
        <v>5</v>
      </c>
      <c r="P601" s="151" t="s">
        <v>199</v>
      </c>
      <c r="Q601" s="421"/>
    </row>
    <row r="602" spans="1:17" ht="11.25">
      <c r="A602" s="142" t="s">
        <v>9849</v>
      </c>
      <c r="B602" s="142" t="s">
        <v>9850</v>
      </c>
      <c r="C602" s="142" t="s">
        <v>9851</v>
      </c>
      <c r="D602" s="142"/>
      <c r="E602" s="142" t="s">
        <v>242</v>
      </c>
      <c r="F602" s="142"/>
      <c r="G602" s="141" t="s">
        <v>4206</v>
      </c>
      <c r="H602" s="142" t="s">
        <v>9852</v>
      </c>
      <c r="I602" s="156" t="s">
        <v>204</v>
      </c>
      <c r="J602" s="156" t="s">
        <v>9180</v>
      </c>
      <c r="K602" s="156"/>
      <c r="L602" s="156" t="s">
        <v>191</v>
      </c>
      <c r="M602" s="331">
        <v>4</v>
      </c>
      <c r="N602" s="426"/>
      <c r="O602" s="151">
        <v>5</v>
      </c>
      <c r="P602" s="151" t="s">
        <v>199</v>
      </c>
      <c r="Q602" s="421"/>
    </row>
    <row r="603" spans="1:17" ht="11.25">
      <c r="A603" s="142" t="s">
        <v>9853</v>
      </c>
      <c r="B603" s="142" t="s">
        <v>9854</v>
      </c>
      <c r="C603" s="142" t="s">
        <v>9855</v>
      </c>
      <c r="D603" s="142"/>
      <c r="E603" s="142" t="s">
        <v>242</v>
      </c>
      <c r="F603" s="142"/>
      <c r="G603" s="141" t="s">
        <v>4206</v>
      </c>
      <c r="H603" s="142" t="s">
        <v>9856</v>
      </c>
      <c r="I603" s="156" t="s">
        <v>204</v>
      </c>
      <c r="J603" s="156" t="s">
        <v>9180</v>
      </c>
      <c r="K603" s="156"/>
      <c r="L603" s="156" t="s">
        <v>191</v>
      </c>
      <c r="M603" s="331">
        <v>4</v>
      </c>
      <c r="N603" s="426"/>
      <c r="O603" s="151">
        <v>5</v>
      </c>
      <c r="P603" s="151" t="s">
        <v>199</v>
      </c>
      <c r="Q603" s="421"/>
    </row>
    <row r="604" spans="1:17" ht="11.25">
      <c r="A604" s="142" t="s">
        <v>9857</v>
      </c>
      <c r="B604" s="142" t="s">
        <v>9858</v>
      </c>
      <c r="C604" s="142" t="s">
        <v>9859</v>
      </c>
      <c r="D604" s="142"/>
      <c r="E604" s="142" t="s">
        <v>242</v>
      </c>
      <c r="F604" s="142"/>
      <c r="G604" s="141" t="s">
        <v>4206</v>
      </c>
      <c r="H604" s="142" t="s">
        <v>9860</v>
      </c>
      <c r="I604" s="156" t="s">
        <v>204</v>
      </c>
      <c r="J604" s="156" t="s">
        <v>9180</v>
      </c>
      <c r="K604" s="156"/>
      <c r="L604" s="156" t="s">
        <v>191</v>
      </c>
      <c r="M604" s="331">
        <v>4</v>
      </c>
      <c r="N604" s="426"/>
      <c r="O604" s="151">
        <v>5</v>
      </c>
      <c r="P604" s="151" t="s">
        <v>199</v>
      </c>
      <c r="Q604" s="421"/>
    </row>
    <row r="605" spans="1:17" ht="11.25">
      <c r="A605" s="142" t="s">
        <v>9861</v>
      </c>
      <c r="B605" s="142" t="s">
        <v>9862</v>
      </c>
      <c r="C605" s="142" t="s">
        <v>9863</v>
      </c>
      <c r="D605" s="142"/>
      <c r="E605" s="142" t="s">
        <v>242</v>
      </c>
      <c r="F605" s="142"/>
      <c r="G605" s="141" t="s">
        <v>4206</v>
      </c>
      <c r="H605" s="142" t="s">
        <v>9864</v>
      </c>
      <c r="I605" s="156" t="s">
        <v>204</v>
      </c>
      <c r="J605" s="156" t="s">
        <v>9180</v>
      </c>
      <c r="K605" s="156"/>
      <c r="L605" s="156" t="s">
        <v>191</v>
      </c>
      <c r="M605" s="331">
        <v>4</v>
      </c>
      <c r="N605" s="426"/>
      <c r="O605" s="151">
        <v>5</v>
      </c>
      <c r="P605" s="151" t="s">
        <v>199</v>
      </c>
      <c r="Q605" s="421"/>
    </row>
    <row r="606" spans="1:17" ht="11.25">
      <c r="A606" s="142" t="s">
        <v>9865</v>
      </c>
      <c r="B606" s="142" t="s">
        <v>9866</v>
      </c>
      <c r="C606" s="142" t="s">
        <v>9867</v>
      </c>
      <c r="D606" s="142"/>
      <c r="E606" s="142" t="s">
        <v>242</v>
      </c>
      <c r="F606" s="142"/>
      <c r="G606" s="141" t="s">
        <v>4206</v>
      </c>
      <c r="H606" s="142" t="s">
        <v>9868</v>
      </c>
      <c r="I606" s="156" t="s">
        <v>204</v>
      </c>
      <c r="J606" s="156" t="s">
        <v>9180</v>
      </c>
      <c r="K606" s="156"/>
      <c r="L606" s="156" t="s">
        <v>191</v>
      </c>
      <c r="M606" s="331">
        <v>4</v>
      </c>
      <c r="N606" s="426"/>
      <c r="O606" s="151">
        <v>5</v>
      </c>
      <c r="P606" s="151" t="s">
        <v>199</v>
      </c>
      <c r="Q606" s="421"/>
    </row>
    <row r="607" spans="1:17" ht="11.25">
      <c r="A607" s="142" t="s">
        <v>9869</v>
      </c>
      <c r="B607" s="142" t="s">
        <v>9870</v>
      </c>
      <c r="C607" s="142" t="s">
        <v>9871</v>
      </c>
      <c r="D607" s="142"/>
      <c r="E607" s="142" t="s">
        <v>242</v>
      </c>
      <c r="F607" s="142"/>
      <c r="G607" s="141" t="s">
        <v>4206</v>
      </c>
      <c r="H607" s="142" t="s">
        <v>9872</v>
      </c>
      <c r="I607" s="156" t="s">
        <v>204</v>
      </c>
      <c r="J607" s="156" t="s">
        <v>9180</v>
      </c>
      <c r="K607" s="156"/>
      <c r="L607" s="156" t="s">
        <v>191</v>
      </c>
      <c r="M607" s="331">
        <v>4</v>
      </c>
      <c r="N607" s="426"/>
      <c r="O607" s="151">
        <v>5</v>
      </c>
      <c r="P607" s="151" t="s">
        <v>199</v>
      </c>
      <c r="Q607" s="421"/>
    </row>
    <row r="608" spans="1:17" ht="11.25">
      <c r="A608" s="142" t="s">
        <v>9873</v>
      </c>
      <c r="B608" s="142" t="s">
        <v>9874</v>
      </c>
      <c r="C608" s="142" t="s">
        <v>9875</v>
      </c>
      <c r="D608" s="142"/>
      <c r="E608" s="142" t="s">
        <v>242</v>
      </c>
      <c r="F608" s="142"/>
      <c r="G608" s="141" t="s">
        <v>4206</v>
      </c>
      <c r="H608" s="142" t="s">
        <v>9876</v>
      </c>
      <c r="I608" s="156" t="s">
        <v>204</v>
      </c>
      <c r="J608" s="156" t="s">
        <v>9180</v>
      </c>
      <c r="K608" s="156"/>
      <c r="L608" s="156" t="s">
        <v>191</v>
      </c>
      <c r="M608" s="331">
        <v>4</v>
      </c>
      <c r="N608" s="426"/>
      <c r="O608" s="151">
        <v>5</v>
      </c>
      <c r="P608" s="151" t="s">
        <v>199</v>
      </c>
      <c r="Q608" s="421"/>
    </row>
    <row r="609" spans="1:17" ht="22.5">
      <c r="A609" s="142" t="s">
        <v>9877</v>
      </c>
      <c r="B609" s="142" t="s">
        <v>9878</v>
      </c>
      <c r="C609" s="142" t="s">
        <v>9879</v>
      </c>
      <c r="D609" s="142"/>
      <c r="E609" s="142" t="s">
        <v>242</v>
      </c>
      <c r="F609" s="142"/>
      <c r="G609" s="141" t="s">
        <v>2092</v>
      </c>
      <c r="H609" s="142" t="s">
        <v>9880</v>
      </c>
      <c r="I609" s="156" t="s">
        <v>204</v>
      </c>
      <c r="J609" s="156" t="s">
        <v>9881</v>
      </c>
      <c r="K609" s="156"/>
      <c r="L609" s="156" t="s">
        <v>191</v>
      </c>
      <c r="M609" s="331">
        <v>4</v>
      </c>
      <c r="N609" s="426"/>
      <c r="O609" s="151">
        <v>5</v>
      </c>
      <c r="P609" s="151" t="s">
        <v>199</v>
      </c>
      <c r="Q609" s="421"/>
    </row>
    <row r="610" spans="1:17" ht="11.25">
      <c r="A610" s="142" t="s">
        <v>9882</v>
      </c>
      <c r="B610" s="142" t="s">
        <v>9883</v>
      </c>
      <c r="C610" s="142" t="s">
        <v>9884</v>
      </c>
      <c r="D610" s="142"/>
      <c r="E610" s="142" t="s">
        <v>242</v>
      </c>
      <c r="F610" s="142"/>
      <c r="G610" s="141" t="s">
        <v>2092</v>
      </c>
      <c r="H610" s="142" t="s">
        <v>9885</v>
      </c>
      <c r="I610" s="156" t="s">
        <v>204</v>
      </c>
      <c r="J610" s="156" t="s">
        <v>9886</v>
      </c>
      <c r="K610" s="156"/>
      <c r="L610" s="156" t="s">
        <v>191</v>
      </c>
      <c r="M610" s="331">
        <v>4</v>
      </c>
      <c r="N610" s="426"/>
      <c r="O610" s="151">
        <v>5</v>
      </c>
      <c r="P610" s="151" t="s">
        <v>199</v>
      </c>
      <c r="Q610" s="421"/>
    </row>
    <row r="611" spans="1:17" ht="11.25">
      <c r="A611" s="142" t="s">
        <v>9887</v>
      </c>
      <c r="B611" s="142" t="s">
        <v>9888</v>
      </c>
      <c r="C611" s="142" t="s">
        <v>9889</v>
      </c>
      <c r="D611" s="142"/>
      <c r="E611" s="142" t="s">
        <v>242</v>
      </c>
      <c r="F611" s="142"/>
      <c r="G611" s="141" t="s">
        <v>2092</v>
      </c>
      <c r="H611" s="142" t="s">
        <v>9890</v>
      </c>
      <c r="I611" s="156" t="s">
        <v>204</v>
      </c>
      <c r="J611" s="156" t="s">
        <v>9886</v>
      </c>
      <c r="K611" s="156"/>
      <c r="L611" s="156" t="s">
        <v>191</v>
      </c>
      <c r="M611" s="331">
        <v>4</v>
      </c>
      <c r="N611" s="426"/>
      <c r="O611" s="151">
        <v>5</v>
      </c>
      <c r="P611" s="151" t="s">
        <v>199</v>
      </c>
      <c r="Q611" s="421"/>
    </row>
    <row r="612" spans="1:17" ht="11.25">
      <c r="A612" s="142" t="s">
        <v>9891</v>
      </c>
      <c r="B612" s="142" t="s">
        <v>9892</v>
      </c>
      <c r="C612" s="142" t="s">
        <v>9893</v>
      </c>
      <c r="D612" s="142"/>
      <c r="E612" s="142" t="s">
        <v>242</v>
      </c>
      <c r="F612" s="142"/>
      <c r="G612" s="141" t="s">
        <v>2092</v>
      </c>
      <c r="H612" s="142" t="s">
        <v>9894</v>
      </c>
      <c r="I612" s="156" t="s">
        <v>204</v>
      </c>
      <c r="J612" s="156" t="s">
        <v>9886</v>
      </c>
      <c r="K612" s="156"/>
      <c r="L612" s="156" t="s">
        <v>191</v>
      </c>
      <c r="M612" s="331">
        <v>4</v>
      </c>
      <c r="N612" s="426"/>
      <c r="O612" s="151">
        <v>5</v>
      </c>
      <c r="P612" s="151" t="s">
        <v>199</v>
      </c>
      <c r="Q612" s="421"/>
    </row>
    <row r="613" spans="1:17" ht="11.25">
      <c r="A613" s="142" t="s">
        <v>9895</v>
      </c>
      <c r="B613" s="142" t="s">
        <v>9896</v>
      </c>
      <c r="C613" s="142" t="s">
        <v>9897</v>
      </c>
      <c r="D613" s="142"/>
      <c r="E613" s="142" t="s">
        <v>242</v>
      </c>
      <c r="F613" s="142"/>
      <c r="G613" s="141" t="s">
        <v>2092</v>
      </c>
      <c r="H613" s="142" t="s">
        <v>9898</v>
      </c>
      <c r="I613" s="156" t="s">
        <v>204</v>
      </c>
      <c r="J613" s="156" t="s">
        <v>9886</v>
      </c>
      <c r="K613" s="156"/>
      <c r="L613" s="156" t="s">
        <v>191</v>
      </c>
      <c r="M613" s="331">
        <v>4</v>
      </c>
      <c r="N613" s="426"/>
      <c r="O613" s="151">
        <v>5</v>
      </c>
      <c r="P613" s="151" t="s">
        <v>199</v>
      </c>
      <c r="Q613" s="421"/>
    </row>
    <row r="614" spans="1:17" ht="11.25">
      <c r="A614" s="142" t="s">
        <v>9899</v>
      </c>
      <c r="B614" s="142" t="s">
        <v>9900</v>
      </c>
      <c r="C614" s="142" t="s">
        <v>9901</v>
      </c>
      <c r="D614" s="142"/>
      <c r="E614" s="142" t="s">
        <v>242</v>
      </c>
      <c r="F614" s="142"/>
      <c r="G614" s="141" t="s">
        <v>7968</v>
      </c>
      <c r="H614" s="142" t="s">
        <v>9902</v>
      </c>
      <c r="I614" s="156" t="s">
        <v>204</v>
      </c>
      <c r="J614" s="156" t="s">
        <v>9886</v>
      </c>
      <c r="K614" s="156"/>
      <c r="L614" s="156" t="s">
        <v>191</v>
      </c>
      <c r="M614" s="331">
        <v>4</v>
      </c>
      <c r="N614" s="426"/>
      <c r="O614" s="151">
        <v>5</v>
      </c>
      <c r="P614" s="151" t="s">
        <v>199</v>
      </c>
      <c r="Q614" s="421"/>
    </row>
    <row r="615" spans="1:17" ht="11.25">
      <c r="A615" s="142" t="s">
        <v>9903</v>
      </c>
      <c r="B615" s="142" t="s">
        <v>9904</v>
      </c>
      <c r="C615" s="142" t="s">
        <v>9905</v>
      </c>
      <c r="D615" s="142"/>
      <c r="E615" s="142" t="s">
        <v>242</v>
      </c>
      <c r="F615" s="142"/>
      <c r="G615" s="141" t="s">
        <v>2092</v>
      </c>
      <c r="H615" s="142" t="s">
        <v>9906</v>
      </c>
      <c r="I615" s="156" t="s">
        <v>204</v>
      </c>
      <c r="J615" s="156" t="s">
        <v>9886</v>
      </c>
      <c r="K615" s="156"/>
      <c r="L615" s="156" t="s">
        <v>191</v>
      </c>
      <c r="M615" s="331">
        <v>4</v>
      </c>
      <c r="N615" s="426"/>
      <c r="O615" s="151">
        <v>5</v>
      </c>
      <c r="P615" s="151" t="s">
        <v>199</v>
      </c>
      <c r="Q615" s="421"/>
    </row>
    <row r="616" spans="1:17" ht="11.25">
      <c r="A616" s="142" t="s">
        <v>9907</v>
      </c>
      <c r="B616" s="142" t="s">
        <v>9908</v>
      </c>
      <c r="C616" s="142" t="s">
        <v>9909</v>
      </c>
      <c r="D616" s="142"/>
      <c r="E616" s="142" t="s">
        <v>242</v>
      </c>
      <c r="F616" s="142"/>
      <c r="G616" s="141" t="s">
        <v>8263</v>
      </c>
      <c r="H616" s="142" t="s">
        <v>9910</v>
      </c>
      <c r="I616" s="156" t="s">
        <v>204</v>
      </c>
      <c r="J616" s="156" t="s">
        <v>9175</v>
      </c>
      <c r="K616" s="156"/>
      <c r="L616" s="156" t="s">
        <v>191</v>
      </c>
      <c r="M616" s="331">
        <v>4</v>
      </c>
      <c r="N616" s="426"/>
      <c r="O616" s="151">
        <v>5</v>
      </c>
      <c r="P616" s="151" t="s">
        <v>199</v>
      </c>
      <c r="Q616" s="421"/>
    </row>
    <row r="617" spans="1:17" ht="11.25">
      <c r="A617" s="142" t="s">
        <v>9911</v>
      </c>
      <c r="B617" s="142" t="s">
        <v>9912</v>
      </c>
      <c r="C617" s="142" t="s">
        <v>9913</v>
      </c>
      <c r="D617" s="142"/>
      <c r="E617" s="142" t="s">
        <v>242</v>
      </c>
      <c r="F617" s="142"/>
      <c r="G617" s="141" t="s">
        <v>8263</v>
      </c>
      <c r="H617" s="142" t="s">
        <v>9914</v>
      </c>
      <c r="I617" s="156" t="s">
        <v>204</v>
      </c>
      <c r="J617" s="156" t="s">
        <v>9915</v>
      </c>
      <c r="K617" s="156"/>
      <c r="L617" s="156" t="s">
        <v>191</v>
      </c>
      <c r="M617" s="331">
        <v>4</v>
      </c>
      <c r="N617" s="426"/>
      <c r="O617" s="151">
        <v>5</v>
      </c>
      <c r="P617" s="151" t="s">
        <v>199</v>
      </c>
      <c r="Q617" s="421"/>
    </row>
    <row r="618" spans="1:17" ht="11.25">
      <c r="A618" s="142" t="s">
        <v>9916</v>
      </c>
      <c r="B618" s="142" t="s">
        <v>9917</v>
      </c>
      <c r="C618" s="142" t="s">
        <v>9918</v>
      </c>
      <c r="D618" s="142"/>
      <c r="E618" s="142" t="s">
        <v>242</v>
      </c>
      <c r="F618" s="142"/>
      <c r="G618" s="141" t="s">
        <v>8263</v>
      </c>
      <c r="H618" s="142" t="s">
        <v>9919</v>
      </c>
      <c r="I618" s="156" t="s">
        <v>204</v>
      </c>
      <c r="J618" s="156" t="s">
        <v>9915</v>
      </c>
      <c r="K618" s="156"/>
      <c r="L618" s="156" t="s">
        <v>191</v>
      </c>
      <c r="M618" s="331">
        <v>4</v>
      </c>
      <c r="N618" s="426"/>
      <c r="O618" s="151">
        <v>5</v>
      </c>
      <c r="P618" s="151" t="s">
        <v>199</v>
      </c>
      <c r="Q618" s="421"/>
    </row>
    <row r="619" spans="1:17" ht="11.25">
      <c r="A619" s="142" t="s">
        <v>9920</v>
      </c>
      <c r="B619" s="142" t="s">
        <v>9921</v>
      </c>
      <c r="C619" s="142" t="s">
        <v>9922</v>
      </c>
      <c r="D619" s="142"/>
      <c r="E619" s="142" t="s">
        <v>242</v>
      </c>
      <c r="F619" s="142"/>
      <c r="G619" s="141" t="s">
        <v>8263</v>
      </c>
      <c r="H619" s="142" t="s">
        <v>9923</v>
      </c>
      <c r="I619" s="156" t="s">
        <v>204</v>
      </c>
      <c r="J619" s="156" t="s">
        <v>9915</v>
      </c>
      <c r="K619" s="156"/>
      <c r="L619" s="156" t="s">
        <v>191</v>
      </c>
      <c r="M619" s="331">
        <v>4</v>
      </c>
      <c r="N619" s="426"/>
      <c r="O619" s="151">
        <v>5</v>
      </c>
      <c r="P619" s="151" t="s">
        <v>199</v>
      </c>
      <c r="Q619" s="421"/>
    </row>
    <row r="620" spans="1:17" ht="11.25">
      <c r="A620" s="142" t="s">
        <v>9924</v>
      </c>
      <c r="B620" s="142" t="s">
        <v>9925</v>
      </c>
      <c r="C620" s="142" t="s">
        <v>9926</v>
      </c>
      <c r="D620" s="142"/>
      <c r="E620" s="142" t="s">
        <v>242</v>
      </c>
      <c r="F620" s="142"/>
      <c r="G620" s="141" t="s">
        <v>8263</v>
      </c>
      <c r="H620" s="142" t="s">
        <v>9927</v>
      </c>
      <c r="I620" s="156" t="s">
        <v>204</v>
      </c>
      <c r="J620" s="156" t="s">
        <v>9915</v>
      </c>
      <c r="K620" s="156"/>
      <c r="L620" s="156" t="s">
        <v>191</v>
      </c>
      <c r="M620" s="331">
        <v>4</v>
      </c>
      <c r="N620" s="426"/>
      <c r="O620" s="151">
        <v>5</v>
      </c>
      <c r="P620" s="151" t="s">
        <v>199</v>
      </c>
      <c r="Q620" s="421"/>
    </row>
    <row r="621" spans="1:17" ht="11.25">
      <c r="A621" s="142" t="s">
        <v>9928</v>
      </c>
      <c r="B621" s="142" t="s">
        <v>9929</v>
      </c>
      <c r="C621" s="142" t="s">
        <v>9930</v>
      </c>
      <c r="D621" s="142"/>
      <c r="E621" s="142" t="s">
        <v>242</v>
      </c>
      <c r="F621" s="142"/>
      <c r="G621" s="141" t="s">
        <v>8263</v>
      </c>
      <c r="H621" s="142" t="s">
        <v>9931</v>
      </c>
      <c r="I621" s="156" t="s">
        <v>204</v>
      </c>
      <c r="J621" s="156" t="s">
        <v>9915</v>
      </c>
      <c r="K621" s="156"/>
      <c r="L621" s="156" t="s">
        <v>191</v>
      </c>
      <c r="M621" s="331">
        <v>4</v>
      </c>
      <c r="N621" s="426"/>
      <c r="O621" s="151">
        <v>5</v>
      </c>
      <c r="P621" s="151" t="s">
        <v>199</v>
      </c>
      <c r="Q621" s="421"/>
    </row>
    <row r="622" spans="1:17" ht="11.25">
      <c r="A622" s="142" t="s">
        <v>9932</v>
      </c>
      <c r="B622" s="142" t="s">
        <v>9933</v>
      </c>
      <c r="C622" s="142" t="s">
        <v>9934</v>
      </c>
      <c r="D622" s="142"/>
      <c r="E622" s="142" t="s">
        <v>242</v>
      </c>
      <c r="F622" s="142"/>
      <c r="G622" s="141" t="s">
        <v>8263</v>
      </c>
      <c r="H622" s="142" t="s">
        <v>9935</v>
      </c>
      <c r="I622" s="156" t="s">
        <v>204</v>
      </c>
      <c r="J622" s="156" t="s">
        <v>9915</v>
      </c>
      <c r="K622" s="156"/>
      <c r="L622" s="156" t="s">
        <v>191</v>
      </c>
      <c r="M622" s="331">
        <v>4</v>
      </c>
      <c r="N622" s="426"/>
      <c r="O622" s="151">
        <v>5</v>
      </c>
      <c r="P622" s="151" t="s">
        <v>199</v>
      </c>
      <c r="Q622" s="421"/>
    </row>
    <row r="623" spans="1:17" ht="11.25">
      <c r="A623" s="142" t="s">
        <v>9936</v>
      </c>
      <c r="B623" s="142" t="s">
        <v>9937</v>
      </c>
      <c r="C623" s="142" t="s">
        <v>9938</v>
      </c>
      <c r="D623" s="142"/>
      <c r="E623" s="142" t="s">
        <v>242</v>
      </c>
      <c r="F623" s="142"/>
      <c r="G623" s="141" t="s">
        <v>8263</v>
      </c>
      <c r="H623" s="142" t="s">
        <v>9939</v>
      </c>
      <c r="I623" s="156" t="s">
        <v>204</v>
      </c>
      <c r="J623" s="156" t="s">
        <v>9915</v>
      </c>
      <c r="K623" s="156"/>
      <c r="L623" s="156" t="s">
        <v>191</v>
      </c>
      <c r="M623" s="331">
        <v>4</v>
      </c>
      <c r="N623" s="426"/>
      <c r="O623" s="151">
        <v>5</v>
      </c>
      <c r="P623" s="151" t="s">
        <v>199</v>
      </c>
      <c r="Q623" s="421"/>
    </row>
    <row r="624" spans="1:17" ht="11.25">
      <c r="A624" s="142" t="s">
        <v>9940</v>
      </c>
      <c r="B624" s="142" t="s">
        <v>9941</v>
      </c>
      <c r="C624" s="142" t="s">
        <v>9942</v>
      </c>
      <c r="D624" s="142"/>
      <c r="E624" s="142" t="s">
        <v>242</v>
      </c>
      <c r="F624" s="142"/>
      <c r="G624" s="141" t="s">
        <v>8263</v>
      </c>
      <c r="H624" s="142" t="s">
        <v>9943</v>
      </c>
      <c r="I624" s="156" t="s">
        <v>204</v>
      </c>
      <c r="J624" s="156" t="s">
        <v>9915</v>
      </c>
      <c r="K624" s="156"/>
      <c r="L624" s="156" t="s">
        <v>191</v>
      </c>
      <c r="M624" s="331">
        <v>4</v>
      </c>
      <c r="N624" s="426"/>
      <c r="O624" s="151">
        <v>5</v>
      </c>
      <c r="P624" s="151" t="s">
        <v>199</v>
      </c>
      <c r="Q624" s="421"/>
    </row>
    <row r="625" spans="1:17" ht="11.25">
      <c r="A625" s="142" t="s">
        <v>9944</v>
      </c>
      <c r="B625" s="142" t="s">
        <v>9945</v>
      </c>
      <c r="C625" s="142" t="s">
        <v>9946</v>
      </c>
      <c r="D625" s="142"/>
      <c r="E625" s="142" t="s">
        <v>242</v>
      </c>
      <c r="F625" s="142"/>
      <c r="G625" s="141" t="s">
        <v>8263</v>
      </c>
      <c r="H625" s="142" t="s">
        <v>9947</v>
      </c>
      <c r="I625" s="156" t="s">
        <v>204</v>
      </c>
      <c r="J625" s="156" t="s">
        <v>9915</v>
      </c>
      <c r="K625" s="156"/>
      <c r="L625" s="156" t="s">
        <v>191</v>
      </c>
      <c r="M625" s="331">
        <v>4</v>
      </c>
      <c r="N625" s="426"/>
      <c r="O625" s="151">
        <v>5</v>
      </c>
      <c r="P625" s="151" t="s">
        <v>199</v>
      </c>
      <c r="Q625" s="421"/>
    </row>
    <row r="626" spans="1:17" ht="11.25">
      <c r="A626" s="142" t="s">
        <v>9948</v>
      </c>
      <c r="B626" s="142" t="s">
        <v>9949</v>
      </c>
      <c r="C626" s="142" t="s">
        <v>9950</v>
      </c>
      <c r="D626" s="142"/>
      <c r="E626" s="142" t="s">
        <v>242</v>
      </c>
      <c r="F626" s="142"/>
      <c r="G626" s="141" t="s">
        <v>8263</v>
      </c>
      <c r="H626" s="142" t="s">
        <v>9951</v>
      </c>
      <c r="I626" s="156" t="s">
        <v>204</v>
      </c>
      <c r="J626" s="156" t="s">
        <v>9915</v>
      </c>
      <c r="K626" s="156"/>
      <c r="L626" s="156" t="s">
        <v>191</v>
      </c>
      <c r="M626" s="331">
        <v>4</v>
      </c>
      <c r="N626" s="426"/>
      <c r="O626" s="151">
        <v>5</v>
      </c>
      <c r="P626" s="151" t="s">
        <v>199</v>
      </c>
      <c r="Q626" s="421"/>
    </row>
    <row r="627" spans="1:17" ht="11.25">
      <c r="A627" s="142" t="s">
        <v>9952</v>
      </c>
      <c r="B627" s="142" t="s">
        <v>9953</v>
      </c>
      <c r="C627" s="142" t="s">
        <v>9954</v>
      </c>
      <c r="D627" s="142"/>
      <c r="E627" s="142" t="s">
        <v>242</v>
      </c>
      <c r="F627" s="142"/>
      <c r="G627" s="141" t="s">
        <v>8263</v>
      </c>
      <c r="H627" s="142" t="s">
        <v>9955</v>
      </c>
      <c r="I627" s="156" t="s">
        <v>204</v>
      </c>
      <c r="J627" s="156" t="s">
        <v>9915</v>
      </c>
      <c r="K627" s="156"/>
      <c r="L627" s="156" t="s">
        <v>191</v>
      </c>
      <c r="M627" s="331">
        <v>4</v>
      </c>
      <c r="N627" s="426"/>
      <c r="O627" s="151">
        <v>5</v>
      </c>
      <c r="P627" s="151" t="s">
        <v>199</v>
      </c>
      <c r="Q627" s="421"/>
    </row>
    <row r="628" spans="1:17" ht="11.25">
      <c r="A628" s="142" t="s">
        <v>9956</v>
      </c>
      <c r="B628" s="142" t="s">
        <v>9957</v>
      </c>
      <c r="C628" s="142" t="s">
        <v>9958</v>
      </c>
      <c r="D628" s="142"/>
      <c r="E628" s="142" t="s">
        <v>242</v>
      </c>
      <c r="F628" s="142"/>
      <c r="G628" s="141" t="s">
        <v>8263</v>
      </c>
      <c r="H628" s="142" t="s">
        <v>9959</v>
      </c>
      <c r="I628" s="156" t="s">
        <v>204</v>
      </c>
      <c r="J628" s="156" t="s">
        <v>9915</v>
      </c>
      <c r="K628" s="156"/>
      <c r="L628" s="156" t="s">
        <v>191</v>
      </c>
      <c r="M628" s="331">
        <v>4</v>
      </c>
      <c r="N628" s="426"/>
      <c r="O628" s="151">
        <v>5</v>
      </c>
      <c r="P628" s="151" t="s">
        <v>199</v>
      </c>
      <c r="Q628" s="421"/>
    </row>
    <row r="629" spans="1:17" ht="11.25">
      <c r="A629" s="142" t="s">
        <v>9960</v>
      </c>
      <c r="B629" s="142" t="s">
        <v>9961</v>
      </c>
      <c r="C629" s="142" t="s">
        <v>9962</v>
      </c>
      <c r="D629" s="142"/>
      <c r="E629" s="142" t="s">
        <v>242</v>
      </c>
      <c r="F629" s="142"/>
      <c r="G629" s="141" t="s">
        <v>8263</v>
      </c>
      <c r="H629" s="142" t="s">
        <v>9963</v>
      </c>
      <c r="I629" s="156" t="s">
        <v>204</v>
      </c>
      <c r="J629" s="156" t="s">
        <v>9915</v>
      </c>
      <c r="K629" s="156"/>
      <c r="L629" s="156" t="s">
        <v>191</v>
      </c>
      <c r="M629" s="331">
        <v>4</v>
      </c>
      <c r="N629" s="426"/>
      <c r="O629" s="151">
        <v>5</v>
      </c>
      <c r="P629" s="151" t="s">
        <v>199</v>
      </c>
      <c r="Q629" s="421"/>
    </row>
    <row r="630" spans="1:17" ht="11.25">
      <c r="A630" s="142" t="s">
        <v>9964</v>
      </c>
      <c r="B630" s="142" t="s">
        <v>9965</v>
      </c>
      <c r="C630" s="142" t="s">
        <v>9966</v>
      </c>
      <c r="D630" s="142"/>
      <c r="E630" s="142" t="s">
        <v>242</v>
      </c>
      <c r="F630" s="142"/>
      <c r="G630" s="141" t="s">
        <v>8263</v>
      </c>
      <c r="H630" s="142" t="s">
        <v>9967</v>
      </c>
      <c r="I630" s="156" t="s">
        <v>204</v>
      </c>
      <c r="J630" s="156" t="s">
        <v>9915</v>
      </c>
      <c r="K630" s="156"/>
      <c r="L630" s="156" t="s">
        <v>191</v>
      </c>
      <c r="M630" s="331">
        <v>4</v>
      </c>
      <c r="N630" s="426"/>
      <c r="O630" s="151">
        <v>5</v>
      </c>
      <c r="P630" s="151" t="s">
        <v>199</v>
      </c>
      <c r="Q630" s="421"/>
    </row>
    <row r="631" spans="1:17" ht="11.25">
      <c r="A631" s="142" t="s">
        <v>9968</v>
      </c>
      <c r="B631" s="142" t="s">
        <v>9969</v>
      </c>
      <c r="C631" s="142" t="s">
        <v>9970</v>
      </c>
      <c r="D631" s="142"/>
      <c r="E631" s="142" t="s">
        <v>242</v>
      </c>
      <c r="F631" s="142"/>
      <c r="G631" s="141" t="s">
        <v>8263</v>
      </c>
      <c r="H631" s="142" t="s">
        <v>9971</v>
      </c>
      <c r="I631" s="156" t="s">
        <v>204</v>
      </c>
      <c r="J631" s="156" t="s">
        <v>9915</v>
      </c>
      <c r="K631" s="156"/>
      <c r="L631" s="156" t="s">
        <v>191</v>
      </c>
      <c r="M631" s="331">
        <v>4</v>
      </c>
      <c r="N631" s="426"/>
      <c r="O631" s="151">
        <v>5</v>
      </c>
      <c r="P631" s="151" t="s">
        <v>199</v>
      </c>
      <c r="Q631" s="421"/>
    </row>
    <row r="632" spans="1:17" ht="11.25">
      <c r="A632" s="142" t="s">
        <v>9972</v>
      </c>
      <c r="B632" s="142" t="s">
        <v>9973</v>
      </c>
      <c r="C632" s="142" t="s">
        <v>9974</v>
      </c>
      <c r="D632" s="142"/>
      <c r="E632" s="142" t="s">
        <v>242</v>
      </c>
      <c r="F632" s="142"/>
      <c r="G632" s="141" t="s">
        <v>8263</v>
      </c>
      <c r="H632" s="142" t="s">
        <v>9975</v>
      </c>
      <c r="I632" s="156" t="s">
        <v>204</v>
      </c>
      <c r="J632" s="156" t="s">
        <v>9915</v>
      </c>
      <c r="K632" s="156"/>
      <c r="L632" s="156" t="s">
        <v>191</v>
      </c>
      <c r="M632" s="331">
        <v>4</v>
      </c>
      <c r="N632" s="426"/>
      <c r="O632" s="151">
        <v>5</v>
      </c>
      <c r="P632" s="151" t="s">
        <v>199</v>
      </c>
      <c r="Q632" s="421"/>
    </row>
    <row r="633" spans="1:17" ht="11.25">
      <c r="A633" s="142" t="s">
        <v>9976</v>
      </c>
      <c r="B633" s="142" t="s">
        <v>9977</v>
      </c>
      <c r="C633" s="142" t="s">
        <v>9978</v>
      </c>
      <c r="D633" s="142"/>
      <c r="E633" s="142" t="s">
        <v>242</v>
      </c>
      <c r="F633" s="142"/>
      <c r="G633" s="141" t="s">
        <v>8263</v>
      </c>
      <c r="H633" s="142" t="s">
        <v>9979</v>
      </c>
      <c r="I633" s="156" t="s">
        <v>204</v>
      </c>
      <c r="J633" s="156" t="s">
        <v>9915</v>
      </c>
      <c r="K633" s="156"/>
      <c r="L633" s="156" t="s">
        <v>191</v>
      </c>
      <c r="M633" s="331">
        <v>4</v>
      </c>
      <c r="N633" s="426"/>
      <c r="O633" s="151">
        <v>5</v>
      </c>
      <c r="P633" s="151" t="s">
        <v>199</v>
      </c>
      <c r="Q633" s="421"/>
    </row>
    <row r="634" spans="1:17" ht="22.5">
      <c r="A634" s="142" t="s">
        <v>9980</v>
      </c>
      <c r="B634" s="142" t="s">
        <v>9981</v>
      </c>
      <c r="C634" s="142" t="s">
        <v>9982</v>
      </c>
      <c r="D634" s="142"/>
      <c r="E634" s="142" t="s">
        <v>242</v>
      </c>
      <c r="F634" s="142"/>
      <c r="G634" s="141" t="s">
        <v>8263</v>
      </c>
      <c r="H634" s="142" t="s">
        <v>9983</v>
      </c>
      <c r="I634" s="156" t="s">
        <v>204</v>
      </c>
      <c r="J634" s="156" t="s">
        <v>9984</v>
      </c>
      <c r="K634" s="156"/>
      <c r="L634" s="156" t="s">
        <v>191</v>
      </c>
      <c r="M634" s="331">
        <v>4</v>
      </c>
      <c r="N634" s="426"/>
      <c r="O634" s="151">
        <v>5</v>
      </c>
      <c r="P634" s="151" t="s">
        <v>199</v>
      </c>
      <c r="Q634" s="421"/>
    </row>
    <row r="635" spans="1:17" ht="11.25">
      <c r="A635" s="142" t="s">
        <v>9985</v>
      </c>
      <c r="B635" s="142" t="s">
        <v>9986</v>
      </c>
      <c r="C635" s="142" t="s">
        <v>9987</v>
      </c>
      <c r="D635" s="142"/>
      <c r="E635" s="142" t="s">
        <v>242</v>
      </c>
      <c r="F635" s="142"/>
      <c r="G635" s="141" t="s">
        <v>8263</v>
      </c>
      <c r="H635" s="142" t="s">
        <v>9988</v>
      </c>
      <c r="I635" s="156" t="s">
        <v>204</v>
      </c>
      <c r="J635" s="156" t="s">
        <v>9989</v>
      </c>
      <c r="K635" s="156"/>
      <c r="L635" s="156" t="s">
        <v>191</v>
      </c>
      <c r="M635" s="331">
        <v>4</v>
      </c>
      <c r="N635" s="426"/>
      <c r="O635" s="151">
        <v>5</v>
      </c>
      <c r="P635" s="151" t="s">
        <v>199</v>
      </c>
      <c r="Q635" s="421"/>
    </row>
    <row r="636" spans="1:17" ht="11.25">
      <c r="A636" s="142" t="s">
        <v>9990</v>
      </c>
      <c r="B636" s="142" t="s">
        <v>9991</v>
      </c>
      <c r="C636" s="142" t="s">
        <v>9992</v>
      </c>
      <c r="D636" s="142"/>
      <c r="E636" s="142" t="s">
        <v>242</v>
      </c>
      <c r="F636" s="142"/>
      <c r="G636" s="141" t="s">
        <v>8263</v>
      </c>
      <c r="H636" s="142" t="s">
        <v>9993</v>
      </c>
      <c r="I636" s="156" t="s">
        <v>204</v>
      </c>
      <c r="J636" s="156" t="s">
        <v>9989</v>
      </c>
      <c r="K636" s="156"/>
      <c r="L636" s="156" t="s">
        <v>191</v>
      </c>
      <c r="M636" s="331">
        <v>4</v>
      </c>
      <c r="N636" s="426"/>
      <c r="O636" s="151">
        <v>5</v>
      </c>
      <c r="P636" s="151" t="s">
        <v>199</v>
      </c>
      <c r="Q636" s="421"/>
    </row>
    <row r="637" spans="1:17" ht="11.25">
      <c r="A637" s="142" t="s">
        <v>9994</v>
      </c>
      <c r="B637" s="142" t="s">
        <v>9995</v>
      </c>
      <c r="C637" s="142" t="s">
        <v>9996</v>
      </c>
      <c r="D637" s="142"/>
      <c r="E637" s="142" t="s">
        <v>242</v>
      </c>
      <c r="F637" s="142"/>
      <c r="G637" s="141" t="s">
        <v>8263</v>
      </c>
      <c r="H637" s="142" t="s">
        <v>9997</v>
      </c>
      <c r="I637" s="156" t="s">
        <v>204</v>
      </c>
      <c r="J637" s="156" t="s">
        <v>9989</v>
      </c>
      <c r="K637" s="156"/>
      <c r="L637" s="156" t="s">
        <v>191</v>
      </c>
      <c r="M637" s="331">
        <v>4</v>
      </c>
      <c r="N637" s="426"/>
      <c r="O637" s="151">
        <v>5</v>
      </c>
      <c r="P637" s="151" t="s">
        <v>199</v>
      </c>
      <c r="Q637" s="421"/>
    </row>
    <row r="638" spans="1:17" ht="11.25">
      <c r="A638" s="142" t="s">
        <v>9998</v>
      </c>
      <c r="B638" s="142" t="s">
        <v>9999</v>
      </c>
      <c r="C638" s="142" t="s">
        <v>10000</v>
      </c>
      <c r="D638" s="142"/>
      <c r="E638" s="142" t="s">
        <v>242</v>
      </c>
      <c r="F638" s="142"/>
      <c r="G638" s="141" t="s">
        <v>8263</v>
      </c>
      <c r="H638" s="142" t="s">
        <v>10001</v>
      </c>
      <c r="I638" s="156" t="s">
        <v>204</v>
      </c>
      <c r="J638" s="156" t="s">
        <v>9989</v>
      </c>
      <c r="K638" s="156"/>
      <c r="L638" s="156" t="s">
        <v>191</v>
      </c>
      <c r="M638" s="331">
        <v>4</v>
      </c>
      <c r="N638" s="426"/>
      <c r="O638" s="151">
        <v>5</v>
      </c>
      <c r="P638" s="151" t="s">
        <v>199</v>
      </c>
      <c r="Q638" s="421"/>
    </row>
    <row r="639" spans="1:17" ht="11.25">
      <c r="A639" s="142" t="s">
        <v>10002</v>
      </c>
      <c r="B639" s="142" t="s">
        <v>10003</v>
      </c>
      <c r="C639" s="142" t="s">
        <v>10004</v>
      </c>
      <c r="D639" s="142"/>
      <c r="E639" s="142" t="s">
        <v>242</v>
      </c>
      <c r="F639" s="142"/>
      <c r="G639" s="141" t="s">
        <v>8263</v>
      </c>
      <c r="H639" s="142" t="s">
        <v>10005</v>
      </c>
      <c r="I639" s="156" t="s">
        <v>204</v>
      </c>
      <c r="J639" s="156" t="s">
        <v>9989</v>
      </c>
      <c r="K639" s="156"/>
      <c r="L639" s="156" t="s">
        <v>191</v>
      </c>
      <c r="M639" s="331">
        <v>4</v>
      </c>
      <c r="N639" s="426"/>
      <c r="O639" s="151">
        <v>5</v>
      </c>
      <c r="P639" s="151" t="s">
        <v>199</v>
      </c>
      <c r="Q639" s="421"/>
    </row>
    <row r="640" spans="1:17" ht="11.25">
      <c r="A640" s="142" t="s">
        <v>10006</v>
      </c>
      <c r="B640" s="142" t="s">
        <v>10007</v>
      </c>
      <c r="C640" s="142" t="s">
        <v>10008</v>
      </c>
      <c r="D640" s="142"/>
      <c r="E640" s="142" t="s">
        <v>242</v>
      </c>
      <c r="F640" s="142"/>
      <c r="G640" s="141" t="s">
        <v>8263</v>
      </c>
      <c r="H640" s="142" t="s">
        <v>10009</v>
      </c>
      <c r="I640" s="156" t="s">
        <v>204</v>
      </c>
      <c r="J640" s="156" t="s">
        <v>9989</v>
      </c>
      <c r="K640" s="156"/>
      <c r="L640" s="156" t="s">
        <v>191</v>
      </c>
      <c r="M640" s="331">
        <v>4</v>
      </c>
      <c r="N640" s="426"/>
      <c r="O640" s="151">
        <v>5</v>
      </c>
      <c r="P640" s="151" t="s">
        <v>199</v>
      </c>
      <c r="Q640" s="421"/>
    </row>
    <row r="641" spans="1:17" ht="11.25">
      <c r="A641" s="142" t="s">
        <v>10010</v>
      </c>
      <c r="B641" s="142" t="s">
        <v>10011</v>
      </c>
      <c r="C641" s="142" t="s">
        <v>10012</v>
      </c>
      <c r="D641" s="142"/>
      <c r="E641" s="142" t="s">
        <v>242</v>
      </c>
      <c r="F641" s="142"/>
      <c r="G641" s="141" t="s">
        <v>8263</v>
      </c>
      <c r="H641" s="142" t="s">
        <v>10013</v>
      </c>
      <c r="I641" s="156" t="s">
        <v>204</v>
      </c>
      <c r="J641" s="156" t="s">
        <v>9989</v>
      </c>
      <c r="K641" s="156"/>
      <c r="L641" s="156" t="s">
        <v>191</v>
      </c>
      <c r="M641" s="331">
        <v>4</v>
      </c>
      <c r="N641" s="426"/>
      <c r="O641" s="151">
        <v>5</v>
      </c>
      <c r="P641" s="151" t="s">
        <v>199</v>
      </c>
      <c r="Q641" s="421"/>
    </row>
    <row r="642" spans="1:17" ht="11.25">
      <c r="A642" s="142" t="s">
        <v>10014</v>
      </c>
      <c r="B642" s="142" t="s">
        <v>10015</v>
      </c>
      <c r="C642" s="142" t="s">
        <v>10016</v>
      </c>
      <c r="D642" s="142"/>
      <c r="E642" s="142" t="s">
        <v>242</v>
      </c>
      <c r="F642" s="142"/>
      <c r="G642" s="141" t="s">
        <v>8263</v>
      </c>
      <c r="H642" s="142" t="s">
        <v>10017</v>
      </c>
      <c r="I642" s="156" t="s">
        <v>204</v>
      </c>
      <c r="J642" s="156" t="s">
        <v>9989</v>
      </c>
      <c r="K642" s="156"/>
      <c r="L642" s="156" t="s">
        <v>191</v>
      </c>
      <c r="M642" s="331">
        <v>4</v>
      </c>
      <c r="N642" s="426"/>
      <c r="O642" s="151">
        <v>5</v>
      </c>
      <c r="P642" s="151" t="s">
        <v>199</v>
      </c>
      <c r="Q642" s="421"/>
    </row>
    <row r="643" spans="1:17" ht="22.5">
      <c r="A643" s="142" t="s">
        <v>10018</v>
      </c>
      <c r="B643" s="142" t="s">
        <v>10019</v>
      </c>
      <c r="C643" s="142" t="s">
        <v>10020</v>
      </c>
      <c r="D643" s="142"/>
      <c r="E643" s="142" t="s">
        <v>242</v>
      </c>
      <c r="F643" s="142"/>
      <c r="G643" s="141" t="s">
        <v>8263</v>
      </c>
      <c r="H643" s="142" t="s">
        <v>10021</v>
      </c>
      <c r="I643" s="156" t="s">
        <v>204</v>
      </c>
      <c r="J643" s="156" t="s">
        <v>9989</v>
      </c>
      <c r="K643" s="156"/>
      <c r="L643" s="156" t="s">
        <v>191</v>
      </c>
      <c r="M643" s="331">
        <v>4</v>
      </c>
      <c r="N643" s="426"/>
      <c r="O643" s="151">
        <v>5</v>
      </c>
      <c r="P643" s="151" t="s">
        <v>199</v>
      </c>
      <c r="Q643" s="421"/>
    </row>
    <row r="644" spans="1:17" ht="11.25">
      <c r="A644" s="142" t="s">
        <v>10022</v>
      </c>
      <c r="B644" s="142" t="s">
        <v>10023</v>
      </c>
      <c r="C644" s="142" t="s">
        <v>10024</v>
      </c>
      <c r="D644" s="142"/>
      <c r="E644" s="142" t="s">
        <v>242</v>
      </c>
      <c r="F644" s="142"/>
      <c r="G644" s="141" t="s">
        <v>8263</v>
      </c>
      <c r="H644" s="142" t="s">
        <v>10025</v>
      </c>
      <c r="I644" s="156" t="s">
        <v>204</v>
      </c>
      <c r="J644" s="156" t="s">
        <v>9989</v>
      </c>
      <c r="K644" s="156"/>
      <c r="L644" s="156" t="s">
        <v>191</v>
      </c>
      <c r="M644" s="331">
        <v>4</v>
      </c>
      <c r="N644" s="426"/>
      <c r="O644" s="151">
        <v>5</v>
      </c>
      <c r="P644" s="151" t="s">
        <v>199</v>
      </c>
      <c r="Q644" s="421"/>
    </row>
    <row r="645" spans="1:17" ht="11.25">
      <c r="A645" s="142" t="s">
        <v>10026</v>
      </c>
      <c r="B645" s="142" t="s">
        <v>10027</v>
      </c>
      <c r="C645" s="142" t="s">
        <v>10028</v>
      </c>
      <c r="D645" s="142"/>
      <c r="E645" s="142" t="s">
        <v>242</v>
      </c>
      <c r="F645" s="142"/>
      <c r="G645" s="141" t="s">
        <v>8263</v>
      </c>
      <c r="H645" s="142" t="s">
        <v>10029</v>
      </c>
      <c r="I645" s="156" t="s">
        <v>204</v>
      </c>
      <c r="J645" s="156" t="s">
        <v>9989</v>
      </c>
      <c r="K645" s="156"/>
      <c r="L645" s="156" t="s">
        <v>191</v>
      </c>
      <c r="M645" s="331">
        <v>4</v>
      </c>
      <c r="N645" s="426"/>
      <c r="O645" s="151">
        <v>5</v>
      </c>
      <c r="P645" s="151" t="s">
        <v>199</v>
      </c>
      <c r="Q645" s="421"/>
    </row>
    <row r="646" spans="1:17" ht="11.25">
      <c r="A646" s="142" t="s">
        <v>10030</v>
      </c>
      <c r="B646" s="142" t="s">
        <v>10031</v>
      </c>
      <c r="C646" s="142" t="s">
        <v>10032</v>
      </c>
      <c r="D646" s="142"/>
      <c r="E646" s="142" t="s">
        <v>242</v>
      </c>
      <c r="F646" s="142"/>
      <c r="G646" s="141" t="s">
        <v>8263</v>
      </c>
      <c r="H646" s="142" t="s">
        <v>10033</v>
      </c>
      <c r="I646" s="156" t="s">
        <v>204</v>
      </c>
      <c r="J646" s="156" t="s">
        <v>9989</v>
      </c>
      <c r="K646" s="156"/>
      <c r="L646" s="156" t="s">
        <v>191</v>
      </c>
      <c r="M646" s="331">
        <v>4</v>
      </c>
      <c r="N646" s="426"/>
      <c r="O646" s="151">
        <v>5</v>
      </c>
      <c r="P646" s="151" t="s">
        <v>199</v>
      </c>
      <c r="Q646" s="421"/>
    </row>
    <row r="647" spans="1:17" ht="11.25">
      <c r="A647" s="142" t="s">
        <v>10034</v>
      </c>
      <c r="B647" s="142" t="s">
        <v>10035</v>
      </c>
      <c r="C647" s="142"/>
      <c r="D647" s="142"/>
      <c r="E647" s="142" t="s">
        <v>242</v>
      </c>
      <c r="F647" s="142"/>
      <c r="G647" s="141" t="s">
        <v>2194</v>
      </c>
      <c r="H647" s="142" t="s">
        <v>10036</v>
      </c>
      <c r="I647" s="156" t="s">
        <v>204</v>
      </c>
      <c r="J647" s="155" t="s">
        <v>9175</v>
      </c>
      <c r="K647" s="155"/>
      <c r="L647" s="156" t="s">
        <v>191</v>
      </c>
      <c r="M647" s="331">
        <v>4</v>
      </c>
      <c r="N647" s="426"/>
      <c r="O647" s="151">
        <v>5</v>
      </c>
      <c r="P647" s="151" t="s">
        <v>199</v>
      </c>
      <c r="Q647" s="421"/>
    </row>
    <row r="648" spans="1:17" ht="11.25">
      <c r="A648" s="142" t="s">
        <v>10037</v>
      </c>
      <c r="B648" s="142" t="s">
        <v>10038</v>
      </c>
      <c r="C648" s="142"/>
      <c r="D648" s="142"/>
      <c r="E648" s="142" t="s">
        <v>242</v>
      </c>
      <c r="F648" s="142"/>
      <c r="G648" s="141" t="s">
        <v>2194</v>
      </c>
      <c r="H648" s="142" t="s">
        <v>10039</v>
      </c>
      <c r="I648" s="156" t="s">
        <v>204</v>
      </c>
      <c r="J648" s="156" t="s">
        <v>10040</v>
      </c>
      <c r="K648" s="156"/>
      <c r="L648" s="156" t="s">
        <v>191</v>
      </c>
      <c r="M648" s="331">
        <v>4</v>
      </c>
      <c r="N648" s="426"/>
      <c r="O648" s="151">
        <v>5</v>
      </c>
      <c r="P648" s="151" t="s">
        <v>199</v>
      </c>
      <c r="Q648" s="421"/>
    </row>
    <row r="649" spans="1:17" ht="11.25">
      <c r="A649" s="142" t="s">
        <v>10041</v>
      </c>
      <c r="B649" s="142" t="s">
        <v>10042</v>
      </c>
      <c r="C649" s="142"/>
      <c r="D649" s="142"/>
      <c r="E649" s="142" t="s">
        <v>242</v>
      </c>
      <c r="F649" s="142"/>
      <c r="G649" s="141" t="s">
        <v>2194</v>
      </c>
      <c r="H649" s="142" t="s">
        <v>10043</v>
      </c>
      <c r="I649" s="156" t="s">
        <v>204</v>
      </c>
      <c r="J649" s="156" t="s">
        <v>10040</v>
      </c>
      <c r="K649" s="156"/>
      <c r="L649" s="156" t="s">
        <v>191</v>
      </c>
      <c r="M649" s="331">
        <v>4</v>
      </c>
      <c r="N649" s="426"/>
      <c r="O649" s="151">
        <v>5</v>
      </c>
      <c r="P649" s="151" t="s">
        <v>199</v>
      </c>
      <c r="Q649" s="421"/>
    </row>
    <row r="650" spans="1:17" ht="11.25">
      <c r="A650" s="142" t="s">
        <v>10044</v>
      </c>
      <c r="B650" s="142" t="s">
        <v>10045</v>
      </c>
      <c r="C650" s="142"/>
      <c r="D650" s="142"/>
      <c r="E650" s="142" t="s">
        <v>242</v>
      </c>
      <c r="F650" s="142"/>
      <c r="G650" s="141" t="s">
        <v>8114</v>
      </c>
      <c r="H650" s="142" t="s">
        <v>10046</v>
      </c>
      <c r="I650" s="156" t="s">
        <v>204</v>
      </c>
      <c r="J650" s="156" t="s">
        <v>10040</v>
      </c>
      <c r="K650" s="156"/>
      <c r="L650" s="156" t="s">
        <v>191</v>
      </c>
      <c r="M650" s="331">
        <v>4</v>
      </c>
      <c r="N650" s="426"/>
      <c r="O650" s="151">
        <v>5</v>
      </c>
      <c r="P650" s="151" t="s">
        <v>199</v>
      </c>
      <c r="Q650" s="421"/>
    </row>
    <row r="651" spans="1:17" ht="11.25">
      <c r="A651" s="142" t="s">
        <v>10047</v>
      </c>
      <c r="B651" s="142" t="s">
        <v>10048</v>
      </c>
      <c r="C651" s="142"/>
      <c r="D651" s="142"/>
      <c r="E651" s="142" t="s">
        <v>242</v>
      </c>
      <c r="F651" s="142"/>
      <c r="G651" s="141" t="s">
        <v>8114</v>
      </c>
      <c r="H651" s="142" t="s">
        <v>10049</v>
      </c>
      <c r="I651" s="156" t="s">
        <v>204</v>
      </c>
      <c r="J651" s="156" t="s">
        <v>10040</v>
      </c>
      <c r="K651" s="156"/>
      <c r="L651" s="156" t="s">
        <v>191</v>
      </c>
      <c r="M651" s="331">
        <v>4</v>
      </c>
      <c r="N651" s="426"/>
      <c r="O651" s="151">
        <v>5</v>
      </c>
      <c r="P651" s="151" t="s">
        <v>199</v>
      </c>
      <c r="Q651" s="421"/>
    </row>
    <row r="652" spans="1:17" ht="11.25">
      <c r="A652" s="142" t="s">
        <v>10050</v>
      </c>
      <c r="B652" s="142" t="s">
        <v>10051</v>
      </c>
      <c r="C652" s="142"/>
      <c r="D652" s="142"/>
      <c r="E652" s="142" t="s">
        <v>242</v>
      </c>
      <c r="F652" s="142"/>
      <c r="G652" s="141" t="s">
        <v>8114</v>
      </c>
      <c r="H652" s="142" t="s">
        <v>10052</v>
      </c>
      <c r="I652" s="156" t="s">
        <v>204</v>
      </c>
      <c r="J652" s="156" t="s">
        <v>10040</v>
      </c>
      <c r="K652" s="156"/>
      <c r="L652" s="156" t="s">
        <v>191</v>
      </c>
      <c r="M652" s="331">
        <v>4</v>
      </c>
      <c r="N652" s="426"/>
      <c r="O652" s="151">
        <v>5</v>
      </c>
      <c r="P652" s="151" t="s">
        <v>199</v>
      </c>
      <c r="Q652" s="421"/>
    </row>
    <row r="653" spans="1:17" ht="11.25">
      <c r="A653" s="142" t="s">
        <v>10053</v>
      </c>
      <c r="B653" s="142" t="s">
        <v>10054</v>
      </c>
      <c r="C653" s="142"/>
      <c r="D653" s="142"/>
      <c r="E653" s="142" t="s">
        <v>242</v>
      </c>
      <c r="F653" s="142"/>
      <c r="G653" s="141" t="s">
        <v>2194</v>
      </c>
      <c r="H653" s="142" t="s">
        <v>10055</v>
      </c>
      <c r="I653" s="156" t="s">
        <v>204</v>
      </c>
      <c r="J653" s="156" t="s">
        <v>10040</v>
      </c>
      <c r="K653" s="156"/>
      <c r="L653" s="156" t="s">
        <v>191</v>
      </c>
      <c r="M653" s="331">
        <v>4</v>
      </c>
      <c r="N653" s="426"/>
      <c r="O653" s="151">
        <v>5</v>
      </c>
      <c r="P653" s="151" t="s">
        <v>199</v>
      </c>
      <c r="Q653" s="421"/>
    </row>
    <row r="654" spans="1:17" ht="11.25">
      <c r="A654" s="142" t="s">
        <v>10056</v>
      </c>
      <c r="B654" s="142" t="s">
        <v>10057</v>
      </c>
      <c r="C654" s="142"/>
      <c r="D654" s="142"/>
      <c r="E654" s="142" t="s">
        <v>242</v>
      </c>
      <c r="F654" s="142"/>
      <c r="G654" s="141" t="s">
        <v>2194</v>
      </c>
      <c r="H654" s="142" t="s">
        <v>10058</v>
      </c>
      <c r="I654" s="156" t="s">
        <v>204</v>
      </c>
      <c r="J654" s="156" t="s">
        <v>10040</v>
      </c>
      <c r="K654" s="156"/>
      <c r="L654" s="156" t="s">
        <v>191</v>
      </c>
      <c r="M654" s="331">
        <v>4</v>
      </c>
      <c r="N654" s="426"/>
      <c r="O654" s="151">
        <v>5</v>
      </c>
      <c r="P654" s="151" t="s">
        <v>199</v>
      </c>
      <c r="Q654" s="421"/>
    </row>
    <row r="655" spans="1:17" ht="11.25">
      <c r="A655" s="142" t="s">
        <v>10059</v>
      </c>
      <c r="B655" s="142" t="s">
        <v>10060</v>
      </c>
      <c r="C655" s="142"/>
      <c r="D655" s="142"/>
      <c r="E655" s="142" t="s">
        <v>242</v>
      </c>
      <c r="F655" s="142"/>
      <c r="G655" s="141" t="s">
        <v>2194</v>
      </c>
      <c r="H655" s="142" t="s">
        <v>10061</v>
      </c>
      <c r="I655" s="156" t="s">
        <v>204</v>
      </c>
      <c r="J655" s="156" t="s">
        <v>10040</v>
      </c>
      <c r="K655" s="156"/>
      <c r="L655" s="156" t="s">
        <v>191</v>
      </c>
      <c r="M655" s="331">
        <v>4</v>
      </c>
      <c r="N655" s="426"/>
      <c r="O655" s="151">
        <v>5</v>
      </c>
      <c r="P655" s="151" t="s">
        <v>199</v>
      </c>
      <c r="Q655" s="421"/>
    </row>
    <row r="656" spans="1:17" ht="22.5">
      <c r="A656" s="142" t="s">
        <v>10062</v>
      </c>
      <c r="B656" s="142" t="s">
        <v>10063</v>
      </c>
      <c r="C656" s="142"/>
      <c r="D656" s="142"/>
      <c r="E656" s="142" t="s">
        <v>242</v>
      </c>
      <c r="F656" s="142"/>
      <c r="G656" s="141" t="s">
        <v>2194</v>
      </c>
      <c r="H656" s="142" t="s">
        <v>10064</v>
      </c>
      <c r="I656" s="156" t="s">
        <v>204</v>
      </c>
      <c r="J656" s="156" t="s">
        <v>10040</v>
      </c>
      <c r="K656" s="156"/>
      <c r="L656" s="156" t="s">
        <v>191</v>
      </c>
      <c r="M656" s="331">
        <v>4</v>
      </c>
      <c r="N656" s="426"/>
      <c r="O656" s="151">
        <v>5</v>
      </c>
      <c r="P656" s="151" t="s">
        <v>199</v>
      </c>
      <c r="Q656" s="421"/>
    </row>
    <row r="657" spans="1:17" ht="11.25">
      <c r="A657" s="142" t="s">
        <v>10065</v>
      </c>
      <c r="B657" s="142" t="s">
        <v>10066</v>
      </c>
      <c r="C657" s="142"/>
      <c r="D657" s="142"/>
      <c r="E657" s="142" t="s">
        <v>242</v>
      </c>
      <c r="F657" s="142"/>
      <c r="G657" s="141" t="s">
        <v>2194</v>
      </c>
      <c r="H657" s="142" t="s">
        <v>10067</v>
      </c>
      <c r="I657" s="156" t="s">
        <v>204</v>
      </c>
      <c r="J657" s="156" t="s">
        <v>10040</v>
      </c>
      <c r="K657" s="156"/>
      <c r="L657" s="156" t="s">
        <v>191</v>
      </c>
      <c r="M657" s="331">
        <v>4</v>
      </c>
      <c r="N657" s="426"/>
      <c r="O657" s="151">
        <v>5</v>
      </c>
      <c r="P657" s="151" t="s">
        <v>199</v>
      </c>
      <c r="Q657" s="421"/>
    </row>
    <row r="658" spans="1:17" ht="11.25">
      <c r="A658" s="142" t="s">
        <v>10068</v>
      </c>
      <c r="B658" s="142" t="s">
        <v>10069</v>
      </c>
      <c r="C658" s="142"/>
      <c r="D658" s="142"/>
      <c r="E658" s="142" t="s">
        <v>242</v>
      </c>
      <c r="F658" s="142"/>
      <c r="G658" s="141" t="s">
        <v>2194</v>
      </c>
      <c r="H658" s="142" t="s">
        <v>10070</v>
      </c>
      <c r="I658" s="156" t="s">
        <v>204</v>
      </c>
      <c r="J658" s="156" t="s">
        <v>10040</v>
      </c>
      <c r="K658" s="156"/>
      <c r="L658" s="156" t="s">
        <v>191</v>
      </c>
      <c r="M658" s="331">
        <v>4</v>
      </c>
      <c r="N658" s="426"/>
      <c r="O658" s="151">
        <v>5</v>
      </c>
      <c r="P658" s="151" t="s">
        <v>199</v>
      </c>
      <c r="Q658" s="421"/>
    </row>
    <row r="659" spans="1:17" ht="11.25">
      <c r="A659" s="142" t="s">
        <v>10071</v>
      </c>
      <c r="B659" s="142" t="s">
        <v>10072</v>
      </c>
      <c r="C659" s="142"/>
      <c r="D659" s="142"/>
      <c r="E659" s="142" t="s">
        <v>242</v>
      </c>
      <c r="F659" s="142"/>
      <c r="G659" s="141" t="s">
        <v>2194</v>
      </c>
      <c r="H659" s="142" t="s">
        <v>10073</v>
      </c>
      <c r="I659" s="156" t="s">
        <v>204</v>
      </c>
      <c r="J659" s="156" t="s">
        <v>10040</v>
      </c>
      <c r="K659" s="156"/>
      <c r="L659" s="156" t="s">
        <v>191</v>
      </c>
      <c r="M659" s="331">
        <v>4</v>
      </c>
      <c r="N659" s="426"/>
      <c r="O659" s="151">
        <v>5</v>
      </c>
      <c r="P659" s="151" t="s">
        <v>199</v>
      </c>
      <c r="Q659" s="421"/>
    </row>
    <row r="660" spans="1:17" ht="11.25">
      <c r="A660" s="142" t="s">
        <v>10074</v>
      </c>
      <c r="B660" s="142" t="s">
        <v>10075</v>
      </c>
      <c r="C660" s="142"/>
      <c r="D660" s="142"/>
      <c r="E660" s="142" t="s">
        <v>242</v>
      </c>
      <c r="F660" s="142"/>
      <c r="G660" s="141" t="s">
        <v>2194</v>
      </c>
      <c r="H660" s="142" t="s">
        <v>10076</v>
      </c>
      <c r="I660" s="156" t="s">
        <v>204</v>
      </c>
      <c r="J660" s="156" t="s">
        <v>10040</v>
      </c>
      <c r="K660" s="156"/>
      <c r="L660" s="156" t="s">
        <v>191</v>
      </c>
      <c r="M660" s="331">
        <v>4</v>
      </c>
      <c r="N660" s="426"/>
      <c r="O660" s="151">
        <v>5</v>
      </c>
      <c r="P660" s="151" t="s">
        <v>199</v>
      </c>
      <c r="Q660" s="421"/>
    </row>
    <row r="661" spans="1:17" ht="11.25">
      <c r="A661" s="142" t="s">
        <v>10077</v>
      </c>
      <c r="B661" s="142" t="s">
        <v>10078</v>
      </c>
      <c r="C661" s="142"/>
      <c r="D661" s="142"/>
      <c r="E661" s="142" t="s">
        <v>242</v>
      </c>
      <c r="F661" s="142"/>
      <c r="G661" s="141" t="s">
        <v>2194</v>
      </c>
      <c r="H661" s="142" t="s">
        <v>10079</v>
      </c>
      <c r="I661" s="156" t="s">
        <v>204</v>
      </c>
      <c r="J661" s="155" t="s">
        <v>9175</v>
      </c>
      <c r="K661" s="155"/>
      <c r="L661" s="156" t="s">
        <v>191</v>
      </c>
      <c r="M661" s="331">
        <v>4</v>
      </c>
      <c r="N661" s="426"/>
      <c r="O661" s="151">
        <v>5</v>
      </c>
      <c r="P661" s="151" t="s">
        <v>199</v>
      </c>
      <c r="Q661" s="421"/>
    </row>
    <row r="662" spans="1:17" ht="11.25">
      <c r="A662" s="142" t="s">
        <v>10080</v>
      </c>
      <c r="B662" s="142" t="s">
        <v>10081</v>
      </c>
      <c r="C662" s="142"/>
      <c r="D662" s="142"/>
      <c r="E662" s="142" t="s">
        <v>242</v>
      </c>
      <c r="F662" s="142"/>
      <c r="G662" s="141" t="s">
        <v>2194</v>
      </c>
      <c r="H662" s="142" t="s">
        <v>10082</v>
      </c>
      <c r="I662" s="156" t="s">
        <v>204</v>
      </c>
      <c r="J662" s="156" t="s">
        <v>10083</v>
      </c>
      <c r="K662" s="156"/>
      <c r="L662" s="156" t="s">
        <v>191</v>
      </c>
      <c r="M662" s="331">
        <v>4</v>
      </c>
      <c r="N662" s="426"/>
      <c r="O662" s="151">
        <v>5</v>
      </c>
      <c r="P662" s="151" t="s">
        <v>199</v>
      </c>
      <c r="Q662" s="421"/>
    </row>
    <row r="663" spans="1:17" ht="11.25">
      <c r="A663" s="142" t="s">
        <v>10084</v>
      </c>
      <c r="B663" s="142" t="s">
        <v>10085</v>
      </c>
      <c r="C663" s="142"/>
      <c r="D663" s="142"/>
      <c r="E663" s="142" t="s">
        <v>242</v>
      </c>
      <c r="F663" s="142"/>
      <c r="G663" s="141" t="s">
        <v>2194</v>
      </c>
      <c r="H663" s="142" t="s">
        <v>10086</v>
      </c>
      <c r="I663" s="156" t="s">
        <v>204</v>
      </c>
      <c r="J663" s="156" t="s">
        <v>10083</v>
      </c>
      <c r="K663" s="156"/>
      <c r="L663" s="156" t="s">
        <v>191</v>
      </c>
      <c r="M663" s="331">
        <v>4</v>
      </c>
      <c r="N663" s="426"/>
      <c r="O663" s="151">
        <v>5</v>
      </c>
      <c r="P663" s="151" t="s">
        <v>199</v>
      </c>
      <c r="Q663" s="421"/>
    </row>
    <row r="664" spans="1:17" ht="11.25">
      <c r="A664" s="142" t="s">
        <v>10087</v>
      </c>
      <c r="B664" s="142" t="s">
        <v>10088</v>
      </c>
      <c r="C664" s="142"/>
      <c r="D664" s="142"/>
      <c r="E664" s="142" t="s">
        <v>242</v>
      </c>
      <c r="F664" s="142"/>
      <c r="G664" s="141" t="s">
        <v>2194</v>
      </c>
      <c r="H664" s="142" t="s">
        <v>10089</v>
      </c>
      <c r="I664" s="156" t="s">
        <v>204</v>
      </c>
      <c r="J664" s="156" t="s">
        <v>10083</v>
      </c>
      <c r="K664" s="156"/>
      <c r="L664" s="156" t="s">
        <v>191</v>
      </c>
      <c r="M664" s="331">
        <v>4</v>
      </c>
      <c r="N664" s="426"/>
      <c r="O664" s="151">
        <v>5</v>
      </c>
      <c r="P664" s="151" t="s">
        <v>199</v>
      </c>
      <c r="Q664" s="421"/>
    </row>
    <row r="665" spans="1:17" ht="22.5">
      <c r="A665" s="142" t="s">
        <v>10090</v>
      </c>
      <c r="B665" s="142" t="s">
        <v>10091</v>
      </c>
      <c r="C665" s="142"/>
      <c r="D665" s="142"/>
      <c r="E665" s="142" t="s">
        <v>242</v>
      </c>
      <c r="F665" s="142"/>
      <c r="G665" s="141" t="s">
        <v>2194</v>
      </c>
      <c r="H665" s="167" t="s">
        <v>10092</v>
      </c>
      <c r="I665" s="156" t="s">
        <v>204</v>
      </c>
      <c r="J665" s="155" t="s">
        <v>9984</v>
      </c>
      <c r="K665" s="155"/>
      <c r="L665" s="156" t="s">
        <v>191</v>
      </c>
      <c r="M665" s="331">
        <v>4</v>
      </c>
      <c r="N665" s="426"/>
      <c r="O665" s="151">
        <v>5</v>
      </c>
      <c r="P665" s="151" t="s">
        <v>199</v>
      </c>
      <c r="Q665" s="421"/>
    </row>
    <row r="666" spans="1:17" ht="11.25">
      <c r="A666" s="142" t="s">
        <v>10093</v>
      </c>
      <c r="B666" s="142" t="s">
        <v>10094</v>
      </c>
      <c r="C666" s="142"/>
      <c r="D666" s="142"/>
      <c r="E666" s="142" t="s">
        <v>242</v>
      </c>
      <c r="F666" s="142"/>
      <c r="G666" s="141" t="s">
        <v>2194</v>
      </c>
      <c r="H666" s="142" t="s">
        <v>10095</v>
      </c>
      <c r="I666" s="156" t="s">
        <v>204</v>
      </c>
      <c r="J666" s="156" t="s">
        <v>10096</v>
      </c>
      <c r="K666" s="156"/>
      <c r="L666" s="156" t="s">
        <v>191</v>
      </c>
      <c r="M666" s="331">
        <v>4</v>
      </c>
      <c r="N666" s="426"/>
      <c r="O666" s="151">
        <v>5</v>
      </c>
      <c r="P666" s="151" t="s">
        <v>199</v>
      </c>
      <c r="Q666" s="421"/>
    </row>
    <row r="667" spans="1:17" ht="22.5">
      <c r="A667" s="142" t="s">
        <v>10097</v>
      </c>
      <c r="B667" s="142" t="s">
        <v>10098</v>
      </c>
      <c r="C667" s="142"/>
      <c r="D667" s="142"/>
      <c r="E667" s="142" t="s">
        <v>242</v>
      </c>
      <c r="F667" s="142"/>
      <c r="G667" s="141" t="s">
        <v>2194</v>
      </c>
      <c r="H667" s="142" t="s">
        <v>10099</v>
      </c>
      <c r="I667" s="156" t="s">
        <v>204</v>
      </c>
      <c r="J667" s="156" t="s">
        <v>10096</v>
      </c>
      <c r="K667" s="156"/>
      <c r="L667" s="156" t="s">
        <v>191</v>
      </c>
      <c r="M667" s="331">
        <v>4</v>
      </c>
      <c r="N667" s="426"/>
      <c r="O667" s="151">
        <v>5</v>
      </c>
      <c r="P667" s="151" t="s">
        <v>199</v>
      </c>
      <c r="Q667" s="421"/>
    </row>
    <row r="668" spans="1:17" ht="11.25">
      <c r="A668" s="142" t="s">
        <v>10100</v>
      </c>
      <c r="B668" s="142" t="s">
        <v>10101</v>
      </c>
      <c r="C668" s="142"/>
      <c r="D668" s="142"/>
      <c r="E668" s="142" t="s">
        <v>242</v>
      </c>
      <c r="F668" s="142"/>
      <c r="G668" s="141" t="s">
        <v>8114</v>
      </c>
      <c r="H668" s="142" t="s">
        <v>10102</v>
      </c>
      <c r="I668" s="156" t="s">
        <v>204</v>
      </c>
      <c r="J668" s="156" t="s">
        <v>10096</v>
      </c>
      <c r="K668" s="156"/>
      <c r="L668" s="156" t="s">
        <v>191</v>
      </c>
      <c r="M668" s="331">
        <v>4</v>
      </c>
      <c r="N668" s="426"/>
      <c r="O668" s="151">
        <v>5</v>
      </c>
      <c r="P668" s="151" t="s">
        <v>199</v>
      </c>
      <c r="Q668" s="421"/>
    </row>
    <row r="669" spans="1:17" ht="11.25">
      <c r="A669" s="142" t="s">
        <v>10103</v>
      </c>
      <c r="B669" s="142" t="s">
        <v>10104</v>
      </c>
      <c r="C669" s="142"/>
      <c r="D669" s="142"/>
      <c r="E669" s="142" t="s">
        <v>242</v>
      </c>
      <c r="F669" s="142"/>
      <c r="G669" s="141" t="s">
        <v>8114</v>
      </c>
      <c r="H669" s="142" t="s">
        <v>10105</v>
      </c>
      <c r="I669" s="156" t="s">
        <v>204</v>
      </c>
      <c r="J669" s="156" t="s">
        <v>10096</v>
      </c>
      <c r="K669" s="156"/>
      <c r="L669" s="156" t="s">
        <v>191</v>
      </c>
      <c r="M669" s="331">
        <v>4</v>
      </c>
      <c r="N669" s="426"/>
      <c r="O669" s="151">
        <v>5</v>
      </c>
      <c r="P669" s="151" t="s">
        <v>199</v>
      </c>
      <c r="Q669" s="421"/>
    </row>
    <row r="670" spans="1:17" ht="22.5">
      <c r="A670" s="142" t="s">
        <v>10106</v>
      </c>
      <c r="B670" s="142" t="s">
        <v>10107</v>
      </c>
      <c r="C670" s="142"/>
      <c r="D670" s="142"/>
      <c r="E670" s="142" t="s">
        <v>242</v>
      </c>
      <c r="F670" s="142"/>
      <c r="G670" s="141" t="s">
        <v>8114</v>
      </c>
      <c r="H670" s="142" t="s">
        <v>10108</v>
      </c>
      <c r="I670" s="156" t="s">
        <v>204</v>
      </c>
      <c r="J670" s="156" t="s">
        <v>10096</v>
      </c>
      <c r="K670" s="156"/>
      <c r="L670" s="156" t="s">
        <v>191</v>
      </c>
      <c r="M670" s="331">
        <v>4</v>
      </c>
      <c r="N670" s="426"/>
      <c r="O670" s="151">
        <v>5</v>
      </c>
      <c r="P670" s="151" t="s">
        <v>199</v>
      </c>
      <c r="Q670" s="421"/>
    </row>
    <row r="671" spans="1:17" ht="11.25">
      <c r="A671" s="142" t="s">
        <v>10109</v>
      </c>
      <c r="B671" s="142" t="s">
        <v>10110</v>
      </c>
      <c r="C671" s="142"/>
      <c r="D671" s="142"/>
      <c r="E671" s="142" t="s">
        <v>242</v>
      </c>
      <c r="F671" s="142"/>
      <c r="G671" s="141" t="s">
        <v>2194</v>
      </c>
      <c r="H671" s="142" t="s">
        <v>10111</v>
      </c>
      <c r="I671" s="156" t="s">
        <v>204</v>
      </c>
      <c r="J671" s="156" t="s">
        <v>10096</v>
      </c>
      <c r="K671" s="156"/>
      <c r="L671" s="156" t="s">
        <v>191</v>
      </c>
      <c r="M671" s="331">
        <v>4</v>
      </c>
      <c r="N671" s="426"/>
      <c r="O671" s="151">
        <v>5</v>
      </c>
      <c r="P671" s="151" t="s">
        <v>199</v>
      </c>
      <c r="Q671" s="421"/>
    </row>
    <row r="672" spans="1:17" ht="22.5">
      <c r="A672" s="142" t="s">
        <v>10112</v>
      </c>
      <c r="B672" s="142" t="s">
        <v>10113</v>
      </c>
      <c r="C672" s="142"/>
      <c r="D672" s="142"/>
      <c r="E672" s="142" t="s">
        <v>242</v>
      </c>
      <c r="F672" s="142"/>
      <c r="G672" s="141" t="s">
        <v>8114</v>
      </c>
      <c r="H672" s="142" t="s">
        <v>10114</v>
      </c>
      <c r="I672" s="156" t="s">
        <v>204</v>
      </c>
      <c r="J672" s="156" t="s">
        <v>10096</v>
      </c>
      <c r="K672" s="156"/>
      <c r="L672" s="156" t="s">
        <v>191</v>
      </c>
      <c r="M672" s="331">
        <v>4</v>
      </c>
      <c r="N672" s="426"/>
      <c r="O672" s="151">
        <v>5</v>
      </c>
      <c r="P672" s="151" t="s">
        <v>199</v>
      </c>
      <c r="Q672" s="421"/>
    </row>
    <row r="673" spans="1:17" ht="11.25">
      <c r="A673" s="142" t="s">
        <v>10115</v>
      </c>
      <c r="B673" s="142" t="s">
        <v>10116</v>
      </c>
      <c r="C673" s="142"/>
      <c r="D673" s="142"/>
      <c r="E673" s="142" t="s">
        <v>242</v>
      </c>
      <c r="F673" s="142"/>
      <c r="G673" s="141" t="s">
        <v>2194</v>
      </c>
      <c r="H673" s="142" t="s">
        <v>10117</v>
      </c>
      <c r="I673" s="156" t="s">
        <v>204</v>
      </c>
      <c r="J673" s="156" t="s">
        <v>10096</v>
      </c>
      <c r="K673" s="156"/>
      <c r="L673" s="156" t="s">
        <v>191</v>
      </c>
      <c r="M673" s="331">
        <v>4</v>
      </c>
      <c r="N673" s="426"/>
      <c r="O673" s="151">
        <v>5</v>
      </c>
      <c r="P673" s="151" t="s">
        <v>199</v>
      </c>
      <c r="Q673" s="421"/>
    </row>
    <row r="674" spans="1:17" ht="22.5">
      <c r="A674" s="142" t="s">
        <v>10118</v>
      </c>
      <c r="B674" s="142" t="s">
        <v>10119</v>
      </c>
      <c r="C674" s="142"/>
      <c r="D674" s="142"/>
      <c r="E674" s="142" t="s">
        <v>242</v>
      </c>
      <c r="F674" s="142"/>
      <c r="G674" s="141" t="s">
        <v>8114</v>
      </c>
      <c r="H674" s="142" t="s">
        <v>10120</v>
      </c>
      <c r="I674" s="156" t="s">
        <v>204</v>
      </c>
      <c r="J674" s="156" t="s">
        <v>10096</v>
      </c>
      <c r="K674" s="156"/>
      <c r="L674" s="156" t="s">
        <v>191</v>
      </c>
      <c r="M674" s="331">
        <v>4</v>
      </c>
      <c r="N674" s="426"/>
      <c r="O674" s="151">
        <v>5</v>
      </c>
      <c r="P674" s="151" t="s">
        <v>199</v>
      </c>
      <c r="Q674" s="421"/>
    </row>
    <row r="675" spans="1:17" ht="11.25">
      <c r="A675" s="142" t="s">
        <v>10121</v>
      </c>
      <c r="B675" s="142" t="s">
        <v>10122</v>
      </c>
      <c r="C675" s="142"/>
      <c r="D675" s="142"/>
      <c r="E675" s="142" t="s">
        <v>242</v>
      </c>
      <c r="F675" s="142"/>
      <c r="G675" s="141" t="s">
        <v>8114</v>
      </c>
      <c r="H675" s="142" t="s">
        <v>10123</v>
      </c>
      <c r="I675" s="156" t="s">
        <v>204</v>
      </c>
      <c r="J675" s="156" t="s">
        <v>10096</v>
      </c>
      <c r="K675" s="156"/>
      <c r="L675" s="156" t="s">
        <v>191</v>
      </c>
      <c r="M675" s="331">
        <v>4</v>
      </c>
      <c r="N675" s="426"/>
      <c r="O675" s="151">
        <v>5</v>
      </c>
      <c r="P675" s="151" t="s">
        <v>199</v>
      </c>
      <c r="Q675" s="421"/>
    </row>
    <row r="676" spans="1:17" ht="22.5">
      <c r="A676" s="142" t="s">
        <v>10124</v>
      </c>
      <c r="B676" s="142" t="s">
        <v>10125</v>
      </c>
      <c r="C676" s="142"/>
      <c r="D676" s="142"/>
      <c r="E676" s="142" t="s">
        <v>242</v>
      </c>
      <c r="F676" s="142"/>
      <c r="G676" s="141" t="s">
        <v>8114</v>
      </c>
      <c r="H676" s="142" t="s">
        <v>10126</v>
      </c>
      <c r="I676" s="156" t="s">
        <v>204</v>
      </c>
      <c r="J676" s="156" t="s">
        <v>10096</v>
      </c>
      <c r="K676" s="156"/>
      <c r="L676" s="156" t="s">
        <v>191</v>
      </c>
      <c r="M676" s="331">
        <v>4</v>
      </c>
      <c r="N676" s="426"/>
      <c r="O676" s="151">
        <v>5</v>
      </c>
      <c r="P676" s="151" t="s">
        <v>199</v>
      </c>
      <c r="Q676" s="421"/>
    </row>
    <row r="677" spans="1:17" ht="22.5">
      <c r="A677" s="142" t="s">
        <v>10127</v>
      </c>
      <c r="B677" s="142" t="s">
        <v>10128</v>
      </c>
      <c r="C677" s="142"/>
      <c r="D677" s="142"/>
      <c r="E677" s="142" t="s">
        <v>242</v>
      </c>
      <c r="F677" s="160"/>
      <c r="G677" s="141" t="s">
        <v>2194</v>
      </c>
      <c r="H677" s="142" t="s">
        <v>10129</v>
      </c>
      <c r="I677" s="156" t="s">
        <v>204</v>
      </c>
      <c r="J677" s="156" t="s">
        <v>10096</v>
      </c>
      <c r="K677" s="156"/>
      <c r="L677" s="156" t="s">
        <v>191</v>
      </c>
      <c r="M677" s="331">
        <v>4</v>
      </c>
      <c r="N677" s="426"/>
      <c r="O677" s="151">
        <v>5</v>
      </c>
      <c r="P677" s="151" t="s">
        <v>199</v>
      </c>
      <c r="Q677" s="421"/>
    </row>
    <row r="678" spans="1:17" ht="33.75">
      <c r="A678" s="180" t="s">
        <v>8148</v>
      </c>
      <c r="B678" s="180" t="s">
        <v>1330</v>
      </c>
      <c r="C678" s="180" t="s">
        <v>8149</v>
      </c>
      <c r="D678" s="180"/>
      <c r="E678" s="156" t="s">
        <v>242</v>
      </c>
      <c r="F678" s="434"/>
      <c r="G678" s="435" t="s">
        <v>4206</v>
      </c>
      <c r="H678" s="181" t="s">
        <v>1332</v>
      </c>
      <c r="I678" s="156" t="s">
        <v>204</v>
      </c>
      <c r="J678" s="436" t="s">
        <v>3388</v>
      </c>
      <c r="K678" s="436"/>
      <c r="L678" s="156" t="s">
        <v>191</v>
      </c>
      <c r="M678" s="351">
        <v>4</v>
      </c>
      <c r="N678" s="426"/>
      <c r="O678" s="151">
        <v>5</v>
      </c>
      <c r="P678" s="151" t="s">
        <v>199</v>
      </c>
      <c r="Q678" s="421"/>
    </row>
    <row r="679" spans="1:17" ht="11.25">
      <c r="A679" s="173"/>
      <c r="B679" s="173"/>
      <c r="C679" s="173"/>
      <c r="D679" s="173"/>
      <c r="E679" s="173"/>
      <c r="F679" s="173"/>
      <c r="G679" s="353"/>
      <c r="H679" s="164"/>
      <c r="I679" s="164"/>
      <c r="J679" s="173"/>
      <c r="K679" s="173"/>
      <c r="L679" s="173"/>
      <c r="M679" s="437"/>
      <c r="N679" s="438"/>
      <c r="O679" s="166"/>
      <c r="P679" s="166"/>
      <c r="Q679" s="421"/>
    </row>
    <row r="680" spans="1:17">
      <c r="A680" s="353" t="s">
        <v>7953</v>
      </c>
      <c r="B680" s="423"/>
      <c r="C680" s="353"/>
      <c r="D680" s="353"/>
      <c r="E680" s="353"/>
      <c r="F680" s="353"/>
      <c r="G680" s="353"/>
      <c r="H680" s="353"/>
      <c r="I680" s="353"/>
      <c r="J680" s="173"/>
      <c r="K680" s="173"/>
      <c r="L680" s="173"/>
      <c r="M680" s="439"/>
      <c r="N680" s="438"/>
      <c r="O680" s="166"/>
      <c r="P680" s="166"/>
      <c r="Q680" s="421"/>
    </row>
    <row r="681" spans="1:17" ht="11.25">
      <c r="A681" s="189" t="s">
        <v>7956</v>
      </c>
      <c r="B681" s="189" t="s">
        <v>770</v>
      </c>
      <c r="C681" s="189" t="s">
        <v>10130</v>
      </c>
      <c r="D681" s="189"/>
      <c r="E681" s="189" t="s">
        <v>493</v>
      </c>
      <c r="F681" s="189"/>
      <c r="G681" s="440" t="s">
        <v>4206</v>
      </c>
      <c r="H681" s="441" t="s">
        <v>503</v>
      </c>
      <c r="I681" s="442" t="s">
        <v>198</v>
      </c>
      <c r="J681" s="443"/>
      <c r="K681" s="443"/>
      <c r="L681" s="156" t="s">
        <v>191</v>
      </c>
      <c r="M681" s="444">
        <v>4</v>
      </c>
      <c r="N681" s="426"/>
      <c r="O681" s="151">
        <v>5</v>
      </c>
      <c r="P681" s="151" t="s">
        <v>199</v>
      </c>
      <c r="Q681" s="421"/>
    </row>
    <row r="682" spans="1:17" ht="11.25">
      <c r="A682" s="142" t="s">
        <v>7958</v>
      </c>
      <c r="B682" s="142" t="s">
        <v>491</v>
      </c>
      <c r="C682" s="142" t="s">
        <v>7959</v>
      </c>
      <c r="D682" s="142"/>
      <c r="E682" s="142" t="s">
        <v>493</v>
      </c>
      <c r="F682" s="142"/>
      <c r="G682" s="141" t="s">
        <v>4206</v>
      </c>
      <c r="H682" s="142" t="s">
        <v>494</v>
      </c>
      <c r="I682" s="156" t="s">
        <v>466</v>
      </c>
      <c r="J682" s="156"/>
      <c r="K682" s="156"/>
      <c r="L682" s="156" t="s">
        <v>191</v>
      </c>
      <c r="M682" s="331">
        <v>4</v>
      </c>
      <c r="N682" s="426"/>
      <c r="O682" s="151">
        <v>3</v>
      </c>
      <c r="P682" s="151" t="s">
        <v>199</v>
      </c>
      <c r="Q682" s="421"/>
    </row>
    <row r="683" spans="1:17" ht="11.25">
      <c r="A683" s="142" t="s">
        <v>10131</v>
      </c>
      <c r="B683" s="142" t="s">
        <v>7542</v>
      </c>
      <c r="C683" s="142" t="s">
        <v>10132</v>
      </c>
      <c r="D683" s="142"/>
      <c r="E683" s="142" t="s">
        <v>242</v>
      </c>
      <c r="F683" s="142"/>
      <c r="G683" s="141" t="s">
        <v>5636</v>
      </c>
      <c r="H683" s="142" t="s">
        <v>7544</v>
      </c>
      <c r="I683" s="156" t="s">
        <v>740</v>
      </c>
      <c r="J683" s="156"/>
      <c r="K683" s="156"/>
      <c r="L683" s="156" t="s">
        <v>191</v>
      </c>
      <c r="M683" s="331">
        <v>4</v>
      </c>
      <c r="N683" s="426"/>
      <c r="O683" s="151">
        <v>5</v>
      </c>
      <c r="P683" s="151" t="s">
        <v>199</v>
      </c>
      <c r="Q683" s="421"/>
    </row>
    <row r="684" spans="1:17" ht="11.25">
      <c r="A684" s="142" t="s">
        <v>10133</v>
      </c>
      <c r="B684" s="142" t="s">
        <v>7546</v>
      </c>
      <c r="C684" s="142" t="s">
        <v>10134</v>
      </c>
      <c r="D684" s="142"/>
      <c r="E684" s="142" t="s">
        <v>242</v>
      </c>
      <c r="F684" s="142"/>
      <c r="G684" s="141" t="s">
        <v>4431</v>
      </c>
      <c r="H684" s="142" t="s">
        <v>10135</v>
      </c>
      <c r="I684" s="442" t="s">
        <v>198</v>
      </c>
      <c r="J684" s="156"/>
      <c r="K684" s="156"/>
      <c r="L684" s="156" t="s">
        <v>191</v>
      </c>
      <c r="M684" s="331">
        <v>4</v>
      </c>
      <c r="N684" s="426"/>
      <c r="O684" s="151">
        <v>5</v>
      </c>
      <c r="P684" s="151" t="s">
        <v>199</v>
      </c>
      <c r="Q684" s="421"/>
    </row>
    <row r="685" spans="1:17" ht="11.25">
      <c r="A685" s="142" t="s">
        <v>10133</v>
      </c>
      <c r="B685" s="142" t="s">
        <v>7546</v>
      </c>
      <c r="C685" s="142" t="s">
        <v>10134</v>
      </c>
      <c r="D685" s="142"/>
      <c r="E685" s="142" t="s">
        <v>242</v>
      </c>
      <c r="F685" s="142"/>
      <c r="G685" s="141" t="s">
        <v>10136</v>
      </c>
      <c r="H685" s="142" t="s">
        <v>10135</v>
      </c>
      <c r="I685" s="442" t="s">
        <v>198</v>
      </c>
      <c r="J685" s="156"/>
      <c r="K685" s="156"/>
      <c r="L685" s="156" t="s">
        <v>191</v>
      </c>
      <c r="M685" s="331">
        <v>4</v>
      </c>
      <c r="N685" s="426"/>
      <c r="O685" s="151">
        <v>5</v>
      </c>
      <c r="P685" s="151" t="s">
        <v>199</v>
      </c>
      <c r="Q685" s="421"/>
    </row>
    <row r="686" spans="1:17" ht="22.5">
      <c r="A686" s="142" t="s">
        <v>10137</v>
      </c>
      <c r="B686" s="142" t="s">
        <v>7551</v>
      </c>
      <c r="C686" s="142" t="s">
        <v>10138</v>
      </c>
      <c r="D686" s="142"/>
      <c r="E686" s="142" t="s">
        <v>242</v>
      </c>
      <c r="F686" s="142"/>
      <c r="G686" s="141" t="s">
        <v>4206</v>
      </c>
      <c r="H686" s="145" t="s">
        <v>7553</v>
      </c>
      <c r="I686" s="442" t="s">
        <v>198</v>
      </c>
      <c r="J686" s="156"/>
      <c r="K686" s="156"/>
      <c r="L686" s="156" t="s">
        <v>191</v>
      </c>
      <c r="M686" s="331">
        <v>4</v>
      </c>
      <c r="N686" s="426"/>
      <c r="O686" s="151">
        <v>5</v>
      </c>
      <c r="P686" s="151" t="s">
        <v>199</v>
      </c>
      <c r="Q686" s="421"/>
    </row>
    <row r="687" spans="1:17" ht="11.25">
      <c r="A687" s="319" t="s">
        <v>10139</v>
      </c>
      <c r="B687" s="319" t="s">
        <v>3413</v>
      </c>
      <c r="C687" s="319" t="s">
        <v>10140</v>
      </c>
      <c r="D687" s="319"/>
      <c r="E687" s="142" t="s">
        <v>242</v>
      </c>
      <c r="F687" s="142"/>
      <c r="G687" s="318" t="s">
        <v>4206</v>
      </c>
      <c r="H687" s="324" t="s">
        <v>7556</v>
      </c>
      <c r="I687" s="445" t="s">
        <v>740</v>
      </c>
      <c r="J687" s="341"/>
      <c r="K687" s="341"/>
      <c r="L687" s="156" t="s">
        <v>191</v>
      </c>
      <c r="M687" s="320">
        <v>4</v>
      </c>
      <c r="N687" s="426"/>
      <c r="O687" s="151">
        <v>5</v>
      </c>
      <c r="P687" s="151" t="s">
        <v>199</v>
      </c>
      <c r="Q687" s="421"/>
    </row>
    <row r="688" spans="1:17" ht="11.25">
      <c r="A688" s="142" t="s">
        <v>10141</v>
      </c>
      <c r="B688" s="142" t="s">
        <v>3406</v>
      </c>
      <c r="C688" s="142" t="s">
        <v>10142</v>
      </c>
      <c r="D688" s="142"/>
      <c r="E688" s="142" t="s">
        <v>242</v>
      </c>
      <c r="F688" s="142"/>
      <c r="G688" s="141" t="s">
        <v>4206</v>
      </c>
      <c r="H688" s="145" t="s">
        <v>7560</v>
      </c>
      <c r="I688" s="155" t="s">
        <v>466</v>
      </c>
      <c r="J688" s="156"/>
      <c r="K688" s="156"/>
      <c r="L688" s="156" t="s">
        <v>191</v>
      </c>
      <c r="M688" s="331">
        <v>4</v>
      </c>
      <c r="N688" s="426"/>
      <c r="O688" s="151">
        <v>4</v>
      </c>
      <c r="P688" s="151" t="s">
        <v>199</v>
      </c>
      <c r="Q688" s="421"/>
    </row>
    <row r="689" spans="1:17" ht="11.25">
      <c r="A689" s="142" t="s">
        <v>10143</v>
      </c>
      <c r="B689" s="142" t="s">
        <v>3392</v>
      </c>
      <c r="C689" s="142" t="s">
        <v>10144</v>
      </c>
      <c r="D689" s="142" t="s">
        <v>7563</v>
      </c>
      <c r="E689" s="142" t="s">
        <v>242</v>
      </c>
      <c r="F689" s="142"/>
      <c r="G689" s="141" t="s">
        <v>4206</v>
      </c>
      <c r="H689" s="145" t="s">
        <v>3395</v>
      </c>
      <c r="I689" s="155" t="s">
        <v>740</v>
      </c>
      <c r="J689" s="156"/>
      <c r="K689" s="156"/>
      <c r="L689" s="156" t="s">
        <v>191</v>
      </c>
      <c r="M689" s="331">
        <v>4</v>
      </c>
      <c r="N689" s="426"/>
      <c r="O689" s="151">
        <v>5</v>
      </c>
      <c r="P689" s="151" t="s">
        <v>199</v>
      </c>
      <c r="Q689" s="421"/>
    </row>
    <row r="690" spans="1:17" ht="22.5">
      <c r="A690" s="142" t="s">
        <v>10145</v>
      </c>
      <c r="B690" s="142" t="s">
        <v>7566</v>
      </c>
      <c r="C690" s="142" t="s">
        <v>10146</v>
      </c>
      <c r="D690" s="142"/>
      <c r="E690" s="142" t="s">
        <v>242</v>
      </c>
      <c r="F690" s="142"/>
      <c r="G690" s="141" t="s">
        <v>4206</v>
      </c>
      <c r="H690" s="145" t="s">
        <v>10147</v>
      </c>
      <c r="I690" s="155" t="s">
        <v>466</v>
      </c>
      <c r="J690" s="156"/>
      <c r="K690" s="156"/>
      <c r="L690" s="156" t="s">
        <v>191</v>
      </c>
      <c r="M690" s="331">
        <v>4</v>
      </c>
      <c r="N690" s="426"/>
      <c r="O690" s="151">
        <v>5</v>
      </c>
      <c r="P690" s="151" t="s">
        <v>199</v>
      </c>
      <c r="Q690" s="421"/>
    </row>
    <row r="691" spans="1:17" ht="22.5">
      <c r="A691" s="142" t="s">
        <v>10148</v>
      </c>
      <c r="B691" s="142" t="s">
        <v>10149</v>
      </c>
      <c r="C691" s="142"/>
      <c r="D691" s="142"/>
      <c r="E691" s="142" t="s">
        <v>242</v>
      </c>
      <c r="F691" s="142"/>
      <c r="G691" s="141" t="s">
        <v>10150</v>
      </c>
      <c r="H691" s="145" t="s">
        <v>10147</v>
      </c>
      <c r="I691" s="155" t="s">
        <v>466</v>
      </c>
      <c r="J691" s="156"/>
      <c r="K691" s="156"/>
      <c r="L691" s="156" t="s">
        <v>191</v>
      </c>
      <c r="M691" s="331">
        <v>4</v>
      </c>
      <c r="N691" s="426"/>
      <c r="O691" s="151">
        <v>5</v>
      </c>
      <c r="P691" s="151" t="s">
        <v>199</v>
      </c>
      <c r="Q691" s="421"/>
    </row>
    <row r="692" spans="1:17" ht="11.25">
      <c r="A692" s="142" t="s">
        <v>10151</v>
      </c>
      <c r="B692" s="142" t="s">
        <v>2078</v>
      </c>
      <c r="C692" s="142" t="s">
        <v>10152</v>
      </c>
      <c r="D692" s="142"/>
      <c r="E692" s="142" t="s">
        <v>242</v>
      </c>
      <c r="F692" s="142"/>
      <c r="G692" s="141" t="s">
        <v>4206</v>
      </c>
      <c r="H692" s="145" t="s">
        <v>7571</v>
      </c>
      <c r="I692" s="155" t="s">
        <v>740</v>
      </c>
      <c r="J692" s="156"/>
      <c r="K692" s="156"/>
      <c r="L692" s="156" t="s">
        <v>191</v>
      </c>
      <c r="M692" s="331">
        <v>4</v>
      </c>
      <c r="N692" s="426"/>
      <c r="O692" s="151">
        <v>5</v>
      </c>
      <c r="P692" s="151" t="s">
        <v>199</v>
      </c>
      <c r="Q692" s="421"/>
    </row>
    <row r="693" spans="1:17" ht="22.5">
      <c r="A693" s="142" t="s">
        <v>10153</v>
      </c>
      <c r="B693" s="142" t="s">
        <v>7573</v>
      </c>
      <c r="C693" s="142" t="s">
        <v>10154</v>
      </c>
      <c r="D693" s="142"/>
      <c r="E693" s="142" t="s">
        <v>242</v>
      </c>
      <c r="F693" s="142"/>
      <c r="G693" s="141" t="s">
        <v>4206</v>
      </c>
      <c r="H693" s="145" t="s">
        <v>7575</v>
      </c>
      <c r="I693" s="155" t="s">
        <v>740</v>
      </c>
      <c r="J693" s="156"/>
      <c r="K693" s="156"/>
      <c r="L693" s="156" t="s">
        <v>191</v>
      </c>
      <c r="M693" s="331">
        <v>4</v>
      </c>
      <c r="N693" s="426"/>
      <c r="O693" s="151">
        <v>5</v>
      </c>
      <c r="P693" s="151" t="s">
        <v>199</v>
      </c>
      <c r="Q693" s="421"/>
    </row>
    <row r="694" spans="1:17" ht="22.5">
      <c r="A694" s="142" t="s">
        <v>10155</v>
      </c>
      <c r="B694" s="142"/>
      <c r="C694" s="142"/>
      <c r="D694" s="142"/>
      <c r="E694" s="142" t="s">
        <v>242</v>
      </c>
      <c r="F694" s="142"/>
      <c r="G694" s="141" t="s">
        <v>4234</v>
      </c>
      <c r="H694" s="142" t="s">
        <v>10156</v>
      </c>
      <c r="I694" s="156" t="s">
        <v>188</v>
      </c>
      <c r="J694" s="155" t="s">
        <v>1453</v>
      </c>
      <c r="K694" s="155"/>
      <c r="L694" s="156" t="s">
        <v>191</v>
      </c>
      <c r="M694" s="331">
        <v>4</v>
      </c>
      <c r="N694" s="426"/>
      <c r="O694" s="151">
        <v>5</v>
      </c>
      <c r="P694" s="151" t="s">
        <v>199</v>
      </c>
      <c r="Q694" s="421"/>
    </row>
    <row r="695" spans="1:17" ht="11.25">
      <c r="A695" s="142" t="s">
        <v>10157</v>
      </c>
      <c r="B695" s="142" t="s">
        <v>7581</v>
      </c>
      <c r="C695" s="142"/>
      <c r="D695" s="142"/>
      <c r="E695" s="142" t="s">
        <v>242</v>
      </c>
      <c r="F695" s="142"/>
      <c r="G695" s="141" t="s">
        <v>1946</v>
      </c>
      <c r="H695" s="142" t="s">
        <v>10158</v>
      </c>
      <c r="I695" s="156" t="s">
        <v>740</v>
      </c>
      <c r="J695" s="155"/>
      <c r="K695" s="155"/>
      <c r="L695" s="156" t="s">
        <v>191</v>
      </c>
      <c r="M695" s="331"/>
      <c r="N695" s="426"/>
      <c r="O695" s="151">
        <v>5</v>
      </c>
      <c r="P695" s="151" t="s">
        <v>199</v>
      </c>
      <c r="Q695" s="421"/>
    </row>
    <row r="696" spans="1:17" ht="11.25">
      <c r="A696" s="142" t="s">
        <v>10159</v>
      </c>
      <c r="B696" s="142" t="s">
        <v>7589</v>
      </c>
      <c r="C696" s="142" t="s">
        <v>10160</v>
      </c>
      <c r="D696" s="142"/>
      <c r="E696" s="142" t="s">
        <v>242</v>
      </c>
      <c r="F696" s="142"/>
      <c r="G696" s="141" t="s">
        <v>4206</v>
      </c>
      <c r="H696" s="142" t="s">
        <v>7591</v>
      </c>
      <c r="I696" s="446" t="s">
        <v>740</v>
      </c>
      <c r="J696" s="156"/>
      <c r="K696" s="156"/>
      <c r="L696" s="156" t="s">
        <v>191</v>
      </c>
      <c r="M696" s="331">
        <v>4</v>
      </c>
      <c r="N696" s="426"/>
      <c r="O696" s="151">
        <v>5</v>
      </c>
      <c r="P696" s="151" t="s">
        <v>199</v>
      </c>
      <c r="Q696" s="421"/>
    </row>
    <row r="697" spans="1:17" ht="11.25">
      <c r="A697" s="142" t="s">
        <v>10161</v>
      </c>
      <c r="B697" s="142" t="s">
        <v>7593</v>
      </c>
      <c r="C697" s="142" t="s">
        <v>10162</v>
      </c>
      <c r="D697" s="142"/>
      <c r="E697" s="142" t="s">
        <v>242</v>
      </c>
      <c r="F697" s="142"/>
      <c r="G697" s="141" t="s">
        <v>4206</v>
      </c>
      <c r="H697" s="142" t="s">
        <v>7595</v>
      </c>
      <c r="I697" s="446" t="s">
        <v>740</v>
      </c>
      <c r="J697" s="156"/>
      <c r="K697" s="156"/>
      <c r="L697" s="156" t="s">
        <v>191</v>
      </c>
      <c r="M697" s="331">
        <v>4</v>
      </c>
      <c r="N697" s="426"/>
      <c r="O697" s="151">
        <v>5</v>
      </c>
      <c r="P697" s="151" t="s">
        <v>199</v>
      </c>
      <c r="Q697" s="421"/>
    </row>
    <row r="698" spans="1:17" ht="11.25">
      <c r="A698" s="142" t="s">
        <v>10163</v>
      </c>
      <c r="B698" s="142" t="s">
        <v>7597</v>
      </c>
      <c r="C698" s="142" t="s">
        <v>10164</v>
      </c>
      <c r="D698" s="142"/>
      <c r="E698" s="142" t="s">
        <v>242</v>
      </c>
      <c r="F698" s="142"/>
      <c r="G698" s="141" t="s">
        <v>4206</v>
      </c>
      <c r="H698" s="142" t="s">
        <v>7599</v>
      </c>
      <c r="I698" s="446" t="s">
        <v>740</v>
      </c>
      <c r="J698" s="156"/>
      <c r="K698" s="156"/>
      <c r="L698" s="156" t="s">
        <v>191</v>
      </c>
      <c r="M698" s="331">
        <v>4</v>
      </c>
      <c r="N698" s="426"/>
      <c r="O698" s="151">
        <v>5</v>
      </c>
      <c r="P698" s="151" t="s">
        <v>199</v>
      </c>
      <c r="Q698" s="421"/>
    </row>
    <row r="699" spans="1:17" ht="11.25">
      <c r="A699" s="142" t="s">
        <v>10165</v>
      </c>
      <c r="B699" s="142" t="s">
        <v>7609</v>
      </c>
      <c r="C699" s="142" t="s">
        <v>10166</v>
      </c>
      <c r="D699" s="142"/>
      <c r="E699" s="142" t="s">
        <v>242</v>
      </c>
      <c r="F699" s="142"/>
      <c r="G699" s="141" t="s">
        <v>2092</v>
      </c>
      <c r="H699" s="145" t="s">
        <v>7611</v>
      </c>
      <c r="I699" s="447" t="s">
        <v>198</v>
      </c>
      <c r="J699" s="156"/>
      <c r="K699" s="156"/>
      <c r="L699" s="156" t="s">
        <v>191</v>
      </c>
      <c r="M699" s="331">
        <v>4</v>
      </c>
      <c r="N699" s="426"/>
      <c r="O699" s="151">
        <v>5</v>
      </c>
      <c r="P699" s="151" t="s">
        <v>199</v>
      </c>
      <c r="Q699" s="421"/>
    </row>
    <row r="700" spans="1:17" ht="11.25">
      <c r="A700" s="142" t="s">
        <v>10167</v>
      </c>
      <c r="B700" s="142" t="s">
        <v>7626</v>
      </c>
      <c r="C700" s="142" t="s">
        <v>10168</v>
      </c>
      <c r="D700" s="142"/>
      <c r="E700" s="142" t="s">
        <v>242</v>
      </c>
      <c r="F700" s="142"/>
      <c r="G700" s="141" t="s">
        <v>2092</v>
      </c>
      <c r="H700" s="145" t="s">
        <v>10169</v>
      </c>
      <c r="I700" s="447" t="s">
        <v>198</v>
      </c>
      <c r="J700" s="156"/>
      <c r="K700" s="156"/>
      <c r="L700" s="156" t="s">
        <v>191</v>
      </c>
      <c r="M700" s="331">
        <v>4</v>
      </c>
      <c r="N700" s="426"/>
      <c r="O700" s="151">
        <v>5</v>
      </c>
      <c r="P700" s="151" t="s">
        <v>199</v>
      </c>
      <c r="Q700" s="421"/>
    </row>
    <row r="701" spans="1:17" ht="22.5">
      <c r="A701" s="142" t="s">
        <v>10170</v>
      </c>
      <c r="B701" s="142" t="s">
        <v>10171</v>
      </c>
      <c r="C701" s="142" t="s">
        <v>10172</v>
      </c>
      <c r="D701" s="142"/>
      <c r="E701" s="142" t="s">
        <v>242</v>
      </c>
      <c r="F701" s="142"/>
      <c r="G701" s="141" t="s">
        <v>1930</v>
      </c>
      <c r="H701" s="145" t="s">
        <v>10173</v>
      </c>
      <c r="I701" s="447" t="s">
        <v>198</v>
      </c>
      <c r="J701" s="156"/>
      <c r="K701" s="156"/>
      <c r="L701" s="156" t="s">
        <v>191</v>
      </c>
      <c r="M701" s="331">
        <v>4</v>
      </c>
      <c r="N701" s="426"/>
      <c r="O701" s="151">
        <v>5</v>
      </c>
      <c r="P701" s="151" t="s">
        <v>199</v>
      </c>
      <c r="Q701" s="421"/>
    </row>
    <row r="702" spans="1:17" ht="11.25">
      <c r="A702" s="142" t="s">
        <v>10139</v>
      </c>
      <c r="B702" s="142" t="s">
        <v>3413</v>
      </c>
      <c r="C702" s="142"/>
      <c r="D702" s="142"/>
      <c r="E702" s="142" t="s">
        <v>242</v>
      </c>
      <c r="F702" s="142"/>
      <c r="G702" s="141" t="s">
        <v>1946</v>
      </c>
      <c r="H702" s="145" t="s">
        <v>10174</v>
      </c>
      <c r="I702" s="155" t="s">
        <v>740</v>
      </c>
      <c r="J702" s="156"/>
      <c r="K702" s="156"/>
      <c r="L702" s="156" t="s">
        <v>191</v>
      </c>
      <c r="M702" s="331">
        <v>4</v>
      </c>
      <c r="N702" s="426"/>
      <c r="O702" s="151">
        <v>5</v>
      </c>
      <c r="P702" s="151" t="s">
        <v>199</v>
      </c>
      <c r="Q702" s="421"/>
    </row>
    <row r="703" spans="1:17" ht="11.25">
      <c r="A703" s="142" t="s">
        <v>10175</v>
      </c>
      <c r="B703" s="142" t="s">
        <v>3416</v>
      </c>
      <c r="C703" s="142" t="s">
        <v>10176</v>
      </c>
      <c r="D703" s="142"/>
      <c r="E703" s="142" t="s">
        <v>242</v>
      </c>
      <c r="F703" s="142"/>
      <c r="G703" s="141" t="s">
        <v>4206</v>
      </c>
      <c r="H703" s="145" t="s">
        <v>7638</v>
      </c>
      <c r="I703" s="155" t="s">
        <v>740</v>
      </c>
      <c r="J703" s="156"/>
      <c r="K703" s="156"/>
      <c r="L703" s="156" t="s">
        <v>191</v>
      </c>
      <c r="M703" s="331">
        <v>4</v>
      </c>
      <c r="N703" s="426"/>
      <c r="O703" s="151">
        <v>5</v>
      </c>
      <c r="P703" s="151" t="s">
        <v>199</v>
      </c>
      <c r="Q703" s="421"/>
    </row>
    <row r="704" spans="1:17" ht="11.25">
      <c r="A704" s="142" t="s">
        <v>10177</v>
      </c>
      <c r="B704" s="142" t="s">
        <v>7641</v>
      </c>
      <c r="C704" s="142" t="s">
        <v>10178</v>
      </c>
      <c r="D704" s="142"/>
      <c r="E704" s="142" t="s">
        <v>242</v>
      </c>
      <c r="F704" s="142"/>
      <c r="G704" s="141" t="s">
        <v>4206</v>
      </c>
      <c r="H704" s="142" t="s">
        <v>7643</v>
      </c>
      <c r="I704" s="155" t="s">
        <v>740</v>
      </c>
      <c r="J704" s="156"/>
      <c r="K704" s="156"/>
      <c r="L704" s="156" t="s">
        <v>191</v>
      </c>
      <c r="M704" s="331">
        <v>4</v>
      </c>
      <c r="N704" s="426"/>
      <c r="O704" s="151">
        <v>5</v>
      </c>
      <c r="P704" s="151" t="s">
        <v>199</v>
      </c>
      <c r="Q704" s="421"/>
    </row>
    <row r="705" spans="1:17" ht="11.25">
      <c r="A705" s="142" t="s">
        <v>10179</v>
      </c>
      <c r="B705" s="142" t="s">
        <v>7645</v>
      </c>
      <c r="C705" s="142" t="s">
        <v>10180</v>
      </c>
      <c r="D705" s="142"/>
      <c r="E705" s="142" t="s">
        <v>242</v>
      </c>
      <c r="F705" s="142"/>
      <c r="G705" s="141" t="s">
        <v>4206</v>
      </c>
      <c r="H705" s="142" t="s">
        <v>7647</v>
      </c>
      <c r="I705" s="155" t="s">
        <v>740</v>
      </c>
      <c r="J705" s="156"/>
      <c r="K705" s="156"/>
      <c r="L705" s="156" t="s">
        <v>191</v>
      </c>
      <c r="M705" s="331">
        <v>4</v>
      </c>
      <c r="N705" s="426"/>
      <c r="O705" s="151">
        <v>5</v>
      </c>
      <c r="P705" s="151" t="s">
        <v>199</v>
      </c>
      <c r="Q705" s="421"/>
    </row>
    <row r="706" spans="1:17" ht="11.25">
      <c r="A706" s="142" t="s">
        <v>10181</v>
      </c>
      <c r="B706" s="142" t="s">
        <v>3528</v>
      </c>
      <c r="C706" s="142" t="s">
        <v>10182</v>
      </c>
      <c r="D706" s="142"/>
      <c r="E706" s="142" t="s">
        <v>242</v>
      </c>
      <c r="F706" s="142"/>
      <c r="G706" s="141" t="s">
        <v>2092</v>
      </c>
      <c r="H706" s="145" t="s">
        <v>10183</v>
      </c>
      <c r="I706" s="155" t="s">
        <v>198</v>
      </c>
      <c r="J706" s="156"/>
      <c r="K706" s="156"/>
      <c r="L706" s="156" t="s">
        <v>191</v>
      </c>
      <c r="M706" s="331">
        <v>4</v>
      </c>
      <c r="N706" s="426"/>
      <c r="O706" s="151">
        <v>5</v>
      </c>
      <c r="P706" s="151" t="s">
        <v>199</v>
      </c>
      <c r="Q706" s="421"/>
    </row>
    <row r="707" spans="1:17" ht="11.25">
      <c r="A707" s="142" t="s">
        <v>10184</v>
      </c>
      <c r="B707" s="142" t="s">
        <v>10185</v>
      </c>
      <c r="C707" s="142"/>
      <c r="D707" s="142"/>
      <c r="E707" s="142" t="s">
        <v>242</v>
      </c>
      <c r="F707" s="142"/>
      <c r="G707" s="141" t="s">
        <v>1946</v>
      </c>
      <c r="H707" s="145" t="s">
        <v>10186</v>
      </c>
      <c r="I707" s="155" t="s">
        <v>198</v>
      </c>
      <c r="J707" s="156"/>
      <c r="K707" s="156"/>
      <c r="L707" s="156" t="s">
        <v>191</v>
      </c>
      <c r="M707" s="331">
        <v>4</v>
      </c>
      <c r="N707" s="426"/>
      <c r="O707" s="151">
        <v>5</v>
      </c>
      <c r="P707" s="151" t="s">
        <v>199</v>
      </c>
      <c r="Q707" s="421"/>
    </row>
    <row r="708" spans="1:17" ht="11.25">
      <c r="A708" s="142" t="s">
        <v>10187</v>
      </c>
      <c r="B708" s="142" t="s">
        <v>10188</v>
      </c>
      <c r="C708" s="142"/>
      <c r="D708" s="142"/>
      <c r="E708" s="142" t="s">
        <v>242</v>
      </c>
      <c r="F708" s="142"/>
      <c r="G708" s="141" t="s">
        <v>6467</v>
      </c>
      <c r="H708" s="145" t="s">
        <v>10189</v>
      </c>
      <c r="I708" s="155" t="s">
        <v>198</v>
      </c>
      <c r="J708" s="156"/>
      <c r="K708" s="156"/>
      <c r="L708" s="156" t="s">
        <v>191</v>
      </c>
      <c r="M708" s="331">
        <v>4</v>
      </c>
      <c r="N708" s="426"/>
      <c r="O708" s="151">
        <v>5</v>
      </c>
      <c r="P708" s="151" t="s">
        <v>199</v>
      </c>
      <c r="Q708" s="421"/>
    </row>
    <row r="709" spans="1:17" ht="11.25">
      <c r="A709" s="142" t="s">
        <v>10190</v>
      </c>
      <c r="B709" s="142" t="s">
        <v>7613</v>
      </c>
      <c r="C709" s="142"/>
      <c r="D709" s="142"/>
      <c r="E709" s="142" t="s">
        <v>242</v>
      </c>
      <c r="F709" s="142"/>
      <c r="G709" s="141" t="s">
        <v>1946</v>
      </c>
      <c r="H709" s="145" t="s">
        <v>10191</v>
      </c>
      <c r="I709" s="447" t="s">
        <v>198</v>
      </c>
      <c r="J709" s="156"/>
      <c r="K709" s="156"/>
      <c r="L709" s="156" t="s">
        <v>191</v>
      </c>
      <c r="M709" s="331">
        <v>4</v>
      </c>
      <c r="N709" s="426"/>
      <c r="O709" s="151">
        <v>5</v>
      </c>
      <c r="P709" s="151" t="s">
        <v>199</v>
      </c>
      <c r="Q709" s="421"/>
    </row>
    <row r="710" spans="1:17" ht="11.25">
      <c r="A710" s="142" t="s">
        <v>10192</v>
      </c>
      <c r="B710" s="142" t="s">
        <v>7601</v>
      </c>
      <c r="C710" s="142"/>
      <c r="D710" s="142"/>
      <c r="E710" s="142" t="s">
        <v>242</v>
      </c>
      <c r="F710" s="142"/>
      <c r="G710" s="141" t="s">
        <v>1946</v>
      </c>
      <c r="H710" s="145" t="s">
        <v>10193</v>
      </c>
      <c r="I710" s="447" t="s">
        <v>198</v>
      </c>
      <c r="J710" s="156"/>
      <c r="K710" s="156"/>
      <c r="L710" s="156" t="s">
        <v>191</v>
      </c>
      <c r="M710" s="331">
        <v>4</v>
      </c>
      <c r="N710" s="426"/>
      <c r="O710" s="151">
        <v>5</v>
      </c>
      <c r="P710" s="151" t="s">
        <v>199</v>
      </c>
      <c r="Q710" s="421"/>
    </row>
    <row r="711" spans="1:17" ht="11.25">
      <c r="A711" s="142" t="s">
        <v>10194</v>
      </c>
      <c r="B711" s="142" t="s">
        <v>7605</v>
      </c>
      <c r="C711" s="142"/>
      <c r="D711" s="142"/>
      <c r="E711" s="142" t="s">
        <v>242</v>
      </c>
      <c r="F711" s="142"/>
      <c r="G711" s="141" t="s">
        <v>1946</v>
      </c>
      <c r="H711" s="145" t="s">
        <v>10195</v>
      </c>
      <c r="I711" s="447" t="s">
        <v>198</v>
      </c>
      <c r="J711" s="156"/>
      <c r="K711" s="156"/>
      <c r="L711" s="156" t="s">
        <v>191</v>
      </c>
      <c r="M711" s="331">
        <v>4</v>
      </c>
      <c r="N711" s="426"/>
      <c r="O711" s="151">
        <v>5</v>
      </c>
      <c r="P711" s="151" t="s">
        <v>199</v>
      </c>
      <c r="Q711" s="421"/>
    </row>
    <row r="712" spans="1:17" ht="11.25">
      <c r="A712" s="142" t="s">
        <v>10196</v>
      </c>
      <c r="B712" s="145" t="s">
        <v>10197</v>
      </c>
      <c r="C712" s="142" t="s">
        <v>10198</v>
      </c>
      <c r="D712" s="142"/>
      <c r="E712" s="142" t="s">
        <v>242</v>
      </c>
      <c r="F712" s="142"/>
      <c r="G712" s="141" t="s">
        <v>1930</v>
      </c>
      <c r="H712" s="145" t="s">
        <v>10199</v>
      </c>
      <c r="I712" s="447" t="s">
        <v>198</v>
      </c>
      <c r="J712" s="156"/>
      <c r="K712" s="156"/>
      <c r="L712" s="156" t="s">
        <v>191</v>
      </c>
      <c r="M712" s="331">
        <v>4</v>
      </c>
      <c r="N712" s="426"/>
      <c r="O712" s="151">
        <v>5</v>
      </c>
      <c r="P712" s="151" t="s">
        <v>199</v>
      </c>
      <c r="Q712" s="421"/>
    </row>
    <row r="713" spans="1:17" ht="22.5">
      <c r="A713" s="142" t="s">
        <v>10200</v>
      </c>
      <c r="B713" s="145" t="s">
        <v>10201</v>
      </c>
      <c r="C713" s="142" t="s">
        <v>10202</v>
      </c>
      <c r="D713" s="142"/>
      <c r="E713" s="142" t="s">
        <v>242</v>
      </c>
      <c r="F713" s="142"/>
      <c r="G713" s="141" t="s">
        <v>1930</v>
      </c>
      <c r="H713" s="145" t="s">
        <v>10203</v>
      </c>
      <c r="I713" s="447" t="s">
        <v>198</v>
      </c>
      <c r="J713" s="156"/>
      <c r="K713" s="156"/>
      <c r="L713" s="156" t="s">
        <v>191</v>
      </c>
      <c r="M713" s="331">
        <v>4</v>
      </c>
      <c r="N713" s="426"/>
      <c r="O713" s="151">
        <v>5</v>
      </c>
      <c r="P713" s="151" t="s">
        <v>199</v>
      </c>
      <c r="Q713" s="421"/>
    </row>
    <row r="714" spans="1:17" ht="11.25">
      <c r="A714" s="142" t="s">
        <v>10204</v>
      </c>
      <c r="B714" s="145" t="s">
        <v>10205</v>
      </c>
      <c r="C714" s="142"/>
      <c r="D714" s="142"/>
      <c r="E714" s="142" t="s">
        <v>242</v>
      </c>
      <c r="F714" s="142"/>
      <c r="G714" s="141" t="s">
        <v>10206</v>
      </c>
      <c r="H714" s="145" t="s">
        <v>10207</v>
      </c>
      <c r="I714" s="447" t="s">
        <v>198</v>
      </c>
      <c r="J714" s="156"/>
      <c r="K714" s="156"/>
      <c r="L714" s="156" t="s">
        <v>191</v>
      </c>
      <c r="M714" s="331">
        <v>4</v>
      </c>
      <c r="N714" s="426"/>
      <c r="O714" s="151">
        <v>5</v>
      </c>
      <c r="P714" s="151" t="s">
        <v>199</v>
      </c>
      <c r="Q714" s="421"/>
    </row>
    <row r="715" spans="1:17" ht="11.25">
      <c r="A715" s="142" t="s">
        <v>10208</v>
      </c>
      <c r="B715" s="145" t="s">
        <v>10209</v>
      </c>
      <c r="C715" s="142"/>
      <c r="D715" s="142"/>
      <c r="E715" s="142" t="s">
        <v>242</v>
      </c>
      <c r="F715" s="142"/>
      <c r="G715" s="141" t="s">
        <v>10206</v>
      </c>
      <c r="H715" s="145" t="s">
        <v>10210</v>
      </c>
      <c r="I715" s="447" t="s">
        <v>198</v>
      </c>
      <c r="J715" s="156"/>
      <c r="K715" s="156"/>
      <c r="L715" s="156" t="s">
        <v>191</v>
      </c>
      <c r="M715" s="331">
        <v>4</v>
      </c>
      <c r="N715" s="426"/>
      <c r="O715" s="151">
        <v>5</v>
      </c>
      <c r="P715" s="151" t="s">
        <v>199</v>
      </c>
      <c r="Q715" s="421"/>
    </row>
    <row r="716" spans="1:17" ht="22.5">
      <c r="A716" s="142" t="s">
        <v>10211</v>
      </c>
      <c r="B716" s="142" t="s">
        <v>7652</v>
      </c>
      <c r="C716" s="142" t="s">
        <v>10212</v>
      </c>
      <c r="D716" s="142"/>
      <c r="E716" s="142" t="s">
        <v>242</v>
      </c>
      <c r="F716" s="142"/>
      <c r="G716" s="141" t="s">
        <v>10213</v>
      </c>
      <c r="H716" s="145" t="s">
        <v>7654</v>
      </c>
      <c r="I716" s="155" t="s">
        <v>740</v>
      </c>
      <c r="J716" s="156"/>
      <c r="K716" s="156"/>
      <c r="L716" s="156" t="s">
        <v>191</v>
      </c>
      <c r="M716" s="331">
        <v>4</v>
      </c>
      <c r="N716" s="426"/>
      <c r="O716" s="151">
        <v>5</v>
      </c>
      <c r="P716" s="151" t="s">
        <v>199</v>
      </c>
      <c r="Q716" s="421"/>
    </row>
    <row r="717" spans="1:17" ht="11.25">
      <c r="A717" s="142" t="s">
        <v>10214</v>
      </c>
      <c r="B717" s="142" t="s">
        <v>7662</v>
      </c>
      <c r="C717" s="142" t="s">
        <v>10215</v>
      </c>
      <c r="D717" s="142"/>
      <c r="E717" s="142" t="s">
        <v>242</v>
      </c>
      <c r="F717" s="142"/>
      <c r="G717" s="141" t="s">
        <v>7915</v>
      </c>
      <c r="H717" s="145" t="s">
        <v>10216</v>
      </c>
      <c r="I717" s="155" t="s">
        <v>740</v>
      </c>
      <c r="J717" s="156"/>
      <c r="K717" s="156"/>
      <c r="L717" s="156" t="s">
        <v>191</v>
      </c>
      <c r="M717" s="331">
        <v>4</v>
      </c>
      <c r="N717" s="426"/>
      <c r="O717" s="151">
        <v>5</v>
      </c>
      <c r="P717" s="151" t="s">
        <v>199</v>
      </c>
      <c r="Q717" s="421"/>
    </row>
    <row r="718" spans="1:17" ht="11.25">
      <c r="A718" s="142" t="s">
        <v>10217</v>
      </c>
      <c r="B718" s="142" t="s">
        <v>7667</v>
      </c>
      <c r="C718" s="142" t="s">
        <v>10218</v>
      </c>
      <c r="D718" s="142"/>
      <c r="E718" s="142" t="s">
        <v>242</v>
      </c>
      <c r="F718" s="142"/>
      <c r="G718" s="141" t="s">
        <v>7915</v>
      </c>
      <c r="H718" s="145" t="s">
        <v>10219</v>
      </c>
      <c r="I718" s="155" t="s">
        <v>740</v>
      </c>
      <c r="J718" s="156"/>
      <c r="K718" s="156"/>
      <c r="L718" s="156" t="s">
        <v>191</v>
      </c>
      <c r="M718" s="331">
        <v>4</v>
      </c>
      <c r="N718" s="426"/>
      <c r="O718" s="151">
        <v>5</v>
      </c>
      <c r="P718" s="151" t="s">
        <v>199</v>
      </c>
      <c r="Q718" s="421"/>
    </row>
    <row r="719" spans="1:17" ht="22.5">
      <c r="A719" s="142" t="s">
        <v>10220</v>
      </c>
      <c r="B719" s="142" t="s">
        <v>3421</v>
      </c>
      <c r="C719" s="142" t="s">
        <v>10221</v>
      </c>
      <c r="D719" s="142"/>
      <c r="E719" s="142" t="s">
        <v>242</v>
      </c>
      <c r="F719" s="142"/>
      <c r="G719" s="141" t="s">
        <v>7915</v>
      </c>
      <c r="H719" s="145" t="s">
        <v>10222</v>
      </c>
      <c r="I719" s="155" t="s">
        <v>740</v>
      </c>
      <c r="J719" s="156"/>
      <c r="K719" s="156"/>
      <c r="L719" s="156" t="s">
        <v>191</v>
      </c>
      <c r="M719" s="331">
        <v>4</v>
      </c>
      <c r="N719" s="426"/>
      <c r="O719" s="151">
        <v>5</v>
      </c>
      <c r="P719" s="151" t="s">
        <v>199</v>
      </c>
      <c r="Q719" s="421"/>
    </row>
    <row r="720" spans="1:17" ht="22.5">
      <c r="A720" s="142" t="s">
        <v>10223</v>
      </c>
      <c r="B720" s="145" t="s">
        <v>7683</v>
      </c>
      <c r="C720" s="142" t="s">
        <v>10224</v>
      </c>
      <c r="D720" s="142"/>
      <c r="E720" s="142" t="s">
        <v>242</v>
      </c>
      <c r="F720" s="142"/>
      <c r="G720" s="141" t="s">
        <v>7968</v>
      </c>
      <c r="H720" s="145" t="s">
        <v>10225</v>
      </c>
      <c r="I720" s="155" t="s">
        <v>740</v>
      </c>
      <c r="J720" s="156"/>
      <c r="K720" s="156"/>
      <c r="L720" s="156" t="s">
        <v>191</v>
      </c>
      <c r="M720" s="331">
        <v>4</v>
      </c>
      <c r="N720" s="426"/>
      <c r="O720" s="151">
        <v>5</v>
      </c>
      <c r="P720" s="151" t="s">
        <v>199</v>
      </c>
      <c r="Q720" s="421"/>
    </row>
    <row r="721" spans="1:17" ht="22.5">
      <c r="A721" s="142" t="s">
        <v>10226</v>
      </c>
      <c r="B721" s="145" t="s">
        <v>7687</v>
      </c>
      <c r="C721" s="142" t="s">
        <v>10227</v>
      </c>
      <c r="D721" s="142"/>
      <c r="E721" s="142" t="s">
        <v>242</v>
      </c>
      <c r="F721" s="142"/>
      <c r="G721" s="141" t="s">
        <v>7968</v>
      </c>
      <c r="H721" s="145" t="s">
        <v>10228</v>
      </c>
      <c r="I721" s="155" t="s">
        <v>740</v>
      </c>
      <c r="J721" s="156"/>
      <c r="K721" s="156"/>
      <c r="L721" s="156" t="s">
        <v>191</v>
      </c>
      <c r="M721" s="331">
        <v>4</v>
      </c>
      <c r="N721" s="426"/>
      <c r="O721" s="151">
        <v>5</v>
      </c>
      <c r="P721" s="151" t="s">
        <v>199</v>
      </c>
      <c r="Q721" s="421"/>
    </row>
    <row r="722" spans="1:17" ht="22.5">
      <c r="A722" s="142" t="s">
        <v>10229</v>
      </c>
      <c r="B722" s="145" t="s">
        <v>7690</v>
      </c>
      <c r="C722" s="142" t="s">
        <v>10230</v>
      </c>
      <c r="D722" s="142"/>
      <c r="E722" s="142" t="s">
        <v>242</v>
      </c>
      <c r="F722" s="142"/>
      <c r="G722" s="141" t="s">
        <v>7968</v>
      </c>
      <c r="H722" s="145" t="s">
        <v>10231</v>
      </c>
      <c r="I722" s="155" t="s">
        <v>740</v>
      </c>
      <c r="J722" s="156"/>
      <c r="K722" s="156"/>
      <c r="L722" s="156" t="s">
        <v>191</v>
      </c>
      <c r="M722" s="331">
        <v>4</v>
      </c>
      <c r="N722" s="426"/>
      <c r="O722" s="151">
        <v>5</v>
      </c>
      <c r="P722" s="151" t="s">
        <v>199</v>
      </c>
      <c r="Q722" s="421"/>
    </row>
    <row r="723" spans="1:17" ht="22.5">
      <c r="A723" s="142" t="s">
        <v>10232</v>
      </c>
      <c r="B723" s="145" t="s">
        <v>10233</v>
      </c>
      <c r="C723" s="142" t="s">
        <v>10234</v>
      </c>
      <c r="D723" s="142"/>
      <c r="E723" s="142" t="s">
        <v>242</v>
      </c>
      <c r="F723" s="142"/>
      <c r="G723" s="141" t="s">
        <v>7968</v>
      </c>
      <c r="H723" s="145" t="s">
        <v>10235</v>
      </c>
      <c r="I723" s="155" t="s">
        <v>740</v>
      </c>
      <c r="J723" s="156"/>
      <c r="K723" s="156"/>
      <c r="L723" s="156" t="s">
        <v>191</v>
      </c>
      <c r="M723" s="331">
        <v>4</v>
      </c>
      <c r="N723" s="426"/>
      <c r="O723" s="151">
        <v>5</v>
      </c>
      <c r="P723" s="151" t="s">
        <v>199</v>
      </c>
      <c r="Q723" s="421"/>
    </row>
    <row r="724" spans="1:17" ht="33.75">
      <c r="A724" s="145" t="s">
        <v>10236</v>
      </c>
      <c r="B724" s="145" t="s">
        <v>10237</v>
      </c>
      <c r="C724" s="142"/>
      <c r="D724" s="142"/>
      <c r="E724" s="142" t="s">
        <v>242</v>
      </c>
      <c r="F724" s="142"/>
      <c r="G724" s="141" t="s">
        <v>1946</v>
      </c>
      <c r="H724" s="145" t="s">
        <v>10238</v>
      </c>
      <c r="I724" s="155" t="s">
        <v>188</v>
      </c>
      <c r="J724" s="156" t="s">
        <v>10239</v>
      </c>
      <c r="K724" s="156"/>
      <c r="L724" s="156" t="s">
        <v>191</v>
      </c>
      <c r="M724" s="331">
        <v>4</v>
      </c>
      <c r="N724" s="426"/>
      <c r="O724" s="151">
        <v>5</v>
      </c>
      <c r="P724" s="151" t="s">
        <v>199</v>
      </c>
      <c r="Q724" s="421"/>
    </row>
    <row r="725" spans="1:17" ht="33.75">
      <c r="A725" s="145" t="s">
        <v>10240</v>
      </c>
      <c r="B725" s="145" t="s">
        <v>10241</v>
      </c>
      <c r="C725" s="142"/>
      <c r="D725" s="142"/>
      <c r="E725" s="142" t="s">
        <v>242</v>
      </c>
      <c r="F725" s="142"/>
      <c r="G725" s="141" t="s">
        <v>1946</v>
      </c>
      <c r="H725" s="145" t="s">
        <v>10242</v>
      </c>
      <c r="I725" s="155" t="s">
        <v>188</v>
      </c>
      <c r="J725" s="156" t="s">
        <v>10239</v>
      </c>
      <c r="K725" s="156"/>
      <c r="L725" s="156" t="s">
        <v>191</v>
      </c>
      <c r="M725" s="331">
        <v>4</v>
      </c>
      <c r="N725" s="426"/>
      <c r="O725" s="151">
        <v>5</v>
      </c>
      <c r="P725" s="151" t="s">
        <v>199</v>
      </c>
      <c r="Q725" s="421"/>
    </row>
    <row r="726" spans="1:17" ht="33.75">
      <c r="A726" s="145" t="s">
        <v>10243</v>
      </c>
      <c r="B726" s="145" t="s">
        <v>10244</v>
      </c>
      <c r="C726" s="142"/>
      <c r="D726" s="142"/>
      <c r="E726" s="142" t="s">
        <v>242</v>
      </c>
      <c r="F726" s="142"/>
      <c r="G726" s="141" t="s">
        <v>1946</v>
      </c>
      <c r="H726" s="145" t="s">
        <v>10245</v>
      </c>
      <c r="I726" s="155" t="s">
        <v>188</v>
      </c>
      <c r="J726" s="156" t="s">
        <v>10239</v>
      </c>
      <c r="K726" s="156"/>
      <c r="L726" s="156" t="s">
        <v>191</v>
      </c>
      <c r="M726" s="331">
        <v>4</v>
      </c>
      <c r="N726" s="426"/>
      <c r="O726" s="151">
        <v>5</v>
      </c>
      <c r="P726" s="151" t="s">
        <v>199</v>
      </c>
      <c r="Q726" s="421"/>
    </row>
    <row r="727" spans="1:17" ht="33.75">
      <c r="A727" s="145" t="s">
        <v>10246</v>
      </c>
      <c r="B727" s="145" t="s">
        <v>10247</v>
      </c>
      <c r="C727" s="142"/>
      <c r="D727" s="142"/>
      <c r="E727" s="142" t="s">
        <v>242</v>
      </c>
      <c r="F727" s="142"/>
      <c r="G727" s="141" t="s">
        <v>1946</v>
      </c>
      <c r="H727" s="145" t="s">
        <v>10248</v>
      </c>
      <c r="I727" s="155" t="s">
        <v>188</v>
      </c>
      <c r="J727" s="156" t="s">
        <v>10239</v>
      </c>
      <c r="K727" s="156"/>
      <c r="L727" s="156" t="s">
        <v>191</v>
      </c>
      <c r="M727" s="331">
        <v>4</v>
      </c>
      <c r="N727" s="426"/>
      <c r="O727" s="151">
        <v>5</v>
      </c>
      <c r="P727" s="151" t="s">
        <v>199</v>
      </c>
      <c r="Q727" s="421"/>
    </row>
    <row r="728" spans="1:17" ht="33.75">
      <c r="A728" s="145" t="s">
        <v>10249</v>
      </c>
      <c r="B728" s="145" t="s">
        <v>10250</v>
      </c>
      <c r="C728" s="142"/>
      <c r="D728" s="142"/>
      <c r="E728" s="142" t="s">
        <v>242</v>
      </c>
      <c r="F728" s="142"/>
      <c r="G728" s="141" t="s">
        <v>1946</v>
      </c>
      <c r="H728" s="145" t="s">
        <v>10251</v>
      </c>
      <c r="I728" s="155" t="s">
        <v>188</v>
      </c>
      <c r="J728" s="156" t="s">
        <v>10239</v>
      </c>
      <c r="K728" s="156"/>
      <c r="L728" s="156" t="s">
        <v>191</v>
      </c>
      <c r="M728" s="331">
        <v>4</v>
      </c>
      <c r="N728" s="426"/>
      <c r="O728" s="151">
        <v>5</v>
      </c>
      <c r="P728" s="151" t="s">
        <v>199</v>
      </c>
      <c r="Q728" s="421"/>
    </row>
    <row r="729" spans="1:17" ht="33.75">
      <c r="A729" s="145" t="s">
        <v>10252</v>
      </c>
      <c r="B729" s="145" t="s">
        <v>10253</v>
      </c>
      <c r="C729" s="142"/>
      <c r="D729" s="142"/>
      <c r="E729" s="142" t="s">
        <v>242</v>
      </c>
      <c r="F729" s="142"/>
      <c r="G729" s="141" t="s">
        <v>1946</v>
      </c>
      <c r="H729" s="145" t="s">
        <v>10254</v>
      </c>
      <c r="I729" s="155" t="s">
        <v>188</v>
      </c>
      <c r="J729" s="156" t="s">
        <v>10239</v>
      </c>
      <c r="K729" s="156"/>
      <c r="L729" s="156" t="s">
        <v>191</v>
      </c>
      <c r="M729" s="331">
        <v>4</v>
      </c>
      <c r="N729" s="426"/>
      <c r="O729" s="151">
        <v>5</v>
      </c>
      <c r="P729" s="151" t="s">
        <v>199</v>
      </c>
      <c r="Q729" s="421"/>
    </row>
    <row r="730" spans="1:17" ht="33.75">
      <c r="A730" s="145" t="s">
        <v>10255</v>
      </c>
      <c r="B730" s="145" t="s">
        <v>10256</v>
      </c>
      <c r="C730" s="142"/>
      <c r="D730" s="142"/>
      <c r="E730" s="142" t="s">
        <v>242</v>
      </c>
      <c r="F730" s="142"/>
      <c r="G730" s="141" t="s">
        <v>1946</v>
      </c>
      <c r="H730" s="145" t="s">
        <v>10257</v>
      </c>
      <c r="I730" s="155" t="s">
        <v>188</v>
      </c>
      <c r="J730" s="156" t="s">
        <v>10239</v>
      </c>
      <c r="K730" s="156"/>
      <c r="L730" s="156" t="s">
        <v>191</v>
      </c>
      <c r="M730" s="331">
        <v>4</v>
      </c>
      <c r="N730" s="426"/>
      <c r="O730" s="151">
        <v>5</v>
      </c>
      <c r="P730" s="151" t="s">
        <v>199</v>
      </c>
      <c r="Q730" s="421"/>
    </row>
    <row r="731" spans="1:17" ht="33.75">
      <c r="A731" s="145" t="s">
        <v>10258</v>
      </c>
      <c r="B731" s="145" t="s">
        <v>10259</v>
      </c>
      <c r="C731" s="142"/>
      <c r="D731" s="142"/>
      <c r="E731" s="142" t="s">
        <v>242</v>
      </c>
      <c r="F731" s="142"/>
      <c r="G731" s="141" t="s">
        <v>1946</v>
      </c>
      <c r="H731" s="145" t="s">
        <v>10260</v>
      </c>
      <c r="I731" s="155" t="s">
        <v>188</v>
      </c>
      <c r="J731" s="156" t="s">
        <v>10239</v>
      </c>
      <c r="K731" s="156"/>
      <c r="L731" s="156" t="s">
        <v>191</v>
      </c>
      <c r="M731" s="331">
        <v>4</v>
      </c>
      <c r="N731" s="426"/>
      <c r="O731" s="151">
        <v>5</v>
      </c>
      <c r="P731" s="151" t="s">
        <v>199</v>
      </c>
      <c r="Q731" s="421"/>
    </row>
    <row r="732" spans="1:17" ht="33.75">
      <c r="A732" s="145" t="s">
        <v>10261</v>
      </c>
      <c r="B732" s="145" t="s">
        <v>10262</v>
      </c>
      <c r="C732" s="142"/>
      <c r="D732" s="142"/>
      <c r="E732" s="142" t="s">
        <v>242</v>
      </c>
      <c r="F732" s="142"/>
      <c r="G732" s="141" t="s">
        <v>1946</v>
      </c>
      <c r="H732" s="145" t="s">
        <v>10263</v>
      </c>
      <c r="I732" s="155" t="s">
        <v>188</v>
      </c>
      <c r="J732" s="156" t="s">
        <v>10239</v>
      </c>
      <c r="K732" s="156"/>
      <c r="L732" s="156" t="s">
        <v>191</v>
      </c>
      <c r="M732" s="331">
        <v>4</v>
      </c>
      <c r="N732" s="426"/>
      <c r="O732" s="151">
        <v>5</v>
      </c>
      <c r="P732" s="151" t="s">
        <v>199</v>
      </c>
      <c r="Q732" s="421"/>
    </row>
    <row r="733" spans="1:17" ht="33.75">
      <c r="A733" s="145" t="s">
        <v>10264</v>
      </c>
      <c r="B733" s="145" t="s">
        <v>10265</v>
      </c>
      <c r="C733" s="142"/>
      <c r="D733" s="142"/>
      <c r="E733" s="142" t="s">
        <v>242</v>
      </c>
      <c r="F733" s="142"/>
      <c r="G733" s="141" t="s">
        <v>1946</v>
      </c>
      <c r="H733" s="145" t="s">
        <v>10266</v>
      </c>
      <c r="I733" s="155" t="s">
        <v>188</v>
      </c>
      <c r="J733" s="156" t="s">
        <v>10239</v>
      </c>
      <c r="K733" s="156"/>
      <c r="L733" s="156" t="s">
        <v>191</v>
      </c>
      <c r="M733" s="331">
        <v>4</v>
      </c>
      <c r="N733" s="426"/>
      <c r="O733" s="151">
        <v>5</v>
      </c>
      <c r="P733" s="151" t="s">
        <v>199</v>
      </c>
      <c r="Q733" s="421"/>
    </row>
    <row r="734" spans="1:17" ht="33.75">
      <c r="A734" s="145" t="s">
        <v>10267</v>
      </c>
      <c r="B734" s="145" t="s">
        <v>10268</v>
      </c>
      <c r="C734" s="142"/>
      <c r="D734" s="142"/>
      <c r="E734" s="142" t="s">
        <v>242</v>
      </c>
      <c r="F734" s="142"/>
      <c r="G734" s="141" t="s">
        <v>1946</v>
      </c>
      <c r="H734" s="145" t="s">
        <v>10269</v>
      </c>
      <c r="I734" s="155" t="s">
        <v>188</v>
      </c>
      <c r="J734" s="156" t="s">
        <v>10239</v>
      </c>
      <c r="K734" s="156"/>
      <c r="L734" s="156" t="s">
        <v>191</v>
      </c>
      <c r="M734" s="331">
        <v>4</v>
      </c>
      <c r="N734" s="426"/>
      <c r="O734" s="151">
        <v>5</v>
      </c>
      <c r="P734" s="151" t="s">
        <v>199</v>
      </c>
      <c r="Q734" s="421"/>
    </row>
    <row r="735" spans="1:17" ht="33.75">
      <c r="A735" s="145" t="s">
        <v>10270</v>
      </c>
      <c r="B735" s="145" t="s">
        <v>10271</v>
      </c>
      <c r="C735" s="142"/>
      <c r="D735" s="142"/>
      <c r="E735" s="142" t="s">
        <v>242</v>
      </c>
      <c r="F735" s="142"/>
      <c r="G735" s="141" t="s">
        <v>1946</v>
      </c>
      <c r="H735" s="145" t="s">
        <v>10272</v>
      </c>
      <c r="I735" s="155" t="s">
        <v>188</v>
      </c>
      <c r="J735" s="156" t="s">
        <v>10239</v>
      </c>
      <c r="K735" s="156"/>
      <c r="L735" s="156" t="s">
        <v>191</v>
      </c>
      <c r="M735" s="331">
        <v>4</v>
      </c>
      <c r="N735" s="426"/>
      <c r="O735" s="151">
        <v>5</v>
      </c>
      <c r="P735" s="151" t="s">
        <v>199</v>
      </c>
      <c r="Q735" s="421"/>
    </row>
    <row r="736" spans="1:17" ht="33.75">
      <c r="A736" s="145" t="s">
        <v>10273</v>
      </c>
      <c r="B736" s="145" t="s">
        <v>10274</v>
      </c>
      <c r="C736" s="142"/>
      <c r="D736" s="142"/>
      <c r="E736" s="142" t="s">
        <v>242</v>
      </c>
      <c r="F736" s="142"/>
      <c r="G736" s="141" t="s">
        <v>1946</v>
      </c>
      <c r="H736" s="145" t="s">
        <v>10275</v>
      </c>
      <c r="I736" s="155" t="s">
        <v>188</v>
      </c>
      <c r="J736" s="156" t="s">
        <v>10239</v>
      </c>
      <c r="K736" s="156"/>
      <c r="L736" s="156" t="s">
        <v>191</v>
      </c>
      <c r="M736" s="331">
        <v>4</v>
      </c>
      <c r="N736" s="426"/>
      <c r="O736" s="151">
        <v>5</v>
      </c>
      <c r="P736" s="151" t="s">
        <v>199</v>
      </c>
      <c r="Q736" s="421"/>
    </row>
    <row r="737" spans="1:17" ht="33.75">
      <c r="A737" s="145" t="s">
        <v>10276</v>
      </c>
      <c r="B737" s="145" t="s">
        <v>10277</v>
      </c>
      <c r="C737" s="142"/>
      <c r="D737" s="142"/>
      <c r="E737" s="142" t="s">
        <v>242</v>
      </c>
      <c r="F737" s="142"/>
      <c r="G737" s="141" t="s">
        <v>1946</v>
      </c>
      <c r="H737" s="145" t="s">
        <v>10278</v>
      </c>
      <c r="I737" s="155" t="s">
        <v>188</v>
      </c>
      <c r="J737" s="156" t="s">
        <v>10239</v>
      </c>
      <c r="K737" s="156"/>
      <c r="L737" s="156" t="s">
        <v>191</v>
      </c>
      <c r="M737" s="331">
        <v>4</v>
      </c>
      <c r="N737" s="426"/>
      <c r="O737" s="151">
        <v>5</v>
      </c>
      <c r="P737" s="151" t="s">
        <v>199</v>
      </c>
      <c r="Q737" s="421"/>
    </row>
    <row r="738" spans="1:17" ht="33.75">
      <c r="A738" s="145" t="s">
        <v>10279</v>
      </c>
      <c r="B738" s="145" t="s">
        <v>10280</v>
      </c>
      <c r="C738" s="142"/>
      <c r="D738" s="142"/>
      <c r="E738" s="142" t="s">
        <v>242</v>
      </c>
      <c r="F738" s="142"/>
      <c r="G738" s="141" t="s">
        <v>1946</v>
      </c>
      <c r="H738" s="145" t="s">
        <v>10281</v>
      </c>
      <c r="I738" s="155" t="s">
        <v>188</v>
      </c>
      <c r="J738" s="156" t="s">
        <v>10239</v>
      </c>
      <c r="K738" s="156"/>
      <c r="L738" s="156" t="s">
        <v>191</v>
      </c>
      <c r="M738" s="331">
        <v>4</v>
      </c>
      <c r="N738" s="426"/>
      <c r="O738" s="151">
        <v>5</v>
      </c>
      <c r="P738" s="151" t="s">
        <v>199</v>
      </c>
      <c r="Q738" s="421"/>
    </row>
    <row r="739" spans="1:17" ht="22.5">
      <c r="A739" s="142" t="s">
        <v>8111</v>
      </c>
      <c r="B739" s="142" t="s">
        <v>780</v>
      </c>
      <c r="C739" s="142"/>
      <c r="D739" s="142"/>
      <c r="E739" s="142" t="s">
        <v>242</v>
      </c>
      <c r="F739" s="142"/>
      <c r="G739" s="141" t="s">
        <v>6627</v>
      </c>
      <c r="H739" s="145" t="s">
        <v>10282</v>
      </c>
      <c r="I739" s="155" t="s">
        <v>740</v>
      </c>
      <c r="J739" s="156" t="s">
        <v>10283</v>
      </c>
      <c r="K739" s="156"/>
      <c r="L739" s="156" t="s">
        <v>191</v>
      </c>
      <c r="M739" s="331">
        <v>4</v>
      </c>
      <c r="N739" s="426"/>
      <c r="O739" s="151">
        <v>5</v>
      </c>
      <c r="P739" s="151" t="s">
        <v>199</v>
      </c>
      <c r="Q739" s="421"/>
    </row>
    <row r="740" spans="1:17" ht="11.25">
      <c r="A740" s="142" t="s">
        <v>8107</v>
      </c>
      <c r="B740" s="142" t="s">
        <v>8108</v>
      </c>
      <c r="C740" s="142"/>
      <c r="D740" s="142"/>
      <c r="E740" s="142" t="s">
        <v>242</v>
      </c>
      <c r="F740" s="142"/>
      <c r="G740" s="141" t="s">
        <v>6627</v>
      </c>
      <c r="H740" s="145" t="s">
        <v>8109</v>
      </c>
      <c r="I740" s="155" t="s">
        <v>740</v>
      </c>
      <c r="J740" s="156" t="s">
        <v>10284</v>
      </c>
      <c r="K740" s="156"/>
      <c r="L740" s="156" t="s">
        <v>191</v>
      </c>
      <c r="M740" s="331">
        <v>4</v>
      </c>
      <c r="N740" s="426"/>
      <c r="O740" s="151">
        <v>5</v>
      </c>
      <c r="P740" s="151" t="s">
        <v>199</v>
      </c>
      <c r="Q740" s="421"/>
    </row>
    <row r="741" spans="1:17" ht="11.25">
      <c r="A741" s="142" t="s">
        <v>7974</v>
      </c>
      <c r="B741" s="142" t="s">
        <v>4389</v>
      </c>
      <c r="C741" s="142"/>
      <c r="D741" s="142"/>
      <c r="E741" s="142" t="s">
        <v>242</v>
      </c>
      <c r="F741" s="142"/>
      <c r="G741" s="141" t="s">
        <v>6627</v>
      </c>
      <c r="H741" s="145" t="s">
        <v>4390</v>
      </c>
      <c r="I741" s="155" t="s">
        <v>740</v>
      </c>
      <c r="J741" s="156" t="s">
        <v>7975</v>
      </c>
      <c r="K741" s="156"/>
      <c r="L741" s="156" t="s">
        <v>191</v>
      </c>
      <c r="M741" s="331">
        <v>4</v>
      </c>
      <c r="N741" s="426"/>
      <c r="O741" s="151">
        <v>5</v>
      </c>
      <c r="P741" s="151" t="s">
        <v>199</v>
      </c>
      <c r="Q741" s="421"/>
    </row>
    <row r="742" spans="1:17" ht="11.25">
      <c r="A742" s="142" t="s">
        <v>7978</v>
      </c>
      <c r="B742" s="142" t="s">
        <v>7451</v>
      </c>
      <c r="C742" s="142"/>
      <c r="D742" s="142"/>
      <c r="E742" s="142" t="s">
        <v>242</v>
      </c>
      <c r="F742" s="142"/>
      <c r="G742" s="141" t="s">
        <v>6627</v>
      </c>
      <c r="H742" s="145" t="s">
        <v>10285</v>
      </c>
      <c r="I742" s="155" t="s">
        <v>740</v>
      </c>
      <c r="J742" s="156" t="s">
        <v>7980</v>
      </c>
      <c r="K742" s="156"/>
      <c r="L742" s="156" t="s">
        <v>191</v>
      </c>
      <c r="M742" s="331">
        <v>4</v>
      </c>
      <c r="N742" s="426"/>
      <c r="O742" s="151">
        <v>5</v>
      </c>
      <c r="P742" s="151" t="s">
        <v>199</v>
      </c>
      <c r="Q742" s="421"/>
    </row>
    <row r="743" spans="1:17" ht="11.25">
      <c r="A743" s="142" t="s">
        <v>7976</v>
      </c>
      <c r="B743" s="142" t="s">
        <v>7455</v>
      </c>
      <c r="C743" s="142"/>
      <c r="D743" s="142"/>
      <c r="E743" s="142" t="s">
        <v>242</v>
      </c>
      <c r="F743" s="142"/>
      <c r="G743" s="141" t="s">
        <v>4439</v>
      </c>
      <c r="H743" s="145" t="s">
        <v>10286</v>
      </c>
      <c r="I743" s="155" t="s">
        <v>740</v>
      </c>
      <c r="J743" s="156" t="s">
        <v>7980</v>
      </c>
      <c r="K743" s="156"/>
      <c r="L743" s="156" t="s">
        <v>191</v>
      </c>
      <c r="M743" s="331">
        <v>4</v>
      </c>
      <c r="N743" s="426"/>
      <c r="O743" s="151">
        <v>5</v>
      </c>
      <c r="P743" s="151" t="s">
        <v>199</v>
      </c>
      <c r="Q743" s="421"/>
    </row>
    <row r="744" spans="1:17" ht="11.25">
      <c r="A744" s="142" t="s">
        <v>10287</v>
      </c>
      <c r="B744" s="142" t="s">
        <v>10288</v>
      </c>
      <c r="C744" s="142"/>
      <c r="D744" s="142"/>
      <c r="E744" s="142" t="s">
        <v>242</v>
      </c>
      <c r="F744" s="142"/>
      <c r="G744" s="141" t="s">
        <v>6627</v>
      </c>
      <c r="H744" s="145" t="s">
        <v>10289</v>
      </c>
      <c r="I744" s="155" t="s">
        <v>740</v>
      </c>
      <c r="J744" s="156" t="s">
        <v>10290</v>
      </c>
      <c r="K744" s="156"/>
      <c r="L744" s="156" t="s">
        <v>191</v>
      </c>
      <c r="M744" s="331">
        <v>4</v>
      </c>
      <c r="N744" s="426"/>
      <c r="O744" s="151">
        <v>5</v>
      </c>
      <c r="P744" s="151" t="s">
        <v>199</v>
      </c>
      <c r="Q744" s="421"/>
    </row>
    <row r="745" spans="1:17" ht="33.75">
      <c r="A745" s="142" t="s">
        <v>10291</v>
      </c>
      <c r="B745" s="142" t="s">
        <v>10292</v>
      </c>
      <c r="C745" s="142"/>
      <c r="D745" s="142"/>
      <c r="E745" s="142" t="s">
        <v>242</v>
      </c>
      <c r="F745" s="142"/>
      <c r="G745" s="141" t="s">
        <v>6627</v>
      </c>
      <c r="H745" s="145" t="s">
        <v>10293</v>
      </c>
      <c r="I745" s="155" t="s">
        <v>740</v>
      </c>
      <c r="J745" s="156" t="s">
        <v>10294</v>
      </c>
      <c r="K745" s="156"/>
      <c r="L745" s="156" t="s">
        <v>191</v>
      </c>
      <c r="M745" s="331">
        <v>4</v>
      </c>
      <c r="N745" s="426"/>
      <c r="O745" s="151">
        <v>5</v>
      </c>
      <c r="P745" s="151" t="s">
        <v>199</v>
      </c>
      <c r="Q745" s="421"/>
    </row>
    <row r="746" spans="1:17" ht="22.5">
      <c r="A746" s="142" t="s">
        <v>10295</v>
      </c>
      <c r="B746" s="142" t="s">
        <v>3430</v>
      </c>
      <c r="C746" s="142" t="s">
        <v>10296</v>
      </c>
      <c r="D746" s="142" t="s">
        <v>4424</v>
      </c>
      <c r="E746" s="142" t="s">
        <v>242</v>
      </c>
      <c r="F746" s="142"/>
      <c r="G746" s="141" t="s">
        <v>2181</v>
      </c>
      <c r="H746" s="145" t="s">
        <v>7703</v>
      </c>
      <c r="I746" s="155" t="s">
        <v>740</v>
      </c>
      <c r="J746" s="156" t="s">
        <v>3667</v>
      </c>
      <c r="K746" s="156"/>
      <c r="L746" s="156" t="s">
        <v>191</v>
      </c>
      <c r="M746" s="331">
        <v>4</v>
      </c>
      <c r="N746" s="426"/>
      <c r="O746" s="151">
        <v>5</v>
      </c>
      <c r="P746" s="151" t="s">
        <v>199</v>
      </c>
      <c r="Q746" s="421"/>
    </row>
    <row r="747" spans="1:17" ht="90">
      <c r="A747" s="142" t="s">
        <v>10297</v>
      </c>
      <c r="B747" s="142" t="s">
        <v>10298</v>
      </c>
      <c r="C747" s="142"/>
      <c r="D747" s="142"/>
      <c r="E747" s="142" t="s">
        <v>242</v>
      </c>
      <c r="F747" s="142"/>
      <c r="G747" s="141" t="s">
        <v>597</v>
      </c>
      <c r="H747" s="145" t="s">
        <v>10299</v>
      </c>
      <c r="I747" s="155" t="s">
        <v>204</v>
      </c>
      <c r="J747" s="156" t="s">
        <v>10300</v>
      </c>
      <c r="K747" s="156" t="s">
        <v>191</v>
      </c>
      <c r="L747" s="156">
        <v>4</v>
      </c>
      <c r="M747" s="331">
        <v>4</v>
      </c>
      <c r="N747" s="426" t="s">
        <v>14</v>
      </c>
      <c r="O747" s="151">
        <v>5</v>
      </c>
      <c r="P747" s="151" t="s">
        <v>199</v>
      </c>
      <c r="Q747" s="421"/>
    </row>
    <row r="748" spans="1:17" ht="90">
      <c r="A748" s="142" t="s">
        <v>10301</v>
      </c>
      <c r="B748" s="142" t="s">
        <v>7870</v>
      </c>
      <c r="C748" s="142"/>
      <c r="D748" s="142"/>
      <c r="E748" s="142" t="s">
        <v>242</v>
      </c>
      <c r="F748" s="142"/>
      <c r="G748" s="141" t="s">
        <v>597</v>
      </c>
      <c r="H748" s="145" t="s">
        <v>10302</v>
      </c>
      <c r="I748" s="155" t="s">
        <v>204</v>
      </c>
      <c r="J748" s="156" t="s">
        <v>7872</v>
      </c>
      <c r="K748" s="156" t="s">
        <v>191</v>
      </c>
      <c r="L748" s="156">
        <v>4</v>
      </c>
      <c r="M748" s="331">
        <v>4</v>
      </c>
      <c r="N748" s="426" t="s">
        <v>14</v>
      </c>
      <c r="O748" s="151">
        <v>5</v>
      </c>
      <c r="P748" s="151" t="s">
        <v>199</v>
      </c>
      <c r="Q748" s="421"/>
    </row>
    <row r="749" spans="1:17" ht="67.5">
      <c r="A749" s="142" t="s">
        <v>10303</v>
      </c>
      <c r="B749" s="142" t="s">
        <v>7874</v>
      </c>
      <c r="C749" s="142"/>
      <c r="D749" s="142"/>
      <c r="E749" s="142" t="s">
        <v>242</v>
      </c>
      <c r="F749" s="142"/>
      <c r="G749" s="141" t="s">
        <v>597</v>
      </c>
      <c r="H749" s="145" t="s">
        <v>10304</v>
      </c>
      <c r="I749" s="155"/>
      <c r="J749" s="156" t="s">
        <v>10305</v>
      </c>
      <c r="K749" s="156" t="s">
        <v>191</v>
      </c>
      <c r="L749" s="156">
        <v>4</v>
      </c>
      <c r="M749" s="331">
        <v>4</v>
      </c>
      <c r="N749" s="426" t="s">
        <v>14</v>
      </c>
      <c r="O749" s="151">
        <v>5</v>
      </c>
      <c r="P749" s="151" t="s">
        <v>199</v>
      </c>
      <c r="Q749" s="421"/>
    </row>
    <row r="750" spans="1:17" ht="33.75">
      <c r="A750" s="142" t="s">
        <v>8148</v>
      </c>
      <c r="B750" s="142" t="s">
        <v>1330</v>
      </c>
      <c r="C750" s="142" t="s">
        <v>10306</v>
      </c>
      <c r="D750" s="142"/>
      <c r="E750" s="142" t="s">
        <v>493</v>
      </c>
      <c r="F750" s="142"/>
      <c r="G750" s="141" t="s">
        <v>4206</v>
      </c>
      <c r="H750" s="145" t="s">
        <v>1332</v>
      </c>
      <c r="I750" s="155" t="s">
        <v>740</v>
      </c>
      <c r="J750" s="156" t="s">
        <v>10307</v>
      </c>
      <c r="K750" s="156"/>
      <c r="L750" s="156" t="s">
        <v>191</v>
      </c>
      <c r="M750" s="331">
        <v>4</v>
      </c>
      <c r="N750" s="426"/>
      <c r="O750" s="151">
        <v>5</v>
      </c>
      <c r="P750" s="151" t="s">
        <v>199</v>
      </c>
      <c r="Q750" s="421"/>
    </row>
    <row r="751" spans="1:17">
      <c r="N751" s="48"/>
      <c r="O751" s="57"/>
    </row>
  </sheetData>
  <autoFilter ref="A5:R37" xr:uid="{00000000-0009-0000-0000-00000D000000}"/>
  <phoneticPr fontId="39" type="noConversion"/>
  <conditionalFormatting sqref="Q7:Q28 Q29:R29 Q30 Q31:R31 Q32:Q33 Q34:R34 Q35:Q38">
    <cfRule type="containsText" dxfId="64" priority="6" operator="containsText" text="Yes">
      <formula>NOT(ISERROR(SEARCH("Yes",Q7)))</formula>
    </cfRule>
  </conditionalFormatting>
  <dataValidations count="2">
    <dataValidation type="list" allowBlank="1" showInputMessage="1" showErrorMessage="1" sqref="R6 Q7 G6" xr:uid="{00000000-0002-0000-0D00-000000000000}">
      <formula1>"All available, Specific years,Not applicable"</formula1>
    </dataValidation>
    <dataValidation type="list" allowBlank="1" showInputMessage="1" showErrorMessage="1" sqref="R29 R31 Q6:Q38 R34" xr:uid="{00000000-0002-0000-0D00-000001000000}">
      <formula1>"No,Yes"</formula1>
    </dataValidation>
  </dataValidations>
  <pageMargins left="0.17" right="0.17" top="0.31000000000000005" bottom="0.35000000000000003" header="0.17" footer="0.17"/>
  <pageSetup paperSize="9" scale="70" fitToWidth="0" fitToHeight="0" orientation="landscape" r:id="rId1"/>
  <headerFooter alignWithMargins="0">
    <oddHeader>&amp;C&amp;F</oddHeader>
    <oddFooter>&amp;L&amp;8&amp;A&amp;CPage &amp;P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9" tint="0.39997558519241921"/>
  </sheetPr>
  <dimension ref="A1:O105"/>
  <sheetViews>
    <sheetView showGridLines="0" zoomScale="75" zoomScaleNormal="75" workbookViewId="0">
      <selection activeCell="O29" sqref="O29"/>
    </sheetView>
  </sheetViews>
  <sheetFormatPr defaultColWidth="9" defaultRowHeight="12.75"/>
  <cols>
    <col min="1" max="1" width="27.28515625" style="39" bestFit="1" customWidth="1"/>
    <col min="2" max="2" width="27" style="39" bestFit="1" customWidth="1"/>
    <col min="3" max="3" width="14" style="39" hidden="1" customWidth="1"/>
    <col min="4" max="4" width="11.28515625" style="39" hidden="1" customWidth="1"/>
    <col min="5" max="5" width="18.5703125" style="40" customWidth="1"/>
    <col min="6" max="6" width="49" style="39" customWidth="1"/>
    <col min="7" max="7" width="28.5703125" style="39" hidden="1" customWidth="1"/>
    <col min="8" max="8" width="24.28515625" style="39" customWidth="1"/>
    <col min="9" max="10" width="24.28515625" style="39" hidden="1" customWidth="1"/>
    <col min="11" max="11" width="12.85546875" style="39" customWidth="1"/>
    <col min="12" max="12" width="13" style="106" bestFit="1" customWidth="1"/>
    <col min="13" max="13" width="12" style="106" bestFit="1" customWidth="1"/>
    <col min="14" max="14" width="19.140625" style="50" bestFit="1" customWidth="1"/>
    <col min="15" max="15" width="20.140625" style="50" bestFit="1" customWidth="1"/>
    <col min="16" max="16384" width="9" style="50"/>
  </cols>
  <sheetData>
    <row r="1" spans="1:15">
      <c r="A1" s="40" t="s">
        <v>10308</v>
      </c>
      <c r="D1" s="40"/>
      <c r="E1" s="39"/>
      <c r="J1" s="50"/>
      <c r="K1" s="106"/>
      <c r="M1" s="50"/>
    </row>
    <row r="2" spans="1:15">
      <c r="A2" s="40"/>
      <c r="D2" s="40"/>
      <c r="E2" s="39"/>
      <c r="J2" s="129"/>
      <c r="K2" s="106"/>
      <c r="M2" s="50"/>
    </row>
    <row r="3" spans="1:15">
      <c r="A3" s="139" t="s">
        <v>159</v>
      </c>
      <c r="D3" s="40"/>
      <c r="E3" s="39"/>
      <c r="J3" s="50"/>
      <c r="K3" s="106"/>
      <c r="M3" s="50"/>
    </row>
    <row r="4" spans="1:15">
      <c r="A4" s="40"/>
      <c r="D4" s="40"/>
      <c r="E4" s="39"/>
      <c r="J4" s="129"/>
      <c r="K4" s="106"/>
      <c r="M4" s="50"/>
    </row>
    <row r="5" spans="1:15">
      <c r="A5" s="46" t="s">
        <v>10309</v>
      </c>
      <c r="K5" s="129"/>
    </row>
    <row r="6" spans="1:15">
      <c r="A6" s="46" t="s">
        <v>10310</v>
      </c>
      <c r="K6" s="50"/>
    </row>
    <row r="7" spans="1:15">
      <c r="A7" s="46"/>
      <c r="K7" s="50"/>
    </row>
    <row r="8" spans="1:15">
      <c r="A8" s="567" t="s">
        <v>10311</v>
      </c>
      <c r="K8" s="50"/>
    </row>
    <row r="9" spans="1:15">
      <c r="K9" s="50"/>
    </row>
    <row r="10" spans="1:15" ht="22.5">
      <c r="A10" s="79" t="s">
        <v>165</v>
      </c>
      <c r="B10" s="79" t="s">
        <v>166</v>
      </c>
      <c r="C10" s="58" t="s">
        <v>168</v>
      </c>
      <c r="D10" s="58" t="s">
        <v>169</v>
      </c>
      <c r="E10" s="79" t="s">
        <v>170</v>
      </c>
      <c r="F10" s="81" t="s">
        <v>20</v>
      </c>
      <c r="G10" s="58" t="s">
        <v>171</v>
      </c>
      <c r="H10" s="79" t="s">
        <v>172</v>
      </c>
      <c r="I10" s="58" t="s">
        <v>174</v>
      </c>
      <c r="J10" s="58" t="s">
        <v>175</v>
      </c>
      <c r="K10" s="59" t="s">
        <v>176</v>
      </c>
      <c r="L10" s="60" t="s">
        <v>655</v>
      </c>
      <c r="M10" s="60" t="s">
        <v>179</v>
      </c>
      <c r="N10" s="291" t="s">
        <v>180</v>
      </c>
      <c r="O10" s="379" t="s">
        <v>181</v>
      </c>
    </row>
    <row r="11" spans="1:15">
      <c r="A11" s="71" t="s">
        <v>10312</v>
      </c>
      <c r="B11" s="102"/>
      <c r="C11" s="102"/>
      <c r="D11" s="102"/>
      <c r="E11" s="270"/>
      <c r="F11" s="62"/>
      <c r="G11" s="62"/>
      <c r="H11" s="71"/>
      <c r="I11" s="71"/>
      <c r="J11" s="71"/>
      <c r="K11" s="41"/>
      <c r="M11" s="104"/>
      <c r="N11" s="279"/>
      <c r="O11" s="238"/>
    </row>
    <row r="12" spans="1:15" ht="22.5">
      <c r="A12" s="61" t="s">
        <v>10313</v>
      </c>
      <c r="B12" s="63" t="s">
        <v>10314</v>
      </c>
      <c r="C12" s="63" t="s">
        <v>1894</v>
      </c>
      <c r="D12" s="63"/>
      <c r="E12" s="271" t="s">
        <v>10315</v>
      </c>
      <c r="F12" s="63" t="s">
        <v>10316</v>
      </c>
      <c r="G12" s="63" t="s">
        <v>188</v>
      </c>
      <c r="H12" s="63" t="s">
        <v>787</v>
      </c>
      <c r="I12" s="63"/>
      <c r="J12" s="63" t="s">
        <v>10317</v>
      </c>
      <c r="K12" s="64">
        <v>1</v>
      </c>
      <c r="L12" s="107">
        <v>4</v>
      </c>
      <c r="M12" s="104" t="s">
        <v>1899</v>
      </c>
      <c r="N12" s="279"/>
      <c r="O12" s="371"/>
    </row>
    <row r="13" spans="1:15">
      <c r="A13" s="61"/>
      <c r="B13" s="45"/>
      <c r="C13" s="63"/>
      <c r="D13" s="63"/>
      <c r="E13" s="270"/>
      <c r="F13" s="63"/>
      <c r="G13" s="63"/>
      <c r="H13" s="63"/>
      <c r="I13" s="63"/>
      <c r="J13" s="63"/>
      <c r="K13" s="64"/>
      <c r="L13" s="107"/>
      <c r="M13" s="104"/>
      <c r="N13" s="279"/>
      <c r="O13" s="238"/>
    </row>
    <row r="14" spans="1:15">
      <c r="A14" s="71" t="s">
        <v>10318</v>
      </c>
      <c r="C14" s="63" t="s">
        <v>1894</v>
      </c>
      <c r="D14" s="63"/>
      <c r="E14" s="270"/>
      <c r="F14" s="63"/>
      <c r="G14" s="63"/>
      <c r="H14" s="63"/>
      <c r="I14" s="63"/>
      <c r="J14" s="63" t="s">
        <v>10317</v>
      </c>
      <c r="K14" s="64"/>
      <c r="L14" s="107"/>
      <c r="M14" s="104"/>
      <c r="N14" s="279"/>
      <c r="O14" s="238"/>
    </row>
    <row r="15" spans="1:15">
      <c r="A15" s="61" t="s">
        <v>10319</v>
      </c>
      <c r="B15" s="61" t="s">
        <v>770</v>
      </c>
      <c r="C15" s="63" t="s">
        <v>1894</v>
      </c>
      <c r="D15" s="63"/>
      <c r="E15" s="271" t="s">
        <v>10315</v>
      </c>
      <c r="F15" s="63" t="s">
        <v>503</v>
      </c>
      <c r="G15" s="63" t="s">
        <v>198</v>
      </c>
      <c r="H15" s="61"/>
      <c r="I15" s="61"/>
      <c r="J15" s="63" t="s">
        <v>10317</v>
      </c>
      <c r="K15" s="64">
        <v>1</v>
      </c>
      <c r="L15" s="107">
        <v>5</v>
      </c>
      <c r="M15" s="104" t="s">
        <v>1899</v>
      </c>
      <c r="N15" s="279"/>
      <c r="O15" s="371"/>
    </row>
    <row r="16" spans="1:15">
      <c r="A16" s="61" t="s">
        <v>10320</v>
      </c>
      <c r="B16" s="61" t="s">
        <v>491</v>
      </c>
      <c r="C16" s="63" t="s">
        <v>1894</v>
      </c>
      <c r="D16" s="63"/>
      <c r="E16" s="271" t="s">
        <v>10315</v>
      </c>
      <c r="F16" s="63" t="s">
        <v>494</v>
      </c>
      <c r="G16" s="63" t="s">
        <v>466</v>
      </c>
      <c r="H16" s="61"/>
      <c r="I16" s="61"/>
      <c r="J16" s="63" t="s">
        <v>10317</v>
      </c>
      <c r="K16" s="64">
        <v>1</v>
      </c>
      <c r="L16" s="107">
        <v>3</v>
      </c>
      <c r="M16" s="104" t="s">
        <v>1899</v>
      </c>
      <c r="N16" s="279"/>
      <c r="O16" s="371"/>
    </row>
    <row r="17" spans="1:15" ht="45">
      <c r="A17" s="61" t="s">
        <v>10321</v>
      </c>
      <c r="B17" s="61" t="s">
        <v>446</v>
      </c>
      <c r="C17" s="63" t="s">
        <v>1894</v>
      </c>
      <c r="D17" s="63"/>
      <c r="E17" s="271" t="s">
        <v>10322</v>
      </c>
      <c r="F17" s="63" t="s">
        <v>10323</v>
      </c>
      <c r="G17" s="63" t="s">
        <v>204</v>
      </c>
      <c r="H17" s="61"/>
      <c r="I17" s="61"/>
      <c r="J17" s="63" t="s">
        <v>10317</v>
      </c>
      <c r="K17" s="64">
        <v>1</v>
      </c>
      <c r="L17" s="107">
        <v>5</v>
      </c>
      <c r="M17" s="104" t="s">
        <v>1899</v>
      </c>
      <c r="N17" s="279"/>
      <c r="O17" s="371"/>
    </row>
    <row r="18" spans="1:15" ht="56.25">
      <c r="A18" s="61" t="s">
        <v>10324</v>
      </c>
      <c r="B18" s="61" t="s">
        <v>10325</v>
      </c>
      <c r="C18" s="63" t="s">
        <v>1894</v>
      </c>
      <c r="D18" s="63"/>
      <c r="E18" s="271" t="s">
        <v>10326</v>
      </c>
      <c r="F18" s="63" t="s">
        <v>10327</v>
      </c>
      <c r="G18" s="63" t="s">
        <v>204</v>
      </c>
      <c r="H18" s="61"/>
      <c r="I18" s="61"/>
      <c r="J18" s="63" t="s">
        <v>10317</v>
      </c>
      <c r="K18" s="64">
        <v>1</v>
      </c>
      <c r="L18" s="107">
        <v>5</v>
      </c>
      <c r="M18" s="104" t="s">
        <v>1899</v>
      </c>
      <c r="N18" s="279"/>
      <c r="O18" s="371"/>
    </row>
    <row r="19" spans="1:15" ht="45">
      <c r="A19" s="61" t="s">
        <v>10328</v>
      </c>
      <c r="B19" s="61" t="s">
        <v>3575</v>
      </c>
      <c r="C19" s="63" t="s">
        <v>1894</v>
      </c>
      <c r="D19" s="63"/>
      <c r="E19" s="271" t="s">
        <v>10322</v>
      </c>
      <c r="F19" s="63" t="s">
        <v>10329</v>
      </c>
      <c r="G19" s="63" t="s">
        <v>204</v>
      </c>
      <c r="H19" s="61"/>
      <c r="I19" s="61"/>
      <c r="J19" s="63" t="s">
        <v>10317</v>
      </c>
      <c r="K19" s="64">
        <v>1</v>
      </c>
      <c r="L19" s="107">
        <v>5</v>
      </c>
      <c r="M19" s="104" t="s">
        <v>1899</v>
      </c>
      <c r="N19" s="279"/>
      <c r="O19" s="371"/>
    </row>
    <row r="20" spans="1:15" ht="56.25">
      <c r="A20" s="61" t="s">
        <v>10330</v>
      </c>
      <c r="B20" s="61" t="s">
        <v>458</v>
      </c>
      <c r="C20" s="63" t="s">
        <v>1894</v>
      </c>
      <c r="D20" s="63"/>
      <c r="E20" s="271" t="s">
        <v>10326</v>
      </c>
      <c r="F20" s="63" t="s">
        <v>10331</v>
      </c>
      <c r="G20" s="63" t="s">
        <v>204</v>
      </c>
      <c r="H20" s="61"/>
      <c r="I20" s="61"/>
      <c r="J20" s="63" t="s">
        <v>10317</v>
      </c>
      <c r="K20" s="64">
        <v>1</v>
      </c>
      <c r="L20" s="107">
        <v>5</v>
      </c>
      <c r="M20" s="104" t="s">
        <v>1899</v>
      </c>
      <c r="N20" s="279"/>
      <c r="O20" s="371"/>
    </row>
    <row r="21" spans="1:15">
      <c r="A21" s="61" t="s">
        <v>10332</v>
      </c>
      <c r="B21" s="61" t="s">
        <v>1339</v>
      </c>
      <c r="C21" s="63" t="s">
        <v>1894</v>
      </c>
      <c r="D21" s="63"/>
      <c r="E21" s="271" t="s">
        <v>10315</v>
      </c>
      <c r="F21" s="63" t="s">
        <v>197</v>
      </c>
      <c r="G21" s="63" t="s">
        <v>198</v>
      </c>
      <c r="H21" s="61"/>
      <c r="I21" s="61"/>
      <c r="J21" s="63" t="s">
        <v>10317</v>
      </c>
      <c r="K21" s="64">
        <v>1</v>
      </c>
      <c r="L21" s="107">
        <v>4</v>
      </c>
      <c r="M21" s="104" t="s">
        <v>1899</v>
      </c>
      <c r="N21" s="279"/>
      <c r="O21" s="371"/>
    </row>
    <row r="22" spans="1:15">
      <c r="A22" s="61" t="s">
        <v>10333</v>
      </c>
      <c r="B22" s="61" t="s">
        <v>1341</v>
      </c>
      <c r="C22" s="63" t="s">
        <v>1894</v>
      </c>
      <c r="D22" s="63"/>
      <c r="E22" s="271" t="s">
        <v>10315</v>
      </c>
      <c r="F22" s="63" t="s">
        <v>203</v>
      </c>
      <c r="G22" s="63" t="s">
        <v>204</v>
      </c>
      <c r="H22" s="61"/>
      <c r="I22" s="61"/>
      <c r="J22" s="63" t="s">
        <v>10317</v>
      </c>
      <c r="K22" s="64">
        <v>1</v>
      </c>
      <c r="L22" s="107">
        <v>4</v>
      </c>
      <c r="M22" s="104" t="s">
        <v>1899</v>
      </c>
      <c r="N22" s="279"/>
      <c r="O22" s="371"/>
    </row>
    <row r="23" spans="1:15">
      <c r="A23" s="61" t="s">
        <v>10334</v>
      </c>
      <c r="B23" s="61" t="s">
        <v>207</v>
      </c>
      <c r="C23" s="63" t="s">
        <v>1894</v>
      </c>
      <c r="D23" s="63"/>
      <c r="E23" s="271" t="s">
        <v>10315</v>
      </c>
      <c r="F23" s="63" t="s">
        <v>209</v>
      </c>
      <c r="G23" s="63" t="s">
        <v>198</v>
      </c>
      <c r="H23" s="61"/>
      <c r="I23" s="61"/>
      <c r="J23" s="63" t="s">
        <v>10317</v>
      </c>
      <c r="K23" s="64">
        <v>1</v>
      </c>
      <c r="L23" s="107">
        <v>4</v>
      </c>
      <c r="M23" s="104" t="s">
        <v>1899</v>
      </c>
      <c r="N23" s="279"/>
      <c r="O23" s="371"/>
    </row>
    <row r="24" spans="1:15">
      <c r="A24" s="61" t="s">
        <v>10335</v>
      </c>
      <c r="B24" s="61" t="s">
        <v>211</v>
      </c>
      <c r="C24" s="63" t="s">
        <v>1894</v>
      </c>
      <c r="D24" s="63"/>
      <c r="E24" s="271" t="s">
        <v>10315</v>
      </c>
      <c r="F24" s="63" t="s">
        <v>213</v>
      </c>
      <c r="G24" s="63" t="s">
        <v>204</v>
      </c>
      <c r="H24" s="61"/>
      <c r="I24" s="61"/>
      <c r="J24" s="63" t="s">
        <v>10317</v>
      </c>
      <c r="K24" s="64">
        <v>1</v>
      </c>
      <c r="L24" s="107">
        <v>4</v>
      </c>
      <c r="M24" s="104" t="s">
        <v>1899</v>
      </c>
      <c r="N24" s="279"/>
      <c r="O24" s="371"/>
    </row>
    <row r="25" spans="1:15">
      <c r="A25" s="61" t="s">
        <v>10336</v>
      </c>
      <c r="B25" s="61" t="s">
        <v>10337</v>
      </c>
      <c r="C25" s="63" t="s">
        <v>1894</v>
      </c>
      <c r="D25" s="63"/>
      <c r="E25" s="271" t="s">
        <v>10315</v>
      </c>
      <c r="F25" s="63" t="s">
        <v>10338</v>
      </c>
      <c r="G25" s="63" t="s">
        <v>198</v>
      </c>
      <c r="H25" s="61"/>
      <c r="I25" s="61"/>
      <c r="J25" s="63" t="s">
        <v>10317</v>
      </c>
      <c r="K25" s="64">
        <v>1</v>
      </c>
      <c r="L25" s="107">
        <v>4</v>
      </c>
      <c r="M25" s="104" t="s">
        <v>1899</v>
      </c>
      <c r="N25" s="279"/>
      <c r="O25" s="371"/>
    </row>
    <row r="26" spans="1:15" ht="90">
      <c r="A26" s="61" t="s">
        <v>10339</v>
      </c>
      <c r="B26" s="61" t="s">
        <v>183</v>
      </c>
      <c r="C26" s="63" t="s">
        <v>1894</v>
      </c>
      <c r="D26" s="63"/>
      <c r="E26" s="88" t="s">
        <v>10340</v>
      </c>
      <c r="F26" s="63" t="s">
        <v>187</v>
      </c>
      <c r="G26" s="63" t="s">
        <v>204</v>
      </c>
      <c r="H26" s="63" t="s">
        <v>10341</v>
      </c>
      <c r="I26" s="63"/>
      <c r="J26" s="63" t="s">
        <v>10317</v>
      </c>
      <c r="K26" s="64">
        <v>1</v>
      </c>
      <c r="L26" s="107">
        <v>5</v>
      </c>
      <c r="M26" s="104" t="s">
        <v>1899</v>
      </c>
      <c r="N26" s="279"/>
      <c r="O26" s="380"/>
    </row>
    <row r="27" spans="1:15" ht="270">
      <c r="A27" s="61" t="s">
        <v>10342</v>
      </c>
      <c r="B27" s="61" t="s">
        <v>10342</v>
      </c>
      <c r="C27" s="63" t="s">
        <v>1894</v>
      </c>
      <c r="D27" s="63"/>
      <c r="E27" s="88" t="s">
        <v>10326</v>
      </c>
      <c r="F27" s="63" t="s">
        <v>10343</v>
      </c>
      <c r="G27" s="63" t="s">
        <v>204</v>
      </c>
      <c r="H27" s="63" t="s">
        <v>10344</v>
      </c>
      <c r="I27" s="63"/>
      <c r="J27" s="63" t="s">
        <v>10317</v>
      </c>
      <c r="K27" s="64">
        <v>1</v>
      </c>
      <c r="L27" s="107">
        <v>4</v>
      </c>
      <c r="M27" s="104" t="s">
        <v>1899</v>
      </c>
      <c r="N27" s="279"/>
      <c r="O27" s="380"/>
    </row>
    <row r="28" spans="1:15" ht="303.75">
      <c r="A28" s="61" t="s">
        <v>10342</v>
      </c>
      <c r="B28" s="61" t="s">
        <v>216</v>
      </c>
      <c r="C28" s="63" t="s">
        <v>1894</v>
      </c>
      <c r="D28" s="63"/>
      <c r="E28" s="88" t="s">
        <v>10345</v>
      </c>
      <c r="F28" s="63" t="s">
        <v>10343</v>
      </c>
      <c r="G28" s="63" t="s">
        <v>204</v>
      </c>
      <c r="H28" s="63" t="s">
        <v>10346</v>
      </c>
      <c r="I28" s="63"/>
      <c r="J28" s="63" t="s">
        <v>10317</v>
      </c>
      <c r="K28" s="64">
        <v>1</v>
      </c>
      <c r="L28" s="107">
        <v>4</v>
      </c>
      <c r="M28" s="104" t="s">
        <v>1899</v>
      </c>
      <c r="N28" s="279"/>
      <c r="O28" s="380"/>
    </row>
    <row r="29" spans="1:15" ht="337.5">
      <c r="A29" s="61" t="s">
        <v>10347</v>
      </c>
      <c r="B29" s="61" t="s">
        <v>230</v>
      </c>
      <c r="C29" s="63" t="s">
        <v>1894</v>
      </c>
      <c r="D29" s="63"/>
      <c r="E29" s="88" t="s">
        <v>10340</v>
      </c>
      <c r="F29" s="61" t="s">
        <v>10348</v>
      </c>
      <c r="G29" s="63" t="s">
        <v>204</v>
      </c>
      <c r="H29" s="63" t="s">
        <v>233</v>
      </c>
      <c r="I29" s="63"/>
      <c r="J29" s="63" t="s">
        <v>10317</v>
      </c>
      <c r="K29" s="64">
        <v>1</v>
      </c>
      <c r="L29" s="107">
        <v>4</v>
      </c>
      <c r="M29" s="104" t="s">
        <v>1899</v>
      </c>
      <c r="N29" s="279"/>
      <c r="O29" s="380"/>
    </row>
    <row r="30" spans="1:15" ht="78.75">
      <c r="A30" s="61" t="s">
        <v>10349</v>
      </c>
      <c r="B30" s="61" t="s">
        <v>235</v>
      </c>
      <c r="C30" s="63" t="s">
        <v>1894</v>
      </c>
      <c r="D30" s="63"/>
      <c r="E30" s="88" t="s">
        <v>10340</v>
      </c>
      <c r="F30" s="61" t="s">
        <v>237</v>
      </c>
      <c r="G30" s="63" t="s">
        <v>204</v>
      </c>
      <c r="H30" s="63" t="s">
        <v>238</v>
      </c>
      <c r="I30" s="63"/>
      <c r="J30" s="63" t="s">
        <v>10317</v>
      </c>
      <c r="K30" s="64">
        <v>1</v>
      </c>
      <c r="L30" s="107">
        <v>5</v>
      </c>
      <c r="M30" s="104" t="s">
        <v>1899</v>
      </c>
      <c r="N30" s="279"/>
      <c r="O30" s="380"/>
    </row>
    <row r="31" spans="1:15" ht="90">
      <c r="A31" s="61" t="s">
        <v>10350</v>
      </c>
      <c r="B31" s="61" t="s">
        <v>10351</v>
      </c>
      <c r="C31" s="63" t="s">
        <v>1894</v>
      </c>
      <c r="D31" s="63"/>
      <c r="E31" s="88" t="s">
        <v>10352</v>
      </c>
      <c r="F31" s="63" t="s">
        <v>10353</v>
      </c>
      <c r="G31" s="63" t="s">
        <v>204</v>
      </c>
      <c r="H31" s="63" t="s">
        <v>10354</v>
      </c>
      <c r="I31" s="63"/>
      <c r="J31" s="63" t="s">
        <v>10317</v>
      </c>
      <c r="K31" s="64">
        <v>1</v>
      </c>
      <c r="L31" s="107">
        <v>4</v>
      </c>
      <c r="M31" s="104" t="s">
        <v>1899</v>
      </c>
      <c r="N31" s="279"/>
      <c r="O31" s="380"/>
    </row>
    <row r="32" spans="1:15">
      <c r="A32" s="61" t="s">
        <v>10355</v>
      </c>
      <c r="B32" s="61" t="s">
        <v>10356</v>
      </c>
      <c r="C32" s="63" t="s">
        <v>1894</v>
      </c>
      <c r="D32" s="63"/>
      <c r="E32" s="88" t="s">
        <v>10352</v>
      </c>
      <c r="F32" s="63" t="s">
        <v>10357</v>
      </c>
      <c r="G32" s="63" t="s">
        <v>198</v>
      </c>
      <c r="H32" s="61"/>
      <c r="I32" s="61"/>
      <c r="J32" s="63" t="s">
        <v>10317</v>
      </c>
      <c r="K32" s="64">
        <v>1</v>
      </c>
      <c r="L32" s="107">
        <v>4</v>
      </c>
      <c r="M32" s="104" t="s">
        <v>1899</v>
      </c>
      <c r="N32" s="279"/>
      <c r="O32" s="380"/>
    </row>
    <row r="33" spans="1:15">
      <c r="A33" s="61" t="s">
        <v>10358</v>
      </c>
      <c r="B33" s="61" t="s">
        <v>10359</v>
      </c>
      <c r="C33" s="63" t="s">
        <v>1894</v>
      </c>
      <c r="D33" s="63"/>
      <c r="E33" s="88" t="s">
        <v>10326</v>
      </c>
      <c r="F33" s="63" t="s">
        <v>10360</v>
      </c>
      <c r="G33" s="63" t="s">
        <v>188</v>
      </c>
      <c r="H33" s="61"/>
      <c r="I33" s="61"/>
      <c r="J33" s="63" t="s">
        <v>10317</v>
      </c>
      <c r="K33" s="64">
        <v>1</v>
      </c>
      <c r="L33" s="107">
        <v>4</v>
      </c>
      <c r="M33" s="104" t="s">
        <v>1899</v>
      </c>
      <c r="N33" s="279"/>
      <c r="O33" s="380"/>
    </row>
    <row r="34" spans="1:15" ht="22.5">
      <c r="A34" s="61" t="s">
        <v>10361</v>
      </c>
      <c r="B34" s="61" t="s">
        <v>10362</v>
      </c>
      <c r="C34" s="63" t="s">
        <v>1894</v>
      </c>
      <c r="D34" s="63"/>
      <c r="E34" s="88" t="s">
        <v>10340</v>
      </c>
      <c r="F34" s="63" t="s">
        <v>10363</v>
      </c>
      <c r="G34" s="63" t="s">
        <v>188</v>
      </c>
      <c r="H34" s="63" t="s">
        <v>372</v>
      </c>
      <c r="I34" s="63"/>
      <c r="J34" s="63" t="s">
        <v>10317</v>
      </c>
      <c r="K34" s="64">
        <v>1</v>
      </c>
      <c r="L34" s="107">
        <v>4</v>
      </c>
      <c r="M34" s="104" t="s">
        <v>1899</v>
      </c>
      <c r="N34" s="279"/>
      <c r="O34" s="380"/>
    </row>
    <row r="35" spans="1:15" ht="22.5">
      <c r="A35" s="61" t="s">
        <v>10364</v>
      </c>
      <c r="B35" s="61" t="s">
        <v>10365</v>
      </c>
      <c r="C35" s="63" t="s">
        <v>1894</v>
      </c>
      <c r="D35" s="63"/>
      <c r="E35" s="88" t="s">
        <v>10352</v>
      </c>
      <c r="F35" s="63" t="s">
        <v>10366</v>
      </c>
      <c r="G35" s="63" t="s">
        <v>188</v>
      </c>
      <c r="H35" s="63" t="s">
        <v>372</v>
      </c>
      <c r="I35" s="63"/>
      <c r="J35" s="63" t="s">
        <v>10317</v>
      </c>
      <c r="K35" s="64">
        <v>1</v>
      </c>
      <c r="L35" s="107">
        <v>4</v>
      </c>
      <c r="M35" s="104" t="s">
        <v>1899</v>
      </c>
      <c r="N35" s="279"/>
      <c r="O35" s="380"/>
    </row>
    <row r="36" spans="1:15" ht="67.5">
      <c r="A36" s="61" t="s">
        <v>10367</v>
      </c>
      <c r="B36" s="61" t="s">
        <v>10368</v>
      </c>
      <c r="C36" s="63" t="s">
        <v>1894</v>
      </c>
      <c r="D36" s="63"/>
      <c r="E36" s="88" t="s">
        <v>10352</v>
      </c>
      <c r="F36" s="63" t="s">
        <v>10369</v>
      </c>
      <c r="G36" s="63" t="s">
        <v>188</v>
      </c>
      <c r="H36" s="63" t="s">
        <v>10370</v>
      </c>
      <c r="I36" s="63"/>
      <c r="J36" s="63" t="s">
        <v>10317</v>
      </c>
      <c r="K36" s="64">
        <v>1</v>
      </c>
      <c r="L36" s="107">
        <v>4</v>
      </c>
      <c r="M36" s="104" t="s">
        <v>1899</v>
      </c>
      <c r="N36" s="279"/>
      <c r="O36" s="380"/>
    </row>
    <row r="37" spans="1:15">
      <c r="A37" s="61" t="s">
        <v>10371</v>
      </c>
      <c r="B37" s="61" t="s">
        <v>10372</v>
      </c>
      <c r="C37" s="63" t="s">
        <v>1894</v>
      </c>
      <c r="D37" s="63"/>
      <c r="E37" s="88" t="s">
        <v>10345</v>
      </c>
      <c r="F37" s="63"/>
      <c r="G37" s="63" t="s">
        <v>198</v>
      </c>
      <c r="H37" s="63"/>
      <c r="I37" s="63"/>
      <c r="J37" s="63" t="s">
        <v>10317</v>
      </c>
      <c r="K37" s="64">
        <v>1</v>
      </c>
      <c r="L37" s="107">
        <v>4</v>
      </c>
      <c r="M37" s="104" t="s">
        <v>1899</v>
      </c>
      <c r="N37" s="279"/>
      <c r="O37" s="380"/>
    </row>
    <row r="38" spans="1:15">
      <c r="A38" s="61" t="s">
        <v>10373</v>
      </c>
      <c r="B38" s="61" t="s">
        <v>10374</v>
      </c>
      <c r="C38" s="63" t="s">
        <v>1894</v>
      </c>
      <c r="D38" s="63"/>
      <c r="E38" s="88" t="s">
        <v>10345</v>
      </c>
      <c r="F38" s="63"/>
      <c r="G38" s="63" t="s">
        <v>198</v>
      </c>
      <c r="H38" s="63"/>
      <c r="I38" s="63"/>
      <c r="J38" s="63" t="s">
        <v>10317</v>
      </c>
      <c r="K38" s="64">
        <v>1</v>
      </c>
      <c r="L38" s="107">
        <v>4</v>
      </c>
      <c r="M38" s="104" t="s">
        <v>1899</v>
      </c>
      <c r="N38" s="279"/>
      <c r="O38" s="380"/>
    </row>
    <row r="39" spans="1:15" ht="22.5">
      <c r="A39" s="61" t="s">
        <v>10375</v>
      </c>
      <c r="B39" s="61" t="s">
        <v>10376</v>
      </c>
      <c r="C39" s="63" t="s">
        <v>1894</v>
      </c>
      <c r="D39" s="63"/>
      <c r="E39" s="88" t="s">
        <v>10345</v>
      </c>
      <c r="F39" s="63"/>
      <c r="G39" s="63" t="s">
        <v>188</v>
      </c>
      <c r="H39" s="63" t="s">
        <v>372</v>
      </c>
      <c r="I39" s="63"/>
      <c r="J39" s="63" t="s">
        <v>10317</v>
      </c>
      <c r="K39" s="64">
        <v>1</v>
      </c>
      <c r="L39" s="107">
        <v>5</v>
      </c>
      <c r="M39" s="104" t="s">
        <v>1899</v>
      </c>
      <c r="N39" s="279"/>
      <c r="O39" s="380"/>
    </row>
    <row r="40" spans="1:15" ht="22.5">
      <c r="A40" s="61" t="s">
        <v>10377</v>
      </c>
      <c r="B40" s="61" t="s">
        <v>693</v>
      </c>
      <c r="C40" s="63" t="s">
        <v>1894</v>
      </c>
      <c r="D40" s="63"/>
      <c r="E40" s="88" t="s">
        <v>10326</v>
      </c>
      <c r="F40" s="63" t="s">
        <v>10378</v>
      </c>
      <c r="G40" s="63" t="s">
        <v>204</v>
      </c>
      <c r="H40" s="61"/>
      <c r="I40" s="61"/>
      <c r="J40" s="63" t="s">
        <v>10317</v>
      </c>
      <c r="K40" s="64">
        <v>1</v>
      </c>
      <c r="L40" s="107">
        <v>4</v>
      </c>
      <c r="M40" s="104" t="s">
        <v>1899</v>
      </c>
      <c r="N40" s="279"/>
      <c r="O40" s="380"/>
    </row>
    <row r="41" spans="1:15">
      <c r="A41" s="61" t="s">
        <v>10379</v>
      </c>
      <c r="B41" s="61" t="s">
        <v>10380</v>
      </c>
      <c r="C41" s="63" t="s">
        <v>1894</v>
      </c>
      <c r="D41" s="63"/>
      <c r="E41" s="88" t="s">
        <v>10326</v>
      </c>
      <c r="F41" s="63" t="s">
        <v>753</v>
      </c>
      <c r="G41" s="63" t="s">
        <v>198</v>
      </c>
      <c r="H41" s="61"/>
      <c r="I41" s="61"/>
      <c r="J41" s="63" t="s">
        <v>10317</v>
      </c>
      <c r="K41" s="64">
        <v>1</v>
      </c>
      <c r="L41" s="107">
        <v>4</v>
      </c>
      <c r="M41" s="104" t="s">
        <v>1899</v>
      </c>
      <c r="N41" s="279"/>
      <c r="O41" s="380"/>
    </row>
    <row r="42" spans="1:15">
      <c r="A42" s="61" t="s">
        <v>10381</v>
      </c>
      <c r="B42" s="61" t="s">
        <v>10382</v>
      </c>
      <c r="C42" s="63" t="s">
        <v>1894</v>
      </c>
      <c r="D42" s="63"/>
      <c r="E42" s="88" t="s">
        <v>10326</v>
      </c>
      <c r="F42" s="63" t="s">
        <v>755</v>
      </c>
      <c r="G42" s="63" t="s">
        <v>204</v>
      </c>
      <c r="H42" s="61"/>
      <c r="I42" s="61"/>
      <c r="J42" s="63" t="s">
        <v>10317</v>
      </c>
      <c r="K42" s="64">
        <v>1</v>
      </c>
      <c r="L42" s="107">
        <v>4</v>
      </c>
      <c r="M42" s="104" t="s">
        <v>1899</v>
      </c>
      <c r="N42" s="279"/>
      <c r="O42" s="380"/>
    </row>
    <row r="43" spans="1:15" ht="33.75">
      <c r="A43" s="61" t="s">
        <v>10383</v>
      </c>
      <c r="B43" s="61" t="s">
        <v>10384</v>
      </c>
      <c r="C43" s="63" t="s">
        <v>1894</v>
      </c>
      <c r="D43" s="63"/>
      <c r="E43" s="88" t="s">
        <v>10340</v>
      </c>
      <c r="F43" s="63" t="s">
        <v>10385</v>
      </c>
      <c r="G43" s="63" t="s">
        <v>188</v>
      </c>
      <c r="H43" s="61"/>
      <c r="I43" s="61"/>
      <c r="J43" s="63" t="s">
        <v>10317</v>
      </c>
      <c r="K43" s="64">
        <v>1</v>
      </c>
      <c r="L43" s="107">
        <v>5</v>
      </c>
      <c r="M43" s="104" t="s">
        <v>1899</v>
      </c>
      <c r="N43" s="279"/>
      <c r="O43" s="380"/>
    </row>
    <row r="44" spans="1:15">
      <c r="A44" s="61"/>
      <c r="B44" s="85"/>
      <c r="C44" s="63"/>
      <c r="D44" s="63"/>
      <c r="E44" s="88"/>
      <c r="F44" s="63"/>
      <c r="G44" s="63"/>
      <c r="H44" s="61"/>
      <c r="I44" s="61"/>
      <c r="J44" s="63"/>
      <c r="K44" s="64"/>
      <c r="L44" s="107"/>
      <c r="M44" s="104"/>
      <c r="N44" s="279"/>
      <c r="O44" s="380"/>
    </row>
    <row r="45" spans="1:15">
      <c r="A45" s="71" t="s">
        <v>10386</v>
      </c>
      <c r="B45" s="41"/>
      <c r="C45" s="63" t="s">
        <v>1894</v>
      </c>
      <c r="D45" s="63"/>
      <c r="E45" s="88"/>
      <c r="F45" s="63"/>
      <c r="G45" s="63"/>
      <c r="H45" s="61"/>
      <c r="I45" s="61"/>
      <c r="J45" s="63" t="s">
        <v>10317</v>
      </c>
      <c r="K45" s="64"/>
      <c r="L45" s="107"/>
      <c r="M45" s="104"/>
      <c r="N45" s="279"/>
      <c r="O45" s="380"/>
    </row>
    <row r="46" spans="1:15">
      <c r="A46" s="61" t="s">
        <v>10319</v>
      </c>
      <c r="B46" s="61" t="s">
        <v>770</v>
      </c>
      <c r="C46" s="63" t="s">
        <v>1894</v>
      </c>
      <c r="D46" s="63"/>
      <c r="E46" s="88" t="s">
        <v>10326</v>
      </c>
      <c r="F46" s="63" t="s">
        <v>503</v>
      </c>
      <c r="G46" s="63" t="s">
        <v>198</v>
      </c>
      <c r="H46" s="61"/>
      <c r="I46" s="61"/>
      <c r="J46" s="63" t="s">
        <v>10317</v>
      </c>
      <c r="K46" s="64">
        <v>1</v>
      </c>
      <c r="L46" s="107">
        <v>5</v>
      </c>
      <c r="M46" s="104" t="s">
        <v>1899</v>
      </c>
      <c r="N46" s="279"/>
      <c r="O46" s="380"/>
    </row>
    <row r="47" spans="1:15">
      <c r="A47" s="61" t="s">
        <v>10387</v>
      </c>
      <c r="B47" s="61" t="s">
        <v>10388</v>
      </c>
      <c r="C47" s="63" t="s">
        <v>1894</v>
      </c>
      <c r="D47" s="63"/>
      <c r="E47" s="88" t="s">
        <v>10326</v>
      </c>
      <c r="F47" s="63" t="s">
        <v>10389</v>
      </c>
      <c r="G47" s="63" t="s">
        <v>466</v>
      </c>
      <c r="H47" s="61"/>
      <c r="I47" s="61"/>
      <c r="J47" s="63" t="s">
        <v>10317</v>
      </c>
      <c r="K47" s="64">
        <v>1</v>
      </c>
      <c r="L47" s="107">
        <v>5</v>
      </c>
      <c r="M47" s="104" t="s">
        <v>1899</v>
      </c>
      <c r="N47" s="279"/>
      <c r="O47" s="380"/>
    </row>
    <row r="48" spans="1:15" ht="33.75">
      <c r="A48" s="61" t="s">
        <v>10390</v>
      </c>
      <c r="B48" s="61" t="s">
        <v>10391</v>
      </c>
      <c r="C48" s="63" t="s">
        <v>10392</v>
      </c>
      <c r="D48" s="63"/>
      <c r="E48" s="88" t="s">
        <v>10326</v>
      </c>
      <c r="F48" s="63" t="s">
        <v>10393</v>
      </c>
      <c r="G48" s="63" t="s">
        <v>466</v>
      </c>
      <c r="H48" s="61"/>
      <c r="I48" s="61"/>
      <c r="J48" s="63" t="s">
        <v>10317</v>
      </c>
      <c r="K48" s="64">
        <v>1</v>
      </c>
      <c r="L48" s="107">
        <v>5</v>
      </c>
      <c r="M48" s="104" t="s">
        <v>1899</v>
      </c>
      <c r="N48" s="279"/>
      <c r="O48" s="380"/>
    </row>
    <row r="49" spans="1:15">
      <c r="A49" s="61" t="s">
        <v>10394</v>
      </c>
      <c r="B49" s="61" t="s">
        <v>10395</v>
      </c>
      <c r="C49" s="63" t="s">
        <v>1894</v>
      </c>
      <c r="D49" s="63"/>
      <c r="E49" s="98" t="s">
        <v>10396</v>
      </c>
      <c r="F49" s="63" t="s">
        <v>10397</v>
      </c>
      <c r="G49" s="63" t="s">
        <v>198</v>
      </c>
      <c r="H49" s="61"/>
      <c r="I49" s="61"/>
      <c r="J49" s="63" t="s">
        <v>10317</v>
      </c>
      <c r="K49" s="64">
        <v>1</v>
      </c>
      <c r="L49" s="107">
        <v>4</v>
      </c>
      <c r="M49" s="104" t="s">
        <v>1899</v>
      </c>
      <c r="N49" s="279"/>
      <c r="O49" s="386"/>
    </row>
    <row r="50" spans="1:15">
      <c r="A50" s="61" t="s">
        <v>10398</v>
      </c>
      <c r="B50" s="61" t="s">
        <v>10399</v>
      </c>
      <c r="C50" s="63" t="s">
        <v>1894</v>
      </c>
      <c r="D50" s="63"/>
      <c r="E50" s="98" t="s">
        <v>10400</v>
      </c>
      <c r="F50" s="63" t="s">
        <v>10401</v>
      </c>
      <c r="G50" s="63" t="s">
        <v>198</v>
      </c>
      <c r="H50" s="61"/>
      <c r="I50" s="61"/>
      <c r="J50" s="63" t="s">
        <v>10317</v>
      </c>
      <c r="K50" s="64">
        <v>1</v>
      </c>
      <c r="L50" s="107">
        <v>4</v>
      </c>
      <c r="M50" s="104" t="s">
        <v>1899</v>
      </c>
      <c r="N50" s="279"/>
      <c r="O50" s="386"/>
    </row>
    <row r="51" spans="1:15" ht="56.25">
      <c r="A51" s="61" t="s">
        <v>10402</v>
      </c>
      <c r="B51" s="61" t="s">
        <v>10403</v>
      </c>
      <c r="C51" s="63" t="s">
        <v>1894</v>
      </c>
      <c r="D51" s="63"/>
      <c r="E51" s="88" t="s">
        <v>10326</v>
      </c>
      <c r="F51" s="63" t="s">
        <v>10404</v>
      </c>
      <c r="G51" s="63" t="s">
        <v>204</v>
      </c>
      <c r="H51" s="63" t="s">
        <v>10405</v>
      </c>
      <c r="I51" s="63"/>
      <c r="J51" s="63" t="s">
        <v>10317</v>
      </c>
      <c r="K51" s="64">
        <v>1</v>
      </c>
      <c r="L51" s="107">
        <v>4</v>
      </c>
      <c r="M51" s="104" t="s">
        <v>1899</v>
      </c>
      <c r="N51" s="279"/>
      <c r="O51" s="380"/>
    </row>
    <row r="52" spans="1:15" ht="56.25">
      <c r="A52" s="61" t="s">
        <v>10406</v>
      </c>
      <c r="B52" s="61" t="s">
        <v>10407</v>
      </c>
      <c r="C52" s="63" t="s">
        <v>1894</v>
      </c>
      <c r="D52" s="63"/>
      <c r="E52" s="88" t="s">
        <v>10408</v>
      </c>
      <c r="F52" s="63" t="s">
        <v>10409</v>
      </c>
      <c r="G52" s="63" t="s">
        <v>204</v>
      </c>
      <c r="H52" s="63" t="s">
        <v>10410</v>
      </c>
      <c r="I52" s="63"/>
      <c r="J52" s="63" t="s">
        <v>10317</v>
      </c>
      <c r="K52" s="64">
        <v>1</v>
      </c>
      <c r="L52" s="107">
        <v>4</v>
      </c>
      <c r="M52" s="104" t="s">
        <v>1899</v>
      </c>
      <c r="N52" s="279"/>
      <c r="O52" s="380"/>
    </row>
    <row r="53" spans="1:15" ht="56.25">
      <c r="A53" s="61" t="s">
        <v>10411</v>
      </c>
      <c r="B53" s="61" t="s">
        <v>10412</v>
      </c>
      <c r="C53" s="63" t="s">
        <v>1894</v>
      </c>
      <c r="D53" s="63"/>
      <c r="E53" s="88" t="s">
        <v>10408</v>
      </c>
      <c r="F53" s="63" t="s">
        <v>10404</v>
      </c>
      <c r="G53" s="63" t="s">
        <v>204</v>
      </c>
      <c r="H53" s="63" t="s">
        <v>10410</v>
      </c>
      <c r="I53" s="63"/>
      <c r="J53" s="63" t="s">
        <v>10317</v>
      </c>
      <c r="K53" s="64">
        <v>1</v>
      </c>
      <c r="L53" s="107">
        <v>4</v>
      </c>
      <c r="M53" s="104" t="s">
        <v>1899</v>
      </c>
      <c r="N53" s="279"/>
      <c r="O53" s="380"/>
    </row>
    <row r="54" spans="1:15">
      <c r="A54" s="61" t="s">
        <v>10413</v>
      </c>
      <c r="B54" s="61" t="s">
        <v>10414</v>
      </c>
      <c r="C54" s="63" t="s">
        <v>1894</v>
      </c>
      <c r="D54" s="63"/>
      <c r="E54" s="98" t="s">
        <v>10396</v>
      </c>
      <c r="F54" s="63" t="s">
        <v>10415</v>
      </c>
      <c r="G54" s="63" t="s">
        <v>198</v>
      </c>
      <c r="H54" s="61"/>
      <c r="I54" s="61"/>
      <c r="J54" s="63" t="s">
        <v>10317</v>
      </c>
      <c r="K54" s="64">
        <v>1</v>
      </c>
      <c r="L54" s="107">
        <v>5</v>
      </c>
      <c r="M54" s="104" t="s">
        <v>1899</v>
      </c>
      <c r="N54" s="279"/>
      <c r="O54" s="386"/>
    </row>
    <row r="55" spans="1:15" ht="90">
      <c r="A55" s="61" t="s">
        <v>10416</v>
      </c>
      <c r="B55" s="61" t="s">
        <v>10417</v>
      </c>
      <c r="C55" s="63" t="s">
        <v>1894</v>
      </c>
      <c r="D55" s="63"/>
      <c r="E55" s="88" t="s">
        <v>10418</v>
      </c>
      <c r="F55" s="63" t="s">
        <v>10419</v>
      </c>
      <c r="G55" s="63" t="s">
        <v>188</v>
      </c>
      <c r="H55" s="63" t="s">
        <v>10420</v>
      </c>
      <c r="I55" s="63"/>
      <c r="J55" s="63" t="s">
        <v>10317</v>
      </c>
      <c r="K55" s="64">
        <v>1</v>
      </c>
      <c r="L55" s="107">
        <v>5</v>
      </c>
      <c r="M55" s="104" t="s">
        <v>1899</v>
      </c>
      <c r="N55" s="279"/>
      <c r="O55" s="380"/>
    </row>
    <row r="56" spans="1:15" ht="22.5">
      <c r="A56" s="61" t="s">
        <v>10421</v>
      </c>
      <c r="B56" s="61" t="s">
        <v>10422</v>
      </c>
      <c r="C56" s="63" t="s">
        <v>1894</v>
      </c>
      <c r="D56" s="63"/>
      <c r="E56" s="88" t="s">
        <v>10400</v>
      </c>
      <c r="F56" s="63" t="s">
        <v>10423</v>
      </c>
      <c r="G56" s="225" t="s">
        <v>188</v>
      </c>
      <c r="H56" s="61"/>
      <c r="I56" s="61"/>
      <c r="J56" s="63" t="s">
        <v>10317</v>
      </c>
      <c r="K56" s="64">
        <v>1</v>
      </c>
      <c r="L56" s="107">
        <v>5</v>
      </c>
      <c r="M56" s="104" t="s">
        <v>1899</v>
      </c>
      <c r="N56" s="279"/>
      <c r="O56" s="380"/>
    </row>
    <row r="57" spans="1:15" ht="22.5">
      <c r="A57" s="61" t="s">
        <v>10424</v>
      </c>
      <c r="B57" s="61" t="s">
        <v>10425</v>
      </c>
      <c r="C57" s="63" t="s">
        <v>1894</v>
      </c>
      <c r="D57" s="63"/>
      <c r="E57" s="88" t="s">
        <v>10400</v>
      </c>
      <c r="F57" s="63" t="s">
        <v>10426</v>
      </c>
      <c r="G57" s="225" t="s">
        <v>188</v>
      </c>
      <c r="H57" s="61"/>
      <c r="I57" s="61"/>
      <c r="J57" s="63" t="s">
        <v>10317</v>
      </c>
      <c r="K57" s="64">
        <v>1</v>
      </c>
      <c r="L57" s="107">
        <v>5</v>
      </c>
      <c r="M57" s="104" t="s">
        <v>1899</v>
      </c>
      <c r="N57" s="279"/>
      <c r="O57" s="380"/>
    </row>
    <row r="58" spans="1:15">
      <c r="A58" s="61"/>
      <c r="B58" s="61"/>
      <c r="C58" s="63"/>
      <c r="D58" s="63"/>
      <c r="E58" s="270"/>
      <c r="F58" s="63"/>
      <c r="G58" s="225"/>
      <c r="H58" s="61"/>
      <c r="I58" s="61"/>
      <c r="J58" s="63"/>
      <c r="K58" s="64"/>
      <c r="L58" s="107"/>
      <c r="M58" s="104"/>
      <c r="N58" s="279"/>
      <c r="O58" s="238"/>
    </row>
    <row r="59" spans="1:15">
      <c r="A59" s="71" t="s">
        <v>10427</v>
      </c>
      <c r="B59" s="41"/>
      <c r="C59" s="63" t="s">
        <v>1894</v>
      </c>
      <c r="D59" s="63"/>
      <c r="E59" s="270"/>
      <c r="F59" s="63"/>
      <c r="G59" s="63"/>
      <c r="H59" s="61"/>
      <c r="I59" s="61"/>
      <c r="J59" s="63" t="s">
        <v>10317</v>
      </c>
      <c r="K59" s="64"/>
      <c r="L59" s="107"/>
      <c r="M59" s="104"/>
      <c r="N59" s="279"/>
      <c r="O59" s="238"/>
    </row>
    <row r="60" spans="1:15">
      <c r="A60" s="61" t="s">
        <v>10319</v>
      </c>
      <c r="B60" s="61" t="s">
        <v>770</v>
      </c>
      <c r="C60" s="63" t="s">
        <v>1894</v>
      </c>
      <c r="D60" s="63"/>
      <c r="E60" s="88" t="s">
        <v>10340</v>
      </c>
      <c r="F60" s="63" t="s">
        <v>503</v>
      </c>
      <c r="G60" s="63" t="s">
        <v>198</v>
      </c>
      <c r="H60" s="61"/>
      <c r="I60" s="61"/>
      <c r="J60" s="63" t="s">
        <v>10317</v>
      </c>
      <c r="K60" s="64">
        <v>1</v>
      </c>
      <c r="L60" s="107">
        <v>5</v>
      </c>
      <c r="M60" s="104" t="s">
        <v>1899</v>
      </c>
      <c r="N60" s="279"/>
      <c r="O60" s="380"/>
    </row>
    <row r="61" spans="1:15">
      <c r="A61" s="61" t="s">
        <v>10428</v>
      </c>
      <c r="B61" s="61" t="s">
        <v>10429</v>
      </c>
      <c r="C61" s="63" t="s">
        <v>1894</v>
      </c>
      <c r="D61" s="63"/>
      <c r="E61" s="88" t="s">
        <v>10326</v>
      </c>
      <c r="F61" s="63" t="s">
        <v>10389</v>
      </c>
      <c r="G61" s="63" t="s">
        <v>466</v>
      </c>
      <c r="H61" s="61"/>
      <c r="I61" s="61"/>
      <c r="J61" s="63" t="s">
        <v>10317</v>
      </c>
      <c r="K61" s="64">
        <v>1</v>
      </c>
      <c r="L61" s="107">
        <v>5</v>
      </c>
      <c r="M61" s="104" t="s">
        <v>1899</v>
      </c>
      <c r="N61" s="279"/>
      <c r="O61" s="380"/>
    </row>
    <row r="62" spans="1:15">
      <c r="A62" s="61" t="s">
        <v>10428</v>
      </c>
      <c r="B62" s="61" t="s">
        <v>10429</v>
      </c>
      <c r="C62" s="63" t="s">
        <v>1894</v>
      </c>
      <c r="D62" s="63"/>
      <c r="E62" s="88" t="s">
        <v>10430</v>
      </c>
      <c r="F62" s="63" t="s">
        <v>10389</v>
      </c>
      <c r="G62" s="63" t="s">
        <v>466</v>
      </c>
      <c r="H62" s="61"/>
      <c r="I62" s="61"/>
      <c r="J62" s="63" t="s">
        <v>10317</v>
      </c>
      <c r="K62" s="64">
        <v>1</v>
      </c>
      <c r="L62" s="107">
        <v>5</v>
      </c>
      <c r="M62" s="104" t="s">
        <v>1899</v>
      </c>
      <c r="N62" s="279"/>
      <c r="O62" s="380"/>
    </row>
    <row r="63" spans="1:15" ht="22.5">
      <c r="A63" s="61" t="s">
        <v>10390</v>
      </c>
      <c r="B63" s="61" t="s">
        <v>10391</v>
      </c>
      <c r="C63" s="63" t="s">
        <v>1894</v>
      </c>
      <c r="D63" s="63"/>
      <c r="E63" s="88" t="s">
        <v>10340</v>
      </c>
      <c r="F63" s="63" t="s">
        <v>10431</v>
      </c>
      <c r="G63" s="63" t="s">
        <v>466</v>
      </c>
      <c r="H63" s="61"/>
      <c r="I63" s="61"/>
      <c r="J63" s="63" t="s">
        <v>10317</v>
      </c>
      <c r="K63" s="64">
        <v>1</v>
      </c>
      <c r="L63" s="107">
        <v>5</v>
      </c>
      <c r="M63" s="104" t="s">
        <v>1899</v>
      </c>
      <c r="N63" s="279"/>
      <c r="O63" s="380"/>
    </row>
    <row r="64" spans="1:15">
      <c r="A64" s="61" t="s">
        <v>10432</v>
      </c>
      <c r="B64" s="61" t="s">
        <v>10433</v>
      </c>
      <c r="C64" s="63" t="s">
        <v>1894</v>
      </c>
      <c r="D64" s="63"/>
      <c r="E64" s="88" t="s">
        <v>10340</v>
      </c>
      <c r="F64" s="63" t="s">
        <v>10434</v>
      </c>
      <c r="G64" s="63" t="s">
        <v>198</v>
      </c>
      <c r="H64" s="61"/>
      <c r="I64" s="61"/>
      <c r="J64" s="63" t="s">
        <v>10317</v>
      </c>
      <c r="K64" s="64">
        <v>1</v>
      </c>
      <c r="L64" s="107">
        <v>4</v>
      </c>
      <c r="M64" s="104" t="s">
        <v>1899</v>
      </c>
      <c r="N64" s="279"/>
      <c r="O64" s="380"/>
    </row>
    <row r="65" spans="1:15" ht="409.5">
      <c r="A65" s="61" t="s">
        <v>10435</v>
      </c>
      <c r="B65" s="61" t="s">
        <v>10436</v>
      </c>
      <c r="C65" s="63" t="s">
        <v>1894</v>
      </c>
      <c r="D65" s="63"/>
      <c r="E65" s="88" t="s">
        <v>10437</v>
      </c>
      <c r="F65" s="63" t="s">
        <v>10438</v>
      </c>
      <c r="G65" s="63" t="s">
        <v>740</v>
      </c>
      <c r="H65" s="43" t="s">
        <v>10439</v>
      </c>
      <c r="I65" s="43"/>
      <c r="J65" s="63" t="s">
        <v>10317</v>
      </c>
      <c r="K65" s="64">
        <v>1</v>
      </c>
      <c r="L65" s="107">
        <v>4</v>
      </c>
      <c r="M65" s="104" t="s">
        <v>1899</v>
      </c>
      <c r="N65" s="279"/>
      <c r="O65" s="380"/>
    </row>
    <row r="66" spans="1:15" ht="123.75">
      <c r="A66" s="61" t="s">
        <v>10440</v>
      </c>
      <c r="B66" s="61" t="s">
        <v>10441</v>
      </c>
      <c r="C66" s="63" t="s">
        <v>1894</v>
      </c>
      <c r="D66" s="63"/>
      <c r="E66" s="88" t="s">
        <v>10340</v>
      </c>
      <c r="F66" s="63" t="s">
        <v>10442</v>
      </c>
      <c r="G66" s="63" t="s">
        <v>740</v>
      </c>
      <c r="H66" s="63" t="s">
        <v>10443</v>
      </c>
      <c r="I66" s="63"/>
      <c r="J66" s="63" t="s">
        <v>10317</v>
      </c>
      <c r="K66" s="64">
        <v>1</v>
      </c>
      <c r="L66" s="107">
        <v>4</v>
      </c>
      <c r="M66" s="104" t="s">
        <v>1899</v>
      </c>
      <c r="N66" s="279"/>
      <c r="O66" s="380"/>
    </row>
    <row r="67" spans="1:15">
      <c r="A67" s="61" t="s">
        <v>10444</v>
      </c>
      <c r="B67" s="61" t="s">
        <v>10445</v>
      </c>
      <c r="C67" s="63" t="s">
        <v>1894</v>
      </c>
      <c r="D67" s="63"/>
      <c r="E67" s="88" t="s">
        <v>10345</v>
      </c>
      <c r="F67" s="63" t="s">
        <v>10446</v>
      </c>
      <c r="G67" s="63" t="s">
        <v>198</v>
      </c>
      <c r="H67" s="61"/>
      <c r="I67" s="61"/>
      <c r="J67" s="63" t="s">
        <v>10317</v>
      </c>
      <c r="K67" s="64">
        <v>1</v>
      </c>
      <c r="L67" s="107">
        <v>4</v>
      </c>
      <c r="M67" s="104" t="s">
        <v>1899</v>
      </c>
      <c r="N67" s="279"/>
      <c r="O67" s="380"/>
    </row>
    <row r="68" spans="1:15" ht="157.5">
      <c r="A68" s="61" t="s">
        <v>10447</v>
      </c>
      <c r="B68" s="61" t="s">
        <v>10448</v>
      </c>
      <c r="C68" s="63" t="s">
        <v>1894</v>
      </c>
      <c r="D68" s="63"/>
      <c r="E68" s="88" t="s">
        <v>10345</v>
      </c>
      <c r="F68" s="63" t="s">
        <v>10449</v>
      </c>
      <c r="G68" s="63" t="s">
        <v>740</v>
      </c>
      <c r="H68" s="63" t="s">
        <v>10450</v>
      </c>
      <c r="I68" s="63"/>
      <c r="J68" s="63" t="s">
        <v>10317</v>
      </c>
      <c r="K68" s="64">
        <v>1</v>
      </c>
      <c r="L68" s="107">
        <v>4</v>
      </c>
      <c r="M68" s="104" t="s">
        <v>1899</v>
      </c>
      <c r="N68" s="279"/>
      <c r="O68" s="380"/>
    </row>
    <row r="69" spans="1:15">
      <c r="A69" s="61" t="s">
        <v>10451</v>
      </c>
      <c r="B69" s="61" t="s">
        <v>10452</v>
      </c>
      <c r="C69" s="63" t="s">
        <v>1894</v>
      </c>
      <c r="D69" s="63"/>
      <c r="E69" s="88" t="s">
        <v>10453</v>
      </c>
      <c r="F69" s="63" t="s">
        <v>10454</v>
      </c>
      <c r="G69" s="63" t="s">
        <v>198</v>
      </c>
      <c r="H69" s="63"/>
      <c r="I69" s="63"/>
      <c r="J69" s="63" t="s">
        <v>10317</v>
      </c>
      <c r="K69" s="64">
        <v>1</v>
      </c>
      <c r="L69" s="107">
        <v>4</v>
      </c>
      <c r="M69" s="104" t="s">
        <v>1899</v>
      </c>
      <c r="N69" s="279"/>
      <c r="O69" s="380"/>
    </row>
    <row r="70" spans="1:15" ht="22.5">
      <c r="A70" s="61" t="s">
        <v>10455</v>
      </c>
      <c r="B70" s="61" t="s">
        <v>10456</v>
      </c>
      <c r="C70" s="63" t="s">
        <v>1894</v>
      </c>
      <c r="D70" s="63"/>
      <c r="E70" s="88" t="s">
        <v>10457</v>
      </c>
      <c r="F70" s="63" t="s">
        <v>10458</v>
      </c>
      <c r="G70" s="63" t="s">
        <v>188</v>
      </c>
      <c r="H70" s="63" t="s">
        <v>372</v>
      </c>
      <c r="I70" s="63"/>
      <c r="J70" s="63" t="s">
        <v>10317</v>
      </c>
      <c r="K70" s="64">
        <v>1</v>
      </c>
      <c r="L70" s="107">
        <v>5</v>
      </c>
      <c r="M70" s="104" t="s">
        <v>1899</v>
      </c>
      <c r="N70" s="279"/>
      <c r="O70" s="380"/>
    </row>
    <row r="71" spans="1:15" ht="22.5">
      <c r="A71" s="61" t="s">
        <v>10459</v>
      </c>
      <c r="B71" s="61" t="s">
        <v>10460</v>
      </c>
      <c r="C71" s="63" t="s">
        <v>1894</v>
      </c>
      <c r="D71" s="63"/>
      <c r="E71" s="88" t="s">
        <v>10345</v>
      </c>
      <c r="F71" s="63" t="s">
        <v>10461</v>
      </c>
      <c r="G71" s="63" t="s">
        <v>188</v>
      </c>
      <c r="H71" s="63" t="s">
        <v>372</v>
      </c>
      <c r="I71" s="63"/>
      <c r="J71" s="63" t="s">
        <v>10317</v>
      </c>
      <c r="K71" s="64">
        <v>1</v>
      </c>
      <c r="L71" s="107">
        <v>5</v>
      </c>
      <c r="M71" s="104" t="s">
        <v>1899</v>
      </c>
      <c r="N71" s="279"/>
      <c r="O71" s="380"/>
    </row>
    <row r="72" spans="1:15">
      <c r="A72" s="61" t="s">
        <v>10462</v>
      </c>
      <c r="B72" s="61" t="s">
        <v>10463</v>
      </c>
      <c r="C72" s="63" t="s">
        <v>1894</v>
      </c>
      <c r="D72" s="63"/>
      <c r="E72" s="88" t="s">
        <v>6467</v>
      </c>
      <c r="F72" s="63" t="s">
        <v>10464</v>
      </c>
      <c r="G72" s="63" t="s">
        <v>198</v>
      </c>
      <c r="H72" s="63"/>
      <c r="I72" s="63"/>
      <c r="J72" s="63" t="s">
        <v>10317</v>
      </c>
      <c r="K72" s="64">
        <v>1</v>
      </c>
      <c r="L72" s="107">
        <v>4</v>
      </c>
      <c r="M72" s="104" t="s">
        <v>1899</v>
      </c>
      <c r="N72" s="279"/>
      <c r="O72" s="380"/>
    </row>
    <row r="73" spans="1:15">
      <c r="A73" s="61" t="s">
        <v>10465</v>
      </c>
      <c r="B73" s="61" t="s">
        <v>10466</v>
      </c>
      <c r="C73" s="63" t="s">
        <v>1894</v>
      </c>
      <c r="D73" s="63"/>
      <c r="E73" s="88" t="s">
        <v>6467</v>
      </c>
      <c r="F73" s="63" t="s">
        <v>10467</v>
      </c>
      <c r="G73" s="63" t="s">
        <v>198</v>
      </c>
      <c r="H73" s="63"/>
      <c r="I73" s="63"/>
      <c r="J73" s="63" t="s">
        <v>10317</v>
      </c>
      <c r="K73" s="64">
        <v>1</v>
      </c>
      <c r="L73" s="107">
        <v>4</v>
      </c>
      <c r="M73" s="104" t="s">
        <v>1899</v>
      </c>
      <c r="N73" s="279"/>
      <c r="O73" s="380"/>
    </row>
    <row r="74" spans="1:15">
      <c r="A74" s="61" t="s">
        <v>10468</v>
      </c>
      <c r="B74" s="61" t="s">
        <v>10469</v>
      </c>
      <c r="C74" s="63"/>
      <c r="D74" s="63"/>
      <c r="E74" s="88" t="s">
        <v>6467</v>
      </c>
      <c r="F74" s="63"/>
      <c r="G74" s="63"/>
      <c r="H74" s="63"/>
      <c r="I74" s="63"/>
      <c r="J74" s="63"/>
      <c r="K74" s="64">
        <v>1</v>
      </c>
      <c r="L74" s="107">
        <v>5</v>
      </c>
      <c r="M74" s="104" t="s">
        <v>1899</v>
      </c>
      <c r="N74" s="279"/>
      <c r="O74" s="380"/>
    </row>
    <row r="75" spans="1:15">
      <c r="A75" s="61" t="s">
        <v>10470</v>
      </c>
      <c r="B75" s="61" t="s">
        <v>10471</v>
      </c>
      <c r="C75" s="63"/>
      <c r="D75" s="63"/>
      <c r="E75" s="88" t="s">
        <v>6467</v>
      </c>
      <c r="F75" s="63"/>
      <c r="G75" s="63"/>
      <c r="H75" s="63"/>
      <c r="I75" s="63"/>
      <c r="J75" s="63"/>
      <c r="K75" s="64">
        <v>1</v>
      </c>
      <c r="L75" s="107">
        <v>5</v>
      </c>
      <c r="M75" s="104" t="s">
        <v>1899</v>
      </c>
      <c r="N75" s="279"/>
      <c r="O75" s="380"/>
    </row>
    <row r="76" spans="1:15" s="566" customFormat="1">
      <c r="A76" s="559" t="s">
        <v>10472</v>
      </c>
      <c r="B76" s="559" t="s">
        <v>10473</v>
      </c>
      <c r="C76" s="560"/>
      <c r="D76" s="560"/>
      <c r="E76" s="561" t="s">
        <v>4439</v>
      </c>
      <c r="F76" s="560" t="s">
        <v>10474</v>
      </c>
      <c r="G76" s="560"/>
      <c r="H76" s="560" t="s">
        <v>10475</v>
      </c>
      <c r="I76" s="560"/>
      <c r="J76" s="560"/>
      <c r="K76" s="562">
        <v>1</v>
      </c>
      <c r="L76" s="563">
        <v>5</v>
      </c>
      <c r="M76" s="564" t="s">
        <v>1899</v>
      </c>
      <c r="N76" s="565" t="s">
        <v>14</v>
      </c>
      <c r="O76" s="565"/>
    </row>
    <row r="77" spans="1:15">
      <c r="A77" s="61" t="s">
        <v>10476</v>
      </c>
      <c r="B77" s="61" t="s">
        <v>10477</v>
      </c>
      <c r="C77" s="63"/>
      <c r="D77" s="63"/>
      <c r="E77" s="88" t="s">
        <v>10326</v>
      </c>
      <c r="F77" s="63"/>
      <c r="G77" s="63"/>
      <c r="H77" s="63"/>
      <c r="I77" s="63"/>
      <c r="J77" s="63"/>
      <c r="K77" s="64">
        <v>1</v>
      </c>
      <c r="L77" s="107">
        <v>5</v>
      </c>
      <c r="M77" s="104" t="s">
        <v>1899</v>
      </c>
      <c r="N77" s="279"/>
      <c r="O77" s="380"/>
    </row>
    <row r="78" spans="1:15">
      <c r="A78" s="61" t="s">
        <v>10478</v>
      </c>
      <c r="B78" s="61" t="s">
        <v>10479</v>
      </c>
      <c r="C78" s="63"/>
      <c r="D78" s="63"/>
      <c r="E78" s="88" t="s">
        <v>10326</v>
      </c>
      <c r="F78" s="63"/>
      <c r="G78" s="63"/>
      <c r="H78" s="63"/>
      <c r="I78" s="63"/>
      <c r="J78" s="63"/>
      <c r="K78" s="64">
        <v>1</v>
      </c>
      <c r="L78" s="107">
        <v>5</v>
      </c>
      <c r="M78" s="104" t="s">
        <v>1899</v>
      </c>
      <c r="N78" s="279"/>
      <c r="O78" s="380"/>
    </row>
    <row r="79" spans="1:15">
      <c r="A79" s="61" t="s">
        <v>10480</v>
      </c>
      <c r="B79" s="61" t="s">
        <v>10481</v>
      </c>
      <c r="C79" s="63" t="s">
        <v>1894</v>
      </c>
      <c r="D79" s="63"/>
      <c r="E79" s="88" t="s">
        <v>10326</v>
      </c>
      <c r="F79" s="63" t="s">
        <v>10482</v>
      </c>
      <c r="G79" s="63" t="s">
        <v>198</v>
      </c>
      <c r="H79" s="61"/>
      <c r="I79" s="61"/>
      <c r="J79" s="63" t="s">
        <v>10317</v>
      </c>
      <c r="K79" s="64">
        <v>1</v>
      </c>
      <c r="L79" s="107">
        <v>4</v>
      </c>
      <c r="M79" s="104" t="s">
        <v>1899</v>
      </c>
      <c r="N79" s="279"/>
      <c r="O79" s="380"/>
    </row>
    <row r="80" spans="1:15">
      <c r="A80" s="61" t="s">
        <v>10483</v>
      </c>
      <c r="B80" s="61" t="s">
        <v>10484</v>
      </c>
      <c r="C80" s="63" t="s">
        <v>1894</v>
      </c>
      <c r="D80" s="63"/>
      <c r="E80" s="88" t="s">
        <v>10326</v>
      </c>
      <c r="F80" s="63" t="s">
        <v>10485</v>
      </c>
      <c r="G80" s="63" t="s">
        <v>198</v>
      </c>
      <c r="H80" s="61"/>
      <c r="I80" s="61"/>
      <c r="J80" s="63" t="s">
        <v>10317</v>
      </c>
      <c r="K80" s="64">
        <v>1</v>
      </c>
      <c r="L80" s="107">
        <v>4</v>
      </c>
      <c r="M80" s="104" t="s">
        <v>1899</v>
      </c>
      <c r="N80" s="279"/>
      <c r="O80" s="380"/>
    </row>
    <row r="81" spans="1:15">
      <c r="A81" s="61" t="s">
        <v>10486</v>
      </c>
      <c r="B81" s="61" t="s">
        <v>10487</v>
      </c>
      <c r="C81" s="63" t="s">
        <v>1894</v>
      </c>
      <c r="D81" s="63"/>
      <c r="E81" s="88" t="s">
        <v>10326</v>
      </c>
      <c r="F81" s="63" t="s">
        <v>10488</v>
      </c>
      <c r="G81" s="63" t="s">
        <v>740</v>
      </c>
      <c r="H81" s="61"/>
      <c r="I81" s="61"/>
      <c r="J81" s="63" t="s">
        <v>10317</v>
      </c>
      <c r="K81" s="64">
        <v>1</v>
      </c>
      <c r="L81" s="107">
        <v>4</v>
      </c>
      <c r="M81" s="104" t="s">
        <v>1899</v>
      </c>
      <c r="N81" s="279"/>
      <c r="O81" s="380"/>
    </row>
    <row r="82" spans="1:15">
      <c r="A82" s="61" t="s">
        <v>10489</v>
      </c>
      <c r="B82" s="61" t="s">
        <v>10490</v>
      </c>
      <c r="C82" s="63" t="s">
        <v>1894</v>
      </c>
      <c r="D82" s="63"/>
      <c r="E82" s="270"/>
      <c r="F82" s="63" t="s">
        <v>10491</v>
      </c>
      <c r="G82" s="63" t="s">
        <v>198</v>
      </c>
      <c r="H82" s="61"/>
      <c r="I82" s="61"/>
      <c r="J82" s="63" t="s">
        <v>10317</v>
      </c>
      <c r="K82" s="64">
        <v>1</v>
      </c>
      <c r="L82" s="107">
        <v>4</v>
      </c>
      <c r="M82" s="104" t="s">
        <v>1899</v>
      </c>
      <c r="N82" s="279"/>
      <c r="O82" s="380"/>
    </row>
    <row r="83" spans="1:15">
      <c r="A83" s="61" t="s">
        <v>10492</v>
      </c>
      <c r="B83" s="61" t="s">
        <v>10493</v>
      </c>
      <c r="C83" s="63" t="s">
        <v>1894</v>
      </c>
      <c r="D83" s="63"/>
      <c r="E83" s="270"/>
      <c r="F83" s="63" t="s">
        <v>10491</v>
      </c>
      <c r="G83" s="63" t="s">
        <v>198</v>
      </c>
      <c r="H83" s="61"/>
      <c r="I83" s="61"/>
      <c r="J83" s="63" t="s">
        <v>10317</v>
      </c>
      <c r="K83" s="64">
        <v>1</v>
      </c>
      <c r="L83" s="107">
        <v>4</v>
      </c>
      <c r="M83" s="104" t="s">
        <v>1899</v>
      </c>
      <c r="N83" s="279"/>
      <c r="O83" s="380"/>
    </row>
    <row r="84" spans="1:15">
      <c r="A84" s="61"/>
      <c r="B84" s="85"/>
      <c r="C84" s="63"/>
      <c r="D84" s="63"/>
      <c r="E84" s="88" t="s">
        <v>10494</v>
      </c>
      <c r="F84" s="63"/>
      <c r="G84" s="63"/>
      <c r="H84" s="61"/>
      <c r="I84" s="61"/>
      <c r="J84" s="63"/>
      <c r="K84" s="64"/>
      <c r="L84" s="107"/>
      <c r="M84" s="104"/>
      <c r="N84" s="279"/>
      <c r="O84" s="238"/>
    </row>
    <row r="85" spans="1:15">
      <c r="A85" s="71" t="s">
        <v>10495</v>
      </c>
      <c r="C85" s="63" t="s">
        <v>1894</v>
      </c>
      <c r="D85" s="63"/>
      <c r="E85" s="88"/>
      <c r="F85" s="63"/>
      <c r="G85" s="63"/>
      <c r="H85" s="61"/>
      <c r="I85" s="61"/>
      <c r="J85" s="63" t="s">
        <v>10317</v>
      </c>
      <c r="K85" s="64"/>
      <c r="L85" s="107"/>
      <c r="M85" s="104"/>
      <c r="N85" s="279"/>
      <c r="O85" s="238"/>
    </row>
    <row r="86" spans="1:15">
      <c r="A86" s="61" t="s">
        <v>10319</v>
      </c>
      <c r="B86" s="61" t="s">
        <v>770</v>
      </c>
      <c r="C86" s="63" t="s">
        <v>1894</v>
      </c>
      <c r="D86" s="63"/>
      <c r="E86" s="88" t="s">
        <v>10494</v>
      </c>
      <c r="F86" s="63" t="s">
        <v>503</v>
      </c>
      <c r="G86" s="63" t="s">
        <v>198</v>
      </c>
      <c r="H86" s="61"/>
      <c r="I86" s="61"/>
      <c r="J86" s="63" t="s">
        <v>10317</v>
      </c>
      <c r="K86" s="64">
        <v>1</v>
      </c>
      <c r="L86" s="107">
        <v>5</v>
      </c>
      <c r="M86" s="104" t="s">
        <v>1899</v>
      </c>
      <c r="N86" s="279"/>
      <c r="O86" s="380"/>
    </row>
    <row r="87" spans="1:15">
      <c r="A87" s="61" t="s">
        <v>10496</v>
      </c>
      <c r="B87" s="61" t="s">
        <v>10497</v>
      </c>
      <c r="C87" s="63" t="s">
        <v>1894</v>
      </c>
      <c r="D87" s="63"/>
      <c r="E87" s="88" t="s">
        <v>10494</v>
      </c>
      <c r="F87" s="63" t="s">
        <v>10389</v>
      </c>
      <c r="G87" s="63" t="s">
        <v>466</v>
      </c>
      <c r="H87" s="61"/>
      <c r="I87" s="61"/>
      <c r="J87" s="63" t="s">
        <v>10317</v>
      </c>
      <c r="K87" s="64">
        <v>1</v>
      </c>
      <c r="L87" s="107">
        <v>5</v>
      </c>
      <c r="M87" s="104" t="s">
        <v>1899</v>
      </c>
      <c r="N87" s="279"/>
      <c r="O87" s="380"/>
    </row>
    <row r="88" spans="1:15" ht="22.5">
      <c r="A88" s="61" t="s">
        <v>10390</v>
      </c>
      <c r="B88" s="61" t="s">
        <v>10391</v>
      </c>
      <c r="C88" s="63" t="s">
        <v>1894</v>
      </c>
      <c r="D88" s="63"/>
      <c r="E88" s="270"/>
      <c r="F88" s="63" t="s">
        <v>10431</v>
      </c>
      <c r="G88" s="63" t="s">
        <v>466</v>
      </c>
      <c r="H88" s="61"/>
      <c r="I88" s="61"/>
      <c r="J88" s="63" t="s">
        <v>10317</v>
      </c>
      <c r="K88" s="64">
        <v>1</v>
      </c>
      <c r="L88" s="107">
        <v>5</v>
      </c>
      <c r="M88" s="104" t="s">
        <v>1899</v>
      </c>
      <c r="N88" s="279"/>
      <c r="O88" s="380"/>
    </row>
    <row r="89" spans="1:15" ht="168.75">
      <c r="A89" s="61" t="s">
        <v>10361</v>
      </c>
      <c r="B89" s="61" t="s">
        <v>375</v>
      </c>
      <c r="C89" s="63" t="s">
        <v>1894</v>
      </c>
      <c r="D89" s="63"/>
      <c r="E89" s="270"/>
      <c r="F89" s="63" t="s">
        <v>10498</v>
      </c>
      <c r="G89" s="63" t="s">
        <v>740</v>
      </c>
      <c r="H89" s="63" t="s">
        <v>10499</v>
      </c>
      <c r="I89" s="63"/>
      <c r="J89" s="63" t="s">
        <v>10317</v>
      </c>
      <c r="K89" s="64">
        <v>1</v>
      </c>
      <c r="L89" s="107">
        <v>4</v>
      </c>
      <c r="M89" s="104" t="s">
        <v>1899</v>
      </c>
      <c r="N89" s="279"/>
      <c r="O89" s="380"/>
    </row>
    <row r="90" spans="1:15">
      <c r="A90" s="61"/>
      <c r="B90" s="61"/>
      <c r="C90" s="63"/>
      <c r="D90" s="63"/>
      <c r="E90" s="88" t="s">
        <v>10326</v>
      </c>
      <c r="F90" s="63"/>
      <c r="G90" s="63"/>
      <c r="H90" s="63"/>
      <c r="I90" s="63"/>
      <c r="J90" s="63"/>
      <c r="K90" s="64"/>
      <c r="L90" s="107"/>
      <c r="M90" s="104"/>
      <c r="N90" s="279"/>
      <c r="O90" s="238"/>
    </row>
    <row r="91" spans="1:15">
      <c r="A91" s="71" t="s">
        <v>10500</v>
      </c>
      <c r="C91" s="63" t="s">
        <v>1894</v>
      </c>
      <c r="D91" s="63"/>
      <c r="E91" s="88"/>
      <c r="F91" s="63"/>
      <c r="G91" s="63"/>
      <c r="H91" s="63"/>
      <c r="I91" s="63"/>
      <c r="J91" s="63" t="s">
        <v>10317</v>
      </c>
      <c r="K91" s="64"/>
      <c r="L91" s="107"/>
      <c r="M91" s="104"/>
      <c r="N91" s="279"/>
      <c r="O91" s="238"/>
    </row>
    <row r="92" spans="1:15">
      <c r="A92" s="61" t="s">
        <v>10319</v>
      </c>
      <c r="B92" s="61" t="s">
        <v>770</v>
      </c>
      <c r="C92" s="63" t="s">
        <v>1894</v>
      </c>
      <c r="D92" s="63"/>
      <c r="E92" s="88" t="s">
        <v>10326</v>
      </c>
      <c r="F92" s="63" t="s">
        <v>503</v>
      </c>
      <c r="G92" s="63" t="s">
        <v>198</v>
      </c>
      <c r="H92" s="61"/>
      <c r="I92" s="61"/>
      <c r="J92" s="63" t="s">
        <v>10317</v>
      </c>
      <c r="K92" s="64">
        <v>1</v>
      </c>
      <c r="L92" s="107">
        <v>3</v>
      </c>
      <c r="M92" s="104" t="s">
        <v>1899</v>
      </c>
      <c r="N92" s="279"/>
      <c r="O92" s="380"/>
    </row>
    <row r="93" spans="1:15">
      <c r="A93" s="61" t="s">
        <v>10501</v>
      </c>
      <c r="B93" s="61" t="s">
        <v>10502</v>
      </c>
      <c r="C93" s="63" t="s">
        <v>1894</v>
      </c>
      <c r="D93" s="63"/>
      <c r="E93" s="88" t="s">
        <v>10326</v>
      </c>
      <c r="F93" s="63" t="s">
        <v>10389</v>
      </c>
      <c r="G93" s="63" t="s">
        <v>466</v>
      </c>
      <c r="H93" s="61"/>
      <c r="I93" s="61"/>
      <c r="J93" s="63" t="s">
        <v>10317</v>
      </c>
      <c r="K93" s="64">
        <v>1</v>
      </c>
      <c r="L93" s="107">
        <v>5</v>
      </c>
      <c r="M93" s="104" t="s">
        <v>1899</v>
      </c>
      <c r="N93" s="279"/>
      <c r="O93" s="380"/>
    </row>
    <row r="94" spans="1:15" ht="22.5">
      <c r="A94" s="61" t="s">
        <v>10390</v>
      </c>
      <c r="B94" s="61" t="s">
        <v>10391</v>
      </c>
      <c r="C94" s="63" t="s">
        <v>1894</v>
      </c>
      <c r="D94" s="63"/>
      <c r="E94" s="270"/>
      <c r="F94" s="63" t="s">
        <v>10431</v>
      </c>
      <c r="G94" s="63" t="s">
        <v>466</v>
      </c>
      <c r="H94" s="61"/>
      <c r="I94" s="61"/>
      <c r="J94" s="63" t="s">
        <v>10317</v>
      </c>
      <c r="K94" s="64">
        <v>1</v>
      </c>
      <c r="L94" s="107">
        <v>5</v>
      </c>
      <c r="M94" s="104" t="s">
        <v>1899</v>
      </c>
      <c r="N94" s="279"/>
      <c r="O94" s="380"/>
    </row>
    <row r="95" spans="1:15" ht="303.75">
      <c r="A95" s="61" t="s">
        <v>10503</v>
      </c>
      <c r="B95" s="61" t="s">
        <v>10504</v>
      </c>
      <c r="C95" s="63" t="s">
        <v>1894</v>
      </c>
      <c r="D95" s="63"/>
      <c r="E95" s="270"/>
      <c r="F95" s="63" t="s">
        <v>10505</v>
      </c>
      <c r="G95" s="63" t="s">
        <v>740</v>
      </c>
      <c r="H95" s="63" t="s">
        <v>10506</v>
      </c>
      <c r="I95" s="63"/>
      <c r="J95" s="63" t="s">
        <v>10317</v>
      </c>
      <c r="K95" s="64">
        <v>1</v>
      </c>
      <c r="L95" s="107">
        <v>4</v>
      </c>
      <c r="M95" s="104" t="s">
        <v>1899</v>
      </c>
      <c r="N95" s="279"/>
      <c r="O95" s="380"/>
    </row>
    <row r="96" spans="1:15">
      <c r="A96" s="61"/>
      <c r="B96" s="85"/>
      <c r="C96" s="63"/>
      <c r="D96" s="63"/>
      <c r="E96" s="88" t="s">
        <v>10326</v>
      </c>
      <c r="F96" s="63"/>
      <c r="G96" s="63"/>
      <c r="H96" s="63"/>
      <c r="I96" s="63"/>
      <c r="J96" s="63"/>
      <c r="K96" s="64"/>
      <c r="L96" s="107"/>
      <c r="M96" s="104"/>
      <c r="N96" s="279"/>
      <c r="O96" s="238"/>
    </row>
    <row r="97" spans="1:15">
      <c r="A97" s="71" t="s">
        <v>10507</v>
      </c>
      <c r="C97" s="63" t="s">
        <v>1894</v>
      </c>
      <c r="D97" s="63"/>
      <c r="E97" s="88"/>
      <c r="F97" s="63"/>
      <c r="G97" s="63"/>
      <c r="H97" s="63"/>
      <c r="I97" s="63"/>
      <c r="J97" s="63" t="s">
        <v>10317</v>
      </c>
      <c r="K97" s="64">
        <v>1</v>
      </c>
      <c r="L97" s="107"/>
      <c r="M97" s="104" t="s">
        <v>1899</v>
      </c>
      <c r="N97" s="279"/>
      <c r="O97" s="238"/>
    </row>
    <row r="98" spans="1:15">
      <c r="A98" s="61" t="s">
        <v>10319</v>
      </c>
      <c r="B98" s="61" t="s">
        <v>770</v>
      </c>
      <c r="C98" s="63" t="s">
        <v>1894</v>
      </c>
      <c r="D98" s="63"/>
      <c r="E98" s="88" t="s">
        <v>10326</v>
      </c>
      <c r="F98" s="63" t="s">
        <v>503</v>
      </c>
      <c r="G98" s="63" t="s">
        <v>198</v>
      </c>
      <c r="H98" s="61"/>
      <c r="I98" s="61"/>
      <c r="J98" s="63" t="s">
        <v>10317</v>
      </c>
      <c r="K98" s="64">
        <v>1</v>
      </c>
      <c r="L98" s="107">
        <v>5</v>
      </c>
      <c r="M98" s="104" t="s">
        <v>1899</v>
      </c>
      <c r="N98" s="279"/>
      <c r="O98" s="380"/>
    </row>
    <row r="99" spans="1:15">
      <c r="A99" s="61" t="s">
        <v>10508</v>
      </c>
      <c r="B99" s="61" t="s">
        <v>10508</v>
      </c>
      <c r="C99" s="63" t="s">
        <v>1894</v>
      </c>
      <c r="D99" s="63"/>
      <c r="E99" s="88" t="s">
        <v>10326</v>
      </c>
      <c r="F99" s="63" t="s">
        <v>10389</v>
      </c>
      <c r="G99" s="63" t="s">
        <v>466</v>
      </c>
      <c r="H99" s="61"/>
      <c r="I99" s="61"/>
      <c r="J99" s="63" t="s">
        <v>10317</v>
      </c>
      <c r="K99" s="64">
        <v>1</v>
      </c>
      <c r="L99" s="107">
        <v>5</v>
      </c>
      <c r="M99" s="104" t="s">
        <v>1899</v>
      </c>
      <c r="N99" s="279"/>
      <c r="O99" s="380"/>
    </row>
    <row r="100" spans="1:15" ht="22.5">
      <c r="A100" s="61" t="s">
        <v>10429</v>
      </c>
      <c r="B100" s="61" t="s">
        <v>10429</v>
      </c>
      <c r="C100" s="63" t="s">
        <v>1894</v>
      </c>
      <c r="D100" s="63"/>
      <c r="E100" s="88" t="s">
        <v>10326</v>
      </c>
      <c r="F100" s="63" t="s">
        <v>10509</v>
      </c>
      <c r="G100" s="63" t="s">
        <v>466</v>
      </c>
      <c r="H100" s="61"/>
      <c r="I100" s="61"/>
      <c r="J100" s="63" t="s">
        <v>10317</v>
      </c>
      <c r="K100" s="64">
        <v>1</v>
      </c>
      <c r="L100" s="107">
        <v>5</v>
      </c>
      <c r="M100" s="104" t="s">
        <v>1899</v>
      </c>
      <c r="N100" s="279"/>
      <c r="O100" s="380"/>
    </row>
    <row r="101" spans="1:15" ht="22.5">
      <c r="A101" s="61" t="s">
        <v>10391</v>
      </c>
      <c r="B101" s="61" t="s">
        <v>10391</v>
      </c>
      <c r="C101" s="63" t="s">
        <v>1894</v>
      </c>
      <c r="D101" s="63"/>
      <c r="E101" s="88" t="s">
        <v>10326</v>
      </c>
      <c r="F101" s="63" t="s">
        <v>10431</v>
      </c>
      <c r="G101" s="63" t="s">
        <v>466</v>
      </c>
      <c r="H101" s="61"/>
      <c r="I101" s="61"/>
      <c r="J101" s="63" t="s">
        <v>10317</v>
      </c>
      <c r="K101" s="64">
        <v>1</v>
      </c>
      <c r="L101" s="107">
        <v>5</v>
      </c>
      <c r="M101" s="104" t="s">
        <v>1899</v>
      </c>
      <c r="N101" s="279"/>
      <c r="O101" s="380"/>
    </row>
    <row r="102" spans="1:15" ht="123.75">
      <c r="A102" s="61" t="s">
        <v>10510</v>
      </c>
      <c r="B102" s="61" t="s">
        <v>10510</v>
      </c>
      <c r="C102" s="63" t="s">
        <v>1894</v>
      </c>
      <c r="D102" s="63"/>
      <c r="E102" s="88" t="s">
        <v>10326</v>
      </c>
      <c r="F102" s="63" t="s">
        <v>10511</v>
      </c>
      <c r="G102" s="63" t="s">
        <v>740</v>
      </c>
      <c r="H102" s="63" t="s">
        <v>10512</v>
      </c>
      <c r="I102" s="63"/>
      <c r="J102" s="63" t="s">
        <v>10317</v>
      </c>
      <c r="K102" s="64">
        <v>1</v>
      </c>
      <c r="L102" s="107">
        <v>4</v>
      </c>
      <c r="M102" s="104" t="s">
        <v>1899</v>
      </c>
      <c r="N102" s="279"/>
      <c r="O102" s="380"/>
    </row>
    <row r="103" spans="1:15" ht="78.75">
      <c r="A103" s="61" t="s">
        <v>10513</v>
      </c>
      <c r="B103" s="61" t="s">
        <v>10513</v>
      </c>
      <c r="C103" s="63" t="s">
        <v>1894</v>
      </c>
      <c r="D103" s="63"/>
      <c r="E103" s="88" t="s">
        <v>10326</v>
      </c>
      <c r="F103" s="63" t="s">
        <v>10514</v>
      </c>
      <c r="G103" s="63" t="s">
        <v>740</v>
      </c>
      <c r="H103" s="63" t="s">
        <v>10515</v>
      </c>
      <c r="I103" s="63"/>
      <c r="J103" s="63" t="s">
        <v>10317</v>
      </c>
      <c r="K103" s="64">
        <v>1</v>
      </c>
      <c r="L103" s="107">
        <v>4</v>
      </c>
      <c r="M103" s="104" t="s">
        <v>1899</v>
      </c>
      <c r="N103" s="279"/>
      <c r="O103" s="380"/>
    </row>
    <row r="104" spans="1:15">
      <c r="A104" s="61" t="s">
        <v>10516</v>
      </c>
      <c r="B104" s="61" t="s">
        <v>10516</v>
      </c>
      <c r="C104" s="63" t="s">
        <v>1894</v>
      </c>
      <c r="D104" s="63"/>
      <c r="E104" s="71" t="s">
        <v>10326</v>
      </c>
      <c r="F104" s="63" t="s">
        <v>10517</v>
      </c>
      <c r="G104" s="63" t="s">
        <v>198</v>
      </c>
      <c r="H104" s="61"/>
      <c r="I104" s="61"/>
      <c r="J104" s="63" t="s">
        <v>10317</v>
      </c>
      <c r="K104" s="64">
        <v>1</v>
      </c>
      <c r="L104" s="107">
        <v>4</v>
      </c>
      <c r="M104" s="104" t="s">
        <v>1899</v>
      </c>
      <c r="N104" s="279"/>
      <c r="O104" s="380"/>
    </row>
    <row r="105" spans="1:15">
      <c r="A105" s="61" t="s">
        <v>10518</v>
      </c>
      <c r="B105" s="61" t="s">
        <v>10518</v>
      </c>
      <c r="C105" s="63" t="s">
        <v>1894</v>
      </c>
      <c r="D105" s="63"/>
      <c r="E105" s="71" t="s">
        <v>10326</v>
      </c>
      <c r="F105" s="63" t="s">
        <v>10519</v>
      </c>
      <c r="G105" s="63" t="s">
        <v>198</v>
      </c>
      <c r="H105" s="61"/>
      <c r="I105" s="61"/>
      <c r="J105" s="63" t="s">
        <v>10317</v>
      </c>
      <c r="K105" s="64">
        <v>1</v>
      </c>
      <c r="L105" s="107">
        <v>4</v>
      </c>
      <c r="M105" s="104" t="s">
        <v>1899</v>
      </c>
      <c r="N105" s="279"/>
      <c r="O105" s="380"/>
    </row>
  </sheetData>
  <autoFilter ref="A10:O105" xr:uid="{00000000-0009-0000-0000-00000E000000}"/>
  <phoneticPr fontId="39" type="noConversion"/>
  <conditionalFormatting sqref="N12:N105">
    <cfRule type="containsText" dxfId="63" priority="3" operator="containsText" text="Yes">
      <formula>NOT(ISERROR(SEARCH("Yes",N12)))</formula>
    </cfRule>
  </conditionalFormatting>
  <dataValidations count="2">
    <dataValidation type="list" allowBlank="1" showInputMessage="1" showErrorMessage="1" sqref="O11 E11" xr:uid="{00000000-0002-0000-0E00-000000000000}">
      <formula1>"All available, Specific years,Not applicable"</formula1>
    </dataValidation>
    <dataValidation type="list" allowBlank="1" showInputMessage="1" showErrorMessage="1" sqref="N11:N105" xr:uid="{00000000-0002-0000-0E00-000001000000}">
      <formula1>"No,Yes"</formula1>
    </dataValidation>
  </dataValidations>
  <pageMargins left="0.17" right="0.17" top="0.31000000000000005" bottom="0.27" header="0.18000000000000002" footer="0.17"/>
  <pageSetup paperSize="9" scale="60" fitToWidth="0" fitToHeight="0" orientation="landscape" r:id="rId1"/>
  <headerFooter alignWithMargins="0">
    <oddHeader>&amp;C&amp;F</oddHeader>
    <oddFooter>&amp;L&amp;A&amp;CPage &amp;P of &amp;N</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9" tint="0.39997558519241921"/>
  </sheetPr>
  <dimension ref="A1:O37"/>
  <sheetViews>
    <sheetView showGridLines="0" zoomScale="75" zoomScaleNormal="75" workbookViewId="0">
      <selection activeCell="O12" sqref="O12"/>
    </sheetView>
  </sheetViews>
  <sheetFormatPr defaultColWidth="9" defaultRowHeight="12.75"/>
  <cols>
    <col min="1" max="1" width="27" style="54" bestFit="1" customWidth="1"/>
    <col min="2" max="2" width="26" style="54" customWidth="1"/>
    <col min="3" max="4" width="26" style="54" hidden="1" customWidth="1"/>
    <col min="5" max="5" width="16.85546875" style="86" customWidth="1"/>
    <col min="6" max="6" width="40" style="54" customWidth="1"/>
    <col min="7" max="7" width="40" style="54" hidden="1" customWidth="1"/>
    <col min="8" max="8" width="24.5703125" style="56" customWidth="1"/>
    <col min="9" max="9" width="24.5703125" style="56" hidden="1" customWidth="1"/>
    <col min="10" max="10" width="6" style="56" hidden="1" customWidth="1"/>
    <col min="11" max="11" width="15.28515625" style="39" customWidth="1"/>
    <col min="12" max="12" width="13" style="72" bestFit="1" customWidth="1"/>
    <col min="13" max="13" width="12" style="72" bestFit="1" customWidth="1"/>
    <col min="14" max="14" width="19.140625" style="47" bestFit="1" customWidth="1"/>
    <col min="15" max="15" width="20.140625" style="47" bestFit="1" customWidth="1"/>
    <col min="16" max="16384" width="9" style="47"/>
  </cols>
  <sheetData>
    <row r="1" spans="1:15">
      <c r="A1" s="40" t="s">
        <v>137</v>
      </c>
      <c r="D1" s="86"/>
      <c r="E1" s="54"/>
      <c r="G1" s="56"/>
      <c r="J1" s="47"/>
      <c r="K1" s="72"/>
      <c r="M1" s="47"/>
    </row>
    <row r="2" spans="1:15">
      <c r="A2" s="40"/>
      <c r="D2" s="86"/>
      <c r="E2" s="54"/>
      <c r="G2" s="56"/>
      <c r="J2" s="129"/>
      <c r="K2" s="72"/>
      <c r="M2" s="47"/>
    </row>
    <row r="3" spans="1:15">
      <c r="A3" s="139" t="s">
        <v>159</v>
      </c>
      <c r="D3" s="86"/>
      <c r="E3" s="54"/>
      <c r="G3" s="56"/>
      <c r="J3" s="129"/>
      <c r="K3" s="72"/>
      <c r="M3" s="47"/>
    </row>
    <row r="4" spans="1:15">
      <c r="A4" s="40"/>
      <c r="D4" s="86"/>
      <c r="E4" s="54"/>
      <c r="G4" s="56"/>
      <c r="J4" s="129"/>
      <c r="K4" s="72"/>
      <c r="M4" s="47"/>
    </row>
    <row r="5" spans="1:15">
      <c r="A5" s="46" t="s">
        <v>10520</v>
      </c>
      <c r="K5" s="129"/>
    </row>
    <row r="6" spans="1:15">
      <c r="A6" s="46" t="s">
        <v>10521</v>
      </c>
      <c r="K6" s="129"/>
    </row>
    <row r="7" spans="1:15">
      <c r="A7" s="46"/>
      <c r="K7" s="129"/>
    </row>
    <row r="8" spans="1:15">
      <c r="A8" s="567" t="s">
        <v>10522</v>
      </c>
      <c r="K8" s="129"/>
    </row>
    <row r="9" spans="1:15" ht="11.25">
      <c r="K9" s="47"/>
    </row>
    <row r="10" spans="1:15" ht="33.75">
      <c r="A10" s="79" t="s">
        <v>165</v>
      </c>
      <c r="B10" s="79" t="s">
        <v>166</v>
      </c>
      <c r="C10" s="58" t="s">
        <v>168</v>
      </c>
      <c r="D10" s="58" t="s">
        <v>169</v>
      </c>
      <c r="E10" s="80" t="s">
        <v>170</v>
      </c>
      <c r="F10" s="81" t="s">
        <v>20</v>
      </c>
      <c r="G10" s="58" t="s">
        <v>171</v>
      </c>
      <c r="H10" s="81" t="s">
        <v>172</v>
      </c>
      <c r="I10" s="58" t="s">
        <v>174</v>
      </c>
      <c r="J10" s="58" t="s">
        <v>175</v>
      </c>
      <c r="K10" s="59" t="s">
        <v>176</v>
      </c>
      <c r="L10" s="60" t="s">
        <v>655</v>
      </c>
      <c r="M10" s="60" t="s">
        <v>179</v>
      </c>
      <c r="N10" s="291" t="s">
        <v>180</v>
      </c>
      <c r="O10" s="379" t="s">
        <v>181</v>
      </c>
    </row>
    <row r="11" spans="1:15" ht="11.25">
      <c r="A11" s="61" t="s">
        <v>10523</v>
      </c>
      <c r="B11" s="61" t="s">
        <v>491</v>
      </c>
      <c r="C11" s="61" t="s">
        <v>1894</v>
      </c>
      <c r="D11" s="61"/>
      <c r="E11" s="88" t="s">
        <v>10524</v>
      </c>
      <c r="F11" s="61" t="s">
        <v>494</v>
      </c>
      <c r="G11" s="61" t="s">
        <v>466</v>
      </c>
      <c r="H11" s="63"/>
      <c r="I11" s="63"/>
      <c r="J11" s="63" t="s">
        <v>1898</v>
      </c>
      <c r="K11" s="64">
        <v>1</v>
      </c>
      <c r="L11" s="73">
        <v>3</v>
      </c>
      <c r="M11" s="74" t="s">
        <v>1899</v>
      </c>
      <c r="N11" s="279"/>
      <c r="O11" s="258"/>
    </row>
    <row r="12" spans="1:15" s="50" customFormat="1" ht="56.25">
      <c r="A12" s="61" t="s">
        <v>10525</v>
      </c>
      <c r="B12" s="61" t="s">
        <v>10526</v>
      </c>
      <c r="C12" s="63" t="s">
        <v>1894</v>
      </c>
      <c r="D12" s="63"/>
      <c r="E12" s="271" t="s">
        <v>10524</v>
      </c>
      <c r="F12" s="63" t="s">
        <v>10527</v>
      </c>
      <c r="G12" s="63" t="s">
        <v>740</v>
      </c>
      <c r="H12" s="61"/>
      <c r="I12" s="61"/>
      <c r="J12" s="63" t="s">
        <v>1898</v>
      </c>
      <c r="K12" s="64">
        <v>1</v>
      </c>
      <c r="L12" s="107">
        <v>5</v>
      </c>
      <c r="M12" s="104" t="s">
        <v>1899</v>
      </c>
      <c r="N12" s="279"/>
      <c r="O12" s="371"/>
    </row>
    <row r="13" spans="1:15" ht="112.5">
      <c r="A13" s="61" t="s">
        <v>10528</v>
      </c>
      <c r="B13" s="87" t="s">
        <v>10529</v>
      </c>
      <c r="C13" s="61" t="s">
        <v>1894</v>
      </c>
      <c r="D13" s="61"/>
      <c r="E13" s="88" t="s">
        <v>10524</v>
      </c>
      <c r="F13" s="63" t="s">
        <v>187</v>
      </c>
      <c r="G13" s="43" t="s">
        <v>188</v>
      </c>
      <c r="H13" s="43" t="s">
        <v>10530</v>
      </c>
      <c r="I13" s="43"/>
      <c r="J13" s="63" t="s">
        <v>1898</v>
      </c>
      <c r="K13" s="64">
        <v>1</v>
      </c>
      <c r="L13" s="73">
        <v>5</v>
      </c>
      <c r="M13" s="75" t="s">
        <v>1899</v>
      </c>
      <c r="N13" s="279"/>
      <c r="O13" s="126"/>
    </row>
    <row r="14" spans="1:15" ht="33.75">
      <c r="A14" s="43" t="s">
        <v>10531</v>
      </c>
      <c r="B14" s="43" t="s">
        <v>10532</v>
      </c>
      <c r="C14" s="61" t="s">
        <v>1894</v>
      </c>
      <c r="D14" s="61"/>
      <c r="E14" s="88" t="s">
        <v>10524</v>
      </c>
      <c r="F14" s="43" t="s">
        <v>10533</v>
      </c>
      <c r="G14" s="43" t="s">
        <v>198</v>
      </c>
      <c r="H14" s="43"/>
      <c r="I14" s="43"/>
      <c r="J14" s="63" t="s">
        <v>1898</v>
      </c>
      <c r="K14" s="64">
        <v>1</v>
      </c>
      <c r="L14" s="73">
        <v>5</v>
      </c>
      <c r="M14" s="75" t="s">
        <v>1899</v>
      </c>
      <c r="N14" s="279"/>
      <c r="O14" s="126"/>
    </row>
    <row r="15" spans="1:15" ht="28.5" customHeight="1">
      <c r="A15" s="61" t="s">
        <v>10534</v>
      </c>
      <c r="B15" s="87" t="s">
        <v>10535</v>
      </c>
      <c r="C15" s="61" t="s">
        <v>1894</v>
      </c>
      <c r="D15" s="61"/>
      <c r="E15" s="88" t="s">
        <v>10524</v>
      </c>
      <c r="F15" s="43" t="s">
        <v>10536</v>
      </c>
      <c r="G15" s="243" t="s">
        <v>198</v>
      </c>
      <c r="H15" s="43" t="s">
        <v>10537</v>
      </c>
      <c r="I15" s="43"/>
      <c r="J15" s="63" t="s">
        <v>1898</v>
      </c>
      <c r="K15" s="64">
        <v>1</v>
      </c>
      <c r="L15" s="73">
        <v>5</v>
      </c>
      <c r="M15" s="74" t="s">
        <v>1899</v>
      </c>
      <c r="N15" s="279"/>
      <c r="O15" s="126"/>
    </row>
    <row r="16" spans="1:15" ht="292.5">
      <c r="A16" s="61" t="s">
        <v>10538</v>
      </c>
      <c r="B16" s="87" t="s">
        <v>4222</v>
      </c>
      <c r="C16" s="61" t="s">
        <v>1894</v>
      </c>
      <c r="D16" s="61"/>
      <c r="E16" s="88" t="s">
        <v>10524</v>
      </c>
      <c r="F16" s="43" t="s">
        <v>10539</v>
      </c>
      <c r="G16" s="43" t="s">
        <v>740</v>
      </c>
      <c r="H16" s="43" t="s">
        <v>10540</v>
      </c>
      <c r="I16" s="43"/>
      <c r="J16" s="63" t="s">
        <v>1898</v>
      </c>
      <c r="K16" s="64">
        <v>1</v>
      </c>
      <c r="L16" s="73">
        <v>4</v>
      </c>
      <c r="M16" s="74" t="s">
        <v>1899</v>
      </c>
      <c r="N16" s="279"/>
      <c r="O16" s="126"/>
    </row>
    <row r="17" spans="1:15" ht="22.5">
      <c r="A17" s="61" t="s">
        <v>10541</v>
      </c>
      <c r="B17" s="87" t="s">
        <v>10542</v>
      </c>
      <c r="C17" s="61" t="s">
        <v>1894</v>
      </c>
      <c r="D17" s="61"/>
      <c r="E17" s="88" t="s">
        <v>10524</v>
      </c>
      <c r="F17" s="43" t="s">
        <v>10543</v>
      </c>
      <c r="G17" s="43" t="s">
        <v>188</v>
      </c>
      <c r="H17" s="43" t="s">
        <v>250</v>
      </c>
      <c r="I17" s="43"/>
      <c r="J17" s="63" t="s">
        <v>1898</v>
      </c>
      <c r="K17" s="64">
        <v>1</v>
      </c>
      <c r="L17" s="73">
        <v>4</v>
      </c>
      <c r="M17" s="75" t="s">
        <v>1899</v>
      </c>
      <c r="N17" s="279"/>
      <c r="O17" s="126"/>
    </row>
    <row r="18" spans="1:15" ht="22.5">
      <c r="A18" s="61" t="s">
        <v>10544</v>
      </c>
      <c r="B18" s="87" t="s">
        <v>10545</v>
      </c>
      <c r="C18" s="61" t="s">
        <v>1894</v>
      </c>
      <c r="D18" s="61"/>
      <c r="E18" s="88" t="s">
        <v>10524</v>
      </c>
      <c r="F18" s="43" t="s">
        <v>10546</v>
      </c>
      <c r="G18" s="43" t="s">
        <v>198</v>
      </c>
      <c r="H18" s="43"/>
      <c r="I18" s="43"/>
      <c r="J18" s="63" t="s">
        <v>1898</v>
      </c>
      <c r="K18" s="64">
        <v>1</v>
      </c>
      <c r="L18" s="73">
        <v>4</v>
      </c>
      <c r="M18" s="74" t="s">
        <v>1899</v>
      </c>
      <c r="N18" s="279"/>
      <c r="O18" s="126"/>
    </row>
    <row r="19" spans="1:15" ht="33.75">
      <c r="A19" s="61" t="s">
        <v>10547</v>
      </c>
      <c r="B19" s="87" t="s">
        <v>10548</v>
      </c>
      <c r="C19" s="61" t="s">
        <v>1894</v>
      </c>
      <c r="D19" s="61"/>
      <c r="E19" s="88" t="s">
        <v>10524</v>
      </c>
      <c r="F19" s="43" t="s">
        <v>10549</v>
      </c>
      <c r="G19" s="43" t="s">
        <v>198</v>
      </c>
      <c r="H19" s="43"/>
      <c r="I19" s="43"/>
      <c r="J19" s="63" t="s">
        <v>1898</v>
      </c>
      <c r="K19" s="64">
        <v>1</v>
      </c>
      <c r="L19" s="73">
        <v>4</v>
      </c>
      <c r="M19" s="75" t="s">
        <v>1899</v>
      </c>
      <c r="N19" s="279"/>
      <c r="O19" s="126"/>
    </row>
    <row r="20" spans="1:15" ht="101.25">
      <c r="A20" s="61" t="s">
        <v>10550</v>
      </c>
      <c r="B20" s="87" t="s">
        <v>10551</v>
      </c>
      <c r="C20" s="61" t="s">
        <v>1894</v>
      </c>
      <c r="D20" s="61"/>
      <c r="E20" s="88" t="s">
        <v>10524</v>
      </c>
      <c r="F20" s="43" t="s">
        <v>10552</v>
      </c>
      <c r="G20" s="43" t="s">
        <v>740</v>
      </c>
      <c r="H20" s="43" t="s">
        <v>10553</v>
      </c>
      <c r="I20" s="43"/>
      <c r="J20" s="63" t="s">
        <v>1898</v>
      </c>
      <c r="K20" s="64">
        <v>1</v>
      </c>
      <c r="L20" s="73">
        <v>4</v>
      </c>
      <c r="M20" s="74" t="s">
        <v>1899</v>
      </c>
      <c r="N20" s="279"/>
      <c r="O20" s="126"/>
    </row>
    <row r="21" spans="1:15" ht="22.5">
      <c r="A21" s="61" t="s">
        <v>10554</v>
      </c>
      <c r="B21" s="87" t="s">
        <v>10555</v>
      </c>
      <c r="C21" s="61" t="s">
        <v>1894</v>
      </c>
      <c r="D21" s="61"/>
      <c r="E21" s="88" t="s">
        <v>10524</v>
      </c>
      <c r="F21" s="43" t="s">
        <v>10556</v>
      </c>
      <c r="G21" s="243" t="s">
        <v>740</v>
      </c>
      <c r="H21" s="43"/>
      <c r="I21" s="43"/>
      <c r="J21" s="63" t="s">
        <v>1898</v>
      </c>
      <c r="K21" s="64">
        <v>1</v>
      </c>
      <c r="L21" s="73">
        <v>4</v>
      </c>
      <c r="M21" s="75" t="s">
        <v>1899</v>
      </c>
      <c r="N21" s="279"/>
      <c r="O21" s="126"/>
    </row>
    <row r="22" spans="1:15" ht="22.5">
      <c r="A22" s="61" t="s">
        <v>10557</v>
      </c>
      <c r="B22" s="87" t="s">
        <v>10558</v>
      </c>
      <c r="C22" s="61" t="s">
        <v>1894</v>
      </c>
      <c r="D22" s="61"/>
      <c r="E22" s="88" t="s">
        <v>10524</v>
      </c>
      <c r="F22" s="43" t="s">
        <v>10559</v>
      </c>
      <c r="G22" s="43" t="s">
        <v>198</v>
      </c>
      <c r="H22" s="43"/>
      <c r="I22" s="43"/>
      <c r="J22" s="63" t="s">
        <v>1898</v>
      </c>
      <c r="K22" s="64">
        <v>1</v>
      </c>
      <c r="L22" s="73">
        <v>4</v>
      </c>
      <c r="M22" s="74" t="s">
        <v>1899</v>
      </c>
      <c r="N22" s="279"/>
      <c r="O22" s="126"/>
    </row>
    <row r="23" spans="1:15" ht="33.75">
      <c r="A23" s="61" t="s">
        <v>10560</v>
      </c>
      <c r="B23" s="108" t="s">
        <v>10561</v>
      </c>
      <c r="C23" s="61" t="s">
        <v>1894</v>
      </c>
      <c r="D23" s="61"/>
      <c r="E23" s="88" t="s">
        <v>10524</v>
      </c>
      <c r="F23" s="108" t="s">
        <v>10562</v>
      </c>
      <c r="G23" s="108" t="s">
        <v>198</v>
      </c>
      <c r="H23" s="108"/>
      <c r="I23" s="108"/>
      <c r="J23" s="63" t="s">
        <v>1898</v>
      </c>
      <c r="K23" s="64">
        <v>1</v>
      </c>
      <c r="L23" s="73">
        <v>4</v>
      </c>
      <c r="M23" s="75" t="s">
        <v>1899</v>
      </c>
      <c r="N23" s="279"/>
      <c r="O23" s="126"/>
    </row>
    <row r="24" spans="1:15" ht="409.5">
      <c r="A24" s="61" t="s">
        <v>10563</v>
      </c>
      <c r="B24" s="87" t="s">
        <v>10564</v>
      </c>
      <c r="C24" s="61" t="s">
        <v>1894</v>
      </c>
      <c r="D24" s="61"/>
      <c r="E24" s="88" t="s">
        <v>10524</v>
      </c>
      <c r="F24" s="43" t="s">
        <v>10565</v>
      </c>
      <c r="G24" s="43" t="s">
        <v>740</v>
      </c>
      <c r="H24" s="43" t="s">
        <v>10566</v>
      </c>
      <c r="I24" s="43"/>
      <c r="J24" s="63" t="s">
        <v>1898</v>
      </c>
      <c r="K24" s="64">
        <v>1</v>
      </c>
      <c r="L24" s="73">
        <v>4</v>
      </c>
      <c r="M24" s="74" t="s">
        <v>1899</v>
      </c>
      <c r="N24" s="279"/>
      <c r="O24" s="126"/>
    </row>
    <row r="25" spans="1:15" ht="409.5">
      <c r="A25" s="792" t="s">
        <v>10567</v>
      </c>
      <c r="B25" s="792" t="s">
        <v>10568</v>
      </c>
      <c r="C25" s="61" t="s">
        <v>1894</v>
      </c>
      <c r="D25" s="223"/>
      <c r="E25" s="794" t="s">
        <v>10524</v>
      </c>
      <c r="F25" s="796" t="s">
        <v>10569</v>
      </c>
      <c r="G25" s="374" t="s">
        <v>740</v>
      </c>
      <c r="H25" s="43" t="s">
        <v>10570</v>
      </c>
      <c r="I25" s="43"/>
      <c r="J25" s="63" t="s">
        <v>1898</v>
      </c>
      <c r="K25" s="64">
        <v>1</v>
      </c>
      <c r="L25" s="73">
        <v>4</v>
      </c>
      <c r="M25" s="75" t="s">
        <v>1899</v>
      </c>
      <c r="N25" s="279"/>
      <c r="O25" s="126"/>
    </row>
    <row r="26" spans="1:15" ht="409.5">
      <c r="A26" s="793"/>
      <c r="B26" s="793"/>
      <c r="C26" s="61" t="s">
        <v>1894</v>
      </c>
      <c r="D26" s="224"/>
      <c r="E26" s="795"/>
      <c r="F26" s="797"/>
      <c r="G26" s="244"/>
      <c r="H26" s="43" t="s">
        <v>10571</v>
      </c>
      <c r="I26" s="43"/>
      <c r="J26" s="63" t="s">
        <v>1898</v>
      </c>
      <c r="K26" s="64"/>
      <c r="L26" s="73">
        <v>4</v>
      </c>
      <c r="M26" s="74" t="s">
        <v>1899</v>
      </c>
      <c r="N26" s="279"/>
      <c r="O26" s="126"/>
    </row>
    <row r="27" spans="1:15" ht="409.5">
      <c r="A27" s="61" t="s">
        <v>10572</v>
      </c>
      <c r="B27" s="87" t="s">
        <v>10573</v>
      </c>
      <c r="C27" s="61" t="s">
        <v>1894</v>
      </c>
      <c r="D27" s="61"/>
      <c r="E27" s="88" t="s">
        <v>10524</v>
      </c>
      <c r="F27" s="43" t="s">
        <v>10574</v>
      </c>
      <c r="G27" s="43" t="s">
        <v>740</v>
      </c>
      <c r="H27" s="43" t="s">
        <v>10575</v>
      </c>
      <c r="I27" s="43"/>
      <c r="J27" s="63" t="s">
        <v>1898</v>
      </c>
      <c r="K27" s="64">
        <v>1</v>
      </c>
      <c r="L27" s="73">
        <v>4</v>
      </c>
      <c r="M27" s="75" t="s">
        <v>1899</v>
      </c>
      <c r="N27" s="279"/>
      <c r="O27" s="126"/>
    </row>
    <row r="28" spans="1:15" s="50" customFormat="1" ht="56.25">
      <c r="A28" s="61" t="s">
        <v>10576</v>
      </c>
      <c r="B28" s="61" t="s">
        <v>10577</v>
      </c>
      <c r="C28" s="63"/>
      <c r="D28" s="63"/>
      <c r="E28" s="271" t="s">
        <v>6467</v>
      </c>
      <c r="F28" s="63" t="s">
        <v>10578</v>
      </c>
      <c r="G28" s="63"/>
      <c r="H28" s="61" t="s">
        <v>10579</v>
      </c>
      <c r="I28" s="61"/>
      <c r="J28" s="63"/>
      <c r="K28" s="64">
        <v>1</v>
      </c>
      <c r="L28" s="107">
        <v>4</v>
      </c>
      <c r="M28" s="104" t="s">
        <v>1899</v>
      </c>
      <c r="N28" s="279"/>
      <c r="O28" s="371"/>
    </row>
    <row r="29" spans="1:15" ht="67.5">
      <c r="A29" s="61" t="s">
        <v>10580</v>
      </c>
      <c r="B29" s="87" t="s">
        <v>10581</v>
      </c>
      <c r="C29" s="61"/>
      <c r="D29" s="61"/>
      <c r="E29" s="88" t="s">
        <v>6467</v>
      </c>
      <c r="F29" s="43" t="s">
        <v>10582</v>
      </c>
      <c r="G29" s="43"/>
      <c r="H29" s="43" t="s">
        <v>10583</v>
      </c>
      <c r="I29" s="43"/>
      <c r="J29" s="63"/>
      <c r="K29" s="64">
        <v>1</v>
      </c>
      <c r="L29" s="73">
        <v>4</v>
      </c>
      <c r="M29" s="251" t="s">
        <v>1899</v>
      </c>
      <c r="N29" s="279"/>
      <c r="O29" s="126"/>
    </row>
    <row r="30" spans="1:15" ht="22.5">
      <c r="A30" s="61" t="s">
        <v>10584</v>
      </c>
      <c r="B30" s="87" t="s">
        <v>10585</v>
      </c>
      <c r="C30" s="61" t="s">
        <v>1894</v>
      </c>
      <c r="D30" s="61"/>
      <c r="E30" s="88" t="s">
        <v>10524</v>
      </c>
      <c r="F30" s="43" t="s">
        <v>10586</v>
      </c>
      <c r="G30" s="43" t="s">
        <v>188</v>
      </c>
      <c r="H30" s="43" t="s">
        <v>250</v>
      </c>
      <c r="I30" s="43"/>
      <c r="J30" s="63" t="s">
        <v>1898</v>
      </c>
      <c r="K30" s="64">
        <v>1</v>
      </c>
      <c r="L30" s="73">
        <v>4</v>
      </c>
      <c r="M30" s="74" t="s">
        <v>1899</v>
      </c>
      <c r="N30" s="279"/>
      <c r="O30" s="126"/>
    </row>
    <row r="31" spans="1:15" ht="33.75">
      <c r="A31" s="61" t="s">
        <v>10587</v>
      </c>
      <c r="B31" s="87" t="s">
        <v>1893</v>
      </c>
      <c r="C31" s="61" t="s">
        <v>1894</v>
      </c>
      <c r="D31" s="61"/>
      <c r="E31" s="88" t="s">
        <v>10524</v>
      </c>
      <c r="F31" s="43" t="s">
        <v>10588</v>
      </c>
      <c r="G31" s="43" t="s">
        <v>188</v>
      </c>
      <c r="H31" s="43" t="s">
        <v>250</v>
      </c>
      <c r="I31" s="43"/>
      <c r="J31" s="63" t="s">
        <v>1898</v>
      </c>
      <c r="K31" s="64">
        <v>1</v>
      </c>
      <c r="L31" s="73">
        <v>4</v>
      </c>
      <c r="M31" s="75" t="s">
        <v>1899</v>
      </c>
      <c r="N31" s="279"/>
      <c r="O31" s="126"/>
    </row>
    <row r="32" spans="1:15" ht="33.75">
      <c r="A32" s="61" t="s">
        <v>10589</v>
      </c>
      <c r="B32" s="87" t="s">
        <v>1901</v>
      </c>
      <c r="C32" s="61" t="s">
        <v>1894</v>
      </c>
      <c r="D32" s="61"/>
      <c r="E32" s="88" t="s">
        <v>10524</v>
      </c>
      <c r="F32" s="43" t="s">
        <v>10590</v>
      </c>
      <c r="G32" s="43" t="s">
        <v>188</v>
      </c>
      <c r="H32" s="43" t="s">
        <v>250</v>
      </c>
      <c r="I32" s="43"/>
      <c r="J32" s="63" t="s">
        <v>1898</v>
      </c>
      <c r="K32" s="64">
        <v>1</v>
      </c>
      <c r="L32" s="73">
        <v>4</v>
      </c>
      <c r="M32" s="74" t="s">
        <v>1899</v>
      </c>
      <c r="N32" s="279"/>
      <c r="O32" s="126"/>
    </row>
    <row r="33" spans="1:15" ht="45">
      <c r="A33" s="61" t="s">
        <v>10591</v>
      </c>
      <c r="B33" s="43" t="s">
        <v>1903</v>
      </c>
      <c r="C33" s="61" t="s">
        <v>1894</v>
      </c>
      <c r="D33" s="61"/>
      <c r="E33" s="88" t="s">
        <v>10524</v>
      </c>
      <c r="F33" s="43" t="s">
        <v>10592</v>
      </c>
      <c r="G33" s="43" t="s">
        <v>188</v>
      </c>
      <c r="H33" s="43" t="s">
        <v>250</v>
      </c>
      <c r="I33" s="43"/>
      <c r="J33" s="63" t="s">
        <v>1898</v>
      </c>
      <c r="K33" s="64">
        <v>1</v>
      </c>
      <c r="L33" s="73">
        <v>4</v>
      </c>
      <c r="M33" s="75" t="s">
        <v>1899</v>
      </c>
      <c r="N33" s="279"/>
      <c r="O33" s="126"/>
    </row>
    <row r="34" spans="1:15" ht="67.5">
      <c r="A34" s="61" t="s">
        <v>10593</v>
      </c>
      <c r="B34" s="43" t="s">
        <v>1911</v>
      </c>
      <c r="C34" s="61" t="s">
        <v>1894</v>
      </c>
      <c r="D34" s="61"/>
      <c r="E34" s="88" t="s">
        <v>10524</v>
      </c>
      <c r="F34" s="43" t="s">
        <v>10594</v>
      </c>
      <c r="G34" s="43" t="s">
        <v>188</v>
      </c>
      <c r="H34" s="43" t="s">
        <v>250</v>
      </c>
      <c r="I34" s="43"/>
      <c r="J34" s="63" t="s">
        <v>1898</v>
      </c>
      <c r="K34" s="64">
        <v>1</v>
      </c>
      <c r="L34" s="73">
        <v>4</v>
      </c>
      <c r="M34" s="74" t="s">
        <v>1899</v>
      </c>
      <c r="N34" s="279"/>
      <c r="O34" s="126"/>
    </row>
    <row r="35" spans="1:15" ht="45">
      <c r="A35" s="61" t="s">
        <v>10595</v>
      </c>
      <c r="B35" s="43" t="s">
        <v>10596</v>
      </c>
      <c r="C35" s="61" t="s">
        <v>1894</v>
      </c>
      <c r="D35" s="61"/>
      <c r="E35" s="88" t="s">
        <v>525</v>
      </c>
      <c r="F35" s="43" t="s">
        <v>10597</v>
      </c>
      <c r="G35" s="43" t="s">
        <v>188</v>
      </c>
      <c r="H35" s="43" t="s">
        <v>250</v>
      </c>
      <c r="I35" s="43"/>
      <c r="J35" s="63" t="s">
        <v>1898</v>
      </c>
      <c r="K35" s="64">
        <v>1</v>
      </c>
      <c r="L35" s="73">
        <v>5</v>
      </c>
      <c r="M35" s="75" t="s">
        <v>1899</v>
      </c>
      <c r="N35" s="279"/>
      <c r="O35" s="126"/>
    </row>
    <row r="36" spans="1:15" ht="247.5">
      <c r="A36" s="61" t="s">
        <v>10598</v>
      </c>
      <c r="B36" s="43" t="s">
        <v>10598</v>
      </c>
      <c r="C36" s="61" t="s">
        <v>1894</v>
      </c>
      <c r="D36" s="61"/>
      <c r="E36" s="88" t="s">
        <v>2254</v>
      </c>
      <c r="F36" s="43" t="s">
        <v>10599</v>
      </c>
      <c r="G36" s="43" t="s">
        <v>740</v>
      </c>
      <c r="H36" s="43" t="s">
        <v>10600</v>
      </c>
      <c r="I36" s="43"/>
      <c r="J36" s="63" t="s">
        <v>1898</v>
      </c>
      <c r="K36" s="64">
        <v>1</v>
      </c>
      <c r="L36" s="73">
        <v>4</v>
      </c>
      <c r="M36" s="74" t="s">
        <v>1899</v>
      </c>
      <c r="N36" s="279"/>
      <c r="O36" s="126"/>
    </row>
    <row r="37" spans="1:15">
      <c r="E37" s="109"/>
    </row>
  </sheetData>
  <autoFilter ref="A10:O36" xr:uid="{00000000-0009-0000-0000-00000F000000}"/>
  <mergeCells count="4">
    <mergeCell ref="A25:A26"/>
    <mergeCell ref="B25:B26"/>
    <mergeCell ref="E25:E26"/>
    <mergeCell ref="F25:F26"/>
  </mergeCells>
  <phoneticPr fontId="39" type="noConversion"/>
  <conditionalFormatting sqref="N11:N36">
    <cfRule type="containsText" dxfId="62" priority="1" operator="containsText" text="Yes">
      <formula>NOT(ISERROR(SEARCH("Yes",N11)))</formula>
    </cfRule>
  </conditionalFormatting>
  <dataValidations count="1">
    <dataValidation type="list" allowBlank="1" showInputMessage="1" showErrorMessage="1" sqref="N11:N36" xr:uid="{00000000-0002-0000-0F00-000000000000}">
      <formula1>"No,Yes"</formula1>
    </dataValidation>
  </dataValidations>
  <pageMargins left="0.15748031496063003" right="0.15748031496063003" top="0.35433070866141703" bottom="0.23622047244094507" header="0.15748031496063003" footer="0.15748031496063003"/>
  <pageSetup paperSize="0" scale="70" fitToWidth="0" fitToHeight="0" orientation="portrait" horizontalDpi="0" verticalDpi="0" copies="0"/>
  <headerFooter alignWithMargins="0">
    <oddHeader>&amp;C&amp;F</oddHeader>
    <oddFooter>&amp;L&amp;A&amp;CPage &amp;P of &amp;N</oddFooter>
  </headerFooter>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CG229"/>
  <sheetViews>
    <sheetView showGridLines="0" zoomScale="75" zoomScaleNormal="75" workbookViewId="0">
      <pane xSplit="1" ySplit="7" topLeftCell="F8" activePane="bottomRight" state="frozen"/>
      <selection pane="bottomRight" activeCell="J59" sqref="J59"/>
      <selection pane="bottomLeft" activeCell="A42" sqref="A42"/>
      <selection pane="topRight" activeCell="A42" sqref="A42"/>
    </sheetView>
  </sheetViews>
  <sheetFormatPr defaultColWidth="9" defaultRowHeight="12.75"/>
  <cols>
    <col min="1" max="1" width="34" style="54" customWidth="1"/>
    <col min="2" max="2" width="30" style="54" bestFit="1" customWidth="1"/>
    <col min="3" max="3" width="20" style="54" customWidth="1"/>
    <col min="4" max="5" width="20" style="54" hidden="1" customWidth="1"/>
    <col min="6" max="6" width="23.7109375" style="109" bestFit="1" customWidth="1"/>
    <col min="7" max="7" width="36.5703125" style="54" customWidth="1"/>
    <col min="8" max="8" width="13" style="54" hidden="1" customWidth="1"/>
    <col min="9" max="9" width="11.85546875" style="54" customWidth="1"/>
    <col min="10" max="10" width="29.5703125" style="54" customWidth="1"/>
    <col min="11" max="11" width="15" style="54" hidden="1" customWidth="1"/>
    <col min="12" max="12" width="17.85546875" style="54" hidden="1" customWidth="1"/>
    <col min="13" max="13" width="12" style="39" bestFit="1" customWidth="1"/>
    <col min="14" max="14" width="13.28515625" style="72" bestFit="1" customWidth="1"/>
    <col min="15" max="15" width="13.85546875" style="72" bestFit="1" customWidth="1"/>
    <col min="16" max="16" width="19.140625" style="47" bestFit="1" customWidth="1"/>
    <col min="17" max="17" width="27.28515625" style="47" bestFit="1" customWidth="1"/>
    <col min="18" max="18" width="18.5703125" style="47" customWidth="1"/>
    <col min="19" max="19" width="18" style="47" customWidth="1"/>
    <col min="20" max="20" width="18.85546875" style="47" bestFit="1" customWidth="1"/>
    <col min="21" max="16384" width="9" style="47"/>
  </cols>
  <sheetData>
    <row r="1" spans="1:17">
      <c r="A1" s="40" t="s">
        <v>10601</v>
      </c>
      <c r="L1" s="39"/>
      <c r="M1" s="72"/>
      <c r="O1" s="47"/>
    </row>
    <row r="2" spans="1:17">
      <c r="A2" s="40"/>
      <c r="L2" s="39"/>
      <c r="M2" s="72"/>
      <c r="O2" s="47"/>
    </row>
    <row r="3" spans="1:17">
      <c r="A3" s="139" t="s">
        <v>159</v>
      </c>
      <c r="L3" s="39"/>
      <c r="M3" s="72"/>
      <c r="O3" s="47"/>
    </row>
    <row r="4" spans="1:17">
      <c r="L4" s="129"/>
      <c r="M4" s="72"/>
      <c r="O4" s="47"/>
    </row>
    <row r="5" spans="1:17" s="211" customFormat="1" ht="15">
      <c r="A5" s="588"/>
      <c r="B5" s="607" t="s">
        <v>10602</v>
      </c>
      <c r="C5" s="588"/>
      <c r="D5" s="588"/>
      <c r="E5" s="588"/>
      <c r="F5" s="603"/>
      <c r="G5" s="604"/>
      <c r="H5" s="588"/>
      <c r="I5" s="588"/>
      <c r="J5" s="588"/>
      <c r="K5" s="588"/>
      <c r="L5" s="588"/>
      <c r="M5" s="605"/>
      <c r="N5" s="606"/>
      <c r="O5" s="606"/>
    </row>
    <row r="6" spans="1:17" s="211" customFormat="1">
      <c r="A6" s="588"/>
      <c r="B6" s="588"/>
      <c r="C6" s="588"/>
      <c r="D6" s="588"/>
      <c r="E6" s="588"/>
      <c r="F6" s="603"/>
      <c r="G6" s="604"/>
      <c r="H6" s="588"/>
      <c r="I6" s="588"/>
      <c r="J6" s="588"/>
      <c r="K6" s="588"/>
      <c r="L6" s="588"/>
      <c r="M6" s="605"/>
      <c r="N6" s="606"/>
      <c r="O6" s="606"/>
    </row>
    <row r="7" spans="1:17" ht="22.5">
      <c r="A7" s="76" t="s">
        <v>165</v>
      </c>
      <c r="B7" s="79" t="s">
        <v>166</v>
      </c>
      <c r="C7" s="76" t="s">
        <v>167</v>
      </c>
      <c r="D7" s="58" t="s">
        <v>168</v>
      </c>
      <c r="E7" s="58" t="s">
        <v>169</v>
      </c>
      <c r="F7" s="83" t="s">
        <v>170</v>
      </c>
      <c r="G7" s="58" t="s">
        <v>20</v>
      </c>
      <c r="H7" s="58" t="s">
        <v>171</v>
      </c>
      <c r="I7" s="76" t="s">
        <v>172</v>
      </c>
      <c r="J7" s="76" t="s">
        <v>10603</v>
      </c>
      <c r="K7" s="58" t="s">
        <v>174</v>
      </c>
      <c r="L7" s="58" t="s">
        <v>175</v>
      </c>
      <c r="M7" s="59" t="s">
        <v>176</v>
      </c>
      <c r="N7" s="60" t="s">
        <v>655</v>
      </c>
      <c r="O7" s="60" t="s">
        <v>179</v>
      </c>
      <c r="P7" s="291" t="s">
        <v>180</v>
      </c>
      <c r="Q7" s="379" t="s">
        <v>181</v>
      </c>
    </row>
    <row r="8" spans="1:17" ht="123.75">
      <c r="A8" s="61" t="s">
        <v>10604</v>
      </c>
      <c r="B8" s="61" t="s">
        <v>183</v>
      </c>
      <c r="C8" s="61" t="s">
        <v>10605</v>
      </c>
      <c r="D8" s="61" t="s">
        <v>10606</v>
      </c>
      <c r="E8" s="228"/>
      <c r="F8" s="472" t="s">
        <v>231</v>
      </c>
      <c r="G8" s="253" t="s">
        <v>187</v>
      </c>
      <c r="H8" s="63" t="s">
        <v>188</v>
      </c>
      <c r="I8" s="63" t="s">
        <v>189</v>
      </c>
      <c r="J8" s="63" t="s">
        <v>10607</v>
      </c>
      <c r="K8" s="63"/>
      <c r="L8" s="63" t="s">
        <v>191</v>
      </c>
      <c r="M8" s="64">
        <v>4</v>
      </c>
      <c r="N8" s="73">
        <v>5</v>
      </c>
      <c r="O8" s="73" t="s">
        <v>192</v>
      </c>
      <c r="P8" s="279"/>
      <c r="Q8" s="371"/>
    </row>
    <row r="9" spans="1:17" ht="11.25">
      <c r="A9" s="61" t="s">
        <v>10608</v>
      </c>
      <c r="B9" s="61" t="s">
        <v>194</v>
      </c>
      <c r="C9" s="61" t="s">
        <v>10609</v>
      </c>
      <c r="D9" s="61" t="s">
        <v>10606</v>
      </c>
      <c r="E9" s="228"/>
      <c r="F9" s="472" t="s">
        <v>231</v>
      </c>
      <c r="G9" s="253" t="s">
        <v>10610</v>
      </c>
      <c r="H9" s="63" t="s">
        <v>198</v>
      </c>
      <c r="I9" s="61"/>
      <c r="J9" s="63" t="s">
        <v>138</v>
      </c>
      <c r="K9" s="63"/>
      <c r="L9" s="63" t="s">
        <v>191</v>
      </c>
      <c r="M9" s="64">
        <v>2</v>
      </c>
      <c r="N9" s="73">
        <v>5</v>
      </c>
      <c r="O9" s="75" t="s">
        <v>199</v>
      </c>
      <c r="P9" s="279"/>
      <c r="Q9" s="371"/>
    </row>
    <row r="10" spans="1:17" ht="22.5">
      <c r="A10" s="61" t="s">
        <v>10611</v>
      </c>
      <c r="B10" s="61" t="s">
        <v>201</v>
      </c>
      <c r="C10" s="61" t="s">
        <v>10612</v>
      </c>
      <c r="D10" s="61" t="s">
        <v>10606</v>
      </c>
      <c r="E10" s="228"/>
      <c r="F10" s="472" t="s">
        <v>231</v>
      </c>
      <c r="G10" s="253" t="s">
        <v>203</v>
      </c>
      <c r="H10" s="63" t="s">
        <v>740</v>
      </c>
      <c r="I10" s="61" t="s">
        <v>660</v>
      </c>
      <c r="J10" s="63" t="s">
        <v>138</v>
      </c>
      <c r="K10" s="63"/>
      <c r="L10" s="63" t="s">
        <v>191</v>
      </c>
      <c r="M10" s="64">
        <v>2</v>
      </c>
      <c r="N10" s="73">
        <v>5</v>
      </c>
      <c r="O10" s="75" t="s">
        <v>199</v>
      </c>
      <c r="P10" s="279"/>
      <c r="Q10" s="371"/>
    </row>
    <row r="11" spans="1:17" ht="11.25">
      <c r="A11" s="61" t="s">
        <v>10613</v>
      </c>
      <c r="B11" s="61" t="s">
        <v>207</v>
      </c>
      <c r="C11" s="61" t="s">
        <v>10614</v>
      </c>
      <c r="D11" s="61" t="s">
        <v>10606</v>
      </c>
      <c r="E11" s="228"/>
      <c r="F11" s="472" t="s">
        <v>231</v>
      </c>
      <c r="G11" s="253" t="s">
        <v>209</v>
      </c>
      <c r="H11" s="63" t="s">
        <v>198</v>
      </c>
      <c r="I11" s="61"/>
      <c r="J11" s="63" t="s">
        <v>138</v>
      </c>
      <c r="K11" s="63"/>
      <c r="L11" s="63" t="s">
        <v>191</v>
      </c>
      <c r="M11" s="64">
        <v>2</v>
      </c>
      <c r="N11" s="73">
        <v>5</v>
      </c>
      <c r="O11" s="75" t="s">
        <v>199</v>
      </c>
      <c r="P11" s="279"/>
      <c r="Q11" s="371"/>
    </row>
    <row r="12" spans="1:17" ht="11.25">
      <c r="A12" s="61" t="s">
        <v>10615</v>
      </c>
      <c r="B12" s="61" t="s">
        <v>211</v>
      </c>
      <c r="C12" s="61" t="s">
        <v>10616</v>
      </c>
      <c r="D12" s="61" t="s">
        <v>10606</v>
      </c>
      <c r="E12" s="228"/>
      <c r="F12" s="472" t="s">
        <v>231</v>
      </c>
      <c r="G12" s="253" t="s">
        <v>213</v>
      </c>
      <c r="H12" s="63" t="s">
        <v>740</v>
      </c>
      <c r="I12" s="61" t="s">
        <v>663</v>
      </c>
      <c r="J12" s="63" t="s">
        <v>138</v>
      </c>
      <c r="K12" s="63"/>
      <c r="L12" s="63" t="s">
        <v>191</v>
      </c>
      <c r="M12" s="64">
        <v>2</v>
      </c>
      <c r="N12" s="73">
        <v>5</v>
      </c>
      <c r="O12" s="75" t="s">
        <v>199</v>
      </c>
      <c r="P12" s="279"/>
      <c r="Q12" s="371"/>
    </row>
    <row r="13" spans="1:17" ht="11.25">
      <c r="A13" s="61" t="s">
        <v>10617</v>
      </c>
      <c r="B13" s="61" t="s">
        <v>216</v>
      </c>
      <c r="C13" s="61" t="s">
        <v>10618</v>
      </c>
      <c r="D13" s="61" t="s">
        <v>10606</v>
      </c>
      <c r="E13" s="228"/>
      <c r="F13" s="472" t="s">
        <v>231</v>
      </c>
      <c r="G13" s="253" t="s">
        <v>219</v>
      </c>
      <c r="H13" s="63" t="s">
        <v>740</v>
      </c>
      <c r="I13" s="63"/>
      <c r="J13" s="63" t="s">
        <v>138</v>
      </c>
      <c r="K13" s="63"/>
      <c r="L13" s="63" t="s">
        <v>191</v>
      </c>
      <c r="M13" s="64">
        <v>1</v>
      </c>
      <c r="N13" s="73">
        <v>4</v>
      </c>
      <c r="O13" s="75" t="s">
        <v>222</v>
      </c>
      <c r="P13" s="279"/>
      <c r="Q13" s="371"/>
    </row>
    <row r="14" spans="1:17" ht="11.25">
      <c r="A14" s="61" t="s">
        <v>10619</v>
      </c>
      <c r="B14" s="61" t="s">
        <v>224</v>
      </c>
      <c r="C14" s="61" t="s">
        <v>10620</v>
      </c>
      <c r="D14" s="61" t="s">
        <v>10606</v>
      </c>
      <c r="E14" s="228"/>
      <c r="F14" s="472" t="s">
        <v>10621</v>
      </c>
      <c r="G14" s="253" t="s">
        <v>227</v>
      </c>
      <c r="H14" s="63" t="s">
        <v>740</v>
      </c>
      <c r="I14" s="63"/>
      <c r="J14" s="63" t="s">
        <v>138</v>
      </c>
      <c r="K14" s="63"/>
      <c r="L14" s="63" t="s">
        <v>191</v>
      </c>
      <c r="M14" s="64">
        <v>2</v>
      </c>
      <c r="N14" s="73">
        <v>4</v>
      </c>
      <c r="O14" s="75" t="s">
        <v>222</v>
      </c>
      <c r="P14" s="279"/>
      <c r="Q14" s="371"/>
    </row>
    <row r="15" spans="1:17" ht="409.5">
      <c r="A15" s="61" t="s">
        <v>10622</v>
      </c>
      <c r="B15" s="61" t="s">
        <v>230</v>
      </c>
      <c r="C15" s="61" t="s">
        <v>10620</v>
      </c>
      <c r="D15" s="61" t="s">
        <v>10606</v>
      </c>
      <c r="E15" s="61"/>
      <c r="F15" s="471" t="s">
        <v>328</v>
      </c>
      <c r="G15" s="63" t="s">
        <v>10623</v>
      </c>
      <c r="H15" s="63" t="s">
        <v>740</v>
      </c>
      <c r="I15" s="63" t="s">
        <v>233</v>
      </c>
      <c r="J15" s="63" t="s">
        <v>138</v>
      </c>
      <c r="K15" s="63"/>
      <c r="L15" s="63" t="s">
        <v>191</v>
      </c>
      <c r="M15" s="64">
        <v>2</v>
      </c>
      <c r="N15" s="73">
        <v>5</v>
      </c>
      <c r="O15" s="75" t="s">
        <v>222</v>
      </c>
      <c r="P15" s="279"/>
      <c r="Q15" s="371"/>
    </row>
    <row r="16" spans="1:17" ht="112.5">
      <c r="A16" s="61" t="s">
        <v>10624</v>
      </c>
      <c r="B16" s="61" t="s">
        <v>235</v>
      </c>
      <c r="C16" s="61" t="s">
        <v>10625</v>
      </c>
      <c r="D16" s="61" t="s">
        <v>10606</v>
      </c>
      <c r="E16" s="61"/>
      <c r="F16" s="271" t="s">
        <v>2194</v>
      </c>
      <c r="G16" s="63" t="s">
        <v>10626</v>
      </c>
      <c r="H16" s="63" t="s">
        <v>740</v>
      </c>
      <c r="I16" s="63" t="s">
        <v>238</v>
      </c>
      <c r="J16" s="63" t="s">
        <v>138</v>
      </c>
      <c r="K16" s="63"/>
      <c r="L16" s="63" t="s">
        <v>191</v>
      </c>
      <c r="M16" s="64">
        <v>2</v>
      </c>
      <c r="N16" s="73">
        <v>5</v>
      </c>
      <c r="O16" s="75" t="s">
        <v>222</v>
      </c>
      <c r="P16" s="279"/>
      <c r="Q16" s="371"/>
    </row>
    <row r="17" spans="1:17" ht="135">
      <c r="A17" s="61" t="s">
        <v>10627</v>
      </c>
      <c r="B17" s="61" t="s">
        <v>240</v>
      </c>
      <c r="C17" s="61" t="s">
        <v>10628</v>
      </c>
      <c r="D17" s="61" t="s">
        <v>10606</v>
      </c>
      <c r="E17" s="61"/>
      <c r="F17" s="271" t="s">
        <v>10629</v>
      </c>
      <c r="G17" s="63" t="s">
        <v>244</v>
      </c>
      <c r="H17" s="63" t="s">
        <v>740</v>
      </c>
      <c r="I17" s="63" t="s">
        <v>245</v>
      </c>
      <c r="J17" s="63" t="s">
        <v>138</v>
      </c>
      <c r="K17" s="63"/>
      <c r="L17" s="63" t="s">
        <v>191</v>
      </c>
      <c r="M17" s="64">
        <v>1</v>
      </c>
      <c r="N17" s="73">
        <v>5</v>
      </c>
      <c r="O17" s="75" t="s">
        <v>199</v>
      </c>
      <c r="P17" s="279"/>
      <c r="Q17" s="371"/>
    </row>
    <row r="18" spans="1:17" ht="157.5">
      <c r="A18" s="63" t="s">
        <v>10630</v>
      </c>
      <c r="B18" s="61" t="s">
        <v>247</v>
      </c>
      <c r="C18" s="61" t="s">
        <v>10631</v>
      </c>
      <c r="D18" s="61" t="s">
        <v>10606</v>
      </c>
      <c r="E18" s="61"/>
      <c r="F18" s="271" t="s">
        <v>231</v>
      </c>
      <c r="G18" s="63" t="s">
        <v>10632</v>
      </c>
      <c r="H18" s="63" t="s">
        <v>188</v>
      </c>
      <c r="I18" s="63" t="s">
        <v>250</v>
      </c>
      <c r="J18" s="63" t="s">
        <v>10607</v>
      </c>
      <c r="K18" s="63"/>
      <c r="L18" s="63" t="s">
        <v>191</v>
      </c>
      <c r="M18" s="64">
        <v>2</v>
      </c>
      <c r="N18" s="73">
        <v>5</v>
      </c>
      <c r="O18" s="75" t="s">
        <v>192</v>
      </c>
      <c r="P18" s="279"/>
      <c r="Q18" s="371"/>
    </row>
    <row r="19" spans="1:17" ht="45">
      <c r="A19" s="63" t="s">
        <v>10633</v>
      </c>
      <c r="B19" s="66" t="s">
        <v>256</v>
      </c>
      <c r="C19" s="61"/>
      <c r="D19" s="61" t="s">
        <v>10606</v>
      </c>
      <c r="E19" s="61"/>
      <c r="F19" s="271" t="s">
        <v>400</v>
      </c>
      <c r="G19" s="43" t="s">
        <v>10634</v>
      </c>
      <c r="H19" s="43" t="s">
        <v>188</v>
      </c>
      <c r="I19" s="63" t="s">
        <v>250</v>
      </c>
      <c r="J19" s="63" t="s">
        <v>138</v>
      </c>
      <c r="K19" s="63"/>
      <c r="L19" s="63" t="s">
        <v>191</v>
      </c>
      <c r="M19" s="64">
        <v>2</v>
      </c>
      <c r="N19" s="73">
        <v>5</v>
      </c>
      <c r="O19" s="75" t="s">
        <v>192</v>
      </c>
      <c r="P19" s="279"/>
      <c r="Q19" s="371"/>
    </row>
    <row r="20" spans="1:17" ht="78.75">
      <c r="A20" s="61" t="s">
        <v>10635</v>
      </c>
      <c r="B20" s="61" t="s">
        <v>267</v>
      </c>
      <c r="C20" s="61" t="s">
        <v>10636</v>
      </c>
      <c r="D20" s="61" t="s">
        <v>10606</v>
      </c>
      <c r="E20" s="61"/>
      <c r="F20" s="271" t="s">
        <v>10637</v>
      </c>
      <c r="G20" s="63" t="s">
        <v>270</v>
      </c>
      <c r="H20" s="63" t="s">
        <v>740</v>
      </c>
      <c r="I20" s="63"/>
      <c r="J20" s="63" t="s">
        <v>138</v>
      </c>
      <c r="K20" s="63"/>
      <c r="L20" s="63" t="s">
        <v>191</v>
      </c>
      <c r="M20" s="64">
        <v>2</v>
      </c>
      <c r="N20" s="73">
        <v>4</v>
      </c>
      <c r="O20" s="75" t="s">
        <v>222</v>
      </c>
      <c r="P20" s="279"/>
      <c r="Q20" s="371"/>
    </row>
    <row r="21" spans="1:17" ht="78.75">
      <c r="A21" s="61" t="s">
        <v>10638</v>
      </c>
      <c r="B21" s="61" t="s">
        <v>273</v>
      </c>
      <c r="C21" s="61" t="s">
        <v>10639</v>
      </c>
      <c r="D21" s="61" t="s">
        <v>10606</v>
      </c>
      <c r="E21" s="61"/>
      <c r="F21" s="271" t="s">
        <v>275</v>
      </c>
      <c r="G21" s="63" t="s">
        <v>276</v>
      </c>
      <c r="H21" s="63" t="s">
        <v>740</v>
      </c>
      <c r="I21" s="63" t="s">
        <v>10640</v>
      </c>
      <c r="J21" s="63" t="s">
        <v>10607</v>
      </c>
      <c r="K21" s="63"/>
      <c r="L21" s="63" t="s">
        <v>191</v>
      </c>
      <c r="M21" s="64">
        <v>1</v>
      </c>
      <c r="N21" s="73">
        <v>4</v>
      </c>
      <c r="O21" s="75" t="s">
        <v>222</v>
      </c>
      <c r="P21" s="279"/>
      <c r="Q21" s="371"/>
    </row>
    <row r="22" spans="1:17" ht="202.5">
      <c r="A22" s="61" t="s">
        <v>10641</v>
      </c>
      <c r="B22" s="61" t="s">
        <v>279</v>
      </c>
      <c r="C22" s="61" t="s">
        <v>10642</v>
      </c>
      <c r="D22" s="61" t="s">
        <v>10606</v>
      </c>
      <c r="E22" s="61"/>
      <c r="F22" s="271" t="s">
        <v>5832</v>
      </c>
      <c r="G22" s="63" t="s">
        <v>282</v>
      </c>
      <c r="H22" s="63" t="s">
        <v>740</v>
      </c>
      <c r="I22" s="63" t="s">
        <v>283</v>
      </c>
      <c r="J22" s="63" t="s">
        <v>138</v>
      </c>
      <c r="K22" s="63"/>
      <c r="L22" s="63" t="s">
        <v>191</v>
      </c>
      <c r="M22" s="64">
        <v>2</v>
      </c>
      <c r="N22" s="73">
        <v>5</v>
      </c>
      <c r="O22" s="75" t="s">
        <v>222</v>
      </c>
      <c r="P22" s="279"/>
      <c r="Q22" s="371"/>
    </row>
    <row r="23" spans="1:17" ht="281.25">
      <c r="A23" s="61" t="s">
        <v>10643</v>
      </c>
      <c r="B23" s="61" t="s">
        <v>285</v>
      </c>
      <c r="C23" s="61" t="s">
        <v>10642</v>
      </c>
      <c r="D23" s="61" t="s">
        <v>10606</v>
      </c>
      <c r="E23" s="61"/>
      <c r="F23" s="271" t="s">
        <v>10644</v>
      </c>
      <c r="G23" s="63" t="s">
        <v>282</v>
      </c>
      <c r="H23" s="63" t="s">
        <v>740</v>
      </c>
      <c r="I23" s="63" t="s">
        <v>287</v>
      </c>
      <c r="J23" s="63" t="s">
        <v>10607</v>
      </c>
      <c r="K23" s="63"/>
      <c r="L23" s="63" t="s">
        <v>191</v>
      </c>
      <c r="M23" s="64">
        <v>2</v>
      </c>
      <c r="N23" s="73">
        <v>5</v>
      </c>
      <c r="O23" s="75" t="s">
        <v>222</v>
      </c>
      <c r="P23" s="279"/>
      <c r="Q23" s="371"/>
    </row>
    <row r="24" spans="1:17" ht="168.75">
      <c r="A24" s="61" t="s">
        <v>10645</v>
      </c>
      <c r="B24" s="61" t="s">
        <v>289</v>
      </c>
      <c r="C24" s="61" t="s">
        <v>10642</v>
      </c>
      <c r="D24" s="61" t="s">
        <v>10606</v>
      </c>
      <c r="E24" s="61"/>
      <c r="F24" s="271" t="s">
        <v>328</v>
      </c>
      <c r="G24" s="63" t="s">
        <v>282</v>
      </c>
      <c r="H24" s="63" t="s">
        <v>740</v>
      </c>
      <c r="I24" s="63" t="s">
        <v>292</v>
      </c>
      <c r="J24" s="63" t="s">
        <v>10607</v>
      </c>
      <c r="K24" s="63"/>
      <c r="L24" s="63" t="s">
        <v>191</v>
      </c>
      <c r="M24" s="64">
        <v>2</v>
      </c>
      <c r="N24" s="73">
        <v>5</v>
      </c>
      <c r="O24" s="75" t="s">
        <v>222</v>
      </c>
      <c r="P24" s="279"/>
      <c r="Q24" s="371"/>
    </row>
    <row r="25" spans="1:17" ht="22.5">
      <c r="A25" s="61" t="s">
        <v>10646</v>
      </c>
      <c r="B25" s="61" t="s">
        <v>294</v>
      </c>
      <c r="C25" s="61" t="s">
        <v>10647</v>
      </c>
      <c r="D25" s="61" t="s">
        <v>10606</v>
      </c>
      <c r="E25" s="61"/>
      <c r="F25" s="271" t="s">
        <v>10648</v>
      </c>
      <c r="G25" s="63" t="s">
        <v>297</v>
      </c>
      <c r="H25" s="63" t="s">
        <v>188</v>
      </c>
      <c r="I25" s="63" t="s">
        <v>250</v>
      </c>
      <c r="J25" s="63" t="s">
        <v>138</v>
      </c>
      <c r="K25" s="63"/>
      <c r="L25" s="63" t="s">
        <v>191</v>
      </c>
      <c r="M25" s="64">
        <v>2</v>
      </c>
      <c r="N25" s="73">
        <v>4</v>
      </c>
      <c r="O25" s="75" t="s">
        <v>199</v>
      </c>
      <c r="P25" s="279"/>
      <c r="Q25" s="371"/>
    </row>
    <row r="26" spans="1:17" ht="45">
      <c r="A26" s="61" t="s">
        <v>10649</v>
      </c>
      <c r="B26" s="61" t="s">
        <v>299</v>
      </c>
      <c r="C26" s="61" t="s">
        <v>10650</v>
      </c>
      <c r="D26" s="61" t="s">
        <v>10606</v>
      </c>
      <c r="E26" s="61"/>
      <c r="F26" s="271" t="s">
        <v>10651</v>
      </c>
      <c r="G26" s="63" t="s">
        <v>303</v>
      </c>
      <c r="H26" s="63" t="s">
        <v>740</v>
      </c>
      <c r="I26" s="63" t="s">
        <v>304</v>
      </c>
      <c r="J26" s="61" t="s">
        <v>138</v>
      </c>
      <c r="K26" s="61"/>
      <c r="L26" s="63" t="s">
        <v>191</v>
      </c>
      <c r="M26" s="64">
        <v>1</v>
      </c>
      <c r="N26" s="73">
        <v>5</v>
      </c>
      <c r="O26" s="75" t="s">
        <v>192</v>
      </c>
      <c r="P26" s="279"/>
      <c r="Q26" s="371"/>
    </row>
    <row r="27" spans="1:17" ht="101.25">
      <c r="A27" s="61" t="s">
        <v>10652</v>
      </c>
      <c r="B27" s="61" t="s">
        <v>307</v>
      </c>
      <c r="C27" s="61" t="s">
        <v>10653</v>
      </c>
      <c r="D27" s="61" t="s">
        <v>10606</v>
      </c>
      <c r="E27" s="61"/>
      <c r="F27" s="271" t="s">
        <v>3034</v>
      </c>
      <c r="G27" s="63" t="s">
        <v>310</v>
      </c>
      <c r="H27" s="63" t="s">
        <v>740</v>
      </c>
      <c r="I27" s="63" t="s">
        <v>311</v>
      </c>
      <c r="J27" s="61" t="s">
        <v>138</v>
      </c>
      <c r="K27" s="61"/>
      <c r="L27" s="63" t="s">
        <v>191</v>
      </c>
      <c r="M27" s="64">
        <v>1</v>
      </c>
      <c r="N27" s="73">
        <v>5</v>
      </c>
      <c r="O27" s="75" t="s">
        <v>199</v>
      </c>
      <c r="P27" s="279"/>
      <c r="Q27" s="371"/>
    </row>
    <row r="28" spans="1:17" ht="11.25">
      <c r="A28" s="61" t="s">
        <v>10654</v>
      </c>
      <c r="B28" s="61" t="s">
        <v>313</v>
      </c>
      <c r="C28" s="61" t="s">
        <v>10655</v>
      </c>
      <c r="D28" s="61" t="s">
        <v>10606</v>
      </c>
      <c r="E28" s="61"/>
      <c r="F28" s="271" t="s">
        <v>231</v>
      </c>
      <c r="G28" s="63" t="s">
        <v>315</v>
      </c>
      <c r="H28" s="63" t="s">
        <v>198</v>
      </c>
      <c r="I28" s="63"/>
      <c r="J28" s="63" t="s">
        <v>10607</v>
      </c>
      <c r="K28" s="63"/>
      <c r="L28" s="63" t="s">
        <v>191</v>
      </c>
      <c r="M28" s="64">
        <v>2</v>
      </c>
      <c r="N28" s="73">
        <v>5</v>
      </c>
      <c r="O28" s="75" t="s">
        <v>199</v>
      </c>
      <c r="P28" s="279"/>
      <c r="Q28" s="371"/>
    </row>
    <row r="29" spans="1:17" ht="11.25">
      <c r="A29" s="61" t="s">
        <v>10656</v>
      </c>
      <c r="B29" s="61" t="s">
        <v>317</v>
      </c>
      <c r="C29" s="61" t="s">
        <v>10657</v>
      </c>
      <c r="D29" s="61" t="s">
        <v>10606</v>
      </c>
      <c r="E29" s="61"/>
      <c r="F29" s="271" t="s">
        <v>231</v>
      </c>
      <c r="G29" s="63" t="s">
        <v>319</v>
      </c>
      <c r="H29" s="63" t="s">
        <v>198</v>
      </c>
      <c r="I29" s="63"/>
      <c r="J29" s="63" t="s">
        <v>10607</v>
      </c>
      <c r="K29" s="63"/>
      <c r="L29" s="63" t="s">
        <v>191</v>
      </c>
      <c r="M29" s="64">
        <v>2</v>
      </c>
      <c r="N29" s="73">
        <v>5</v>
      </c>
      <c r="O29" s="75" t="s">
        <v>199</v>
      </c>
      <c r="P29" s="279"/>
      <c r="Q29" s="371"/>
    </row>
    <row r="30" spans="1:17" ht="22.5">
      <c r="A30" s="61" t="s">
        <v>10658</v>
      </c>
      <c r="B30" s="61" t="s">
        <v>321</v>
      </c>
      <c r="C30" s="61" t="s">
        <v>10659</v>
      </c>
      <c r="D30" s="61" t="s">
        <v>10606</v>
      </c>
      <c r="E30" s="61"/>
      <c r="F30" s="271" t="s">
        <v>231</v>
      </c>
      <c r="G30" s="63" t="s">
        <v>324</v>
      </c>
      <c r="H30" s="63" t="s">
        <v>188</v>
      </c>
      <c r="I30" s="63" t="s">
        <v>250</v>
      </c>
      <c r="J30" s="63" t="s">
        <v>10607</v>
      </c>
      <c r="K30" s="63"/>
      <c r="L30" s="63" t="s">
        <v>191</v>
      </c>
      <c r="M30" s="64">
        <v>2</v>
      </c>
      <c r="N30" s="73">
        <v>5</v>
      </c>
      <c r="O30" s="75" t="s">
        <v>199</v>
      </c>
      <c r="P30" s="279"/>
      <c r="Q30" s="371"/>
    </row>
    <row r="31" spans="1:17" ht="135">
      <c r="A31" s="61" t="s">
        <v>10660</v>
      </c>
      <c r="B31" s="61" t="s">
        <v>326</v>
      </c>
      <c r="C31" s="61" t="s">
        <v>10661</v>
      </c>
      <c r="D31" s="61" t="s">
        <v>10606</v>
      </c>
      <c r="E31" s="61"/>
      <c r="F31" s="271" t="s">
        <v>4063</v>
      </c>
      <c r="G31" s="63" t="s">
        <v>329</v>
      </c>
      <c r="H31" s="63" t="s">
        <v>740</v>
      </c>
      <c r="I31" s="63" t="s">
        <v>330</v>
      </c>
      <c r="J31" s="63" t="s">
        <v>10607</v>
      </c>
      <c r="K31" s="63"/>
      <c r="L31" s="63" t="s">
        <v>191</v>
      </c>
      <c r="M31" s="64">
        <v>2</v>
      </c>
      <c r="N31" s="73">
        <v>4</v>
      </c>
      <c r="O31" s="75" t="s">
        <v>199</v>
      </c>
      <c r="P31" s="279"/>
      <c r="Q31" s="371"/>
    </row>
    <row r="32" spans="1:17" ht="123.75">
      <c r="A32" s="61" t="s">
        <v>10662</v>
      </c>
      <c r="B32" s="61" t="s">
        <v>332</v>
      </c>
      <c r="C32" s="61" t="s">
        <v>10663</v>
      </c>
      <c r="D32" s="61" t="s">
        <v>10606</v>
      </c>
      <c r="E32" s="61"/>
      <c r="F32" s="271" t="s">
        <v>10664</v>
      </c>
      <c r="G32" s="63" t="s">
        <v>334</v>
      </c>
      <c r="H32" s="63" t="s">
        <v>740</v>
      </c>
      <c r="I32" s="63" t="s">
        <v>683</v>
      </c>
      <c r="J32" s="63" t="s">
        <v>10607</v>
      </c>
      <c r="K32" s="63"/>
      <c r="L32" s="63" t="s">
        <v>191</v>
      </c>
      <c r="M32" s="64">
        <v>2</v>
      </c>
      <c r="N32" s="73">
        <v>5</v>
      </c>
      <c r="O32" s="75" t="s">
        <v>222</v>
      </c>
      <c r="P32" s="279"/>
      <c r="Q32" s="371"/>
    </row>
    <row r="33" spans="1:17" ht="157.5">
      <c r="A33" s="61" t="s">
        <v>10665</v>
      </c>
      <c r="B33" s="61" t="s">
        <v>337</v>
      </c>
      <c r="C33" s="61" t="s">
        <v>10666</v>
      </c>
      <c r="D33" s="61" t="s">
        <v>10606</v>
      </c>
      <c r="E33" s="61"/>
      <c r="F33" s="271" t="s">
        <v>10667</v>
      </c>
      <c r="G33" s="63" t="s">
        <v>10668</v>
      </c>
      <c r="H33" s="63" t="s">
        <v>740</v>
      </c>
      <c r="I33" s="63" t="s">
        <v>339</v>
      </c>
      <c r="J33" s="63" t="s">
        <v>10607</v>
      </c>
      <c r="K33" s="63"/>
      <c r="L33" s="63" t="s">
        <v>191</v>
      </c>
      <c r="M33" s="64">
        <v>2</v>
      </c>
      <c r="N33" s="73">
        <v>5</v>
      </c>
      <c r="O33" s="75" t="s">
        <v>222</v>
      </c>
      <c r="P33" s="279"/>
      <c r="Q33" s="371"/>
    </row>
    <row r="34" spans="1:17" ht="409.5">
      <c r="A34" s="61" t="s">
        <v>10669</v>
      </c>
      <c r="B34" s="61" t="s">
        <v>341</v>
      </c>
      <c r="C34" s="61" t="s">
        <v>10670</v>
      </c>
      <c r="D34" s="61" t="s">
        <v>10606</v>
      </c>
      <c r="E34" s="61"/>
      <c r="F34" s="271" t="s">
        <v>10664</v>
      </c>
      <c r="G34" s="63" t="s">
        <v>686</v>
      </c>
      <c r="H34" s="63" t="s">
        <v>740</v>
      </c>
      <c r="I34" s="63" t="s">
        <v>687</v>
      </c>
      <c r="J34" s="63" t="s">
        <v>138</v>
      </c>
      <c r="K34" s="63"/>
      <c r="L34" s="63" t="s">
        <v>191</v>
      </c>
      <c r="M34" s="64">
        <v>1</v>
      </c>
      <c r="N34" s="73">
        <v>5</v>
      </c>
      <c r="O34" s="75" t="s">
        <v>222</v>
      </c>
      <c r="P34" s="279"/>
      <c r="Q34" s="371"/>
    </row>
    <row r="35" spans="1:17" ht="33.75">
      <c r="A35" s="61" t="s">
        <v>10671</v>
      </c>
      <c r="B35" s="61" t="s">
        <v>347</v>
      </c>
      <c r="C35" s="61" t="s">
        <v>10672</v>
      </c>
      <c r="D35" s="61" t="s">
        <v>10606</v>
      </c>
      <c r="E35" s="61"/>
      <c r="F35" s="271" t="s">
        <v>10664</v>
      </c>
      <c r="G35" s="63" t="s">
        <v>689</v>
      </c>
      <c r="H35" s="63" t="s">
        <v>740</v>
      </c>
      <c r="I35" s="63" t="s">
        <v>350</v>
      </c>
      <c r="J35" s="63" t="s">
        <v>138</v>
      </c>
      <c r="K35" s="63"/>
      <c r="L35" s="63" t="s">
        <v>191</v>
      </c>
      <c r="M35" s="64">
        <v>1</v>
      </c>
      <c r="N35" s="73">
        <v>5</v>
      </c>
      <c r="O35" s="75" t="s">
        <v>222</v>
      </c>
      <c r="P35" s="279"/>
      <c r="Q35" s="371"/>
    </row>
    <row r="36" spans="1:17" ht="33.75">
      <c r="A36" s="61" t="s">
        <v>10673</v>
      </c>
      <c r="B36" s="61" t="s">
        <v>352</v>
      </c>
      <c r="C36" s="61" t="s">
        <v>10674</v>
      </c>
      <c r="D36" s="61" t="s">
        <v>10606</v>
      </c>
      <c r="E36" s="61"/>
      <c r="F36" s="473" t="s">
        <v>10675</v>
      </c>
      <c r="G36" s="63" t="s">
        <v>355</v>
      </c>
      <c r="H36" s="63" t="s">
        <v>188</v>
      </c>
      <c r="I36" s="63" t="s">
        <v>250</v>
      </c>
      <c r="J36" s="63" t="s">
        <v>138</v>
      </c>
      <c r="K36" s="63"/>
      <c r="L36" s="63" t="s">
        <v>191</v>
      </c>
      <c r="M36" s="64">
        <v>2</v>
      </c>
      <c r="N36" s="73">
        <v>5</v>
      </c>
      <c r="O36" s="75" t="s">
        <v>222</v>
      </c>
      <c r="P36" s="279"/>
      <c r="Q36" s="371"/>
    </row>
    <row r="37" spans="1:17" ht="33.75">
      <c r="A37" s="61" t="s">
        <v>10676</v>
      </c>
      <c r="B37" s="61" t="s">
        <v>357</v>
      </c>
      <c r="C37" s="61" t="s">
        <v>10677</v>
      </c>
      <c r="D37" s="61" t="s">
        <v>10606</v>
      </c>
      <c r="E37" s="228"/>
      <c r="F37" s="472" t="s">
        <v>275</v>
      </c>
      <c r="G37" s="253" t="s">
        <v>10678</v>
      </c>
      <c r="H37" s="63" t="s">
        <v>188</v>
      </c>
      <c r="I37" s="63" t="s">
        <v>250</v>
      </c>
      <c r="J37" s="63" t="s">
        <v>138</v>
      </c>
      <c r="K37" s="63"/>
      <c r="L37" s="63" t="s">
        <v>191</v>
      </c>
      <c r="M37" s="64">
        <v>2</v>
      </c>
      <c r="N37" s="73">
        <v>5</v>
      </c>
      <c r="O37" s="75" t="s">
        <v>222</v>
      </c>
      <c r="P37" s="279"/>
      <c r="Q37" s="371"/>
    </row>
    <row r="38" spans="1:17" ht="22.5">
      <c r="A38" s="61" t="s">
        <v>10679</v>
      </c>
      <c r="B38" s="61" t="s">
        <v>362</v>
      </c>
      <c r="C38" s="61" t="s">
        <v>10680</v>
      </c>
      <c r="D38" s="61" t="s">
        <v>10606</v>
      </c>
      <c r="E38" s="228"/>
      <c r="F38" s="472" t="s">
        <v>275</v>
      </c>
      <c r="G38" s="253" t="s">
        <v>10681</v>
      </c>
      <c r="H38" s="63" t="s">
        <v>188</v>
      </c>
      <c r="I38" s="63" t="s">
        <v>250</v>
      </c>
      <c r="J38" s="63" t="s">
        <v>138</v>
      </c>
      <c r="K38" s="63"/>
      <c r="L38" s="63" t="s">
        <v>191</v>
      </c>
      <c r="M38" s="64">
        <v>2</v>
      </c>
      <c r="N38" s="73">
        <v>5</v>
      </c>
      <c r="O38" s="75" t="s">
        <v>222</v>
      </c>
      <c r="P38" s="279"/>
      <c r="Q38" s="371"/>
    </row>
    <row r="39" spans="1:17" ht="22.5">
      <c r="A39" s="61" t="s">
        <v>10682</v>
      </c>
      <c r="B39" s="61" t="s">
        <v>389</v>
      </c>
      <c r="C39" s="61" t="s">
        <v>10683</v>
      </c>
      <c r="D39" s="61" t="s">
        <v>10606</v>
      </c>
      <c r="E39" s="228"/>
      <c r="F39" s="472" t="s">
        <v>10684</v>
      </c>
      <c r="G39" s="253" t="s">
        <v>10685</v>
      </c>
      <c r="H39" s="61" t="s">
        <v>740</v>
      </c>
      <c r="I39" s="61"/>
      <c r="J39" s="61" t="s">
        <v>138</v>
      </c>
      <c r="K39" s="61"/>
      <c r="L39" s="63" t="s">
        <v>191</v>
      </c>
      <c r="M39" s="64">
        <v>1</v>
      </c>
      <c r="N39" s="73">
        <v>4</v>
      </c>
      <c r="O39" s="75" t="s">
        <v>199</v>
      </c>
      <c r="P39" s="279"/>
      <c r="Q39" s="371"/>
    </row>
    <row r="40" spans="1:17" ht="33.75">
      <c r="A40" s="61" t="s">
        <v>10686</v>
      </c>
      <c r="B40" s="61" t="s">
        <v>394</v>
      </c>
      <c r="C40" s="61" t="s">
        <v>10687</v>
      </c>
      <c r="D40" s="61" t="s">
        <v>10606</v>
      </c>
      <c r="E40" s="228"/>
      <c r="F40" s="472" t="s">
        <v>10688</v>
      </c>
      <c r="G40" s="253" t="s">
        <v>750</v>
      </c>
      <c r="H40" s="61" t="s">
        <v>740</v>
      </c>
      <c r="I40" s="61"/>
      <c r="J40" s="61" t="s">
        <v>138</v>
      </c>
      <c r="K40" s="61"/>
      <c r="L40" s="63" t="s">
        <v>191</v>
      </c>
      <c r="M40" s="64">
        <v>2</v>
      </c>
      <c r="N40" s="73">
        <v>4</v>
      </c>
      <c r="O40" s="75" t="s">
        <v>199</v>
      </c>
      <c r="P40" s="279"/>
      <c r="Q40" s="371"/>
    </row>
    <row r="41" spans="1:17" ht="33.75">
      <c r="A41" s="61" t="s">
        <v>10689</v>
      </c>
      <c r="B41" s="61" t="s">
        <v>399</v>
      </c>
      <c r="C41" s="61"/>
      <c r="D41" s="61" t="s">
        <v>10606</v>
      </c>
      <c r="E41" s="228"/>
      <c r="F41" s="472" t="s">
        <v>400</v>
      </c>
      <c r="G41" s="253" t="s">
        <v>10690</v>
      </c>
      <c r="H41" s="61" t="s">
        <v>740</v>
      </c>
      <c r="I41" s="61"/>
      <c r="J41" s="61" t="s">
        <v>138</v>
      </c>
      <c r="K41" s="61"/>
      <c r="L41" s="63" t="s">
        <v>191</v>
      </c>
      <c r="M41" s="64">
        <v>2</v>
      </c>
      <c r="N41" s="73">
        <v>4</v>
      </c>
      <c r="O41" s="75" t="s">
        <v>199</v>
      </c>
      <c r="P41" s="279"/>
      <c r="Q41" s="371"/>
    </row>
    <row r="42" spans="1:17" ht="22.5">
      <c r="A42" s="61" t="s">
        <v>10691</v>
      </c>
      <c r="B42" s="61" t="s">
        <v>403</v>
      </c>
      <c r="C42" s="61" t="s">
        <v>10692</v>
      </c>
      <c r="D42" s="61" t="s">
        <v>10606</v>
      </c>
      <c r="E42" s="228"/>
      <c r="F42" s="472" t="s">
        <v>10684</v>
      </c>
      <c r="G42" s="253" t="s">
        <v>753</v>
      </c>
      <c r="H42" s="63" t="s">
        <v>198</v>
      </c>
      <c r="I42" s="61"/>
      <c r="J42" s="61" t="s">
        <v>138</v>
      </c>
      <c r="K42" s="61"/>
      <c r="L42" s="63" t="s">
        <v>191</v>
      </c>
      <c r="M42" s="64">
        <v>2</v>
      </c>
      <c r="N42" s="73">
        <v>4</v>
      </c>
      <c r="O42" s="75" t="s">
        <v>199</v>
      </c>
      <c r="P42" s="279"/>
      <c r="Q42" s="371"/>
    </row>
    <row r="43" spans="1:17" ht="22.5">
      <c r="A43" s="61" t="s">
        <v>10693</v>
      </c>
      <c r="B43" s="61" t="s">
        <v>408</v>
      </c>
      <c r="C43" s="61" t="s">
        <v>10694</v>
      </c>
      <c r="D43" s="61" t="s">
        <v>10606</v>
      </c>
      <c r="E43" s="228"/>
      <c r="F43" s="472" t="s">
        <v>10695</v>
      </c>
      <c r="G43" s="253" t="s">
        <v>755</v>
      </c>
      <c r="H43" s="63" t="s">
        <v>740</v>
      </c>
      <c r="I43" s="61"/>
      <c r="J43" s="61" t="s">
        <v>138</v>
      </c>
      <c r="K43" s="61"/>
      <c r="L43" s="63" t="s">
        <v>191</v>
      </c>
      <c r="M43" s="64">
        <v>2</v>
      </c>
      <c r="N43" s="73">
        <v>4</v>
      </c>
      <c r="O43" s="75" t="s">
        <v>199</v>
      </c>
      <c r="P43" s="279"/>
      <c r="Q43" s="371"/>
    </row>
    <row r="44" spans="1:17" ht="33.75">
      <c r="A44" s="61" t="s">
        <v>10696</v>
      </c>
      <c r="B44" s="61" t="s">
        <v>10696</v>
      </c>
      <c r="C44" s="61"/>
      <c r="D44" s="61" t="s">
        <v>10606</v>
      </c>
      <c r="E44" s="61"/>
      <c r="F44" s="471" t="s">
        <v>10695</v>
      </c>
      <c r="G44" s="63" t="s">
        <v>10697</v>
      </c>
      <c r="H44" s="63" t="s">
        <v>740</v>
      </c>
      <c r="I44" s="61"/>
      <c r="J44" s="61" t="s">
        <v>138</v>
      </c>
      <c r="K44" s="61"/>
      <c r="L44" s="63" t="s">
        <v>191</v>
      </c>
      <c r="M44" s="64">
        <v>1</v>
      </c>
      <c r="N44" s="73">
        <v>4</v>
      </c>
      <c r="O44" s="75" t="s">
        <v>199</v>
      </c>
      <c r="P44" s="279"/>
      <c r="Q44" s="371"/>
    </row>
    <row r="45" spans="1:17" ht="33.75">
      <c r="A45" s="61" t="s">
        <v>10689</v>
      </c>
      <c r="B45" s="61" t="s">
        <v>10698</v>
      </c>
      <c r="C45" s="61"/>
      <c r="D45" s="61" t="s">
        <v>10606</v>
      </c>
      <c r="E45" s="61"/>
      <c r="F45" s="473" t="s">
        <v>10695</v>
      </c>
      <c r="G45" s="63" t="s">
        <v>10699</v>
      </c>
      <c r="H45" s="63" t="s">
        <v>740</v>
      </c>
      <c r="I45" s="61"/>
      <c r="J45" s="61" t="s">
        <v>138</v>
      </c>
      <c r="K45" s="61"/>
      <c r="L45" s="63" t="s">
        <v>191</v>
      </c>
      <c r="M45" s="64">
        <v>2</v>
      </c>
      <c r="N45" s="73">
        <v>4</v>
      </c>
      <c r="O45" s="75" t="s">
        <v>199</v>
      </c>
      <c r="P45" s="279"/>
      <c r="Q45" s="371"/>
    </row>
    <row r="46" spans="1:17" ht="33.75">
      <c r="A46" s="61" t="s">
        <v>10700</v>
      </c>
      <c r="B46" s="61" t="s">
        <v>10700</v>
      </c>
      <c r="C46" s="61"/>
      <c r="D46" s="61" t="s">
        <v>10606</v>
      </c>
      <c r="E46" s="228"/>
      <c r="F46" s="472" t="s">
        <v>10695</v>
      </c>
      <c r="G46" s="253" t="s">
        <v>10701</v>
      </c>
      <c r="H46" s="63" t="s">
        <v>198</v>
      </c>
      <c r="I46" s="61"/>
      <c r="J46" s="61" t="s">
        <v>138</v>
      </c>
      <c r="K46" s="61"/>
      <c r="L46" s="63" t="s">
        <v>191</v>
      </c>
      <c r="M46" s="64">
        <v>2</v>
      </c>
      <c r="N46" s="73">
        <v>4</v>
      </c>
      <c r="O46" s="75" t="s">
        <v>199</v>
      </c>
      <c r="P46" s="279"/>
      <c r="Q46" s="371"/>
    </row>
    <row r="47" spans="1:17" ht="33.75">
      <c r="A47" s="61" t="s">
        <v>10702</v>
      </c>
      <c r="B47" s="61" t="s">
        <v>10702</v>
      </c>
      <c r="C47" s="61"/>
      <c r="D47" s="61" t="s">
        <v>10606</v>
      </c>
      <c r="E47" s="228"/>
      <c r="F47" s="472" t="s">
        <v>10695</v>
      </c>
      <c r="G47" s="253" t="s">
        <v>10703</v>
      </c>
      <c r="H47" s="63" t="s">
        <v>740</v>
      </c>
      <c r="I47" s="61"/>
      <c r="J47" s="61" t="s">
        <v>138</v>
      </c>
      <c r="K47" s="61"/>
      <c r="L47" s="63" t="s">
        <v>191</v>
      </c>
      <c r="M47" s="64">
        <v>2</v>
      </c>
      <c r="N47" s="73">
        <v>4</v>
      </c>
      <c r="O47" s="75" t="s">
        <v>199</v>
      </c>
      <c r="P47" s="279"/>
      <c r="Q47" s="371"/>
    </row>
    <row r="48" spans="1:17" ht="33.75">
      <c r="A48" s="61" t="s">
        <v>10704</v>
      </c>
      <c r="B48" s="61" t="s">
        <v>10704</v>
      </c>
      <c r="C48" s="61"/>
      <c r="D48" s="61" t="s">
        <v>10606</v>
      </c>
      <c r="E48" s="228"/>
      <c r="F48" s="472" t="s">
        <v>10695</v>
      </c>
      <c r="G48" s="253" t="s">
        <v>10705</v>
      </c>
      <c r="H48" s="63" t="s">
        <v>740</v>
      </c>
      <c r="I48" s="61"/>
      <c r="J48" s="61" t="s">
        <v>138</v>
      </c>
      <c r="K48" s="61"/>
      <c r="L48" s="63" t="s">
        <v>191</v>
      </c>
      <c r="M48" s="64">
        <v>2</v>
      </c>
      <c r="N48" s="73">
        <v>4</v>
      </c>
      <c r="O48" s="75" t="s">
        <v>199</v>
      </c>
      <c r="P48" s="279"/>
      <c r="Q48" s="371"/>
    </row>
    <row r="49" spans="1:85" ht="22.5">
      <c r="A49" s="61" t="s">
        <v>10706</v>
      </c>
      <c r="B49" s="61" t="s">
        <v>10707</v>
      </c>
      <c r="C49" s="61"/>
      <c r="D49" s="61" t="s">
        <v>10606</v>
      </c>
      <c r="E49" s="61"/>
      <c r="F49" s="471" t="s">
        <v>10708</v>
      </c>
      <c r="G49" s="63" t="s">
        <v>10709</v>
      </c>
      <c r="H49" s="63" t="s">
        <v>740</v>
      </c>
      <c r="I49" s="61"/>
      <c r="J49" s="61" t="s">
        <v>138</v>
      </c>
      <c r="K49" s="61"/>
      <c r="L49" s="63" t="s">
        <v>191</v>
      </c>
      <c r="M49" s="64">
        <v>2</v>
      </c>
      <c r="N49" s="73">
        <v>4</v>
      </c>
      <c r="O49" s="75" t="s">
        <v>199</v>
      </c>
      <c r="P49" s="279"/>
      <c r="Q49" s="37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211"/>
      <c r="AZ49" s="211"/>
      <c r="BA49" s="211"/>
      <c r="BB49" s="211"/>
      <c r="BC49" s="211"/>
      <c r="BD49" s="211"/>
      <c r="BE49" s="211"/>
      <c r="BF49" s="211"/>
      <c r="BG49" s="211"/>
      <c r="BH49" s="211"/>
      <c r="BI49" s="211"/>
      <c r="BJ49" s="211"/>
      <c r="BK49" s="211"/>
      <c r="BL49" s="211"/>
      <c r="BM49" s="211"/>
      <c r="BN49" s="211"/>
      <c r="BO49" s="211"/>
      <c r="BP49" s="211"/>
      <c r="BQ49" s="211"/>
      <c r="BR49" s="211"/>
      <c r="BS49" s="211"/>
      <c r="BT49" s="211"/>
      <c r="BU49" s="211"/>
      <c r="BV49" s="211"/>
      <c r="BW49" s="211"/>
      <c r="BX49" s="211"/>
      <c r="BY49" s="211"/>
      <c r="BZ49" s="211"/>
      <c r="CA49" s="211"/>
      <c r="CB49" s="211"/>
      <c r="CC49" s="211"/>
      <c r="CD49" s="211"/>
      <c r="CE49" s="211"/>
      <c r="CF49" s="211"/>
      <c r="CG49" s="211"/>
    </row>
    <row r="50" spans="1:85" s="522" customFormat="1" ht="11.25">
      <c r="A50" s="717" t="s">
        <v>10710</v>
      </c>
      <c r="B50" s="717" t="s">
        <v>10711</v>
      </c>
      <c r="C50" s="717"/>
      <c r="D50" s="717" t="s">
        <v>10606</v>
      </c>
      <c r="E50" s="717"/>
      <c r="F50" s="718" t="s">
        <v>601</v>
      </c>
      <c r="G50" s="719" t="s">
        <v>10712</v>
      </c>
      <c r="H50" s="719"/>
      <c r="I50" s="719"/>
      <c r="J50" s="719" t="s">
        <v>138</v>
      </c>
      <c r="K50" s="719"/>
      <c r="L50" s="719"/>
      <c r="M50" s="720">
        <v>1</v>
      </c>
      <c r="N50" s="721">
        <v>5</v>
      </c>
      <c r="O50" s="722" t="s">
        <v>199</v>
      </c>
      <c r="P50" s="723"/>
      <c r="Q50" s="723"/>
      <c r="R50" s="724"/>
      <c r="S50" s="760"/>
      <c r="T50" s="760"/>
      <c r="U50" s="760"/>
      <c r="V50" s="760"/>
      <c r="W50" s="760"/>
      <c r="X50" s="760"/>
      <c r="Y50" s="760"/>
      <c r="Z50" s="760"/>
      <c r="AA50" s="760"/>
      <c r="AB50" s="760"/>
      <c r="AC50" s="760"/>
      <c r="AD50" s="760"/>
      <c r="AE50" s="760"/>
      <c r="AF50" s="760"/>
      <c r="AG50" s="760"/>
      <c r="AH50" s="760"/>
      <c r="AI50" s="760"/>
      <c r="AJ50" s="760"/>
      <c r="AK50" s="760"/>
      <c r="AL50" s="760"/>
      <c r="AM50" s="760"/>
      <c r="AN50" s="760"/>
      <c r="AO50" s="760"/>
      <c r="AP50" s="760"/>
      <c r="AQ50" s="760"/>
      <c r="AR50" s="760"/>
      <c r="AS50" s="760"/>
      <c r="AT50" s="760"/>
      <c r="AU50" s="760"/>
      <c r="AV50" s="760"/>
      <c r="AW50" s="760"/>
      <c r="AX50" s="760"/>
      <c r="AY50" s="760"/>
      <c r="AZ50" s="760"/>
      <c r="BA50" s="760"/>
      <c r="BB50" s="760"/>
      <c r="BC50" s="760"/>
      <c r="BD50" s="760"/>
      <c r="BE50" s="760"/>
      <c r="BF50" s="760"/>
      <c r="BG50" s="760"/>
      <c r="BH50" s="760"/>
      <c r="BI50" s="760"/>
      <c r="BJ50" s="760"/>
      <c r="BK50" s="760"/>
      <c r="BL50" s="760"/>
      <c r="BM50" s="760"/>
      <c r="BN50" s="760"/>
      <c r="BO50" s="760"/>
      <c r="BP50" s="760"/>
      <c r="BQ50" s="760"/>
      <c r="BR50" s="760"/>
      <c r="BS50" s="760"/>
      <c r="BT50" s="760"/>
      <c r="BU50" s="760"/>
      <c r="BV50" s="760"/>
      <c r="BW50" s="760"/>
      <c r="BX50" s="760"/>
      <c r="BY50" s="760"/>
      <c r="BZ50" s="760"/>
      <c r="CA50" s="760"/>
      <c r="CB50" s="760"/>
      <c r="CC50" s="760"/>
      <c r="CD50" s="760"/>
      <c r="CE50" s="760"/>
      <c r="CF50" s="760"/>
      <c r="CG50" s="760"/>
    </row>
    <row r="51" spans="1:85" s="522" customFormat="1" ht="22.5">
      <c r="A51" s="717" t="s">
        <v>10713</v>
      </c>
      <c r="B51" s="717" t="s">
        <v>10714</v>
      </c>
      <c r="C51" s="717"/>
      <c r="D51" s="717" t="s">
        <v>10606</v>
      </c>
      <c r="E51" s="717"/>
      <c r="F51" s="718" t="s">
        <v>601</v>
      </c>
      <c r="G51" s="719" t="s">
        <v>10715</v>
      </c>
      <c r="H51" s="719"/>
      <c r="I51" s="719"/>
      <c r="J51" s="719" t="s">
        <v>138</v>
      </c>
      <c r="K51" s="719"/>
      <c r="L51" s="719"/>
      <c r="M51" s="720">
        <v>1</v>
      </c>
      <c r="N51" s="721">
        <v>5</v>
      </c>
      <c r="O51" s="722" t="s">
        <v>199</v>
      </c>
      <c r="P51" s="723"/>
      <c r="Q51" s="723"/>
      <c r="R51" s="724"/>
      <c r="S51" s="760"/>
      <c r="T51" s="760"/>
      <c r="U51" s="760"/>
      <c r="V51" s="760"/>
      <c r="W51" s="760"/>
      <c r="X51" s="760"/>
      <c r="Y51" s="760"/>
      <c r="Z51" s="760"/>
      <c r="AA51" s="760"/>
      <c r="AB51" s="760"/>
      <c r="AC51" s="760"/>
      <c r="AD51" s="760"/>
      <c r="AE51" s="760"/>
      <c r="AF51" s="760"/>
      <c r="AG51" s="760"/>
      <c r="AH51" s="760"/>
      <c r="AI51" s="760"/>
      <c r="AJ51" s="760"/>
      <c r="AK51" s="760"/>
      <c r="AL51" s="760"/>
      <c r="AM51" s="760"/>
      <c r="AN51" s="760"/>
      <c r="AO51" s="760"/>
      <c r="AP51" s="760"/>
      <c r="AQ51" s="760"/>
      <c r="AR51" s="760"/>
      <c r="AS51" s="760"/>
      <c r="AT51" s="760"/>
      <c r="AU51" s="760"/>
      <c r="AV51" s="760"/>
      <c r="AW51" s="760"/>
      <c r="AX51" s="760"/>
      <c r="AY51" s="760"/>
      <c r="AZ51" s="760"/>
      <c r="BA51" s="760"/>
      <c r="BB51" s="760"/>
      <c r="BC51" s="760"/>
      <c r="BD51" s="760"/>
      <c r="BE51" s="760"/>
      <c r="BF51" s="760"/>
      <c r="BG51" s="760"/>
      <c r="BH51" s="760"/>
      <c r="BI51" s="760"/>
      <c r="BJ51" s="760"/>
      <c r="BK51" s="760"/>
      <c r="BL51" s="760"/>
      <c r="BM51" s="760"/>
      <c r="BN51" s="760"/>
      <c r="BO51" s="760"/>
      <c r="BP51" s="760"/>
      <c r="BQ51" s="760"/>
      <c r="BR51" s="760"/>
      <c r="BS51" s="760"/>
      <c r="BT51" s="760"/>
      <c r="BU51" s="760"/>
      <c r="BV51" s="760"/>
      <c r="BW51" s="760"/>
      <c r="BX51" s="760"/>
      <c r="BY51" s="760"/>
      <c r="BZ51" s="760"/>
      <c r="CA51" s="760"/>
      <c r="CB51" s="760"/>
      <c r="CC51" s="760"/>
      <c r="CD51" s="760"/>
      <c r="CE51" s="760"/>
      <c r="CF51" s="760"/>
      <c r="CG51" s="760"/>
    </row>
    <row r="52" spans="1:85" ht="33.75">
      <c r="A52" s="61" t="s">
        <v>10716</v>
      </c>
      <c r="B52" s="61" t="s">
        <v>10717</v>
      </c>
      <c r="C52" s="61" t="s">
        <v>10718</v>
      </c>
      <c r="D52" s="61" t="s">
        <v>10606</v>
      </c>
      <c r="E52" s="61"/>
      <c r="F52" s="271" t="s">
        <v>275</v>
      </c>
      <c r="G52" s="63" t="s">
        <v>10719</v>
      </c>
      <c r="H52" s="63" t="s">
        <v>198</v>
      </c>
      <c r="I52" s="63"/>
      <c r="J52" s="63" t="s">
        <v>138</v>
      </c>
      <c r="K52" s="63"/>
      <c r="L52" s="63" t="s">
        <v>191</v>
      </c>
      <c r="M52" s="64">
        <v>1</v>
      </c>
      <c r="N52" s="73">
        <v>5</v>
      </c>
      <c r="O52" s="75" t="s">
        <v>192</v>
      </c>
      <c r="P52" s="279"/>
      <c r="Q52" s="37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row>
    <row r="53" spans="1:85" ht="22.5">
      <c r="A53" s="61" t="s">
        <v>10720</v>
      </c>
      <c r="B53" s="61" t="s">
        <v>10721</v>
      </c>
      <c r="C53" s="61" t="s">
        <v>10722</v>
      </c>
      <c r="D53" s="61" t="s">
        <v>10606</v>
      </c>
      <c r="E53" s="61"/>
      <c r="F53" s="271" t="s">
        <v>10723</v>
      </c>
      <c r="G53" s="63" t="s">
        <v>10724</v>
      </c>
      <c r="H53" s="63" t="s">
        <v>198</v>
      </c>
      <c r="I53" s="63"/>
      <c r="J53" s="63" t="s">
        <v>138</v>
      </c>
      <c r="K53" s="63"/>
      <c r="L53" s="63" t="s">
        <v>191</v>
      </c>
      <c r="M53" s="64">
        <v>1</v>
      </c>
      <c r="N53" s="73">
        <v>5</v>
      </c>
      <c r="O53" s="75" t="s">
        <v>222</v>
      </c>
      <c r="P53" s="279"/>
      <c r="Q53" s="371"/>
    </row>
    <row r="54" spans="1:85" ht="22.5">
      <c r="A54" s="61" t="s">
        <v>10725</v>
      </c>
      <c r="B54" s="61" t="s">
        <v>10726</v>
      </c>
      <c r="C54" s="61" t="s">
        <v>10727</v>
      </c>
      <c r="D54" s="61" t="s">
        <v>10606</v>
      </c>
      <c r="E54" s="61"/>
      <c r="F54" s="271" t="s">
        <v>275</v>
      </c>
      <c r="G54" s="63" t="s">
        <v>10728</v>
      </c>
      <c r="H54" s="63" t="s">
        <v>198</v>
      </c>
      <c r="I54" s="63"/>
      <c r="J54" s="63" t="s">
        <v>138</v>
      </c>
      <c r="K54" s="63"/>
      <c r="L54" s="63" t="s">
        <v>191</v>
      </c>
      <c r="M54" s="64">
        <v>1</v>
      </c>
      <c r="N54" s="73">
        <v>5</v>
      </c>
      <c r="O54" s="75" t="s">
        <v>192</v>
      </c>
      <c r="P54" s="279"/>
      <c r="Q54" s="371"/>
    </row>
    <row r="55" spans="1:85" ht="22.5">
      <c r="A55" s="61" t="s">
        <v>10729</v>
      </c>
      <c r="B55" s="61" t="s">
        <v>10730</v>
      </c>
      <c r="C55" s="61" t="s">
        <v>10731</v>
      </c>
      <c r="D55" s="61" t="s">
        <v>10606</v>
      </c>
      <c r="E55" s="61"/>
      <c r="F55" s="271" t="s">
        <v>275</v>
      </c>
      <c r="G55" s="63" t="s">
        <v>10732</v>
      </c>
      <c r="H55" s="63" t="s">
        <v>198</v>
      </c>
      <c r="I55" s="63"/>
      <c r="J55" s="63" t="s">
        <v>138</v>
      </c>
      <c r="K55" s="63"/>
      <c r="L55" s="63" t="s">
        <v>191</v>
      </c>
      <c r="M55" s="64">
        <v>1</v>
      </c>
      <c r="N55" s="73">
        <v>5</v>
      </c>
      <c r="O55" s="75" t="s">
        <v>199</v>
      </c>
      <c r="P55" s="279"/>
      <c r="Q55" s="371"/>
    </row>
    <row r="56" spans="1:85" ht="22.5">
      <c r="A56" s="61" t="s">
        <v>10733</v>
      </c>
      <c r="B56" s="61" t="s">
        <v>10734</v>
      </c>
      <c r="C56" s="61" t="s">
        <v>10735</v>
      </c>
      <c r="D56" s="61" t="s">
        <v>10606</v>
      </c>
      <c r="E56" s="61"/>
      <c r="F56" s="271" t="s">
        <v>10723</v>
      </c>
      <c r="G56" s="63" t="s">
        <v>10736</v>
      </c>
      <c r="H56" s="63" t="s">
        <v>198</v>
      </c>
      <c r="I56" s="63"/>
      <c r="J56" s="63" t="s">
        <v>138</v>
      </c>
      <c r="K56" s="63"/>
      <c r="L56" s="63" t="s">
        <v>191</v>
      </c>
      <c r="M56" s="64">
        <v>1</v>
      </c>
      <c r="N56" s="73">
        <v>5</v>
      </c>
      <c r="O56" s="75" t="s">
        <v>222</v>
      </c>
      <c r="P56" s="279"/>
      <c r="Q56" s="371"/>
    </row>
    <row r="57" spans="1:85" ht="22.5">
      <c r="A57" s="61" t="s">
        <v>10737</v>
      </c>
      <c r="B57" s="61" t="s">
        <v>10738</v>
      </c>
      <c r="C57" s="61" t="s">
        <v>10739</v>
      </c>
      <c r="D57" s="61" t="s">
        <v>10606</v>
      </c>
      <c r="E57" s="61"/>
      <c r="F57" s="271" t="s">
        <v>10723</v>
      </c>
      <c r="G57" s="63" t="s">
        <v>10740</v>
      </c>
      <c r="H57" s="63" t="s">
        <v>198</v>
      </c>
      <c r="I57" s="63"/>
      <c r="J57" s="63" t="s">
        <v>138</v>
      </c>
      <c r="K57" s="63"/>
      <c r="L57" s="63" t="s">
        <v>191</v>
      </c>
      <c r="M57" s="64">
        <v>1</v>
      </c>
      <c r="N57" s="73">
        <v>5</v>
      </c>
      <c r="O57" s="75" t="s">
        <v>199</v>
      </c>
      <c r="P57" s="279"/>
      <c r="Q57" s="371"/>
    </row>
    <row r="58" spans="1:85" ht="33.75">
      <c r="A58" s="61" t="s">
        <v>10741</v>
      </c>
      <c r="B58" s="61" t="s">
        <v>10742</v>
      </c>
      <c r="C58" s="61" t="s">
        <v>10743</v>
      </c>
      <c r="D58" s="61" t="s">
        <v>10606</v>
      </c>
      <c r="E58" s="61"/>
      <c r="F58" s="271" t="s">
        <v>10744</v>
      </c>
      <c r="G58" s="63" t="s">
        <v>10745</v>
      </c>
      <c r="H58" s="63" t="s">
        <v>198</v>
      </c>
      <c r="I58" s="63"/>
      <c r="J58" s="63" t="s">
        <v>138</v>
      </c>
      <c r="K58" s="63"/>
      <c r="L58" s="63" t="s">
        <v>191</v>
      </c>
      <c r="M58" s="64">
        <v>1</v>
      </c>
      <c r="N58" s="73">
        <v>5</v>
      </c>
      <c r="O58" s="75" t="s">
        <v>199</v>
      </c>
      <c r="P58" s="279"/>
      <c r="Q58" s="371"/>
    </row>
    <row r="59" spans="1:85" ht="22.5">
      <c r="A59" s="61" t="s">
        <v>10746</v>
      </c>
      <c r="B59" s="61" t="s">
        <v>10747</v>
      </c>
      <c r="C59" s="61"/>
      <c r="D59" s="61" t="s">
        <v>10606</v>
      </c>
      <c r="E59" s="61"/>
      <c r="F59" s="271" t="s">
        <v>601</v>
      </c>
      <c r="G59" s="63" t="s">
        <v>10748</v>
      </c>
      <c r="H59" s="63"/>
      <c r="I59" s="63"/>
      <c r="J59" s="63" t="s">
        <v>138</v>
      </c>
      <c r="K59" s="63"/>
      <c r="L59" s="63"/>
      <c r="M59" s="64">
        <v>1</v>
      </c>
      <c r="N59" s="73">
        <v>5</v>
      </c>
      <c r="O59" s="75" t="s">
        <v>199</v>
      </c>
      <c r="P59" s="279"/>
      <c r="Q59" s="371"/>
    </row>
    <row r="60" spans="1:85" ht="33.75">
      <c r="A60" s="61" t="s">
        <v>10749</v>
      </c>
      <c r="B60" s="61" t="s">
        <v>10750</v>
      </c>
      <c r="C60" s="61" t="s">
        <v>10751</v>
      </c>
      <c r="D60" s="61" t="s">
        <v>10606</v>
      </c>
      <c r="E60" s="61"/>
      <c r="F60" s="271" t="s">
        <v>10723</v>
      </c>
      <c r="G60" s="63" t="s">
        <v>10752</v>
      </c>
      <c r="H60" s="63" t="s">
        <v>198</v>
      </c>
      <c r="I60" s="63"/>
      <c r="J60" s="63" t="s">
        <v>138</v>
      </c>
      <c r="K60" s="63"/>
      <c r="L60" s="63" t="s">
        <v>191</v>
      </c>
      <c r="M60" s="64">
        <v>1</v>
      </c>
      <c r="N60" s="73">
        <v>5</v>
      </c>
      <c r="O60" s="75" t="s">
        <v>192</v>
      </c>
      <c r="P60" s="279"/>
      <c r="Q60" s="371"/>
    </row>
    <row r="61" spans="1:85" ht="33.75">
      <c r="A61" s="61" t="s">
        <v>10753</v>
      </c>
      <c r="B61" s="61" t="s">
        <v>10754</v>
      </c>
      <c r="C61" s="61" t="s">
        <v>10755</v>
      </c>
      <c r="D61" s="61" t="s">
        <v>10606</v>
      </c>
      <c r="E61" s="61"/>
      <c r="F61" s="271" t="s">
        <v>10756</v>
      </c>
      <c r="G61" s="63" t="s">
        <v>10757</v>
      </c>
      <c r="H61" s="63" t="s">
        <v>198</v>
      </c>
      <c r="I61" s="63"/>
      <c r="J61" s="63" t="s">
        <v>138</v>
      </c>
      <c r="K61" s="63"/>
      <c r="L61" s="63" t="s">
        <v>191</v>
      </c>
      <c r="M61" s="64">
        <v>1</v>
      </c>
      <c r="N61" s="73">
        <v>5</v>
      </c>
      <c r="O61" s="75" t="s">
        <v>199</v>
      </c>
      <c r="P61" s="279"/>
      <c r="Q61" s="371"/>
    </row>
    <row r="62" spans="1:85" ht="22.5">
      <c r="A62" s="61" t="s">
        <v>10758</v>
      </c>
      <c r="B62" s="61" t="s">
        <v>10759</v>
      </c>
      <c r="C62" s="61"/>
      <c r="D62" s="61" t="s">
        <v>10606</v>
      </c>
      <c r="E62" s="61"/>
      <c r="F62" s="271" t="s">
        <v>601</v>
      </c>
      <c r="G62" s="63" t="s">
        <v>10760</v>
      </c>
      <c r="H62" s="63"/>
      <c r="I62" s="63"/>
      <c r="J62" s="63" t="s">
        <v>138</v>
      </c>
      <c r="K62" s="63"/>
      <c r="L62" s="63"/>
      <c r="M62" s="64">
        <v>1</v>
      </c>
      <c r="N62" s="73">
        <v>5</v>
      </c>
      <c r="O62" s="75" t="s">
        <v>199</v>
      </c>
      <c r="P62" s="279"/>
      <c r="Q62" s="371"/>
    </row>
    <row r="63" spans="1:85" ht="11.25">
      <c r="A63" s="61" t="s">
        <v>10761</v>
      </c>
      <c r="B63" s="61" t="s">
        <v>10762</v>
      </c>
      <c r="C63" s="61"/>
      <c r="D63" s="61" t="s">
        <v>10606</v>
      </c>
      <c r="E63" s="61"/>
      <c r="F63" s="271" t="s">
        <v>601</v>
      </c>
      <c r="G63" s="63" t="s">
        <v>10763</v>
      </c>
      <c r="H63" s="63"/>
      <c r="I63" s="63"/>
      <c r="J63" s="63" t="s">
        <v>138</v>
      </c>
      <c r="K63" s="63"/>
      <c r="L63" s="63"/>
      <c r="M63" s="64">
        <v>1</v>
      </c>
      <c r="N63" s="73">
        <v>5</v>
      </c>
      <c r="O63" s="75" t="s">
        <v>199</v>
      </c>
      <c r="P63" s="279"/>
      <c r="Q63" s="371"/>
    </row>
    <row r="64" spans="1:85" ht="45">
      <c r="A64" s="61" t="s">
        <v>10764</v>
      </c>
      <c r="B64" s="61" t="s">
        <v>10765</v>
      </c>
      <c r="C64" s="61"/>
      <c r="D64" s="61"/>
      <c r="E64" s="61"/>
      <c r="F64" s="271" t="s">
        <v>601</v>
      </c>
      <c r="G64" s="63" t="s">
        <v>10766</v>
      </c>
      <c r="H64" s="63"/>
      <c r="I64" s="63"/>
      <c r="J64" s="63" t="s">
        <v>142</v>
      </c>
      <c r="K64" s="63"/>
      <c r="L64" s="63"/>
      <c r="M64" s="64">
        <v>1</v>
      </c>
      <c r="N64" s="73">
        <v>5</v>
      </c>
      <c r="O64" s="75" t="s">
        <v>199</v>
      </c>
      <c r="P64" s="279"/>
      <c r="Q64" s="371"/>
    </row>
    <row r="65" spans="1:17" ht="11.25">
      <c r="A65" s="61" t="s">
        <v>10767</v>
      </c>
      <c r="B65" s="61" t="s">
        <v>10768</v>
      </c>
      <c r="C65" s="61"/>
      <c r="D65" s="61"/>
      <c r="E65" s="61"/>
      <c r="F65" s="271" t="s">
        <v>601</v>
      </c>
      <c r="G65" s="63" t="s">
        <v>10763</v>
      </c>
      <c r="H65" s="63"/>
      <c r="I65" s="63"/>
      <c r="J65" s="63" t="s">
        <v>142</v>
      </c>
      <c r="K65" s="63"/>
      <c r="L65" s="63"/>
      <c r="M65" s="64">
        <v>1</v>
      </c>
      <c r="N65" s="73">
        <v>5</v>
      </c>
      <c r="O65" s="75" t="s">
        <v>199</v>
      </c>
      <c r="P65" s="279"/>
      <c r="Q65" s="371"/>
    </row>
    <row r="66" spans="1:17" ht="11.25">
      <c r="A66" s="61" t="s">
        <v>10769</v>
      </c>
      <c r="B66" s="61" t="s">
        <v>10770</v>
      </c>
      <c r="C66" s="61"/>
      <c r="D66" s="61"/>
      <c r="E66" s="61"/>
      <c r="F66" s="271" t="s">
        <v>601</v>
      </c>
      <c r="G66" s="63" t="s">
        <v>10771</v>
      </c>
      <c r="H66" s="63"/>
      <c r="I66" s="63"/>
      <c r="J66" s="63" t="s">
        <v>142</v>
      </c>
      <c r="K66" s="63"/>
      <c r="L66" s="63"/>
      <c r="M66" s="64">
        <v>1</v>
      </c>
      <c r="N66" s="73">
        <v>5</v>
      </c>
      <c r="O66" s="75" t="s">
        <v>199</v>
      </c>
      <c r="P66" s="279"/>
      <c r="Q66" s="371"/>
    </row>
    <row r="67" spans="1:17" ht="22.5">
      <c r="A67" s="61" t="s">
        <v>10772</v>
      </c>
      <c r="B67" s="61" t="s">
        <v>10773</v>
      </c>
      <c r="C67" s="61"/>
      <c r="D67" s="61"/>
      <c r="E67" s="61"/>
      <c r="F67" s="271" t="s">
        <v>601</v>
      </c>
      <c r="G67" s="63" t="s">
        <v>10760</v>
      </c>
      <c r="H67" s="63"/>
      <c r="I67" s="63"/>
      <c r="J67" s="63" t="s">
        <v>142</v>
      </c>
      <c r="K67" s="63"/>
      <c r="L67" s="63"/>
      <c r="M67" s="64">
        <v>1</v>
      </c>
      <c r="N67" s="73">
        <v>5</v>
      </c>
      <c r="O67" s="75" t="s">
        <v>199</v>
      </c>
      <c r="P67" s="279"/>
      <c r="Q67" s="371"/>
    </row>
    <row r="68" spans="1:17" ht="22.5">
      <c r="A68" s="61" t="s">
        <v>10774</v>
      </c>
      <c r="B68" s="61" t="s">
        <v>10775</v>
      </c>
      <c r="C68" s="61"/>
      <c r="D68" s="61"/>
      <c r="E68" s="61"/>
      <c r="F68" s="271" t="s">
        <v>601</v>
      </c>
      <c r="G68" s="63" t="s">
        <v>10748</v>
      </c>
      <c r="H68" s="63"/>
      <c r="I68" s="63"/>
      <c r="J68" s="63" t="s">
        <v>142</v>
      </c>
      <c r="K68" s="63"/>
      <c r="L68" s="63"/>
      <c r="M68" s="64">
        <v>1</v>
      </c>
      <c r="N68" s="73">
        <v>5</v>
      </c>
      <c r="O68" s="75" t="s">
        <v>199</v>
      </c>
      <c r="P68" s="279"/>
      <c r="Q68" s="371"/>
    </row>
    <row r="69" spans="1:17" ht="22.5">
      <c r="A69" s="61" t="s">
        <v>10776</v>
      </c>
      <c r="B69" s="61" t="s">
        <v>10777</v>
      </c>
      <c r="C69" s="61"/>
      <c r="D69" s="61"/>
      <c r="E69" s="61"/>
      <c r="F69" s="271" t="s">
        <v>601</v>
      </c>
      <c r="G69" s="63" t="s">
        <v>10715</v>
      </c>
      <c r="H69" s="63"/>
      <c r="I69" s="63"/>
      <c r="J69" s="63" t="s">
        <v>142</v>
      </c>
      <c r="K69" s="63"/>
      <c r="L69" s="63"/>
      <c r="M69" s="64">
        <v>1</v>
      </c>
      <c r="N69" s="73">
        <v>5</v>
      </c>
      <c r="O69" s="75" t="s">
        <v>199</v>
      </c>
      <c r="P69" s="279"/>
      <c r="Q69" s="371"/>
    </row>
    <row r="70" spans="1:17" ht="11.25">
      <c r="A70" s="61" t="s">
        <v>10778</v>
      </c>
      <c r="B70" s="61" t="s">
        <v>10779</v>
      </c>
      <c r="C70" s="61"/>
      <c r="D70" s="61"/>
      <c r="E70" s="61"/>
      <c r="F70" s="271" t="s">
        <v>601</v>
      </c>
      <c r="G70" s="63" t="s">
        <v>10712</v>
      </c>
      <c r="H70" s="63"/>
      <c r="I70" s="63"/>
      <c r="J70" s="63" t="s">
        <v>142</v>
      </c>
      <c r="K70" s="63"/>
      <c r="L70" s="63"/>
      <c r="M70" s="64">
        <v>1</v>
      </c>
      <c r="N70" s="73">
        <v>5</v>
      </c>
      <c r="O70" s="75" t="s">
        <v>199</v>
      </c>
      <c r="P70" s="279"/>
      <c r="Q70" s="371"/>
    </row>
    <row r="71" spans="1:17" ht="22.5">
      <c r="A71" s="61" t="s">
        <v>10780</v>
      </c>
      <c r="B71" s="61" t="s">
        <v>10781</v>
      </c>
      <c r="C71" s="61"/>
      <c r="D71" s="61"/>
      <c r="E71" s="61"/>
      <c r="F71" s="271" t="s">
        <v>601</v>
      </c>
      <c r="G71" s="63" t="s">
        <v>10782</v>
      </c>
      <c r="H71" s="63"/>
      <c r="I71" s="63"/>
      <c r="J71" s="63" t="s">
        <v>142</v>
      </c>
      <c r="K71" s="63"/>
      <c r="L71" s="63"/>
      <c r="M71" s="64">
        <v>1</v>
      </c>
      <c r="N71" s="73">
        <v>5</v>
      </c>
      <c r="O71" s="75" t="s">
        <v>199</v>
      </c>
      <c r="P71" s="279"/>
      <c r="Q71" s="371"/>
    </row>
    <row r="72" spans="1:17" ht="22.5">
      <c r="A72" s="61" t="s">
        <v>10783</v>
      </c>
      <c r="B72" s="61" t="s">
        <v>10784</v>
      </c>
      <c r="C72" s="61"/>
      <c r="D72" s="61"/>
      <c r="E72" s="61"/>
      <c r="F72" s="271" t="s">
        <v>601</v>
      </c>
      <c r="G72" s="63" t="s">
        <v>10785</v>
      </c>
      <c r="H72" s="63"/>
      <c r="I72" s="63"/>
      <c r="J72" s="63" t="s">
        <v>142</v>
      </c>
      <c r="K72" s="63"/>
      <c r="L72" s="63"/>
      <c r="M72" s="64">
        <v>1</v>
      </c>
      <c r="N72" s="73">
        <v>5</v>
      </c>
      <c r="O72" s="75" t="s">
        <v>199</v>
      </c>
      <c r="P72" s="279"/>
      <c r="Q72" s="371"/>
    </row>
    <row r="73" spans="1:17" ht="22.5">
      <c r="A73" s="61" t="s">
        <v>10786</v>
      </c>
      <c r="B73" s="61" t="s">
        <v>10787</v>
      </c>
      <c r="C73" s="61"/>
      <c r="D73" s="61"/>
      <c r="E73" s="61"/>
      <c r="F73" s="271" t="s">
        <v>601</v>
      </c>
      <c r="G73" s="63" t="s">
        <v>10788</v>
      </c>
      <c r="H73" s="63"/>
      <c r="I73" s="63"/>
      <c r="J73" s="63" t="s">
        <v>142</v>
      </c>
      <c r="K73" s="63"/>
      <c r="L73" s="63"/>
      <c r="M73" s="64">
        <v>1</v>
      </c>
      <c r="N73" s="73">
        <v>5</v>
      </c>
      <c r="O73" s="75" t="s">
        <v>199</v>
      </c>
      <c r="P73" s="279"/>
      <c r="Q73" s="371"/>
    </row>
    <row r="74" spans="1:17" ht="45">
      <c r="A74" s="61" t="s">
        <v>10789</v>
      </c>
      <c r="B74" s="61" t="s">
        <v>10790</v>
      </c>
      <c r="C74" s="61"/>
      <c r="D74" s="61"/>
      <c r="E74" s="61"/>
      <c r="F74" s="271" t="s">
        <v>601</v>
      </c>
      <c r="G74" s="63" t="s">
        <v>10766</v>
      </c>
      <c r="H74" s="63"/>
      <c r="I74" s="63"/>
      <c r="J74" s="63" t="s">
        <v>142</v>
      </c>
      <c r="K74" s="63"/>
      <c r="L74" s="63"/>
      <c r="M74" s="64">
        <v>1</v>
      </c>
      <c r="N74" s="73">
        <v>5</v>
      </c>
      <c r="O74" s="75" t="s">
        <v>199</v>
      </c>
      <c r="P74" s="279"/>
      <c r="Q74" s="371"/>
    </row>
    <row r="75" spans="1:17" ht="11.25">
      <c r="A75" s="61" t="s">
        <v>10791</v>
      </c>
      <c r="B75" s="61" t="s">
        <v>10792</v>
      </c>
      <c r="C75" s="61"/>
      <c r="D75" s="61"/>
      <c r="E75" s="61"/>
      <c r="F75" s="271" t="s">
        <v>601</v>
      </c>
      <c r="G75" s="63" t="s">
        <v>10763</v>
      </c>
      <c r="H75" s="63"/>
      <c r="I75" s="63"/>
      <c r="J75" s="63" t="s">
        <v>142</v>
      </c>
      <c r="K75" s="63"/>
      <c r="L75" s="63"/>
      <c r="M75" s="64">
        <v>1</v>
      </c>
      <c r="N75" s="73">
        <v>5</v>
      </c>
      <c r="O75" s="75" t="s">
        <v>199</v>
      </c>
      <c r="P75" s="279"/>
      <c r="Q75" s="371"/>
    </row>
    <row r="76" spans="1:17" ht="11.25">
      <c r="A76" s="61" t="s">
        <v>10793</v>
      </c>
      <c r="B76" s="61" t="s">
        <v>10794</v>
      </c>
      <c r="C76" s="61"/>
      <c r="D76" s="61"/>
      <c r="E76" s="61"/>
      <c r="F76" s="271" t="s">
        <v>601</v>
      </c>
      <c r="G76" s="63" t="s">
        <v>10771</v>
      </c>
      <c r="H76" s="63"/>
      <c r="I76" s="63"/>
      <c r="J76" s="63" t="s">
        <v>142</v>
      </c>
      <c r="K76" s="63"/>
      <c r="L76" s="63"/>
      <c r="M76" s="64">
        <v>1</v>
      </c>
      <c r="N76" s="73">
        <v>5</v>
      </c>
      <c r="O76" s="75" t="s">
        <v>199</v>
      </c>
      <c r="P76" s="279"/>
      <c r="Q76" s="371"/>
    </row>
    <row r="77" spans="1:17" ht="22.5">
      <c r="A77" s="61" t="s">
        <v>10795</v>
      </c>
      <c r="B77" s="61" t="s">
        <v>10796</v>
      </c>
      <c r="C77" s="61"/>
      <c r="D77" s="61"/>
      <c r="E77" s="61"/>
      <c r="F77" s="271" t="s">
        <v>601</v>
      </c>
      <c r="G77" s="63" t="s">
        <v>10760</v>
      </c>
      <c r="H77" s="63"/>
      <c r="I77" s="63"/>
      <c r="J77" s="63" t="s">
        <v>142</v>
      </c>
      <c r="K77" s="63"/>
      <c r="L77" s="63"/>
      <c r="M77" s="64">
        <v>1</v>
      </c>
      <c r="N77" s="73">
        <v>5</v>
      </c>
      <c r="O77" s="75" t="s">
        <v>199</v>
      </c>
      <c r="P77" s="279"/>
      <c r="Q77" s="371"/>
    </row>
    <row r="78" spans="1:17" ht="22.5">
      <c r="A78" s="61" t="s">
        <v>10797</v>
      </c>
      <c r="B78" s="61" t="s">
        <v>10798</v>
      </c>
      <c r="C78" s="61"/>
      <c r="D78" s="61"/>
      <c r="E78" s="61"/>
      <c r="F78" s="271" t="s">
        <v>601</v>
      </c>
      <c r="G78" s="63" t="s">
        <v>10748</v>
      </c>
      <c r="H78" s="63"/>
      <c r="I78" s="63"/>
      <c r="J78" s="63" t="s">
        <v>142</v>
      </c>
      <c r="K78" s="63"/>
      <c r="L78" s="63"/>
      <c r="M78" s="64">
        <v>1</v>
      </c>
      <c r="N78" s="73">
        <v>5</v>
      </c>
      <c r="O78" s="75" t="s">
        <v>199</v>
      </c>
      <c r="P78" s="279"/>
      <c r="Q78" s="371"/>
    </row>
    <row r="79" spans="1:17" ht="22.5">
      <c r="A79" s="61" t="s">
        <v>10799</v>
      </c>
      <c r="B79" s="61" t="s">
        <v>10800</v>
      </c>
      <c r="C79" s="61"/>
      <c r="D79" s="61"/>
      <c r="E79" s="61"/>
      <c r="F79" s="271" t="s">
        <v>601</v>
      </c>
      <c r="G79" s="63" t="s">
        <v>10715</v>
      </c>
      <c r="H79" s="63"/>
      <c r="I79" s="63"/>
      <c r="J79" s="63" t="s">
        <v>142</v>
      </c>
      <c r="K79" s="63"/>
      <c r="L79" s="63"/>
      <c r="M79" s="64">
        <v>1</v>
      </c>
      <c r="N79" s="73">
        <v>5</v>
      </c>
      <c r="O79" s="75" t="s">
        <v>199</v>
      </c>
      <c r="P79" s="279"/>
      <c r="Q79" s="371"/>
    </row>
    <row r="80" spans="1:17" ht="11.25">
      <c r="A80" s="61" t="s">
        <v>10801</v>
      </c>
      <c r="B80" s="61" t="s">
        <v>10802</v>
      </c>
      <c r="C80" s="61"/>
      <c r="D80" s="61"/>
      <c r="E80" s="61"/>
      <c r="F80" s="271" t="s">
        <v>601</v>
      </c>
      <c r="G80" s="63" t="s">
        <v>10712</v>
      </c>
      <c r="H80" s="63"/>
      <c r="I80" s="63"/>
      <c r="J80" s="63" t="s">
        <v>142</v>
      </c>
      <c r="K80" s="63"/>
      <c r="L80" s="63"/>
      <c r="M80" s="64">
        <v>1</v>
      </c>
      <c r="N80" s="73">
        <v>5</v>
      </c>
      <c r="O80" s="75" t="s">
        <v>199</v>
      </c>
      <c r="P80" s="279"/>
      <c r="Q80" s="371"/>
    </row>
    <row r="81" spans="1:17" ht="22.5">
      <c r="A81" s="61" t="s">
        <v>10803</v>
      </c>
      <c r="B81" s="61" t="s">
        <v>10804</v>
      </c>
      <c r="C81" s="61"/>
      <c r="D81" s="61"/>
      <c r="E81" s="61"/>
      <c r="F81" s="271" t="s">
        <v>601</v>
      </c>
      <c r="G81" s="63" t="s">
        <v>10782</v>
      </c>
      <c r="H81" s="63"/>
      <c r="I81" s="63"/>
      <c r="J81" s="63" t="s">
        <v>142</v>
      </c>
      <c r="K81" s="63"/>
      <c r="L81" s="63"/>
      <c r="M81" s="64">
        <v>1</v>
      </c>
      <c r="N81" s="73">
        <v>5</v>
      </c>
      <c r="O81" s="75" t="s">
        <v>199</v>
      </c>
      <c r="P81" s="279"/>
      <c r="Q81" s="371"/>
    </row>
    <row r="82" spans="1:17" ht="22.5">
      <c r="A82" s="61" t="s">
        <v>10805</v>
      </c>
      <c r="B82" s="61" t="s">
        <v>10806</v>
      </c>
      <c r="C82" s="61"/>
      <c r="D82" s="61"/>
      <c r="E82" s="61"/>
      <c r="F82" s="271" t="s">
        <v>601</v>
      </c>
      <c r="G82" s="63" t="s">
        <v>10785</v>
      </c>
      <c r="H82" s="63"/>
      <c r="I82" s="63"/>
      <c r="J82" s="63" t="s">
        <v>142</v>
      </c>
      <c r="K82" s="63"/>
      <c r="L82" s="63"/>
      <c r="M82" s="64">
        <v>1</v>
      </c>
      <c r="N82" s="73">
        <v>5</v>
      </c>
      <c r="O82" s="75" t="s">
        <v>199</v>
      </c>
      <c r="P82" s="279"/>
      <c r="Q82" s="371"/>
    </row>
    <row r="83" spans="1:17" ht="22.5">
      <c r="A83" s="61" t="s">
        <v>10807</v>
      </c>
      <c r="B83" s="61" t="s">
        <v>10808</v>
      </c>
      <c r="C83" s="61"/>
      <c r="D83" s="61"/>
      <c r="E83" s="61"/>
      <c r="F83" s="271" t="s">
        <v>601</v>
      </c>
      <c r="G83" s="63" t="s">
        <v>10788</v>
      </c>
      <c r="H83" s="63"/>
      <c r="I83" s="63"/>
      <c r="J83" s="63" t="s">
        <v>142</v>
      </c>
      <c r="K83" s="63"/>
      <c r="L83" s="63"/>
      <c r="M83" s="64">
        <v>1</v>
      </c>
      <c r="N83" s="73">
        <v>5</v>
      </c>
      <c r="O83" s="75" t="s">
        <v>199</v>
      </c>
      <c r="P83" s="279"/>
      <c r="Q83" s="371"/>
    </row>
    <row r="84" spans="1:17" ht="45">
      <c r="A84" s="61" t="s">
        <v>10809</v>
      </c>
      <c r="B84" s="61" t="s">
        <v>10810</v>
      </c>
      <c r="C84" s="61" t="s">
        <v>10811</v>
      </c>
      <c r="D84" s="61" t="s">
        <v>10606</v>
      </c>
      <c r="E84" s="61"/>
      <c r="F84" s="271" t="s">
        <v>10812</v>
      </c>
      <c r="G84" s="63" t="s">
        <v>10813</v>
      </c>
      <c r="H84" s="63" t="s">
        <v>198</v>
      </c>
      <c r="I84" s="63"/>
      <c r="J84" s="63" t="s">
        <v>138</v>
      </c>
      <c r="K84" s="63"/>
      <c r="L84" s="63" t="s">
        <v>191</v>
      </c>
      <c r="M84" s="64">
        <v>1</v>
      </c>
      <c r="N84" s="73">
        <v>5</v>
      </c>
      <c r="O84" s="75" t="s">
        <v>199</v>
      </c>
      <c r="P84" s="279"/>
      <c r="Q84" s="371"/>
    </row>
    <row r="85" spans="1:17" ht="22.5">
      <c r="A85" s="61" t="s">
        <v>10814</v>
      </c>
      <c r="B85" s="61" t="s">
        <v>10815</v>
      </c>
      <c r="C85" s="61" t="s">
        <v>10816</v>
      </c>
      <c r="D85" s="61" t="s">
        <v>10606</v>
      </c>
      <c r="E85" s="61"/>
      <c r="F85" s="271" t="s">
        <v>10723</v>
      </c>
      <c r="G85" s="63" t="s">
        <v>10817</v>
      </c>
      <c r="H85" s="63" t="s">
        <v>198</v>
      </c>
      <c r="I85" s="63"/>
      <c r="J85" s="63" t="s">
        <v>138</v>
      </c>
      <c r="K85" s="63"/>
      <c r="L85" s="63" t="s">
        <v>191</v>
      </c>
      <c r="M85" s="64">
        <v>1</v>
      </c>
      <c r="N85" s="73">
        <v>5</v>
      </c>
      <c r="O85" s="75" t="s">
        <v>199</v>
      </c>
      <c r="P85" s="279"/>
      <c r="Q85" s="371"/>
    </row>
    <row r="86" spans="1:17" ht="33.75">
      <c r="A86" s="61" t="s">
        <v>10818</v>
      </c>
      <c r="B86" s="61" t="s">
        <v>10819</v>
      </c>
      <c r="C86" s="61" t="s">
        <v>10820</v>
      </c>
      <c r="D86" s="61" t="s">
        <v>10606</v>
      </c>
      <c r="E86" s="61"/>
      <c r="F86" s="271" t="s">
        <v>275</v>
      </c>
      <c r="G86" s="63" t="s">
        <v>10821</v>
      </c>
      <c r="H86" s="63" t="s">
        <v>198</v>
      </c>
      <c r="I86" s="63"/>
      <c r="J86" s="63" t="s">
        <v>138</v>
      </c>
      <c r="K86" s="63"/>
      <c r="L86" s="63" t="s">
        <v>191</v>
      </c>
      <c r="M86" s="64">
        <v>1</v>
      </c>
      <c r="N86" s="73">
        <v>5</v>
      </c>
      <c r="O86" s="75" t="s">
        <v>199</v>
      </c>
      <c r="P86" s="279"/>
      <c r="Q86" s="371"/>
    </row>
    <row r="87" spans="1:17" ht="33.75">
      <c r="A87" s="61" t="s">
        <v>10822</v>
      </c>
      <c r="B87" s="61" t="s">
        <v>10823</v>
      </c>
      <c r="C87" s="61" t="s">
        <v>10824</v>
      </c>
      <c r="D87" s="61" t="s">
        <v>10606</v>
      </c>
      <c r="E87" s="61"/>
      <c r="F87" s="271" t="s">
        <v>10723</v>
      </c>
      <c r="G87" s="63" t="s">
        <v>10825</v>
      </c>
      <c r="H87" s="63" t="s">
        <v>198</v>
      </c>
      <c r="I87" s="63"/>
      <c r="J87" s="63" t="s">
        <v>138</v>
      </c>
      <c r="K87" s="63"/>
      <c r="L87" s="63" t="s">
        <v>191</v>
      </c>
      <c r="M87" s="64">
        <v>1</v>
      </c>
      <c r="N87" s="73">
        <v>5</v>
      </c>
      <c r="O87" s="75" t="s">
        <v>199</v>
      </c>
      <c r="P87" s="279"/>
      <c r="Q87" s="371"/>
    </row>
    <row r="88" spans="1:17" ht="33.75">
      <c r="A88" s="61" t="s">
        <v>10826</v>
      </c>
      <c r="B88" s="61" t="s">
        <v>10827</v>
      </c>
      <c r="C88" s="61" t="s">
        <v>10828</v>
      </c>
      <c r="D88" s="61" t="s">
        <v>10606</v>
      </c>
      <c r="E88" s="61"/>
      <c r="F88" s="271" t="s">
        <v>275</v>
      </c>
      <c r="G88" s="63" t="s">
        <v>10829</v>
      </c>
      <c r="H88" s="63" t="s">
        <v>198</v>
      </c>
      <c r="I88" s="63"/>
      <c r="J88" s="63" t="s">
        <v>139</v>
      </c>
      <c r="K88" s="63"/>
      <c r="L88" s="63" t="s">
        <v>191</v>
      </c>
      <c r="M88" s="64">
        <v>1</v>
      </c>
      <c r="N88" s="73">
        <v>5</v>
      </c>
      <c r="O88" s="75" t="s">
        <v>192</v>
      </c>
      <c r="P88" s="279"/>
      <c r="Q88" s="371"/>
    </row>
    <row r="89" spans="1:17" ht="22.5">
      <c r="A89" s="61" t="s">
        <v>10830</v>
      </c>
      <c r="B89" s="61" t="s">
        <v>10831</v>
      </c>
      <c r="C89" s="61" t="s">
        <v>10832</v>
      </c>
      <c r="D89" s="61" t="s">
        <v>10606</v>
      </c>
      <c r="E89" s="61"/>
      <c r="F89" s="271" t="s">
        <v>10723</v>
      </c>
      <c r="G89" s="63" t="s">
        <v>10833</v>
      </c>
      <c r="H89" s="63" t="s">
        <v>198</v>
      </c>
      <c r="I89" s="63"/>
      <c r="J89" s="63" t="s">
        <v>139</v>
      </c>
      <c r="K89" s="63"/>
      <c r="L89" s="63" t="s">
        <v>191</v>
      </c>
      <c r="M89" s="64">
        <v>1</v>
      </c>
      <c r="N89" s="73">
        <v>5</v>
      </c>
      <c r="O89" s="75" t="s">
        <v>222</v>
      </c>
      <c r="P89" s="279"/>
      <c r="Q89" s="371"/>
    </row>
    <row r="90" spans="1:17" ht="22.5">
      <c r="A90" s="61" t="s">
        <v>10834</v>
      </c>
      <c r="B90" s="61" t="s">
        <v>10835</v>
      </c>
      <c r="C90" s="61" t="s">
        <v>10836</v>
      </c>
      <c r="D90" s="61" t="s">
        <v>10606</v>
      </c>
      <c r="E90" s="61"/>
      <c r="F90" s="271" t="s">
        <v>10723</v>
      </c>
      <c r="G90" s="63" t="s">
        <v>10837</v>
      </c>
      <c r="H90" s="63" t="s">
        <v>198</v>
      </c>
      <c r="I90" s="63"/>
      <c r="J90" s="63" t="s">
        <v>139</v>
      </c>
      <c r="K90" s="63"/>
      <c r="L90" s="63" t="s">
        <v>191</v>
      </c>
      <c r="M90" s="64">
        <v>1</v>
      </c>
      <c r="N90" s="73">
        <v>5</v>
      </c>
      <c r="O90" s="75" t="s">
        <v>192</v>
      </c>
      <c r="P90" s="279"/>
      <c r="Q90" s="371"/>
    </row>
    <row r="91" spans="1:17" ht="22.5">
      <c r="A91" s="61" t="s">
        <v>10838</v>
      </c>
      <c r="B91" s="61" t="s">
        <v>10839</v>
      </c>
      <c r="C91" s="61" t="s">
        <v>10840</v>
      </c>
      <c r="D91" s="61" t="s">
        <v>10606</v>
      </c>
      <c r="E91" s="61"/>
      <c r="F91" s="271" t="s">
        <v>10723</v>
      </c>
      <c r="G91" s="63" t="s">
        <v>10841</v>
      </c>
      <c r="H91" s="63" t="s">
        <v>198</v>
      </c>
      <c r="I91" s="63"/>
      <c r="J91" s="63" t="s">
        <v>139</v>
      </c>
      <c r="K91" s="63"/>
      <c r="L91" s="63" t="s">
        <v>191</v>
      </c>
      <c r="M91" s="64">
        <v>1</v>
      </c>
      <c r="N91" s="73">
        <v>5</v>
      </c>
      <c r="O91" s="75" t="s">
        <v>199</v>
      </c>
      <c r="P91" s="279"/>
      <c r="Q91" s="371"/>
    </row>
    <row r="92" spans="1:17" ht="22.5">
      <c r="A92" s="61" t="s">
        <v>10842</v>
      </c>
      <c r="B92" s="61" t="s">
        <v>10843</v>
      </c>
      <c r="C92" s="61" t="s">
        <v>10844</v>
      </c>
      <c r="D92" s="61" t="s">
        <v>10606</v>
      </c>
      <c r="E92" s="61"/>
      <c r="F92" s="271" t="s">
        <v>10723</v>
      </c>
      <c r="G92" s="63" t="s">
        <v>10845</v>
      </c>
      <c r="H92" s="63" t="s">
        <v>198</v>
      </c>
      <c r="I92" s="63"/>
      <c r="J92" s="63" t="s">
        <v>139</v>
      </c>
      <c r="K92" s="63"/>
      <c r="L92" s="63" t="s">
        <v>191</v>
      </c>
      <c r="M92" s="64">
        <v>1</v>
      </c>
      <c r="N92" s="73">
        <v>5</v>
      </c>
      <c r="O92" s="75" t="s">
        <v>222</v>
      </c>
      <c r="P92" s="279"/>
      <c r="Q92" s="371"/>
    </row>
    <row r="93" spans="1:17" ht="22.5">
      <c r="A93" s="61" t="s">
        <v>10846</v>
      </c>
      <c r="B93" s="61" t="s">
        <v>10847</v>
      </c>
      <c r="C93" s="61" t="s">
        <v>10848</v>
      </c>
      <c r="D93" s="61" t="s">
        <v>10606</v>
      </c>
      <c r="E93" s="61"/>
      <c r="F93" s="271" t="s">
        <v>10723</v>
      </c>
      <c r="G93" s="63" t="s">
        <v>10849</v>
      </c>
      <c r="H93" s="63" t="s">
        <v>198</v>
      </c>
      <c r="I93" s="63"/>
      <c r="J93" s="63" t="s">
        <v>139</v>
      </c>
      <c r="K93" s="63"/>
      <c r="L93" s="63" t="s">
        <v>191</v>
      </c>
      <c r="M93" s="64">
        <v>1</v>
      </c>
      <c r="N93" s="73">
        <v>5</v>
      </c>
      <c r="O93" s="75" t="s">
        <v>199</v>
      </c>
      <c r="P93" s="279"/>
      <c r="Q93" s="371"/>
    </row>
    <row r="94" spans="1:17" ht="22.5">
      <c r="A94" s="61" t="s">
        <v>10850</v>
      </c>
      <c r="B94" s="61" t="s">
        <v>10851</v>
      </c>
      <c r="C94" s="61" t="s">
        <v>10852</v>
      </c>
      <c r="D94" s="61" t="s">
        <v>10606</v>
      </c>
      <c r="E94" s="61"/>
      <c r="F94" s="473" t="s">
        <v>10853</v>
      </c>
      <c r="G94" s="63" t="s">
        <v>10854</v>
      </c>
      <c r="H94" s="63" t="s">
        <v>198</v>
      </c>
      <c r="I94" s="63"/>
      <c r="J94" s="63" t="s">
        <v>139</v>
      </c>
      <c r="K94" s="63"/>
      <c r="L94" s="63" t="s">
        <v>191</v>
      </c>
      <c r="M94" s="64">
        <v>1</v>
      </c>
      <c r="N94" s="73">
        <v>5</v>
      </c>
      <c r="O94" s="75" t="s">
        <v>199</v>
      </c>
      <c r="P94" s="279"/>
      <c r="Q94" s="371"/>
    </row>
    <row r="95" spans="1:17" ht="33.75">
      <c r="A95" s="61" t="s">
        <v>10855</v>
      </c>
      <c r="B95" s="61" t="s">
        <v>10856</v>
      </c>
      <c r="C95" s="61" t="s">
        <v>10857</v>
      </c>
      <c r="D95" s="61" t="s">
        <v>10606</v>
      </c>
      <c r="E95" s="228"/>
      <c r="F95" s="266" t="s">
        <v>275</v>
      </c>
      <c r="G95" s="253" t="s">
        <v>10858</v>
      </c>
      <c r="H95" s="63" t="s">
        <v>198</v>
      </c>
      <c r="I95" s="63"/>
      <c r="J95" s="63" t="s">
        <v>139</v>
      </c>
      <c r="K95" s="63"/>
      <c r="L95" s="63" t="s">
        <v>191</v>
      </c>
      <c r="M95" s="64">
        <v>1</v>
      </c>
      <c r="N95" s="73">
        <v>5</v>
      </c>
      <c r="O95" s="75" t="s">
        <v>192</v>
      </c>
      <c r="P95" s="279"/>
      <c r="Q95" s="371"/>
    </row>
    <row r="96" spans="1:17" ht="33.75">
      <c r="A96" s="61" t="s">
        <v>10859</v>
      </c>
      <c r="B96" s="61" t="s">
        <v>10860</v>
      </c>
      <c r="C96" s="61" t="s">
        <v>10861</v>
      </c>
      <c r="D96" s="61" t="s">
        <v>10606</v>
      </c>
      <c r="E96" s="228"/>
      <c r="F96" s="266" t="s">
        <v>275</v>
      </c>
      <c r="G96" s="253" t="s">
        <v>10862</v>
      </c>
      <c r="H96" s="63" t="s">
        <v>198</v>
      </c>
      <c r="I96" s="63"/>
      <c r="J96" s="63" t="s">
        <v>139</v>
      </c>
      <c r="K96" s="63"/>
      <c r="L96" s="63" t="s">
        <v>191</v>
      </c>
      <c r="M96" s="64">
        <v>1</v>
      </c>
      <c r="N96" s="73">
        <v>5</v>
      </c>
      <c r="O96" s="75" t="s">
        <v>199</v>
      </c>
      <c r="P96" s="279"/>
      <c r="Q96" s="371"/>
    </row>
    <row r="97" spans="1:17" ht="45">
      <c r="A97" s="61" t="s">
        <v>10863</v>
      </c>
      <c r="B97" s="61" t="s">
        <v>10864</v>
      </c>
      <c r="C97" s="61" t="s">
        <v>10865</v>
      </c>
      <c r="D97" s="61" t="s">
        <v>10606</v>
      </c>
      <c r="E97" s="228"/>
      <c r="F97" s="266" t="s">
        <v>275</v>
      </c>
      <c r="G97" s="253" t="s">
        <v>10866</v>
      </c>
      <c r="H97" s="63" t="s">
        <v>198</v>
      </c>
      <c r="I97" s="63"/>
      <c r="J97" s="63" t="s">
        <v>139</v>
      </c>
      <c r="K97" s="63"/>
      <c r="L97" s="63" t="s">
        <v>191</v>
      </c>
      <c r="M97" s="64">
        <v>1</v>
      </c>
      <c r="N97" s="73">
        <v>5</v>
      </c>
      <c r="O97" s="75" t="s">
        <v>199</v>
      </c>
      <c r="P97" s="279"/>
      <c r="Q97" s="371"/>
    </row>
    <row r="98" spans="1:17" ht="22.5">
      <c r="A98" s="61" t="s">
        <v>10867</v>
      </c>
      <c r="B98" s="61" t="s">
        <v>10868</v>
      </c>
      <c r="C98" s="61" t="s">
        <v>10869</v>
      </c>
      <c r="D98" s="61" t="s">
        <v>10606</v>
      </c>
      <c r="E98" s="228"/>
      <c r="F98" s="266" t="s">
        <v>275</v>
      </c>
      <c r="G98" s="253" t="s">
        <v>10870</v>
      </c>
      <c r="H98" s="63" t="s">
        <v>198</v>
      </c>
      <c r="I98" s="63"/>
      <c r="J98" s="63" t="s">
        <v>139</v>
      </c>
      <c r="K98" s="63"/>
      <c r="L98" s="63" t="s">
        <v>191</v>
      </c>
      <c r="M98" s="64">
        <v>1</v>
      </c>
      <c r="N98" s="73">
        <v>5</v>
      </c>
      <c r="O98" s="75" t="s">
        <v>199</v>
      </c>
      <c r="P98" s="279"/>
      <c r="Q98" s="371"/>
    </row>
    <row r="99" spans="1:17" ht="33.75">
      <c r="A99" s="61" t="s">
        <v>10871</v>
      </c>
      <c r="B99" s="61" t="s">
        <v>10872</v>
      </c>
      <c r="C99" s="61" t="s">
        <v>10873</v>
      </c>
      <c r="D99" s="61" t="s">
        <v>10606</v>
      </c>
      <c r="E99" s="228"/>
      <c r="F99" s="266" t="s">
        <v>275</v>
      </c>
      <c r="G99" s="253" t="s">
        <v>10874</v>
      </c>
      <c r="H99" s="63" t="s">
        <v>198</v>
      </c>
      <c r="I99" s="63"/>
      <c r="J99" s="63" t="s">
        <v>139</v>
      </c>
      <c r="K99" s="63"/>
      <c r="L99" s="63" t="s">
        <v>191</v>
      </c>
      <c r="M99" s="64">
        <v>1</v>
      </c>
      <c r="N99" s="73">
        <v>5</v>
      </c>
      <c r="O99" s="75" t="s">
        <v>199</v>
      </c>
      <c r="P99" s="279"/>
      <c r="Q99" s="371"/>
    </row>
    <row r="100" spans="1:17" ht="33.75">
      <c r="A100" s="61" t="s">
        <v>10875</v>
      </c>
      <c r="B100" s="61" t="s">
        <v>10876</v>
      </c>
      <c r="C100" s="61" t="s">
        <v>10877</v>
      </c>
      <c r="D100" s="61" t="s">
        <v>10606</v>
      </c>
      <c r="E100" s="228"/>
      <c r="F100" s="266" t="s">
        <v>275</v>
      </c>
      <c r="G100" s="253" t="s">
        <v>10878</v>
      </c>
      <c r="H100" s="63" t="s">
        <v>198</v>
      </c>
      <c r="I100" s="63"/>
      <c r="J100" s="63" t="s">
        <v>139</v>
      </c>
      <c r="K100" s="63"/>
      <c r="L100" s="63" t="s">
        <v>191</v>
      </c>
      <c r="M100" s="64">
        <v>1</v>
      </c>
      <c r="N100" s="73">
        <v>5</v>
      </c>
      <c r="O100" s="75" t="s">
        <v>199</v>
      </c>
      <c r="P100" s="279"/>
      <c r="Q100" s="371"/>
    </row>
    <row r="101" spans="1:17" ht="33.75">
      <c r="A101" s="61" t="s">
        <v>10879</v>
      </c>
      <c r="B101" s="61" t="s">
        <v>10880</v>
      </c>
      <c r="C101" s="61" t="s">
        <v>10881</v>
      </c>
      <c r="D101" s="61" t="s">
        <v>10606</v>
      </c>
      <c r="E101" s="228"/>
      <c r="F101" s="474" t="s">
        <v>275</v>
      </c>
      <c r="G101" s="253" t="s">
        <v>10882</v>
      </c>
      <c r="H101" s="63" t="s">
        <v>198</v>
      </c>
      <c r="I101" s="63"/>
      <c r="J101" s="63" t="s">
        <v>142</v>
      </c>
      <c r="K101" s="63"/>
      <c r="L101" s="63" t="s">
        <v>191</v>
      </c>
      <c r="M101" s="64">
        <v>1</v>
      </c>
      <c r="N101" s="73">
        <v>5</v>
      </c>
      <c r="O101" s="75" t="s">
        <v>192</v>
      </c>
      <c r="P101" s="279"/>
      <c r="Q101" s="371"/>
    </row>
    <row r="102" spans="1:17" ht="22.5">
      <c r="A102" s="61" t="s">
        <v>10883</v>
      </c>
      <c r="B102" s="61" t="s">
        <v>10884</v>
      </c>
      <c r="C102" s="61" t="s">
        <v>10885</v>
      </c>
      <c r="D102" s="61" t="s">
        <v>10606</v>
      </c>
      <c r="E102" s="228"/>
      <c r="F102" s="474" t="s">
        <v>275</v>
      </c>
      <c r="G102" s="253" t="s">
        <v>10886</v>
      </c>
      <c r="H102" s="63" t="s">
        <v>198</v>
      </c>
      <c r="I102" s="63"/>
      <c r="J102" s="63" t="s">
        <v>142</v>
      </c>
      <c r="K102" s="63"/>
      <c r="L102" s="63" t="s">
        <v>191</v>
      </c>
      <c r="M102" s="64">
        <v>1</v>
      </c>
      <c r="N102" s="73">
        <v>5</v>
      </c>
      <c r="O102" s="75" t="s">
        <v>222</v>
      </c>
      <c r="P102" s="279"/>
      <c r="Q102" s="371"/>
    </row>
    <row r="103" spans="1:17" ht="22.5">
      <c r="A103" s="61" t="s">
        <v>10887</v>
      </c>
      <c r="B103" s="61" t="s">
        <v>10888</v>
      </c>
      <c r="C103" s="61" t="s">
        <v>10889</v>
      </c>
      <c r="D103" s="61" t="s">
        <v>10606</v>
      </c>
      <c r="E103" s="228"/>
      <c r="F103" s="474" t="s">
        <v>275</v>
      </c>
      <c r="G103" s="253" t="s">
        <v>10890</v>
      </c>
      <c r="H103" s="63" t="s">
        <v>198</v>
      </c>
      <c r="I103" s="63"/>
      <c r="J103" s="63" t="s">
        <v>142</v>
      </c>
      <c r="K103" s="63"/>
      <c r="L103" s="63" t="s">
        <v>191</v>
      </c>
      <c r="M103" s="64">
        <v>1</v>
      </c>
      <c r="N103" s="73">
        <v>5</v>
      </c>
      <c r="O103" s="75" t="s">
        <v>192</v>
      </c>
      <c r="P103" s="279"/>
      <c r="Q103" s="371"/>
    </row>
    <row r="104" spans="1:17" ht="22.5">
      <c r="A104" s="61" t="s">
        <v>10891</v>
      </c>
      <c r="B104" s="61" t="s">
        <v>10892</v>
      </c>
      <c r="C104" s="61" t="s">
        <v>10893</v>
      </c>
      <c r="D104" s="61" t="s">
        <v>10606</v>
      </c>
      <c r="E104" s="228"/>
      <c r="F104" s="474" t="s">
        <v>275</v>
      </c>
      <c r="G104" s="253" t="s">
        <v>10894</v>
      </c>
      <c r="H104" s="63" t="s">
        <v>198</v>
      </c>
      <c r="I104" s="63"/>
      <c r="J104" s="63" t="s">
        <v>142</v>
      </c>
      <c r="K104" s="63"/>
      <c r="L104" s="63" t="s">
        <v>191</v>
      </c>
      <c r="M104" s="64">
        <v>1</v>
      </c>
      <c r="N104" s="73">
        <v>5</v>
      </c>
      <c r="O104" s="75" t="s">
        <v>199</v>
      </c>
      <c r="P104" s="279"/>
      <c r="Q104" s="371"/>
    </row>
    <row r="105" spans="1:17" ht="22.5">
      <c r="A105" s="61" t="s">
        <v>10895</v>
      </c>
      <c r="B105" s="61" t="s">
        <v>10896</v>
      </c>
      <c r="C105" s="61" t="s">
        <v>10897</v>
      </c>
      <c r="D105" s="61" t="s">
        <v>10606</v>
      </c>
      <c r="E105" s="61"/>
      <c r="F105" s="471" t="s">
        <v>275</v>
      </c>
      <c r="G105" s="63" t="s">
        <v>10898</v>
      </c>
      <c r="H105" s="63" t="s">
        <v>198</v>
      </c>
      <c r="I105" s="63"/>
      <c r="J105" s="63" t="s">
        <v>142</v>
      </c>
      <c r="K105" s="63"/>
      <c r="L105" s="63" t="s">
        <v>191</v>
      </c>
      <c r="M105" s="64">
        <v>1</v>
      </c>
      <c r="N105" s="73">
        <v>5</v>
      </c>
      <c r="O105" s="75" t="s">
        <v>222</v>
      </c>
      <c r="P105" s="279"/>
      <c r="Q105" s="371"/>
    </row>
    <row r="106" spans="1:17" ht="22.5">
      <c r="A106" s="61" t="s">
        <v>10899</v>
      </c>
      <c r="B106" s="61" t="s">
        <v>10900</v>
      </c>
      <c r="C106" s="61" t="s">
        <v>10901</v>
      </c>
      <c r="D106" s="61" t="s">
        <v>10606</v>
      </c>
      <c r="E106" s="61"/>
      <c r="F106" s="271" t="s">
        <v>275</v>
      </c>
      <c r="G106" s="63" t="s">
        <v>10902</v>
      </c>
      <c r="H106" s="63" t="s">
        <v>198</v>
      </c>
      <c r="I106" s="63"/>
      <c r="J106" s="63" t="s">
        <v>142</v>
      </c>
      <c r="K106" s="63"/>
      <c r="L106" s="63" t="s">
        <v>191</v>
      </c>
      <c r="M106" s="64">
        <v>1</v>
      </c>
      <c r="N106" s="73">
        <v>5</v>
      </c>
      <c r="O106" s="75" t="s">
        <v>199</v>
      </c>
      <c r="P106" s="279"/>
      <c r="Q106" s="371"/>
    </row>
    <row r="107" spans="1:17" ht="33.75">
      <c r="A107" s="61" t="s">
        <v>10903</v>
      </c>
      <c r="B107" s="61" t="s">
        <v>10904</v>
      </c>
      <c r="C107" s="61" t="s">
        <v>10905</v>
      </c>
      <c r="D107" s="61" t="s">
        <v>10606</v>
      </c>
      <c r="E107" s="61"/>
      <c r="F107" s="473" t="s">
        <v>10853</v>
      </c>
      <c r="G107" s="63" t="s">
        <v>10906</v>
      </c>
      <c r="H107" s="63" t="s">
        <v>198</v>
      </c>
      <c r="I107" s="63"/>
      <c r="J107" s="63" t="s">
        <v>142</v>
      </c>
      <c r="K107" s="63"/>
      <c r="L107" s="63" t="s">
        <v>191</v>
      </c>
      <c r="M107" s="64">
        <v>1</v>
      </c>
      <c r="N107" s="73">
        <v>5</v>
      </c>
      <c r="O107" s="75" t="s">
        <v>199</v>
      </c>
      <c r="P107" s="279"/>
      <c r="Q107" s="371"/>
    </row>
    <row r="108" spans="1:17" ht="33.75">
      <c r="A108" s="61" t="s">
        <v>10907</v>
      </c>
      <c r="B108" s="61" t="s">
        <v>10908</v>
      </c>
      <c r="C108" s="61" t="s">
        <v>10909</v>
      </c>
      <c r="D108" s="61" t="s">
        <v>10606</v>
      </c>
      <c r="E108" s="228"/>
      <c r="F108" s="474" t="s">
        <v>275</v>
      </c>
      <c r="G108" s="253" t="s">
        <v>10910</v>
      </c>
      <c r="H108" s="63" t="s">
        <v>198</v>
      </c>
      <c r="I108" s="63"/>
      <c r="J108" s="63" t="s">
        <v>142</v>
      </c>
      <c r="K108" s="63"/>
      <c r="L108" s="63" t="s">
        <v>191</v>
      </c>
      <c r="M108" s="64">
        <v>1</v>
      </c>
      <c r="N108" s="73">
        <v>5</v>
      </c>
      <c r="O108" s="75" t="s">
        <v>192</v>
      </c>
      <c r="P108" s="279"/>
      <c r="Q108" s="371"/>
    </row>
    <row r="109" spans="1:17" ht="33.75">
      <c r="A109" s="61" t="s">
        <v>10911</v>
      </c>
      <c r="B109" s="61" t="s">
        <v>10912</v>
      </c>
      <c r="C109" s="61" t="s">
        <v>10913</v>
      </c>
      <c r="D109" s="61" t="s">
        <v>10606</v>
      </c>
      <c r="E109" s="228"/>
      <c r="F109" s="474" t="s">
        <v>275</v>
      </c>
      <c r="G109" s="253" t="s">
        <v>10914</v>
      </c>
      <c r="H109" s="63" t="s">
        <v>198</v>
      </c>
      <c r="I109" s="63"/>
      <c r="J109" s="63" t="s">
        <v>142</v>
      </c>
      <c r="K109" s="63"/>
      <c r="L109" s="63" t="s">
        <v>191</v>
      </c>
      <c r="M109" s="64">
        <v>1</v>
      </c>
      <c r="N109" s="73">
        <v>5</v>
      </c>
      <c r="O109" s="75" t="s">
        <v>199</v>
      </c>
      <c r="P109" s="279"/>
      <c r="Q109" s="371"/>
    </row>
    <row r="110" spans="1:17" ht="45">
      <c r="A110" s="61" t="s">
        <v>10915</v>
      </c>
      <c r="B110" s="61" t="s">
        <v>10916</v>
      </c>
      <c r="C110" s="61" t="s">
        <v>10917</v>
      </c>
      <c r="D110" s="61" t="s">
        <v>10606</v>
      </c>
      <c r="E110" s="228"/>
      <c r="F110" s="474" t="s">
        <v>275</v>
      </c>
      <c r="G110" s="253" t="s">
        <v>10918</v>
      </c>
      <c r="H110" s="63" t="s">
        <v>198</v>
      </c>
      <c r="I110" s="63"/>
      <c r="J110" s="63" t="s">
        <v>142</v>
      </c>
      <c r="K110" s="63"/>
      <c r="L110" s="63" t="s">
        <v>191</v>
      </c>
      <c r="M110" s="64">
        <v>1</v>
      </c>
      <c r="N110" s="73">
        <v>5</v>
      </c>
      <c r="O110" s="75" t="s">
        <v>199</v>
      </c>
      <c r="P110" s="279"/>
      <c r="Q110" s="371"/>
    </row>
    <row r="111" spans="1:17" ht="22.5">
      <c r="A111" s="61" t="s">
        <v>10919</v>
      </c>
      <c r="B111" s="61" t="s">
        <v>10920</v>
      </c>
      <c r="C111" s="61" t="s">
        <v>10921</v>
      </c>
      <c r="D111" s="61" t="s">
        <v>10606</v>
      </c>
      <c r="E111" s="228"/>
      <c r="F111" s="474" t="s">
        <v>275</v>
      </c>
      <c r="G111" s="253" t="s">
        <v>10922</v>
      </c>
      <c r="H111" s="63" t="s">
        <v>198</v>
      </c>
      <c r="I111" s="63"/>
      <c r="J111" s="63" t="s">
        <v>142</v>
      </c>
      <c r="K111" s="63"/>
      <c r="L111" s="63" t="s">
        <v>191</v>
      </c>
      <c r="M111" s="64">
        <v>1</v>
      </c>
      <c r="N111" s="73">
        <v>5</v>
      </c>
      <c r="O111" s="75" t="s">
        <v>199</v>
      </c>
      <c r="P111" s="279"/>
      <c r="Q111" s="371"/>
    </row>
    <row r="112" spans="1:17" ht="33.75">
      <c r="A112" s="61" t="s">
        <v>10923</v>
      </c>
      <c r="B112" s="61" t="s">
        <v>10924</v>
      </c>
      <c r="C112" s="61" t="s">
        <v>10925</v>
      </c>
      <c r="D112" s="61" t="s">
        <v>10606</v>
      </c>
      <c r="E112" s="228"/>
      <c r="F112" s="474" t="s">
        <v>275</v>
      </c>
      <c r="G112" s="253" t="s">
        <v>10926</v>
      </c>
      <c r="H112" s="63" t="s">
        <v>198</v>
      </c>
      <c r="I112" s="63"/>
      <c r="J112" s="63" t="s">
        <v>142</v>
      </c>
      <c r="K112" s="63"/>
      <c r="L112" s="63" t="s">
        <v>191</v>
      </c>
      <c r="M112" s="64">
        <v>1</v>
      </c>
      <c r="N112" s="73">
        <v>5</v>
      </c>
      <c r="O112" s="75" t="s">
        <v>199</v>
      </c>
      <c r="P112" s="279"/>
      <c r="Q112" s="371"/>
    </row>
    <row r="113" spans="1:17" ht="33.75">
      <c r="A113" s="61" t="s">
        <v>10927</v>
      </c>
      <c r="B113" s="61" t="s">
        <v>10928</v>
      </c>
      <c r="C113" s="61" t="s">
        <v>10929</v>
      </c>
      <c r="D113" s="61" t="s">
        <v>10606</v>
      </c>
      <c r="E113" s="228"/>
      <c r="F113" s="474" t="s">
        <v>275</v>
      </c>
      <c r="G113" s="253" t="s">
        <v>10930</v>
      </c>
      <c r="H113" s="63" t="s">
        <v>198</v>
      </c>
      <c r="I113" s="63"/>
      <c r="J113" s="63" t="s">
        <v>142</v>
      </c>
      <c r="K113" s="63"/>
      <c r="L113" s="63" t="s">
        <v>191</v>
      </c>
      <c r="M113" s="64">
        <v>1</v>
      </c>
      <c r="N113" s="73">
        <v>5</v>
      </c>
      <c r="O113" s="75" t="s">
        <v>199</v>
      </c>
      <c r="P113" s="279"/>
      <c r="Q113" s="371"/>
    </row>
    <row r="114" spans="1:17" ht="33.75">
      <c r="A114" s="61" t="str">
        <f t="shared" ref="A114:A128" si="0">CONCATENATE(B114,"_ab[yy]")</f>
        <v>TermlyReasonI_Summer6th_ab[yy]</v>
      </c>
      <c r="B114" s="61" t="s">
        <v>10931</v>
      </c>
      <c r="C114" s="61" t="s">
        <v>135</v>
      </c>
      <c r="D114" s="61" t="s">
        <v>10606</v>
      </c>
      <c r="E114" s="228"/>
      <c r="F114" s="474" t="s">
        <v>400</v>
      </c>
      <c r="G114" s="253" t="s">
        <v>10932</v>
      </c>
      <c r="H114" s="63" t="s">
        <v>198</v>
      </c>
      <c r="I114" s="61"/>
      <c r="J114" s="63" t="s">
        <v>10933</v>
      </c>
      <c r="K114" s="63"/>
      <c r="L114" s="63" t="s">
        <v>191</v>
      </c>
      <c r="M114" s="64">
        <v>1</v>
      </c>
      <c r="N114" s="73">
        <v>5</v>
      </c>
      <c r="O114" s="75" t="s">
        <v>192</v>
      </c>
      <c r="P114" s="279"/>
      <c r="Q114" s="371"/>
    </row>
    <row r="115" spans="1:17" ht="33.75">
      <c r="A115" s="61" t="str">
        <f t="shared" si="0"/>
        <v>TermlyReasonM_Summer6th_ab[yy]</v>
      </c>
      <c r="B115" s="61" t="s">
        <v>10934</v>
      </c>
      <c r="C115" s="61" t="s">
        <v>135</v>
      </c>
      <c r="D115" s="61" t="s">
        <v>10606</v>
      </c>
      <c r="E115" s="228"/>
      <c r="F115" s="474" t="s">
        <v>400</v>
      </c>
      <c r="G115" s="253" t="s">
        <v>10935</v>
      </c>
      <c r="H115" s="63" t="s">
        <v>198</v>
      </c>
      <c r="I115" s="61"/>
      <c r="J115" s="63" t="s">
        <v>10933</v>
      </c>
      <c r="K115" s="63"/>
      <c r="L115" s="63" t="s">
        <v>191</v>
      </c>
      <c r="M115" s="64">
        <v>1</v>
      </c>
      <c r="N115" s="73">
        <v>5</v>
      </c>
      <c r="O115" s="75" t="s">
        <v>222</v>
      </c>
      <c r="P115" s="279"/>
      <c r="Q115" s="371"/>
    </row>
    <row r="116" spans="1:17" ht="33.75">
      <c r="A116" s="61" t="str">
        <f t="shared" si="0"/>
        <v>TermlyReasonR_Summer6th_ab[yy]</v>
      </c>
      <c r="B116" s="61" t="s">
        <v>10936</v>
      </c>
      <c r="C116" s="61" t="s">
        <v>135</v>
      </c>
      <c r="D116" s="61" t="s">
        <v>10606</v>
      </c>
      <c r="E116" s="228"/>
      <c r="F116" s="474" t="s">
        <v>400</v>
      </c>
      <c r="G116" s="253" t="s">
        <v>10937</v>
      </c>
      <c r="H116" s="63" t="s">
        <v>198</v>
      </c>
      <c r="I116" s="61"/>
      <c r="J116" s="63" t="s">
        <v>10933</v>
      </c>
      <c r="K116" s="63"/>
      <c r="L116" s="63" t="s">
        <v>191</v>
      </c>
      <c r="M116" s="64">
        <v>1</v>
      </c>
      <c r="N116" s="73">
        <v>5</v>
      </c>
      <c r="O116" s="75" t="s">
        <v>192</v>
      </c>
      <c r="P116" s="279"/>
      <c r="Q116" s="371"/>
    </row>
    <row r="117" spans="1:17" ht="33.75">
      <c r="A117" s="61" t="str">
        <f t="shared" si="0"/>
        <v>TermlyReasonS_Summer6th_ab[yy]</v>
      </c>
      <c r="B117" s="61" t="s">
        <v>10938</v>
      </c>
      <c r="C117" s="61" t="s">
        <v>135</v>
      </c>
      <c r="D117" s="61" t="s">
        <v>10606</v>
      </c>
      <c r="E117" s="228"/>
      <c r="F117" s="474" t="s">
        <v>400</v>
      </c>
      <c r="G117" s="253" t="s">
        <v>10939</v>
      </c>
      <c r="H117" s="63" t="s">
        <v>198</v>
      </c>
      <c r="I117" s="61"/>
      <c r="J117" s="63" t="s">
        <v>10933</v>
      </c>
      <c r="K117" s="63"/>
      <c r="L117" s="63" t="s">
        <v>191</v>
      </c>
      <c r="M117" s="64">
        <v>1</v>
      </c>
      <c r="N117" s="73">
        <v>5</v>
      </c>
      <c r="O117" s="75" t="s">
        <v>199</v>
      </c>
      <c r="P117" s="279"/>
      <c r="Q117" s="371"/>
    </row>
    <row r="118" spans="1:17" ht="33.75">
      <c r="A118" s="61" t="str">
        <f t="shared" si="0"/>
        <v>TermlyReasonT_Summer6th_ab[yy]</v>
      </c>
      <c r="B118" s="61" t="s">
        <v>10940</v>
      </c>
      <c r="C118" s="61" t="s">
        <v>135</v>
      </c>
      <c r="D118" s="61" t="s">
        <v>10606</v>
      </c>
      <c r="E118" s="228"/>
      <c r="F118" s="474" t="s">
        <v>400</v>
      </c>
      <c r="G118" s="253" t="s">
        <v>10941</v>
      </c>
      <c r="H118" s="63" t="s">
        <v>198</v>
      </c>
      <c r="I118" s="61"/>
      <c r="J118" s="63" t="s">
        <v>10933</v>
      </c>
      <c r="K118" s="63"/>
      <c r="L118" s="63" t="s">
        <v>191</v>
      </c>
      <c r="M118" s="64">
        <v>1</v>
      </c>
      <c r="N118" s="73">
        <v>5</v>
      </c>
      <c r="O118" s="75" t="s">
        <v>222</v>
      </c>
      <c r="P118" s="279"/>
      <c r="Q118" s="371"/>
    </row>
    <row r="119" spans="1:17" ht="33.75">
      <c r="A119" s="61" t="str">
        <f t="shared" si="0"/>
        <v>TermlyReasonH_Summer6th_ab[yy]</v>
      </c>
      <c r="B119" s="61" t="s">
        <v>10942</v>
      </c>
      <c r="C119" s="61" t="s">
        <v>135</v>
      </c>
      <c r="D119" s="61" t="s">
        <v>10606</v>
      </c>
      <c r="E119" s="228"/>
      <c r="F119" s="474" t="s">
        <v>400</v>
      </c>
      <c r="G119" s="253" t="s">
        <v>10943</v>
      </c>
      <c r="H119" s="63" t="s">
        <v>198</v>
      </c>
      <c r="I119" s="61"/>
      <c r="J119" s="63" t="s">
        <v>10933</v>
      </c>
      <c r="K119" s="63"/>
      <c r="L119" s="63" t="s">
        <v>191</v>
      </c>
      <c r="M119" s="64">
        <v>1</v>
      </c>
      <c r="N119" s="73">
        <v>5</v>
      </c>
      <c r="O119" s="75" t="s">
        <v>199</v>
      </c>
      <c r="P119" s="279"/>
      <c r="Q119" s="371"/>
    </row>
    <row r="120" spans="1:17" ht="33.75">
      <c r="A120" s="61" t="str">
        <f t="shared" si="0"/>
        <v>TermlyReasonF_Summer6th_ab[yy]</v>
      </c>
      <c r="B120" s="61" t="s">
        <v>10944</v>
      </c>
      <c r="C120" s="61" t="s">
        <v>135</v>
      </c>
      <c r="D120" s="61" t="s">
        <v>10606</v>
      </c>
      <c r="E120" s="61"/>
      <c r="F120" s="471" t="s">
        <v>10945</v>
      </c>
      <c r="G120" s="63" t="s">
        <v>10946</v>
      </c>
      <c r="H120" s="63" t="s">
        <v>198</v>
      </c>
      <c r="I120" s="61"/>
      <c r="J120" s="63" t="s">
        <v>10933</v>
      </c>
      <c r="K120" s="63"/>
      <c r="L120" s="63" t="s">
        <v>191</v>
      </c>
      <c r="M120" s="64">
        <v>1</v>
      </c>
      <c r="N120" s="73">
        <v>5</v>
      </c>
      <c r="O120" s="75" t="s">
        <v>199</v>
      </c>
      <c r="P120" s="279"/>
      <c r="Q120" s="371"/>
    </row>
    <row r="121" spans="1:17" ht="33.75">
      <c r="A121" s="61" t="str">
        <f t="shared" si="0"/>
        <v>TermlyReasonE_Summer6th_ab[yy]</v>
      </c>
      <c r="B121" s="61" t="s">
        <v>10947</v>
      </c>
      <c r="C121" s="61" t="s">
        <v>135</v>
      </c>
      <c r="D121" s="61" t="s">
        <v>10606</v>
      </c>
      <c r="E121" s="61"/>
      <c r="F121" s="271" t="s">
        <v>400</v>
      </c>
      <c r="G121" s="63" t="s">
        <v>10948</v>
      </c>
      <c r="H121" s="63" t="s">
        <v>198</v>
      </c>
      <c r="I121" s="61"/>
      <c r="J121" s="63" t="s">
        <v>10933</v>
      </c>
      <c r="K121" s="63"/>
      <c r="L121" s="63" t="s">
        <v>191</v>
      </c>
      <c r="M121" s="64">
        <v>1</v>
      </c>
      <c r="N121" s="73">
        <v>5</v>
      </c>
      <c r="O121" s="75" t="s">
        <v>192</v>
      </c>
      <c r="P121" s="279"/>
      <c r="Q121" s="371"/>
    </row>
    <row r="122" spans="1:17" ht="33.75">
      <c r="A122" s="61" t="str">
        <f>CONCATENATE(B122,"_ab[yy]")</f>
        <v>TermlyReasonC_Summer6th_ab[yy]</v>
      </c>
      <c r="B122" s="61" t="s">
        <v>10949</v>
      </c>
      <c r="C122" s="61" t="s">
        <v>135</v>
      </c>
      <c r="D122" s="61" t="s">
        <v>10606</v>
      </c>
      <c r="E122" s="61"/>
      <c r="F122" s="271" t="s">
        <v>400</v>
      </c>
      <c r="G122" s="63" t="s">
        <v>10950</v>
      </c>
      <c r="H122" s="63" t="s">
        <v>198</v>
      </c>
      <c r="I122" s="61"/>
      <c r="J122" s="63" t="s">
        <v>10933</v>
      </c>
      <c r="K122" s="63"/>
      <c r="L122" s="63" t="s">
        <v>191</v>
      </c>
      <c r="M122" s="64">
        <v>1</v>
      </c>
      <c r="N122" s="73">
        <v>5</v>
      </c>
      <c r="O122" s="75" t="s">
        <v>199</v>
      </c>
      <c r="P122" s="279"/>
      <c r="Q122" s="371"/>
    </row>
    <row r="123" spans="1:17" ht="45">
      <c r="A123" s="61" t="str">
        <f t="shared" si="0"/>
        <v>TermlyReasonG_Summer6th_ab[yy]</v>
      </c>
      <c r="B123" s="61" t="s">
        <v>10951</v>
      </c>
      <c r="C123" s="61" t="s">
        <v>135</v>
      </c>
      <c r="D123" s="61" t="s">
        <v>10606</v>
      </c>
      <c r="E123" s="61"/>
      <c r="F123" s="271" t="s">
        <v>400</v>
      </c>
      <c r="G123" s="63" t="s">
        <v>10952</v>
      </c>
      <c r="H123" s="63" t="s">
        <v>198</v>
      </c>
      <c r="I123" s="61"/>
      <c r="J123" s="63" t="s">
        <v>10933</v>
      </c>
      <c r="K123" s="63"/>
      <c r="L123" s="63" t="s">
        <v>191</v>
      </c>
      <c r="M123" s="64">
        <v>1</v>
      </c>
      <c r="N123" s="73">
        <v>5</v>
      </c>
      <c r="O123" s="75" t="s">
        <v>199</v>
      </c>
      <c r="P123" s="279"/>
      <c r="Q123" s="371"/>
    </row>
    <row r="124" spans="1:17" ht="33.75">
      <c r="A124" s="61" t="str">
        <f t="shared" si="0"/>
        <v>TermlyReasonU_Summer6th_ab[yy]</v>
      </c>
      <c r="B124" s="61" t="s">
        <v>10953</v>
      </c>
      <c r="C124" s="61" t="s">
        <v>135</v>
      </c>
      <c r="D124" s="61" t="s">
        <v>10606</v>
      </c>
      <c r="E124" s="61"/>
      <c r="F124" s="271" t="s">
        <v>400</v>
      </c>
      <c r="G124" s="63" t="s">
        <v>10954</v>
      </c>
      <c r="H124" s="63" t="s">
        <v>198</v>
      </c>
      <c r="I124" s="61"/>
      <c r="J124" s="63" t="s">
        <v>10933</v>
      </c>
      <c r="K124" s="63"/>
      <c r="L124" s="63" t="s">
        <v>191</v>
      </c>
      <c r="M124" s="64">
        <v>1</v>
      </c>
      <c r="N124" s="73">
        <v>5</v>
      </c>
      <c r="O124" s="75" t="s">
        <v>199</v>
      </c>
      <c r="P124" s="279"/>
      <c r="Q124" s="371"/>
    </row>
    <row r="125" spans="1:17" ht="11.25">
      <c r="A125" s="61" t="s">
        <v>10955</v>
      </c>
      <c r="B125" s="61" t="s">
        <v>10956</v>
      </c>
      <c r="C125" s="61"/>
      <c r="D125" s="61" t="s">
        <v>10606</v>
      </c>
      <c r="E125" s="61"/>
      <c r="F125" s="271" t="s">
        <v>601</v>
      </c>
      <c r="G125" s="63" t="s">
        <v>10771</v>
      </c>
      <c r="H125" s="63"/>
      <c r="I125" s="63"/>
      <c r="J125" s="63" t="s">
        <v>138</v>
      </c>
      <c r="K125" s="63"/>
      <c r="L125" s="63"/>
      <c r="M125" s="64">
        <v>1</v>
      </c>
      <c r="N125" s="73">
        <v>5</v>
      </c>
      <c r="O125" s="75" t="s">
        <v>199</v>
      </c>
      <c r="P125" s="279"/>
      <c r="Q125" s="371"/>
    </row>
    <row r="126" spans="1:17" ht="22.5">
      <c r="A126" s="61" t="s">
        <v>10957</v>
      </c>
      <c r="B126" s="61" t="s">
        <v>10958</v>
      </c>
      <c r="C126" s="61"/>
      <c r="D126" s="61" t="s">
        <v>10606</v>
      </c>
      <c r="E126" s="61"/>
      <c r="F126" s="271" t="s">
        <v>601</v>
      </c>
      <c r="G126" s="63" t="s">
        <v>10782</v>
      </c>
      <c r="H126" s="63"/>
      <c r="I126" s="63"/>
      <c r="J126" s="63" t="s">
        <v>138</v>
      </c>
      <c r="K126" s="63"/>
      <c r="L126" s="63"/>
      <c r="M126" s="64">
        <v>1</v>
      </c>
      <c r="N126" s="73">
        <v>5</v>
      </c>
      <c r="O126" s="75" t="s">
        <v>199</v>
      </c>
      <c r="P126" s="279"/>
      <c r="Q126" s="371"/>
    </row>
    <row r="127" spans="1:17" ht="33.75">
      <c r="A127" s="61" t="str">
        <f t="shared" si="0"/>
        <v>TermlyReasonO_Summer6th_ab[yy]</v>
      </c>
      <c r="B127" s="61" t="s">
        <v>10959</v>
      </c>
      <c r="C127" s="61" t="s">
        <v>135</v>
      </c>
      <c r="D127" s="61" t="s">
        <v>10606</v>
      </c>
      <c r="E127" s="61"/>
      <c r="F127" s="271" t="s">
        <v>400</v>
      </c>
      <c r="G127" s="63" t="s">
        <v>10960</v>
      </c>
      <c r="H127" s="63" t="s">
        <v>198</v>
      </c>
      <c r="I127" s="61"/>
      <c r="J127" s="63" t="s">
        <v>10933</v>
      </c>
      <c r="K127" s="63"/>
      <c r="L127" s="63" t="s">
        <v>191</v>
      </c>
      <c r="M127" s="64">
        <v>1</v>
      </c>
      <c r="N127" s="73">
        <v>5</v>
      </c>
      <c r="O127" s="75" t="s">
        <v>199</v>
      </c>
      <c r="P127" s="279"/>
      <c r="Q127" s="371"/>
    </row>
    <row r="128" spans="1:17" ht="33.75">
      <c r="A128" s="61" t="str">
        <f t="shared" si="0"/>
        <v>TermlyReasonN_Summer6th_ab[yy]</v>
      </c>
      <c r="B128" s="61" t="s">
        <v>10961</v>
      </c>
      <c r="C128" s="61" t="s">
        <v>135</v>
      </c>
      <c r="D128" s="61" t="s">
        <v>10606</v>
      </c>
      <c r="E128" s="61"/>
      <c r="F128" s="473" t="s">
        <v>400</v>
      </c>
      <c r="G128" s="63" t="s">
        <v>10962</v>
      </c>
      <c r="H128" s="63" t="s">
        <v>198</v>
      </c>
      <c r="I128" s="61"/>
      <c r="J128" s="63" t="s">
        <v>10933</v>
      </c>
      <c r="K128" s="63"/>
      <c r="L128" s="63" t="s">
        <v>191</v>
      </c>
      <c r="M128" s="64">
        <v>1</v>
      </c>
      <c r="N128" s="73">
        <v>5</v>
      </c>
      <c r="O128" s="75" t="s">
        <v>199</v>
      </c>
      <c r="P128" s="279"/>
      <c r="Q128" s="371"/>
    </row>
    <row r="129" spans="1:17" ht="33.75">
      <c r="A129" s="61" t="s">
        <v>10963</v>
      </c>
      <c r="B129" s="61" t="s">
        <v>10964</v>
      </c>
      <c r="C129" s="61" t="s">
        <v>10965</v>
      </c>
      <c r="D129" s="61" t="s">
        <v>10606</v>
      </c>
      <c r="E129" s="228"/>
      <c r="F129" s="474" t="s">
        <v>10966</v>
      </c>
      <c r="G129" s="253" t="s">
        <v>10967</v>
      </c>
      <c r="H129" s="63" t="s">
        <v>198</v>
      </c>
      <c r="I129" s="61"/>
      <c r="J129" s="63" t="s">
        <v>142</v>
      </c>
      <c r="K129" s="63"/>
      <c r="L129" s="63" t="s">
        <v>191</v>
      </c>
      <c r="M129" s="64">
        <v>1</v>
      </c>
      <c r="N129" s="73">
        <v>5</v>
      </c>
      <c r="O129" s="75" t="s">
        <v>192</v>
      </c>
      <c r="P129" s="279"/>
      <c r="Q129" s="371"/>
    </row>
    <row r="130" spans="1:17" ht="33.75">
      <c r="A130" s="61" t="s">
        <v>10968</v>
      </c>
      <c r="B130" s="61" t="s">
        <v>10969</v>
      </c>
      <c r="C130" s="61" t="s">
        <v>10970</v>
      </c>
      <c r="D130" s="61" t="s">
        <v>10606</v>
      </c>
      <c r="E130" s="228"/>
      <c r="F130" s="474" t="s">
        <v>10966</v>
      </c>
      <c r="G130" s="253" t="s">
        <v>10971</v>
      </c>
      <c r="H130" s="63" t="s">
        <v>198</v>
      </c>
      <c r="I130" s="61"/>
      <c r="J130" s="63" t="s">
        <v>142</v>
      </c>
      <c r="K130" s="63"/>
      <c r="L130" s="63" t="s">
        <v>191</v>
      </c>
      <c r="M130" s="64">
        <v>1</v>
      </c>
      <c r="N130" s="73">
        <v>5</v>
      </c>
      <c r="O130" s="75" t="s">
        <v>222</v>
      </c>
      <c r="P130" s="279"/>
      <c r="Q130" s="371"/>
    </row>
    <row r="131" spans="1:17" ht="22.5">
      <c r="A131" s="61" t="s">
        <v>10972</v>
      </c>
      <c r="B131" s="61" t="s">
        <v>10973</v>
      </c>
      <c r="C131" s="61" t="s">
        <v>10974</v>
      </c>
      <c r="D131" s="61" t="s">
        <v>10606</v>
      </c>
      <c r="E131" s="228"/>
      <c r="F131" s="474" t="s">
        <v>10966</v>
      </c>
      <c r="G131" s="253" t="s">
        <v>10975</v>
      </c>
      <c r="H131" s="63" t="s">
        <v>198</v>
      </c>
      <c r="I131" s="61"/>
      <c r="J131" s="63" t="s">
        <v>142</v>
      </c>
      <c r="K131" s="63"/>
      <c r="L131" s="63" t="s">
        <v>191</v>
      </c>
      <c r="M131" s="64">
        <v>1</v>
      </c>
      <c r="N131" s="73">
        <v>5</v>
      </c>
      <c r="O131" s="75" t="s">
        <v>192</v>
      </c>
      <c r="P131" s="279"/>
      <c r="Q131" s="371"/>
    </row>
    <row r="132" spans="1:17" ht="22.5">
      <c r="A132" s="61" t="s">
        <v>10976</v>
      </c>
      <c r="B132" s="61" t="s">
        <v>10977</v>
      </c>
      <c r="C132" s="61" t="s">
        <v>10978</v>
      </c>
      <c r="D132" s="61" t="s">
        <v>10606</v>
      </c>
      <c r="E132" s="228"/>
      <c r="F132" s="474" t="s">
        <v>10966</v>
      </c>
      <c r="G132" s="253" t="s">
        <v>10979</v>
      </c>
      <c r="H132" s="63" t="s">
        <v>198</v>
      </c>
      <c r="I132" s="61"/>
      <c r="J132" s="63" t="s">
        <v>142</v>
      </c>
      <c r="K132" s="63"/>
      <c r="L132" s="63" t="s">
        <v>191</v>
      </c>
      <c r="M132" s="64">
        <v>1</v>
      </c>
      <c r="N132" s="73">
        <v>5</v>
      </c>
      <c r="O132" s="75" t="s">
        <v>199</v>
      </c>
      <c r="P132" s="279"/>
      <c r="Q132" s="371"/>
    </row>
    <row r="133" spans="1:17" ht="22.5">
      <c r="A133" s="61" t="s">
        <v>10980</v>
      </c>
      <c r="B133" s="61" t="s">
        <v>10981</v>
      </c>
      <c r="C133" s="61" t="s">
        <v>10982</v>
      </c>
      <c r="D133" s="61" t="s">
        <v>10606</v>
      </c>
      <c r="E133" s="228"/>
      <c r="F133" s="474" t="s">
        <v>10966</v>
      </c>
      <c r="G133" s="253" t="s">
        <v>10983</v>
      </c>
      <c r="H133" s="63" t="s">
        <v>198</v>
      </c>
      <c r="I133" s="61"/>
      <c r="J133" s="63" t="s">
        <v>142</v>
      </c>
      <c r="K133" s="63"/>
      <c r="L133" s="63" t="s">
        <v>191</v>
      </c>
      <c r="M133" s="64">
        <v>1</v>
      </c>
      <c r="N133" s="73">
        <v>5</v>
      </c>
      <c r="O133" s="75" t="s">
        <v>222</v>
      </c>
      <c r="P133" s="279"/>
      <c r="Q133" s="371"/>
    </row>
    <row r="134" spans="1:17" ht="22.5">
      <c r="A134" s="61" t="s">
        <v>10984</v>
      </c>
      <c r="B134" s="61" t="s">
        <v>10985</v>
      </c>
      <c r="C134" s="61" t="s">
        <v>10986</v>
      </c>
      <c r="D134" s="61" t="s">
        <v>10606</v>
      </c>
      <c r="E134" s="228"/>
      <c r="F134" s="474" t="s">
        <v>10966</v>
      </c>
      <c r="G134" s="253" t="s">
        <v>10987</v>
      </c>
      <c r="H134" s="63" t="s">
        <v>198</v>
      </c>
      <c r="I134" s="61"/>
      <c r="J134" s="63" t="s">
        <v>142</v>
      </c>
      <c r="K134" s="63"/>
      <c r="L134" s="63" t="s">
        <v>191</v>
      </c>
      <c r="M134" s="64">
        <v>1</v>
      </c>
      <c r="N134" s="73">
        <v>5</v>
      </c>
      <c r="O134" s="75" t="s">
        <v>199</v>
      </c>
      <c r="P134" s="279"/>
      <c r="Q134" s="371"/>
    </row>
    <row r="135" spans="1:17" ht="33.75">
      <c r="A135" s="61" t="s">
        <v>10988</v>
      </c>
      <c r="B135" s="61" t="s">
        <v>10989</v>
      </c>
      <c r="C135" s="61" t="s">
        <v>10990</v>
      </c>
      <c r="D135" s="61" t="s">
        <v>10606</v>
      </c>
      <c r="E135" s="61"/>
      <c r="F135" s="471" t="s">
        <v>10744</v>
      </c>
      <c r="G135" s="63" t="s">
        <v>10991</v>
      </c>
      <c r="H135" s="63" t="s">
        <v>198</v>
      </c>
      <c r="I135" s="61"/>
      <c r="J135" s="63" t="s">
        <v>142</v>
      </c>
      <c r="K135" s="63"/>
      <c r="L135" s="63" t="s">
        <v>191</v>
      </c>
      <c r="M135" s="64">
        <v>1</v>
      </c>
      <c r="N135" s="73">
        <v>5</v>
      </c>
      <c r="O135" s="75" t="s">
        <v>199</v>
      </c>
      <c r="P135" s="279"/>
      <c r="Q135" s="371"/>
    </row>
    <row r="136" spans="1:17" ht="33.75">
      <c r="A136" s="61" t="s">
        <v>10992</v>
      </c>
      <c r="B136" s="61" t="s">
        <v>10993</v>
      </c>
      <c r="C136" s="61" t="s">
        <v>10994</v>
      </c>
      <c r="D136" s="61" t="s">
        <v>10606</v>
      </c>
      <c r="E136" s="61"/>
      <c r="F136" s="271" t="s">
        <v>1867</v>
      </c>
      <c r="G136" s="63" t="s">
        <v>10995</v>
      </c>
      <c r="H136" s="63" t="s">
        <v>198</v>
      </c>
      <c r="I136" s="61"/>
      <c r="J136" s="63" t="s">
        <v>142</v>
      </c>
      <c r="K136" s="63"/>
      <c r="L136" s="63" t="s">
        <v>191</v>
      </c>
      <c r="M136" s="64">
        <v>1</v>
      </c>
      <c r="N136" s="73">
        <v>5</v>
      </c>
      <c r="O136" s="75" t="s">
        <v>192</v>
      </c>
      <c r="P136" s="279"/>
      <c r="Q136" s="371"/>
    </row>
    <row r="137" spans="1:17" ht="33.75">
      <c r="A137" s="61" t="s">
        <v>10996</v>
      </c>
      <c r="B137" s="61" t="s">
        <v>10997</v>
      </c>
      <c r="C137" s="61" t="s">
        <v>10998</v>
      </c>
      <c r="D137" s="61" t="s">
        <v>10606</v>
      </c>
      <c r="E137" s="61"/>
      <c r="F137" s="271" t="s">
        <v>1867</v>
      </c>
      <c r="G137" s="63" t="s">
        <v>10999</v>
      </c>
      <c r="H137" s="63" t="s">
        <v>198</v>
      </c>
      <c r="I137" s="61"/>
      <c r="J137" s="63" t="s">
        <v>142</v>
      </c>
      <c r="K137" s="63"/>
      <c r="L137" s="63" t="s">
        <v>191</v>
      </c>
      <c r="M137" s="64">
        <v>1</v>
      </c>
      <c r="N137" s="73">
        <v>5</v>
      </c>
      <c r="O137" s="75" t="s">
        <v>199</v>
      </c>
      <c r="P137" s="279"/>
      <c r="Q137" s="371"/>
    </row>
    <row r="138" spans="1:17" ht="45">
      <c r="A138" s="61" t="s">
        <v>11000</v>
      </c>
      <c r="B138" s="61" t="s">
        <v>11001</v>
      </c>
      <c r="C138" s="61" t="s">
        <v>11002</v>
      </c>
      <c r="D138" s="61" t="s">
        <v>10606</v>
      </c>
      <c r="E138" s="61"/>
      <c r="F138" s="271" t="s">
        <v>1867</v>
      </c>
      <c r="G138" s="63" t="s">
        <v>11003</v>
      </c>
      <c r="H138" s="63" t="s">
        <v>198</v>
      </c>
      <c r="I138" s="61"/>
      <c r="J138" s="63" t="s">
        <v>142</v>
      </c>
      <c r="K138" s="63"/>
      <c r="L138" s="63" t="s">
        <v>191</v>
      </c>
      <c r="M138" s="64">
        <v>1</v>
      </c>
      <c r="N138" s="73">
        <v>5</v>
      </c>
      <c r="O138" s="75" t="s">
        <v>199</v>
      </c>
      <c r="P138" s="279"/>
      <c r="Q138" s="371"/>
    </row>
    <row r="139" spans="1:17" ht="33.75">
      <c r="A139" s="61" t="s">
        <v>11004</v>
      </c>
      <c r="B139" s="61" t="s">
        <v>11005</v>
      </c>
      <c r="C139" s="61" t="s">
        <v>11006</v>
      </c>
      <c r="D139" s="61" t="s">
        <v>10606</v>
      </c>
      <c r="E139" s="61"/>
      <c r="F139" s="271" t="s">
        <v>1867</v>
      </c>
      <c r="G139" s="63" t="s">
        <v>11007</v>
      </c>
      <c r="H139" s="63" t="s">
        <v>198</v>
      </c>
      <c r="I139" s="61"/>
      <c r="J139" s="63" t="s">
        <v>142</v>
      </c>
      <c r="K139" s="63"/>
      <c r="L139" s="63" t="s">
        <v>191</v>
      </c>
      <c r="M139" s="64">
        <v>1</v>
      </c>
      <c r="N139" s="73">
        <v>5</v>
      </c>
      <c r="O139" s="75" t="s">
        <v>199</v>
      </c>
      <c r="P139" s="279"/>
      <c r="Q139" s="371"/>
    </row>
    <row r="140" spans="1:17" ht="33.75">
      <c r="A140" s="61" t="s">
        <v>11008</v>
      </c>
      <c r="B140" s="61" t="s">
        <v>11009</v>
      </c>
      <c r="C140" s="61" t="s">
        <v>11010</v>
      </c>
      <c r="D140" s="61" t="s">
        <v>10606</v>
      </c>
      <c r="E140" s="61"/>
      <c r="F140" s="271" t="s">
        <v>1867</v>
      </c>
      <c r="G140" s="63" t="s">
        <v>11011</v>
      </c>
      <c r="H140" s="63" t="s">
        <v>198</v>
      </c>
      <c r="I140" s="61"/>
      <c r="J140" s="63" t="s">
        <v>142</v>
      </c>
      <c r="K140" s="63"/>
      <c r="L140" s="63" t="s">
        <v>191</v>
      </c>
      <c r="M140" s="64">
        <v>1</v>
      </c>
      <c r="N140" s="73">
        <v>5</v>
      </c>
      <c r="O140" s="75" t="s">
        <v>199</v>
      </c>
      <c r="P140" s="279"/>
      <c r="Q140" s="371"/>
    </row>
    <row r="141" spans="1:17" ht="33.75">
      <c r="A141" s="61" t="s">
        <v>11012</v>
      </c>
      <c r="B141" s="61" t="s">
        <v>11013</v>
      </c>
      <c r="C141" s="61" t="s">
        <v>11014</v>
      </c>
      <c r="D141" s="61" t="s">
        <v>10606</v>
      </c>
      <c r="E141" s="61"/>
      <c r="F141" s="271" t="s">
        <v>10966</v>
      </c>
      <c r="G141" s="63" t="s">
        <v>11015</v>
      </c>
      <c r="H141" s="63" t="s">
        <v>198</v>
      </c>
      <c r="I141" s="61"/>
      <c r="J141" s="63" t="s">
        <v>142</v>
      </c>
      <c r="K141" s="63"/>
      <c r="L141" s="63" t="s">
        <v>191</v>
      </c>
      <c r="M141" s="64">
        <v>1</v>
      </c>
      <c r="N141" s="73">
        <v>5</v>
      </c>
      <c r="O141" s="75" t="s">
        <v>199</v>
      </c>
      <c r="P141" s="279"/>
      <c r="Q141" s="371"/>
    </row>
    <row r="142" spans="1:17" ht="22.5">
      <c r="A142" s="61" t="s">
        <v>11016</v>
      </c>
      <c r="B142" s="61" t="s">
        <v>11017</v>
      </c>
      <c r="C142" s="61" t="s">
        <v>11018</v>
      </c>
      <c r="D142" s="61" t="s">
        <v>10606</v>
      </c>
      <c r="E142" s="61"/>
      <c r="F142" s="271" t="s">
        <v>2515</v>
      </c>
      <c r="G142" s="63" t="s">
        <v>11019</v>
      </c>
      <c r="H142" s="63" t="s">
        <v>188</v>
      </c>
      <c r="I142" s="63" t="s">
        <v>250</v>
      </c>
      <c r="J142" s="63" t="s">
        <v>11020</v>
      </c>
      <c r="K142" s="63"/>
      <c r="L142" s="63" t="s">
        <v>191</v>
      </c>
      <c r="M142" s="64">
        <v>2</v>
      </c>
      <c r="N142" s="73">
        <v>4</v>
      </c>
      <c r="O142" s="75" t="s">
        <v>199</v>
      </c>
      <c r="P142" s="279"/>
      <c r="Q142" s="371"/>
    </row>
    <row r="143" spans="1:17" ht="34.5" customHeight="1">
      <c r="A143" s="61" t="s">
        <v>11021</v>
      </c>
      <c r="B143" s="61" t="s">
        <v>11022</v>
      </c>
      <c r="C143" s="61" t="s">
        <v>135</v>
      </c>
      <c r="D143" s="61" t="s">
        <v>10606</v>
      </c>
      <c r="E143" s="61"/>
      <c r="F143" s="271" t="s">
        <v>11023</v>
      </c>
      <c r="G143" s="63" t="s">
        <v>11024</v>
      </c>
      <c r="H143" s="63" t="s">
        <v>188</v>
      </c>
      <c r="I143" s="63"/>
      <c r="J143" s="63" t="s">
        <v>11025</v>
      </c>
      <c r="K143" s="63"/>
      <c r="L143" s="63" t="s">
        <v>191</v>
      </c>
      <c r="M143" s="64">
        <v>2</v>
      </c>
      <c r="N143" s="73">
        <v>4</v>
      </c>
      <c r="O143" s="75" t="s">
        <v>199</v>
      </c>
      <c r="P143" s="279"/>
      <c r="Q143" s="371"/>
    </row>
    <row r="144" spans="1:17" ht="34.5" customHeight="1">
      <c r="A144" s="61" t="s">
        <v>11026</v>
      </c>
      <c r="B144" s="61" t="s">
        <v>11027</v>
      </c>
      <c r="C144" s="61" t="s">
        <v>135</v>
      </c>
      <c r="D144" s="61" t="s">
        <v>10606</v>
      </c>
      <c r="E144" s="61"/>
      <c r="F144" s="271" t="s">
        <v>400</v>
      </c>
      <c r="G144" s="63" t="s">
        <v>11019</v>
      </c>
      <c r="H144" s="225" t="s">
        <v>188</v>
      </c>
      <c r="I144" s="63"/>
      <c r="J144" s="63" t="s">
        <v>11028</v>
      </c>
      <c r="K144" s="63"/>
      <c r="L144" s="63" t="s">
        <v>191</v>
      </c>
      <c r="M144" s="64">
        <v>2</v>
      </c>
      <c r="N144" s="73">
        <v>4</v>
      </c>
      <c r="O144" s="75" t="s">
        <v>199</v>
      </c>
      <c r="P144" s="279"/>
      <c r="Q144" s="371"/>
    </row>
    <row r="145" spans="1:17" ht="34.5" customHeight="1">
      <c r="A145" s="61" t="s">
        <v>11029</v>
      </c>
      <c r="B145" s="61" t="s">
        <v>11030</v>
      </c>
      <c r="C145" s="61" t="s">
        <v>135</v>
      </c>
      <c r="D145" s="61" t="s">
        <v>10606</v>
      </c>
      <c r="E145" s="61"/>
      <c r="F145" s="271" t="s">
        <v>11031</v>
      </c>
      <c r="G145" s="63" t="s">
        <v>11032</v>
      </c>
      <c r="H145" s="63" t="s">
        <v>188</v>
      </c>
      <c r="I145" s="63"/>
      <c r="J145" s="63" t="s">
        <v>11033</v>
      </c>
      <c r="K145" s="63"/>
      <c r="L145" s="63" t="s">
        <v>191</v>
      </c>
      <c r="M145" s="64">
        <v>2</v>
      </c>
      <c r="N145" s="73">
        <v>4</v>
      </c>
      <c r="O145" s="75" t="s">
        <v>199</v>
      </c>
      <c r="P145" s="279"/>
      <c r="Q145" s="371"/>
    </row>
    <row r="146" spans="1:17" ht="34.5" customHeight="1">
      <c r="A146" s="61" t="s">
        <v>11034</v>
      </c>
      <c r="B146" s="61" t="s">
        <v>11035</v>
      </c>
      <c r="C146" s="61" t="s">
        <v>135</v>
      </c>
      <c r="D146" s="61" t="s">
        <v>10606</v>
      </c>
      <c r="E146" s="61"/>
      <c r="F146" s="271" t="s">
        <v>11031</v>
      </c>
      <c r="G146" s="63" t="s">
        <v>11036</v>
      </c>
      <c r="H146" s="63" t="s">
        <v>188</v>
      </c>
      <c r="I146" s="63"/>
      <c r="J146" s="63" t="s">
        <v>11037</v>
      </c>
      <c r="K146" s="63"/>
      <c r="L146" s="63" t="s">
        <v>191</v>
      </c>
      <c r="M146" s="64">
        <v>2</v>
      </c>
      <c r="N146" s="73">
        <v>4</v>
      </c>
      <c r="O146" s="75" t="s">
        <v>199</v>
      </c>
      <c r="P146" s="279"/>
      <c r="Q146" s="371"/>
    </row>
    <row r="147" spans="1:17" ht="34.5" customHeight="1">
      <c r="A147" s="61" t="s">
        <v>11038</v>
      </c>
      <c r="B147" s="61" t="s">
        <v>11039</v>
      </c>
      <c r="C147" s="61" t="s">
        <v>135</v>
      </c>
      <c r="D147" s="61" t="s">
        <v>10606</v>
      </c>
      <c r="E147" s="61"/>
      <c r="F147" s="271" t="s">
        <v>11040</v>
      </c>
      <c r="G147" s="63" t="s">
        <v>11041</v>
      </c>
      <c r="H147" s="63" t="s">
        <v>188</v>
      </c>
      <c r="I147" s="63"/>
      <c r="J147" s="63" t="s">
        <v>11042</v>
      </c>
      <c r="K147" s="63"/>
      <c r="L147" s="63" t="s">
        <v>191</v>
      </c>
      <c r="M147" s="64">
        <v>2</v>
      </c>
      <c r="N147" s="73">
        <v>4</v>
      </c>
      <c r="O147" s="75" t="s">
        <v>199</v>
      </c>
      <c r="P147" s="279"/>
      <c r="Q147" s="371"/>
    </row>
    <row r="148" spans="1:17" ht="34.5" customHeight="1">
      <c r="A148" s="61" t="s">
        <v>11043</v>
      </c>
      <c r="B148" s="61" t="s">
        <v>11044</v>
      </c>
      <c r="C148" s="61" t="s">
        <v>135</v>
      </c>
      <c r="D148" s="61" t="s">
        <v>10606</v>
      </c>
      <c r="E148" s="61"/>
      <c r="F148" s="271" t="s">
        <v>11040</v>
      </c>
      <c r="G148" s="63" t="s">
        <v>11045</v>
      </c>
      <c r="H148" s="63" t="s">
        <v>188</v>
      </c>
      <c r="I148" s="63"/>
      <c r="J148" s="63" t="s">
        <v>11046</v>
      </c>
      <c r="K148" s="63"/>
      <c r="L148" s="63" t="s">
        <v>191</v>
      </c>
      <c r="M148" s="64">
        <v>2</v>
      </c>
      <c r="N148" s="73">
        <v>4</v>
      </c>
      <c r="O148" s="75" t="s">
        <v>199</v>
      </c>
      <c r="P148" s="279"/>
      <c r="Q148" s="371"/>
    </row>
    <row r="149" spans="1:17" ht="303.75">
      <c r="A149" s="61" t="s">
        <v>11047</v>
      </c>
      <c r="B149" s="61" t="s">
        <v>11048</v>
      </c>
      <c r="C149" s="61"/>
      <c r="D149" s="61" t="s">
        <v>10606</v>
      </c>
      <c r="E149" s="61"/>
      <c r="F149" s="271" t="s">
        <v>4439</v>
      </c>
      <c r="G149" s="63" t="s">
        <v>11049</v>
      </c>
      <c r="H149" s="63"/>
      <c r="I149" s="63" t="s">
        <v>11050</v>
      </c>
      <c r="J149" s="63" t="s">
        <v>10607</v>
      </c>
      <c r="K149" s="63"/>
      <c r="L149" s="63"/>
      <c r="M149" s="64">
        <v>1</v>
      </c>
      <c r="N149" s="73">
        <v>5</v>
      </c>
      <c r="O149" s="75" t="s">
        <v>1899</v>
      </c>
      <c r="P149" s="279"/>
      <c r="Q149" s="371"/>
    </row>
    <row r="150" spans="1:17" ht="34.5" customHeight="1">
      <c r="A150" s="61" t="s">
        <v>11051</v>
      </c>
      <c r="B150" s="61" t="s">
        <v>11052</v>
      </c>
      <c r="C150" s="61" t="s">
        <v>135</v>
      </c>
      <c r="D150" s="61" t="s">
        <v>10606</v>
      </c>
      <c r="E150" s="61"/>
      <c r="F150" s="271" t="s">
        <v>11053</v>
      </c>
      <c r="G150" s="63" t="s">
        <v>11019</v>
      </c>
      <c r="H150" s="63" t="s">
        <v>188</v>
      </c>
      <c r="I150" s="63"/>
      <c r="J150" s="63" t="s">
        <v>11054</v>
      </c>
      <c r="K150" s="63"/>
      <c r="L150" s="63" t="s">
        <v>191</v>
      </c>
      <c r="M150" s="64">
        <v>2</v>
      </c>
      <c r="N150" s="73">
        <v>4</v>
      </c>
      <c r="O150" s="75" t="s">
        <v>199</v>
      </c>
      <c r="P150" s="279"/>
      <c r="Q150" s="371"/>
    </row>
    <row r="151" spans="1:17" ht="34.5" customHeight="1">
      <c r="A151" s="110" t="s">
        <v>11055</v>
      </c>
      <c r="B151" s="110" t="s">
        <v>11056</v>
      </c>
      <c r="C151" s="61" t="s">
        <v>135</v>
      </c>
      <c r="D151" s="61" t="s">
        <v>10606</v>
      </c>
      <c r="E151" s="61"/>
      <c r="F151" s="271" t="s">
        <v>11031</v>
      </c>
      <c r="G151" s="63" t="s">
        <v>11032</v>
      </c>
      <c r="H151" s="63" t="s">
        <v>188</v>
      </c>
      <c r="I151" s="63"/>
      <c r="J151" s="63" t="s">
        <v>11057</v>
      </c>
      <c r="K151" s="63"/>
      <c r="L151" s="63" t="s">
        <v>191</v>
      </c>
      <c r="M151" s="64">
        <v>2</v>
      </c>
      <c r="N151" s="73">
        <v>4</v>
      </c>
      <c r="O151" s="75" t="s">
        <v>199</v>
      </c>
      <c r="P151" s="279"/>
      <c r="Q151" s="371"/>
    </row>
    <row r="152" spans="1:17" ht="34.5" customHeight="1">
      <c r="A152" s="110" t="s">
        <v>11058</v>
      </c>
      <c r="B152" s="110" t="s">
        <v>11059</v>
      </c>
      <c r="C152" s="61" t="s">
        <v>135</v>
      </c>
      <c r="D152" s="61" t="s">
        <v>10606</v>
      </c>
      <c r="E152" s="61"/>
      <c r="F152" s="271" t="s">
        <v>11031</v>
      </c>
      <c r="G152" s="63" t="s">
        <v>11036</v>
      </c>
      <c r="H152" s="63" t="s">
        <v>188</v>
      </c>
      <c r="I152" s="63"/>
      <c r="J152" s="63" t="s">
        <v>11060</v>
      </c>
      <c r="K152" s="63"/>
      <c r="L152" s="63" t="s">
        <v>191</v>
      </c>
      <c r="M152" s="64">
        <v>2</v>
      </c>
      <c r="N152" s="73">
        <v>4</v>
      </c>
      <c r="O152" s="75" t="s">
        <v>199</v>
      </c>
      <c r="P152" s="279"/>
      <c r="Q152" s="371"/>
    </row>
    <row r="153" spans="1:17" ht="56.25">
      <c r="A153" s="110" t="s">
        <v>11061</v>
      </c>
      <c r="B153" s="111" t="s">
        <v>11062</v>
      </c>
      <c r="C153" s="61" t="s">
        <v>135</v>
      </c>
      <c r="D153" s="61" t="s">
        <v>10606</v>
      </c>
      <c r="E153" s="61"/>
      <c r="F153" s="271" t="s">
        <v>261</v>
      </c>
      <c r="G153" s="63" t="s">
        <v>11041</v>
      </c>
      <c r="H153" s="63" t="s">
        <v>188</v>
      </c>
      <c r="I153" s="63"/>
      <c r="J153" s="63" t="s">
        <v>11063</v>
      </c>
      <c r="K153" s="63"/>
      <c r="L153" s="63" t="s">
        <v>191</v>
      </c>
      <c r="M153" s="64">
        <v>2</v>
      </c>
      <c r="N153" s="73">
        <v>4</v>
      </c>
      <c r="O153" s="75" t="s">
        <v>199</v>
      </c>
      <c r="P153" s="279"/>
      <c r="Q153" s="371"/>
    </row>
    <row r="154" spans="1:17" ht="34.5" customHeight="1">
      <c r="A154" s="112" t="s">
        <v>11064</v>
      </c>
      <c r="B154" s="113" t="s">
        <v>11065</v>
      </c>
      <c r="C154" s="61" t="s">
        <v>135</v>
      </c>
      <c r="D154" s="61" t="s">
        <v>10606</v>
      </c>
      <c r="E154" s="61"/>
      <c r="F154" s="271" t="s">
        <v>11040</v>
      </c>
      <c r="G154" s="63" t="s">
        <v>11045</v>
      </c>
      <c r="H154" s="63" t="s">
        <v>188</v>
      </c>
      <c r="I154" s="63"/>
      <c r="J154" s="63" t="s">
        <v>11066</v>
      </c>
      <c r="K154" s="63"/>
      <c r="L154" s="63" t="s">
        <v>191</v>
      </c>
      <c r="M154" s="64">
        <v>2</v>
      </c>
      <c r="N154" s="73">
        <v>4</v>
      </c>
      <c r="O154" s="75" t="s">
        <v>199</v>
      </c>
      <c r="P154" s="279"/>
      <c r="Q154" s="371"/>
    </row>
    <row r="155" spans="1:17" ht="22.5">
      <c r="A155" s="61" t="s">
        <v>11067</v>
      </c>
      <c r="B155" s="61" t="s">
        <v>446</v>
      </c>
      <c r="C155" s="61" t="s">
        <v>11068</v>
      </c>
      <c r="D155" s="61" t="s">
        <v>10606</v>
      </c>
      <c r="E155" s="61"/>
      <c r="F155" s="271" t="s">
        <v>231</v>
      </c>
      <c r="G155" s="63" t="s">
        <v>11069</v>
      </c>
      <c r="H155" s="63" t="s">
        <v>740</v>
      </c>
      <c r="I155" s="63"/>
      <c r="J155" s="63" t="s">
        <v>11070</v>
      </c>
      <c r="K155" s="63"/>
      <c r="L155" s="63" t="s">
        <v>191</v>
      </c>
      <c r="M155" s="64">
        <v>1</v>
      </c>
      <c r="N155" s="73">
        <v>5</v>
      </c>
      <c r="O155" s="75" t="s">
        <v>199</v>
      </c>
      <c r="P155" s="279"/>
      <c r="Q155" s="371"/>
    </row>
    <row r="156" spans="1:17" ht="11.25">
      <c r="A156" s="61" t="s">
        <v>11071</v>
      </c>
      <c r="B156" s="61" t="s">
        <v>454</v>
      </c>
      <c r="C156" s="61" t="s">
        <v>11072</v>
      </c>
      <c r="D156" s="61" t="s">
        <v>10606</v>
      </c>
      <c r="E156" s="61"/>
      <c r="F156" s="271" t="s">
        <v>231</v>
      </c>
      <c r="G156" s="63" t="s">
        <v>11073</v>
      </c>
      <c r="H156" s="63" t="s">
        <v>740</v>
      </c>
      <c r="I156" s="63"/>
      <c r="J156" s="63" t="s">
        <v>11070</v>
      </c>
      <c r="K156" s="63"/>
      <c r="L156" s="63" t="s">
        <v>191</v>
      </c>
      <c r="M156" s="64">
        <v>1</v>
      </c>
      <c r="N156" s="73">
        <v>4</v>
      </c>
      <c r="O156" s="75" t="s">
        <v>199</v>
      </c>
      <c r="P156" s="279"/>
      <c r="Q156" s="371"/>
    </row>
    <row r="157" spans="1:17" ht="11.25">
      <c r="A157" s="61" t="s">
        <v>11074</v>
      </c>
      <c r="B157" s="61" t="s">
        <v>463</v>
      </c>
      <c r="C157" s="61" t="s">
        <v>11075</v>
      </c>
      <c r="D157" s="61" t="s">
        <v>10606</v>
      </c>
      <c r="E157" s="61"/>
      <c r="F157" s="271" t="s">
        <v>2092</v>
      </c>
      <c r="G157" s="63" t="s">
        <v>11076</v>
      </c>
      <c r="H157" s="63" t="s">
        <v>466</v>
      </c>
      <c r="I157" s="63"/>
      <c r="J157" s="63" t="s">
        <v>11070</v>
      </c>
      <c r="K157" s="63"/>
      <c r="L157" s="63" t="s">
        <v>191</v>
      </c>
      <c r="M157" s="64">
        <v>1</v>
      </c>
      <c r="N157" s="73">
        <v>4</v>
      </c>
      <c r="O157" s="75" t="s">
        <v>199</v>
      </c>
      <c r="P157" s="279"/>
      <c r="Q157" s="371"/>
    </row>
    <row r="158" spans="1:17" ht="33.75">
      <c r="A158" s="61" t="s">
        <v>11077</v>
      </c>
      <c r="B158" s="61" t="s">
        <v>11078</v>
      </c>
      <c r="C158" s="61"/>
      <c r="D158" s="61" t="s">
        <v>10606</v>
      </c>
      <c r="E158" s="61"/>
      <c r="F158" s="271" t="s">
        <v>11079</v>
      </c>
      <c r="G158" s="63" t="s">
        <v>11080</v>
      </c>
      <c r="H158" s="63" t="s">
        <v>740</v>
      </c>
      <c r="I158" s="61"/>
      <c r="J158" s="61" t="s">
        <v>11081</v>
      </c>
      <c r="K158" s="61"/>
      <c r="L158" s="63" t="s">
        <v>191</v>
      </c>
      <c r="M158" s="64">
        <v>1</v>
      </c>
      <c r="N158" s="73">
        <v>4</v>
      </c>
      <c r="O158" s="73" t="s">
        <v>199</v>
      </c>
      <c r="P158" s="279"/>
      <c r="Q158" s="371"/>
    </row>
    <row r="159" spans="1:17" ht="33.75">
      <c r="A159" s="61" t="s">
        <v>11082</v>
      </c>
      <c r="B159" s="61" t="s">
        <v>11083</v>
      </c>
      <c r="C159" s="61"/>
      <c r="D159" s="61" t="s">
        <v>10606</v>
      </c>
      <c r="E159" s="61"/>
      <c r="F159" s="271" t="s">
        <v>11079</v>
      </c>
      <c r="G159" s="63" t="s">
        <v>11084</v>
      </c>
      <c r="H159" s="63" t="s">
        <v>740</v>
      </c>
      <c r="I159" s="61"/>
      <c r="J159" s="61" t="s">
        <v>11081</v>
      </c>
      <c r="K159" s="61"/>
      <c r="L159" s="63" t="s">
        <v>191</v>
      </c>
      <c r="M159" s="64">
        <v>1</v>
      </c>
      <c r="N159" s="73">
        <v>4</v>
      </c>
      <c r="O159" s="73" t="s">
        <v>199</v>
      </c>
      <c r="P159" s="279"/>
      <c r="Q159" s="371"/>
    </row>
    <row r="160" spans="1:17" ht="22.5">
      <c r="A160" s="61" t="s">
        <v>11085</v>
      </c>
      <c r="B160" s="61" t="s">
        <v>11086</v>
      </c>
      <c r="C160" s="61"/>
      <c r="D160" s="61" t="s">
        <v>10606</v>
      </c>
      <c r="E160" s="61"/>
      <c r="F160" s="271" t="s">
        <v>11079</v>
      </c>
      <c r="G160" s="63" t="s">
        <v>11087</v>
      </c>
      <c r="H160" s="63" t="s">
        <v>198</v>
      </c>
      <c r="I160" s="61"/>
      <c r="J160" s="61" t="s">
        <v>11081</v>
      </c>
      <c r="K160" s="61"/>
      <c r="L160" s="63" t="s">
        <v>191</v>
      </c>
      <c r="M160" s="64">
        <v>4</v>
      </c>
      <c r="N160" s="73">
        <v>4</v>
      </c>
      <c r="O160" s="73" t="s">
        <v>199</v>
      </c>
      <c r="P160" s="279"/>
      <c r="Q160" s="371"/>
    </row>
    <row r="161" spans="1:17" ht="22.5">
      <c r="A161" s="61" t="s">
        <v>11088</v>
      </c>
      <c r="B161" s="61" t="s">
        <v>11089</v>
      </c>
      <c r="C161" s="61"/>
      <c r="D161" s="61" t="s">
        <v>10606</v>
      </c>
      <c r="E161" s="61"/>
      <c r="F161" s="271" t="s">
        <v>11079</v>
      </c>
      <c r="G161" s="63" t="s">
        <v>11090</v>
      </c>
      <c r="H161" s="63" t="s">
        <v>740</v>
      </c>
      <c r="I161" s="61"/>
      <c r="J161" s="61" t="s">
        <v>11081</v>
      </c>
      <c r="K161" s="61"/>
      <c r="L161" s="63" t="s">
        <v>191</v>
      </c>
      <c r="M161" s="64">
        <v>4</v>
      </c>
      <c r="N161" s="73">
        <v>4</v>
      </c>
      <c r="O161" s="73" t="s">
        <v>199</v>
      </c>
      <c r="P161" s="279"/>
      <c r="Q161" s="371"/>
    </row>
    <row r="162" spans="1:17" ht="22.5">
      <c r="A162" s="61" t="s">
        <v>11091</v>
      </c>
      <c r="B162" s="61" t="s">
        <v>11092</v>
      </c>
      <c r="C162" s="61"/>
      <c r="D162" s="61" t="s">
        <v>10606</v>
      </c>
      <c r="E162" s="61"/>
      <c r="F162" s="271" t="s">
        <v>11079</v>
      </c>
      <c r="G162" s="63" t="s">
        <v>11093</v>
      </c>
      <c r="H162" s="63" t="s">
        <v>740</v>
      </c>
      <c r="I162" s="61"/>
      <c r="J162" s="61" t="s">
        <v>11081</v>
      </c>
      <c r="K162" s="61"/>
      <c r="L162" s="63" t="s">
        <v>191</v>
      </c>
      <c r="M162" s="64">
        <v>4</v>
      </c>
      <c r="N162" s="73">
        <v>4</v>
      </c>
      <c r="O162" s="73" t="s">
        <v>199</v>
      </c>
      <c r="P162" s="608"/>
      <c r="Q162" s="371"/>
    </row>
    <row r="163" spans="1:17" ht="22.5">
      <c r="A163" s="61" t="s">
        <v>11094</v>
      </c>
      <c r="B163" s="61" t="s">
        <v>11095</v>
      </c>
      <c r="C163" s="61"/>
      <c r="D163" s="61" t="s">
        <v>10606</v>
      </c>
      <c r="E163" s="61"/>
      <c r="F163" s="271" t="s">
        <v>11096</v>
      </c>
      <c r="G163" s="63" t="s">
        <v>11097</v>
      </c>
      <c r="H163" s="63" t="s">
        <v>740</v>
      </c>
      <c r="I163" s="61"/>
      <c r="J163" s="208" t="s">
        <v>11081</v>
      </c>
      <c r="K163" s="208"/>
      <c r="L163" s="63" t="s">
        <v>191</v>
      </c>
      <c r="M163" s="64">
        <v>2</v>
      </c>
      <c r="N163" s="73">
        <v>4</v>
      </c>
      <c r="O163" s="73" t="s">
        <v>199</v>
      </c>
      <c r="P163" s="608"/>
      <c r="Q163" s="371"/>
    </row>
    <row r="164" spans="1:17" ht="11.25">
      <c r="A164" s="85"/>
      <c r="B164" s="85"/>
      <c r="C164" s="85"/>
      <c r="D164" s="85"/>
      <c r="E164" s="85"/>
      <c r="F164" s="122"/>
      <c r="G164" s="45"/>
      <c r="H164" s="45"/>
      <c r="I164" s="85"/>
      <c r="J164" s="85"/>
      <c r="K164" s="85"/>
      <c r="L164" s="85"/>
      <c r="M164" s="101"/>
      <c r="P164" s="49"/>
      <c r="Q164" s="49"/>
    </row>
    <row r="165" spans="1:17">
      <c r="A165" s="40" t="s">
        <v>10601</v>
      </c>
    </row>
    <row r="166" spans="1:17">
      <c r="A166" s="40"/>
    </row>
    <row r="167" spans="1:17">
      <c r="A167" s="40" t="s">
        <v>488</v>
      </c>
    </row>
    <row r="168" spans="1:17">
      <c r="A168" s="46" t="s">
        <v>489</v>
      </c>
    </row>
    <row r="169" spans="1:17" ht="11.25">
      <c r="M169" s="47"/>
    </row>
    <row r="170" spans="1:17" ht="22.5">
      <c r="A170" s="76" t="s">
        <v>11098</v>
      </c>
      <c r="B170" s="79" t="s">
        <v>11099</v>
      </c>
      <c r="C170" s="76" t="s">
        <v>11100</v>
      </c>
      <c r="D170" s="76" t="s">
        <v>168</v>
      </c>
      <c r="E170" s="76" t="s">
        <v>169</v>
      </c>
      <c r="F170" s="83" t="s">
        <v>170</v>
      </c>
      <c r="G170" s="58" t="s">
        <v>20</v>
      </c>
      <c r="H170" s="58" t="s">
        <v>171</v>
      </c>
      <c r="I170" s="76" t="s">
        <v>11101</v>
      </c>
      <c r="J170" s="76" t="s">
        <v>10603</v>
      </c>
      <c r="K170" s="76" t="s">
        <v>174</v>
      </c>
      <c r="L170" s="76" t="s">
        <v>175</v>
      </c>
      <c r="M170" s="59" t="s">
        <v>176</v>
      </c>
      <c r="N170" s="60" t="s">
        <v>655</v>
      </c>
      <c r="O170" s="130" t="s">
        <v>179</v>
      </c>
    </row>
    <row r="171" spans="1:17" ht="33.75">
      <c r="A171" s="140" t="s">
        <v>11102</v>
      </c>
      <c r="B171" s="140" t="s">
        <v>11103</v>
      </c>
      <c r="C171" s="140" t="s">
        <v>11104</v>
      </c>
      <c r="D171" s="140" t="s">
        <v>10606</v>
      </c>
      <c r="E171" s="140"/>
      <c r="F171" s="171" t="s">
        <v>11105</v>
      </c>
      <c r="G171" s="142" t="s">
        <v>516</v>
      </c>
      <c r="H171" s="225" t="s">
        <v>740</v>
      </c>
      <c r="I171" s="142" t="s">
        <v>11106</v>
      </c>
      <c r="J171" s="142" t="s">
        <v>138</v>
      </c>
      <c r="K171" s="142"/>
      <c r="L171" s="142" t="s">
        <v>191</v>
      </c>
      <c r="M171" s="143">
        <v>4</v>
      </c>
      <c r="N171" s="148">
        <v>5</v>
      </c>
      <c r="O171" s="149" t="s">
        <v>199</v>
      </c>
    </row>
    <row r="172" spans="1:17" ht="56.25">
      <c r="A172" s="140" t="s">
        <v>11107</v>
      </c>
      <c r="B172" s="140" t="s">
        <v>11108</v>
      </c>
      <c r="C172" s="140" t="s">
        <v>11109</v>
      </c>
      <c r="D172" s="140" t="s">
        <v>10606</v>
      </c>
      <c r="E172" s="140"/>
      <c r="F172" s="171" t="s">
        <v>10621</v>
      </c>
      <c r="G172" s="142" t="s">
        <v>11110</v>
      </c>
      <c r="H172" s="142" t="s">
        <v>188</v>
      </c>
      <c r="I172" s="142" t="s">
        <v>11111</v>
      </c>
      <c r="J172" s="142" t="s">
        <v>138</v>
      </c>
      <c r="K172" s="142"/>
      <c r="L172" s="142" t="s">
        <v>191</v>
      </c>
      <c r="M172" s="143">
        <v>4</v>
      </c>
      <c r="N172" s="148">
        <v>5</v>
      </c>
      <c r="O172" s="148" t="s">
        <v>199</v>
      </c>
    </row>
    <row r="173" spans="1:17" ht="45">
      <c r="A173" s="140" t="s">
        <v>11112</v>
      </c>
      <c r="B173" s="140" t="s">
        <v>11113</v>
      </c>
      <c r="C173" s="140" t="s">
        <v>11114</v>
      </c>
      <c r="D173" s="140" t="s">
        <v>10606</v>
      </c>
      <c r="E173" s="140"/>
      <c r="F173" s="171" t="s">
        <v>328</v>
      </c>
      <c r="G173" s="142" t="s">
        <v>11110</v>
      </c>
      <c r="H173" s="142" t="s">
        <v>188</v>
      </c>
      <c r="I173" s="142" t="s">
        <v>11115</v>
      </c>
      <c r="J173" s="142" t="s">
        <v>138</v>
      </c>
      <c r="K173" s="142"/>
      <c r="L173" s="142" t="s">
        <v>191</v>
      </c>
      <c r="M173" s="143">
        <v>4</v>
      </c>
      <c r="N173" s="148">
        <v>5</v>
      </c>
      <c r="O173" s="148" t="s">
        <v>199</v>
      </c>
    </row>
    <row r="174" spans="1:17" ht="56.25">
      <c r="A174" s="140" t="s">
        <v>11116</v>
      </c>
      <c r="B174" s="140" t="s">
        <v>11117</v>
      </c>
      <c r="C174" s="140" t="s">
        <v>11118</v>
      </c>
      <c r="D174" s="140" t="s">
        <v>10606</v>
      </c>
      <c r="E174" s="140"/>
      <c r="F174" s="171" t="s">
        <v>10621</v>
      </c>
      <c r="G174" s="142" t="s">
        <v>11119</v>
      </c>
      <c r="H174" s="142" t="s">
        <v>188</v>
      </c>
      <c r="I174" s="142" t="s">
        <v>11111</v>
      </c>
      <c r="J174" s="140" t="s">
        <v>139</v>
      </c>
      <c r="K174" s="140"/>
      <c r="L174" s="142" t="s">
        <v>191</v>
      </c>
      <c r="M174" s="143">
        <v>4</v>
      </c>
      <c r="N174" s="148">
        <v>5</v>
      </c>
      <c r="O174" s="148" t="s">
        <v>199</v>
      </c>
    </row>
    <row r="175" spans="1:17" ht="45">
      <c r="A175" s="140" t="s">
        <v>11120</v>
      </c>
      <c r="B175" s="140" t="s">
        <v>11121</v>
      </c>
      <c r="C175" s="140" t="s">
        <v>11122</v>
      </c>
      <c r="D175" s="140" t="s">
        <v>10606</v>
      </c>
      <c r="E175" s="140"/>
      <c r="F175" s="171" t="s">
        <v>328</v>
      </c>
      <c r="G175" s="142" t="s">
        <v>11119</v>
      </c>
      <c r="H175" s="142" t="s">
        <v>188</v>
      </c>
      <c r="I175" s="142" t="s">
        <v>11115</v>
      </c>
      <c r="J175" s="142" t="s">
        <v>139</v>
      </c>
      <c r="K175" s="142"/>
      <c r="L175" s="142" t="s">
        <v>191</v>
      </c>
      <c r="M175" s="143">
        <v>4</v>
      </c>
      <c r="N175" s="148">
        <v>5</v>
      </c>
      <c r="O175" s="148" t="s">
        <v>199</v>
      </c>
    </row>
    <row r="176" spans="1:17" ht="56.25">
      <c r="A176" s="140" t="s">
        <v>11123</v>
      </c>
      <c r="B176" s="140" t="s">
        <v>11124</v>
      </c>
      <c r="C176" s="140" t="s">
        <v>11125</v>
      </c>
      <c r="D176" s="140" t="s">
        <v>10606</v>
      </c>
      <c r="E176" s="140"/>
      <c r="F176" s="171" t="s">
        <v>10621</v>
      </c>
      <c r="G176" s="142" t="s">
        <v>11126</v>
      </c>
      <c r="H176" s="142" t="s">
        <v>188</v>
      </c>
      <c r="I176" s="142" t="s">
        <v>11111</v>
      </c>
      <c r="J176" s="140" t="s">
        <v>142</v>
      </c>
      <c r="K176" s="140"/>
      <c r="L176" s="142" t="s">
        <v>191</v>
      </c>
      <c r="M176" s="143">
        <v>4</v>
      </c>
      <c r="N176" s="148">
        <v>5</v>
      </c>
      <c r="O176" s="148" t="s">
        <v>199</v>
      </c>
    </row>
    <row r="177" spans="1:15" ht="45">
      <c r="A177" s="140" t="s">
        <v>11127</v>
      </c>
      <c r="B177" s="140" t="s">
        <v>11128</v>
      </c>
      <c r="C177" s="140" t="s">
        <v>11129</v>
      </c>
      <c r="D177" s="140" t="s">
        <v>10606</v>
      </c>
      <c r="E177" s="140"/>
      <c r="F177" s="171" t="s">
        <v>328</v>
      </c>
      <c r="G177" s="142" t="s">
        <v>11126</v>
      </c>
      <c r="H177" s="142" t="s">
        <v>188</v>
      </c>
      <c r="I177" s="142" t="s">
        <v>11115</v>
      </c>
      <c r="J177" s="142" t="s">
        <v>142</v>
      </c>
      <c r="K177" s="142"/>
      <c r="L177" s="142" t="s">
        <v>191</v>
      </c>
      <c r="M177" s="143">
        <v>4</v>
      </c>
      <c r="N177" s="148">
        <v>5</v>
      </c>
      <c r="O177" s="148" t="s">
        <v>199</v>
      </c>
    </row>
    <row r="178" spans="1:15" ht="11.25">
      <c r="A178" s="140" t="s">
        <v>11130</v>
      </c>
      <c r="B178" s="140" t="s">
        <v>501</v>
      </c>
      <c r="C178" s="140" t="s">
        <v>11131</v>
      </c>
      <c r="D178" s="140" t="s">
        <v>10606</v>
      </c>
      <c r="E178" s="140"/>
      <c r="F178" s="171" t="s">
        <v>231</v>
      </c>
      <c r="G178" s="142" t="s">
        <v>503</v>
      </c>
      <c r="H178" s="142" t="s">
        <v>198</v>
      </c>
      <c r="I178" s="142"/>
      <c r="J178" s="142" t="s">
        <v>138</v>
      </c>
      <c r="K178" s="142"/>
      <c r="L178" s="142" t="s">
        <v>191</v>
      </c>
      <c r="M178" s="143">
        <v>4</v>
      </c>
      <c r="N178" s="148">
        <v>5</v>
      </c>
      <c r="O178" s="148" t="s">
        <v>199</v>
      </c>
    </row>
    <row r="179" spans="1:15" ht="11.25">
      <c r="A179" s="140" t="s">
        <v>11132</v>
      </c>
      <c r="B179" s="140" t="s">
        <v>491</v>
      </c>
      <c r="C179" s="140" t="s">
        <v>11133</v>
      </c>
      <c r="D179" s="140" t="s">
        <v>10606</v>
      </c>
      <c r="E179" s="140"/>
      <c r="F179" s="153" t="s">
        <v>231</v>
      </c>
      <c r="G179" s="140" t="s">
        <v>494</v>
      </c>
      <c r="H179" s="140" t="s">
        <v>466</v>
      </c>
      <c r="I179" s="140"/>
      <c r="J179" s="142" t="s">
        <v>138</v>
      </c>
      <c r="K179" s="142"/>
      <c r="L179" s="142" t="s">
        <v>191</v>
      </c>
      <c r="M179" s="143">
        <v>4</v>
      </c>
      <c r="N179" s="148">
        <v>3</v>
      </c>
      <c r="O179" s="148" t="s">
        <v>199</v>
      </c>
    </row>
    <row r="180" spans="1:15" ht="348.75">
      <c r="A180" s="142" t="s">
        <v>11134</v>
      </c>
      <c r="B180" s="140" t="s">
        <v>534</v>
      </c>
      <c r="C180" s="140" t="s">
        <v>11135</v>
      </c>
      <c r="D180" s="140" t="s">
        <v>10606</v>
      </c>
      <c r="E180" s="140"/>
      <c r="F180" s="153" t="s">
        <v>231</v>
      </c>
      <c r="G180" s="142" t="s">
        <v>536</v>
      </c>
      <c r="H180" s="142" t="s">
        <v>740</v>
      </c>
      <c r="I180" s="142" t="s">
        <v>537</v>
      </c>
      <c r="J180" s="142" t="s">
        <v>10607</v>
      </c>
      <c r="K180" s="142"/>
      <c r="L180" s="142" t="s">
        <v>191</v>
      </c>
      <c r="M180" s="143">
        <v>4</v>
      </c>
      <c r="N180" s="148">
        <v>5</v>
      </c>
      <c r="O180" s="148" t="s">
        <v>199</v>
      </c>
    </row>
    <row r="181" spans="1:15" ht="292.5">
      <c r="A181" s="140" t="s">
        <v>11136</v>
      </c>
      <c r="B181" s="140" t="s">
        <v>539</v>
      </c>
      <c r="C181" s="140" t="s">
        <v>11137</v>
      </c>
      <c r="D181" s="140" t="s">
        <v>10606</v>
      </c>
      <c r="E181" s="140"/>
      <c r="F181" s="171" t="s">
        <v>541</v>
      </c>
      <c r="G181" s="142" t="s">
        <v>11138</v>
      </c>
      <c r="H181" s="142" t="s">
        <v>740</v>
      </c>
      <c r="I181" s="142" t="s">
        <v>543</v>
      </c>
      <c r="J181" s="142" t="s">
        <v>138</v>
      </c>
      <c r="K181" s="142"/>
      <c r="L181" s="142" t="s">
        <v>191</v>
      </c>
      <c r="M181" s="143">
        <v>4</v>
      </c>
      <c r="N181" s="148">
        <v>4</v>
      </c>
      <c r="O181" s="148" t="s">
        <v>199</v>
      </c>
    </row>
    <row r="182" spans="1:15" ht="202.5">
      <c r="A182" s="140" t="s">
        <v>11139</v>
      </c>
      <c r="B182" s="140" t="s">
        <v>559</v>
      </c>
      <c r="C182" s="140" t="s">
        <v>11140</v>
      </c>
      <c r="D182" s="140" t="s">
        <v>10606</v>
      </c>
      <c r="E182" s="140"/>
      <c r="F182" s="153" t="s">
        <v>231</v>
      </c>
      <c r="G182" s="142" t="s">
        <v>561</v>
      </c>
      <c r="H182" s="142" t="s">
        <v>740</v>
      </c>
      <c r="I182" s="142" t="s">
        <v>718</v>
      </c>
      <c r="J182" s="142" t="s">
        <v>10607</v>
      </c>
      <c r="K182" s="142"/>
      <c r="L182" s="142" t="s">
        <v>191</v>
      </c>
      <c r="M182" s="143">
        <v>4</v>
      </c>
      <c r="N182" s="148">
        <v>5</v>
      </c>
      <c r="O182" s="148" t="s">
        <v>199</v>
      </c>
    </row>
    <row r="183" spans="1:15" ht="135">
      <c r="A183" s="140" t="s">
        <v>11141</v>
      </c>
      <c r="B183" s="140" t="s">
        <v>570</v>
      </c>
      <c r="C183" s="140" t="s">
        <v>11142</v>
      </c>
      <c r="D183" s="140" t="s">
        <v>10606</v>
      </c>
      <c r="E183" s="140"/>
      <c r="F183" s="153" t="s">
        <v>231</v>
      </c>
      <c r="G183" s="142" t="s">
        <v>572</v>
      </c>
      <c r="H183" s="142" t="s">
        <v>740</v>
      </c>
      <c r="I183" s="142" t="s">
        <v>728</v>
      </c>
      <c r="J183" s="142" t="s">
        <v>10607</v>
      </c>
      <c r="K183" s="142"/>
      <c r="L183" s="142" t="s">
        <v>191</v>
      </c>
      <c r="M183" s="143">
        <v>4</v>
      </c>
      <c r="N183" s="148">
        <v>4</v>
      </c>
      <c r="O183" s="148" t="s">
        <v>199</v>
      </c>
    </row>
    <row r="184" spans="1:15" ht="45">
      <c r="A184" s="140" t="s">
        <v>11143</v>
      </c>
      <c r="B184" s="140" t="s">
        <v>11144</v>
      </c>
      <c r="C184" s="140" t="s">
        <v>11145</v>
      </c>
      <c r="D184" s="140" t="s">
        <v>10606</v>
      </c>
      <c r="E184" s="140"/>
      <c r="F184" s="153" t="s">
        <v>354</v>
      </c>
      <c r="G184" s="142" t="s">
        <v>11146</v>
      </c>
      <c r="H184" s="142" t="s">
        <v>188</v>
      </c>
      <c r="I184" s="197" t="s">
        <v>567</v>
      </c>
      <c r="J184" s="142" t="s">
        <v>138</v>
      </c>
      <c r="K184" s="142"/>
      <c r="L184" s="142" t="s">
        <v>191</v>
      </c>
      <c r="M184" s="143">
        <v>4</v>
      </c>
      <c r="N184" s="148">
        <v>5</v>
      </c>
      <c r="O184" s="148" t="s">
        <v>199</v>
      </c>
    </row>
    <row r="185" spans="1:15" ht="45">
      <c r="A185" s="140" t="s">
        <v>11147</v>
      </c>
      <c r="B185" s="140" t="s">
        <v>564</v>
      </c>
      <c r="C185" s="140" t="s">
        <v>11145</v>
      </c>
      <c r="D185" s="140" t="s">
        <v>10606</v>
      </c>
      <c r="E185" s="140"/>
      <c r="F185" s="153" t="s">
        <v>11148</v>
      </c>
      <c r="G185" s="142" t="s">
        <v>11146</v>
      </c>
      <c r="H185" s="142" t="s">
        <v>188</v>
      </c>
      <c r="I185" s="197" t="s">
        <v>567</v>
      </c>
      <c r="J185" s="142" t="s">
        <v>138</v>
      </c>
      <c r="K185" s="142"/>
      <c r="L185" s="142" t="s">
        <v>191</v>
      </c>
      <c r="M185" s="143">
        <v>4</v>
      </c>
      <c r="N185" s="148">
        <v>5</v>
      </c>
      <c r="O185" s="148" t="s">
        <v>199</v>
      </c>
    </row>
    <row r="186" spans="1:15" ht="112.5">
      <c r="A186" s="140" t="s">
        <v>11149</v>
      </c>
      <c r="B186" s="140" t="s">
        <v>11150</v>
      </c>
      <c r="C186" s="140" t="s">
        <v>11151</v>
      </c>
      <c r="D186" s="140" t="s">
        <v>10606</v>
      </c>
      <c r="E186" s="140"/>
      <c r="F186" s="153" t="s">
        <v>231</v>
      </c>
      <c r="G186" s="142" t="s">
        <v>11152</v>
      </c>
      <c r="H186" s="142" t="s">
        <v>198</v>
      </c>
      <c r="I186" s="142"/>
      <c r="J186" s="142" t="s">
        <v>11153</v>
      </c>
      <c r="K186" s="142"/>
      <c r="L186" s="142" t="s">
        <v>191</v>
      </c>
      <c r="M186" s="143">
        <v>4</v>
      </c>
      <c r="N186" s="148">
        <v>5</v>
      </c>
      <c r="O186" s="148" t="s">
        <v>199</v>
      </c>
    </row>
    <row r="187" spans="1:15" ht="146.25">
      <c r="A187" s="140" t="s">
        <v>11154</v>
      </c>
      <c r="B187" s="140" t="s">
        <v>11155</v>
      </c>
      <c r="C187" s="140" t="s">
        <v>11156</v>
      </c>
      <c r="D187" s="140" t="s">
        <v>10606</v>
      </c>
      <c r="E187" s="140"/>
      <c r="F187" s="153" t="s">
        <v>231</v>
      </c>
      <c r="G187" s="142" t="s">
        <v>11157</v>
      </c>
      <c r="H187" s="142" t="s">
        <v>740</v>
      </c>
      <c r="I187" s="140"/>
      <c r="J187" s="142" t="s">
        <v>11158</v>
      </c>
      <c r="K187" s="142"/>
      <c r="L187" s="142" t="s">
        <v>191</v>
      </c>
      <c r="M187" s="143">
        <v>4</v>
      </c>
      <c r="N187" s="148">
        <v>5</v>
      </c>
      <c r="O187" s="148" t="s">
        <v>199</v>
      </c>
    </row>
    <row r="188" spans="1:15" ht="146.25">
      <c r="A188" s="140" t="s">
        <v>11159</v>
      </c>
      <c r="B188" s="140" t="s">
        <v>11160</v>
      </c>
      <c r="C188" s="140" t="s">
        <v>11161</v>
      </c>
      <c r="D188" s="140" t="s">
        <v>10606</v>
      </c>
      <c r="E188" s="140"/>
      <c r="F188" s="153" t="s">
        <v>275</v>
      </c>
      <c r="G188" s="142" t="s">
        <v>11162</v>
      </c>
      <c r="H188" s="142" t="s">
        <v>740</v>
      </c>
      <c r="I188" s="142" t="s">
        <v>11163</v>
      </c>
      <c r="J188" s="142" t="s">
        <v>11164</v>
      </c>
      <c r="K188" s="142"/>
      <c r="L188" s="142" t="s">
        <v>191</v>
      </c>
      <c r="M188" s="143">
        <v>4</v>
      </c>
      <c r="N188" s="148">
        <v>5</v>
      </c>
      <c r="O188" s="148" t="s">
        <v>199</v>
      </c>
    </row>
    <row r="189" spans="1:15" ht="146.25">
      <c r="A189" s="140" t="s">
        <v>11165</v>
      </c>
      <c r="B189" s="140" t="s">
        <v>11166</v>
      </c>
      <c r="C189" s="140" t="s">
        <v>11167</v>
      </c>
      <c r="D189" s="140" t="s">
        <v>10606</v>
      </c>
      <c r="E189" s="140"/>
      <c r="F189" s="153" t="s">
        <v>231</v>
      </c>
      <c r="G189" s="142" t="s">
        <v>11168</v>
      </c>
      <c r="H189" s="142" t="s">
        <v>740</v>
      </c>
      <c r="I189" s="140"/>
      <c r="J189" s="142" t="s">
        <v>11169</v>
      </c>
      <c r="K189" s="142"/>
      <c r="L189" s="142" t="s">
        <v>191</v>
      </c>
      <c r="M189" s="143">
        <v>4</v>
      </c>
      <c r="N189" s="148">
        <v>5</v>
      </c>
      <c r="O189" s="148" t="s">
        <v>199</v>
      </c>
    </row>
    <row r="190" spans="1:15" ht="146.25">
      <c r="A190" s="140" t="s">
        <v>11170</v>
      </c>
      <c r="B190" s="140" t="s">
        <v>11171</v>
      </c>
      <c r="C190" s="140" t="s">
        <v>11172</v>
      </c>
      <c r="D190" s="140" t="s">
        <v>10606</v>
      </c>
      <c r="E190" s="140"/>
      <c r="F190" s="153" t="s">
        <v>275</v>
      </c>
      <c r="G190" s="142" t="s">
        <v>11173</v>
      </c>
      <c r="H190" s="142" t="s">
        <v>740</v>
      </c>
      <c r="I190" s="142" t="s">
        <v>11163</v>
      </c>
      <c r="J190" s="142" t="s">
        <v>11174</v>
      </c>
      <c r="K190" s="142"/>
      <c r="L190" s="142" t="s">
        <v>191</v>
      </c>
      <c r="M190" s="143">
        <v>4</v>
      </c>
      <c r="N190" s="148">
        <v>5</v>
      </c>
      <c r="O190" s="148" t="s">
        <v>199</v>
      </c>
    </row>
    <row r="191" spans="1:15" ht="135">
      <c r="A191" s="140" t="s">
        <v>11175</v>
      </c>
      <c r="B191" s="140" t="s">
        <v>11176</v>
      </c>
      <c r="C191" s="140" t="s">
        <v>11177</v>
      </c>
      <c r="D191" s="140" t="s">
        <v>10606</v>
      </c>
      <c r="E191" s="140"/>
      <c r="F191" s="153" t="s">
        <v>231</v>
      </c>
      <c r="G191" s="142" t="s">
        <v>11178</v>
      </c>
      <c r="H191" s="142" t="s">
        <v>740</v>
      </c>
      <c r="I191" s="140"/>
      <c r="J191" s="142" t="s">
        <v>11179</v>
      </c>
      <c r="K191" s="142"/>
      <c r="L191" s="142" t="s">
        <v>191</v>
      </c>
      <c r="M191" s="143">
        <v>4</v>
      </c>
      <c r="N191" s="148">
        <v>5</v>
      </c>
      <c r="O191" s="148" t="s">
        <v>199</v>
      </c>
    </row>
    <row r="192" spans="1:15" ht="123.75">
      <c r="A192" s="140" t="s">
        <v>11180</v>
      </c>
      <c r="B192" s="140" t="s">
        <v>11181</v>
      </c>
      <c r="C192" s="140" t="s">
        <v>11182</v>
      </c>
      <c r="D192" s="140" t="s">
        <v>10606</v>
      </c>
      <c r="E192" s="140"/>
      <c r="F192" s="153" t="s">
        <v>231</v>
      </c>
      <c r="G192" s="142" t="s">
        <v>11183</v>
      </c>
      <c r="H192" s="142" t="s">
        <v>740</v>
      </c>
      <c r="I192" s="142"/>
      <c r="J192" s="142" t="s">
        <v>11184</v>
      </c>
      <c r="K192" s="142"/>
      <c r="L192" s="142" t="s">
        <v>191</v>
      </c>
      <c r="M192" s="143">
        <v>4</v>
      </c>
      <c r="N192" s="148">
        <v>5</v>
      </c>
      <c r="O192" s="148" t="s">
        <v>199</v>
      </c>
    </row>
    <row r="193" spans="1:15" ht="157.5">
      <c r="A193" s="140" t="s">
        <v>11185</v>
      </c>
      <c r="B193" s="140" t="s">
        <v>11186</v>
      </c>
      <c r="C193" s="140" t="s">
        <v>11187</v>
      </c>
      <c r="D193" s="140" t="s">
        <v>10606</v>
      </c>
      <c r="E193" s="140"/>
      <c r="F193" s="153" t="s">
        <v>231</v>
      </c>
      <c r="G193" s="142" t="s">
        <v>11188</v>
      </c>
      <c r="H193" s="142" t="s">
        <v>740</v>
      </c>
      <c r="I193" s="140"/>
      <c r="J193" s="142" t="s">
        <v>11189</v>
      </c>
      <c r="K193" s="142"/>
      <c r="L193" s="142" t="s">
        <v>191</v>
      </c>
      <c r="M193" s="143">
        <v>4</v>
      </c>
      <c r="N193" s="148">
        <v>5</v>
      </c>
      <c r="O193" s="148" t="s">
        <v>199</v>
      </c>
    </row>
    <row r="194" spans="1:15" ht="157.5">
      <c r="A194" s="140" t="s">
        <v>11190</v>
      </c>
      <c r="B194" s="140" t="s">
        <v>11191</v>
      </c>
      <c r="C194" s="140" t="s">
        <v>11192</v>
      </c>
      <c r="D194" s="140" t="s">
        <v>10606</v>
      </c>
      <c r="E194" s="140"/>
      <c r="F194" s="153" t="s">
        <v>275</v>
      </c>
      <c r="G194" s="142" t="s">
        <v>11193</v>
      </c>
      <c r="H194" s="142" t="s">
        <v>740</v>
      </c>
      <c r="I194" s="142" t="s">
        <v>11163</v>
      </c>
      <c r="J194" s="142" t="s">
        <v>11194</v>
      </c>
      <c r="K194" s="142"/>
      <c r="L194" s="142" t="s">
        <v>191</v>
      </c>
      <c r="M194" s="143">
        <v>4</v>
      </c>
      <c r="N194" s="148">
        <v>5</v>
      </c>
      <c r="O194" s="148" t="s">
        <v>199</v>
      </c>
    </row>
    <row r="195" spans="1:15" ht="157.5">
      <c r="A195" s="140" t="s">
        <v>11195</v>
      </c>
      <c r="B195" s="140" t="s">
        <v>11196</v>
      </c>
      <c r="C195" s="140" t="s">
        <v>11197</v>
      </c>
      <c r="D195" s="140" t="s">
        <v>10606</v>
      </c>
      <c r="E195" s="140"/>
      <c r="F195" s="153" t="s">
        <v>231</v>
      </c>
      <c r="G195" s="142" t="s">
        <v>11198</v>
      </c>
      <c r="H195" s="142" t="s">
        <v>740</v>
      </c>
      <c r="I195" s="140"/>
      <c r="J195" s="142" t="s">
        <v>11199</v>
      </c>
      <c r="K195" s="142"/>
      <c r="L195" s="142" t="s">
        <v>191</v>
      </c>
      <c r="M195" s="143">
        <v>4</v>
      </c>
      <c r="N195" s="148">
        <v>5</v>
      </c>
      <c r="O195" s="148" t="s">
        <v>199</v>
      </c>
    </row>
    <row r="196" spans="1:15" ht="157.5">
      <c r="A196" s="140" t="s">
        <v>11200</v>
      </c>
      <c r="B196" s="140" t="s">
        <v>11201</v>
      </c>
      <c r="C196" s="140" t="s">
        <v>11202</v>
      </c>
      <c r="D196" s="140" t="s">
        <v>10606</v>
      </c>
      <c r="E196" s="140"/>
      <c r="F196" s="153" t="s">
        <v>275</v>
      </c>
      <c r="G196" s="142" t="s">
        <v>11203</v>
      </c>
      <c r="H196" s="142" t="s">
        <v>740</v>
      </c>
      <c r="I196" s="142" t="s">
        <v>11163</v>
      </c>
      <c r="J196" s="142" t="s">
        <v>11204</v>
      </c>
      <c r="K196" s="142"/>
      <c r="L196" s="142" t="s">
        <v>191</v>
      </c>
      <c r="M196" s="143">
        <v>4</v>
      </c>
      <c r="N196" s="148">
        <v>5</v>
      </c>
      <c r="O196" s="148" t="s">
        <v>199</v>
      </c>
    </row>
    <row r="197" spans="1:15" ht="146.25">
      <c r="A197" s="140" t="s">
        <v>11205</v>
      </c>
      <c r="B197" s="140" t="s">
        <v>11206</v>
      </c>
      <c r="C197" s="140" t="s">
        <v>11207</v>
      </c>
      <c r="D197" s="140" t="s">
        <v>10606</v>
      </c>
      <c r="E197" s="140"/>
      <c r="F197" s="153" t="s">
        <v>231</v>
      </c>
      <c r="G197" s="142" t="s">
        <v>11208</v>
      </c>
      <c r="H197" s="142" t="s">
        <v>198</v>
      </c>
      <c r="I197" s="140"/>
      <c r="J197" s="142" t="s">
        <v>11209</v>
      </c>
      <c r="K197" s="142"/>
      <c r="L197" s="142" t="s">
        <v>191</v>
      </c>
      <c r="M197" s="143">
        <v>4</v>
      </c>
      <c r="N197" s="148">
        <v>5</v>
      </c>
      <c r="O197" s="148" t="s">
        <v>199</v>
      </c>
    </row>
    <row r="198" spans="1:15" ht="123.75">
      <c r="A198" s="140" t="s">
        <v>11210</v>
      </c>
      <c r="B198" s="140" t="s">
        <v>11211</v>
      </c>
      <c r="C198" s="140" t="s">
        <v>11212</v>
      </c>
      <c r="D198" s="140" t="s">
        <v>10606</v>
      </c>
      <c r="E198" s="140"/>
      <c r="F198" s="153" t="s">
        <v>231</v>
      </c>
      <c r="G198" s="142" t="s">
        <v>11213</v>
      </c>
      <c r="H198" s="142" t="s">
        <v>198</v>
      </c>
      <c r="I198" s="142"/>
      <c r="J198" s="142" t="s">
        <v>11214</v>
      </c>
      <c r="K198" s="142"/>
      <c r="L198" s="142" t="s">
        <v>191</v>
      </c>
      <c r="M198" s="143">
        <v>4</v>
      </c>
      <c r="N198" s="148">
        <v>5</v>
      </c>
      <c r="O198" s="148" t="s">
        <v>199</v>
      </c>
    </row>
    <row r="199" spans="1:15" ht="168.75">
      <c r="A199" s="140" t="s">
        <v>11215</v>
      </c>
      <c r="B199" s="140" t="s">
        <v>11216</v>
      </c>
      <c r="C199" s="140" t="s">
        <v>11217</v>
      </c>
      <c r="D199" s="140" t="s">
        <v>10606</v>
      </c>
      <c r="E199" s="140"/>
      <c r="F199" s="153" t="s">
        <v>231</v>
      </c>
      <c r="G199" s="142" t="s">
        <v>11218</v>
      </c>
      <c r="H199" s="142" t="s">
        <v>198</v>
      </c>
      <c r="I199" s="140"/>
      <c r="J199" s="142" t="s">
        <v>11219</v>
      </c>
      <c r="K199" s="142"/>
      <c r="L199" s="142" t="s">
        <v>191</v>
      </c>
      <c r="M199" s="143">
        <v>4</v>
      </c>
      <c r="N199" s="148">
        <v>5</v>
      </c>
      <c r="O199" s="148" t="s">
        <v>199</v>
      </c>
    </row>
    <row r="200" spans="1:15" ht="168.75">
      <c r="A200" s="140" t="s">
        <v>11220</v>
      </c>
      <c r="B200" s="140" t="s">
        <v>11221</v>
      </c>
      <c r="C200" s="140" t="s">
        <v>11222</v>
      </c>
      <c r="D200" s="140" t="s">
        <v>10606</v>
      </c>
      <c r="E200" s="140"/>
      <c r="F200" s="153" t="s">
        <v>275</v>
      </c>
      <c r="G200" s="142" t="s">
        <v>11223</v>
      </c>
      <c r="H200" s="142" t="s">
        <v>198</v>
      </c>
      <c r="I200" s="142" t="s">
        <v>11163</v>
      </c>
      <c r="J200" s="142" t="s">
        <v>11224</v>
      </c>
      <c r="K200" s="142"/>
      <c r="L200" s="142" t="s">
        <v>191</v>
      </c>
      <c r="M200" s="143">
        <v>4</v>
      </c>
      <c r="N200" s="148">
        <v>5</v>
      </c>
      <c r="O200" s="148" t="s">
        <v>199</v>
      </c>
    </row>
    <row r="201" spans="1:15" ht="168.75">
      <c r="A201" s="140" t="s">
        <v>11225</v>
      </c>
      <c r="B201" s="140" t="s">
        <v>11226</v>
      </c>
      <c r="C201" s="140" t="s">
        <v>11227</v>
      </c>
      <c r="D201" s="140" t="s">
        <v>10606</v>
      </c>
      <c r="E201" s="140"/>
      <c r="F201" s="153" t="s">
        <v>231</v>
      </c>
      <c r="G201" s="142" t="s">
        <v>11228</v>
      </c>
      <c r="H201" s="142" t="s">
        <v>198</v>
      </c>
      <c r="I201" s="140"/>
      <c r="J201" s="142" t="s">
        <v>11229</v>
      </c>
      <c r="K201" s="142"/>
      <c r="L201" s="142" t="s">
        <v>191</v>
      </c>
      <c r="M201" s="143">
        <v>4</v>
      </c>
      <c r="N201" s="148">
        <v>5</v>
      </c>
      <c r="O201" s="148" t="s">
        <v>199</v>
      </c>
    </row>
    <row r="202" spans="1:15" ht="168.75">
      <c r="A202" s="140" t="s">
        <v>11230</v>
      </c>
      <c r="B202" s="140" t="s">
        <v>11231</v>
      </c>
      <c r="C202" s="140" t="s">
        <v>11232</v>
      </c>
      <c r="D202" s="140" t="s">
        <v>10606</v>
      </c>
      <c r="E202" s="140"/>
      <c r="F202" s="153" t="s">
        <v>275</v>
      </c>
      <c r="G202" s="142" t="s">
        <v>11233</v>
      </c>
      <c r="H202" s="142" t="s">
        <v>198</v>
      </c>
      <c r="I202" s="142" t="s">
        <v>11163</v>
      </c>
      <c r="J202" s="142" t="s">
        <v>11234</v>
      </c>
      <c r="K202" s="142"/>
      <c r="L202" s="142" t="s">
        <v>191</v>
      </c>
      <c r="M202" s="143">
        <v>4</v>
      </c>
      <c r="N202" s="148">
        <v>5</v>
      </c>
      <c r="O202" s="148" t="s">
        <v>199</v>
      </c>
    </row>
    <row r="203" spans="1:15" ht="157.5">
      <c r="A203" s="140" t="s">
        <v>11235</v>
      </c>
      <c r="B203" s="140" t="s">
        <v>11236</v>
      </c>
      <c r="C203" s="140" t="s">
        <v>11237</v>
      </c>
      <c r="D203" s="140" t="s">
        <v>10606</v>
      </c>
      <c r="E203" s="140"/>
      <c r="F203" s="153" t="s">
        <v>231</v>
      </c>
      <c r="G203" s="142" t="s">
        <v>11238</v>
      </c>
      <c r="H203" s="142" t="s">
        <v>198</v>
      </c>
      <c r="I203" s="140"/>
      <c r="J203" s="142" t="s">
        <v>11239</v>
      </c>
      <c r="K203" s="142"/>
      <c r="L203" s="142" t="s">
        <v>191</v>
      </c>
      <c r="M203" s="143">
        <v>4</v>
      </c>
      <c r="N203" s="148">
        <v>5</v>
      </c>
      <c r="O203" s="148" t="s">
        <v>199</v>
      </c>
    </row>
    <row r="204" spans="1:15" ht="112.5">
      <c r="A204" s="140" t="s">
        <v>11240</v>
      </c>
      <c r="B204" s="140" t="s">
        <v>11241</v>
      </c>
      <c r="C204" s="140" t="s">
        <v>135</v>
      </c>
      <c r="D204" s="140" t="s">
        <v>10606</v>
      </c>
      <c r="E204" s="140"/>
      <c r="F204" s="153" t="s">
        <v>400</v>
      </c>
      <c r="G204" s="142" t="s">
        <v>11242</v>
      </c>
      <c r="H204" s="142" t="s">
        <v>198</v>
      </c>
      <c r="I204" s="140"/>
      <c r="J204" s="142" t="s">
        <v>11243</v>
      </c>
      <c r="K204" s="142"/>
      <c r="L204" s="142" t="s">
        <v>191</v>
      </c>
      <c r="M204" s="143">
        <v>4</v>
      </c>
      <c r="N204" s="148">
        <v>5</v>
      </c>
      <c r="O204" s="148" t="s">
        <v>199</v>
      </c>
    </row>
    <row r="205" spans="1:15" ht="146.25">
      <c r="A205" s="140" t="s">
        <v>11244</v>
      </c>
      <c r="B205" s="140" t="s">
        <v>11245</v>
      </c>
      <c r="C205" s="140" t="s">
        <v>135</v>
      </c>
      <c r="D205" s="140" t="s">
        <v>10606</v>
      </c>
      <c r="E205" s="140"/>
      <c r="F205" s="153" t="s">
        <v>400</v>
      </c>
      <c r="G205" s="142" t="s">
        <v>11246</v>
      </c>
      <c r="H205" s="142" t="s">
        <v>198</v>
      </c>
      <c r="I205" s="140"/>
      <c r="J205" s="142" t="s">
        <v>11247</v>
      </c>
      <c r="K205" s="142"/>
      <c r="L205" s="142" t="s">
        <v>191</v>
      </c>
      <c r="M205" s="143">
        <v>4</v>
      </c>
      <c r="N205" s="148">
        <v>5</v>
      </c>
      <c r="O205" s="148" t="s">
        <v>199</v>
      </c>
    </row>
    <row r="206" spans="1:15" ht="146.25">
      <c r="A206" s="140" t="s">
        <v>11248</v>
      </c>
      <c r="B206" s="140" t="s">
        <v>11249</v>
      </c>
      <c r="C206" s="140" t="s">
        <v>135</v>
      </c>
      <c r="D206" s="140" t="s">
        <v>10606</v>
      </c>
      <c r="E206" s="140"/>
      <c r="F206" s="153" t="s">
        <v>400</v>
      </c>
      <c r="G206" s="142" t="s">
        <v>11250</v>
      </c>
      <c r="H206" s="142" t="s">
        <v>740</v>
      </c>
      <c r="I206" s="140"/>
      <c r="J206" s="142" t="s">
        <v>11251</v>
      </c>
      <c r="K206" s="142"/>
      <c r="L206" s="142" t="s">
        <v>191</v>
      </c>
      <c r="M206" s="143">
        <v>4</v>
      </c>
      <c r="N206" s="148">
        <v>5</v>
      </c>
      <c r="O206" s="148" t="s">
        <v>199</v>
      </c>
    </row>
    <row r="207" spans="1:15" ht="146.25">
      <c r="A207" s="140" t="s">
        <v>11252</v>
      </c>
      <c r="B207" s="140" t="s">
        <v>11253</v>
      </c>
      <c r="C207" s="140" t="s">
        <v>135</v>
      </c>
      <c r="D207" s="140" t="s">
        <v>10606</v>
      </c>
      <c r="E207" s="140"/>
      <c r="F207" s="153" t="s">
        <v>400</v>
      </c>
      <c r="G207" s="142" t="s">
        <v>11254</v>
      </c>
      <c r="H207" s="142" t="s">
        <v>198</v>
      </c>
      <c r="I207" s="140"/>
      <c r="J207" s="142" t="s">
        <v>11255</v>
      </c>
      <c r="K207" s="142"/>
      <c r="L207" s="142" t="s">
        <v>191</v>
      </c>
      <c r="M207" s="143">
        <v>4</v>
      </c>
      <c r="N207" s="148">
        <v>5</v>
      </c>
      <c r="O207" s="148" t="s">
        <v>199</v>
      </c>
    </row>
    <row r="208" spans="1:15" ht="146.25">
      <c r="A208" s="140" t="s">
        <v>11256</v>
      </c>
      <c r="B208" s="140" t="s">
        <v>11257</v>
      </c>
      <c r="C208" s="140" t="s">
        <v>135</v>
      </c>
      <c r="D208" s="140" t="s">
        <v>10606</v>
      </c>
      <c r="E208" s="140"/>
      <c r="F208" s="153" t="s">
        <v>400</v>
      </c>
      <c r="G208" s="142" t="s">
        <v>11258</v>
      </c>
      <c r="H208" s="142" t="s">
        <v>198</v>
      </c>
      <c r="I208" s="140"/>
      <c r="J208" s="142" t="s">
        <v>11259</v>
      </c>
      <c r="K208" s="142"/>
      <c r="L208" s="142" t="s">
        <v>191</v>
      </c>
      <c r="M208" s="143">
        <v>4</v>
      </c>
      <c r="N208" s="148">
        <v>5</v>
      </c>
      <c r="O208" s="148" t="s">
        <v>199</v>
      </c>
    </row>
    <row r="209" spans="1:15" ht="135">
      <c r="A209" s="140" t="s">
        <v>11260</v>
      </c>
      <c r="B209" s="140" t="s">
        <v>11261</v>
      </c>
      <c r="C209" s="140" t="s">
        <v>135</v>
      </c>
      <c r="D209" s="140" t="s">
        <v>10606</v>
      </c>
      <c r="E209" s="140"/>
      <c r="F209" s="153" t="s">
        <v>400</v>
      </c>
      <c r="G209" s="142" t="s">
        <v>11262</v>
      </c>
      <c r="H209" s="142" t="s">
        <v>198</v>
      </c>
      <c r="I209" s="140"/>
      <c r="J209" s="142" t="s">
        <v>11263</v>
      </c>
      <c r="K209" s="142"/>
      <c r="L209" s="142" t="s">
        <v>191</v>
      </c>
      <c r="M209" s="143">
        <v>4</v>
      </c>
      <c r="N209" s="148">
        <v>5</v>
      </c>
      <c r="O209" s="148" t="s">
        <v>199</v>
      </c>
    </row>
    <row r="210" spans="1:15" ht="78.75">
      <c r="A210" s="140" t="s">
        <v>11264</v>
      </c>
      <c r="B210" s="140" t="s">
        <v>11265</v>
      </c>
      <c r="C210" s="140" t="s">
        <v>11266</v>
      </c>
      <c r="D210" s="140" t="s">
        <v>10606</v>
      </c>
      <c r="E210" s="140"/>
      <c r="F210" s="171" t="s">
        <v>10684</v>
      </c>
      <c r="G210" s="142" t="s">
        <v>11267</v>
      </c>
      <c r="H210" s="142" t="s">
        <v>198</v>
      </c>
      <c r="I210" s="142"/>
      <c r="J210" s="142" t="s">
        <v>11268</v>
      </c>
      <c r="K210" s="142"/>
      <c r="L210" s="142" t="s">
        <v>191</v>
      </c>
      <c r="M210" s="143">
        <v>4</v>
      </c>
      <c r="N210" s="148">
        <v>5</v>
      </c>
      <c r="O210" s="148" t="s">
        <v>199</v>
      </c>
    </row>
    <row r="211" spans="1:15" ht="112.5">
      <c r="A211" s="140" t="s">
        <v>11269</v>
      </c>
      <c r="B211" s="140" t="s">
        <v>11270</v>
      </c>
      <c r="C211" s="140" t="s">
        <v>11271</v>
      </c>
      <c r="D211" s="140" t="s">
        <v>10606</v>
      </c>
      <c r="E211" s="140"/>
      <c r="F211" s="171" t="s">
        <v>10684</v>
      </c>
      <c r="G211" s="142" t="s">
        <v>11272</v>
      </c>
      <c r="H211" s="142" t="s">
        <v>198</v>
      </c>
      <c r="I211" s="140"/>
      <c r="J211" s="142" t="s">
        <v>11273</v>
      </c>
      <c r="K211" s="142"/>
      <c r="L211" s="142" t="s">
        <v>191</v>
      </c>
      <c r="M211" s="143">
        <v>4</v>
      </c>
      <c r="N211" s="148">
        <v>5</v>
      </c>
      <c r="O211" s="148" t="s">
        <v>199</v>
      </c>
    </row>
    <row r="212" spans="1:15" ht="112.5">
      <c r="A212" s="140" t="s">
        <v>11274</v>
      </c>
      <c r="B212" s="140" t="s">
        <v>11275</v>
      </c>
      <c r="C212" s="140" t="s">
        <v>11276</v>
      </c>
      <c r="D212" s="140" t="s">
        <v>10606</v>
      </c>
      <c r="E212" s="140"/>
      <c r="F212" s="153" t="s">
        <v>10966</v>
      </c>
      <c r="G212" s="142" t="s">
        <v>11277</v>
      </c>
      <c r="H212" s="142" t="s">
        <v>740</v>
      </c>
      <c r="I212" s="142" t="s">
        <v>11163</v>
      </c>
      <c r="J212" s="142" t="s">
        <v>11278</v>
      </c>
      <c r="K212" s="142"/>
      <c r="L212" s="142" t="s">
        <v>191</v>
      </c>
      <c r="M212" s="143">
        <v>4</v>
      </c>
      <c r="N212" s="148">
        <v>5</v>
      </c>
      <c r="O212" s="148" t="s">
        <v>199</v>
      </c>
    </row>
    <row r="213" spans="1:15" ht="112.5">
      <c r="A213" s="140" t="s">
        <v>11279</v>
      </c>
      <c r="B213" s="140" t="s">
        <v>11280</v>
      </c>
      <c r="C213" s="140" t="s">
        <v>11281</v>
      </c>
      <c r="D213" s="140" t="s">
        <v>10606</v>
      </c>
      <c r="E213" s="140"/>
      <c r="F213" s="153" t="s">
        <v>1446</v>
      </c>
      <c r="G213" s="142" t="s">
        <v>11282</v>
      </c>
      <c r="H213" s="142" t="s">
        <v>198</v>
      </c>
      <c r="I213" s="140"/>
      <c r="J213" s="142" t="s">
        <v>11283</v>
      </c>
      <c r="K213" s="142"/>
      <c r="L213" s="142" t="s">
        <v>191</v>
      </c>
      <c r="M213" s="143">
        <v>4</v>
      </c>
      <c r="N213" s="148">
        <v>5</v>
      </c>
      <c r="O213" s="148" t="s">
        <v>199</v>
      </c>
    </row>
    <row r="214" spans="1:15" ht="112.5">
      <c r="A214" s="140" t="s">
        <v>11284</v>
      </c>
      <c r="B214" s="140" t="s">
        <v>11285</v>
      </c>
      <c r="C214" s="140" t="s">
        <v>11286</v>
      </c>
      <c r="D214" s="140" t="s">
        <v>10606</v>
      </c>
      <c r="E214" s="140"/>
      <c r="F214" s="475" t="s">
        <v>10966</v>
      </c>
      <c r="G214" s="142" t="s">
        <v>11287</v>
      </c>
      <c r="H214" s="142" t="s">
        <v>740</v>
      </c>
      <c r="I214" s="142" t="s">
        <v>11163</v>
      </c>
      <c r="J214" s="142" t="s">
        <v>11288</v>
      </c>
      <c r="K214" s="142"/>
      <c r="L214" s="142" t="s">
        <v>191</v>
      </c>
      <c r="M214" s="143">
        <v>4</v>
      </c>
      <c r="N214" s="148">
        <v>5</v>
      </c>
      <c r="O214" s="148" t="s">
        <v>199</v>
      </c>
    </row>
    <row r="215" spans="1:15" ht="45">
      <c r="A215" s="140" t="s">
        <v>11289</v>
      </c>
      <c r="B215" s="140" t="s">
        <v>11290</v>
      </c>
      <c r="C215" s="140" t="s">
        <v>11291</v>
      </c>
      <c r="D215" s="140" t="s">
        <v>10606</v>
      </c>
      <c r="E215" s="229"/>
      <c r="F215" s="476" t="s">
        <v>10684</v>
      </c>
      <c r="G215" s="462" t="s">
        <v>11292</v>
      </c>
      <c r="H215" s="142" t="s">
        <v>198</v>
      </c>
      <c r="I215" s="140"/>
      <c r="J215" s="142" t="s">
        <v>11293</v>
      </c>
      <c r="K215" s="142"/>
      <c r="L215" s="142" t="s">
        <v>191</v>
      </c>
      <c r="M215" s="143">
        <v>4</v>
      </c>
      <c r="N215" s="148">
        <v>5</v>
      </c>
      <c r="O215" s="148" t="s">
        <v>199</v>
      </c>
    </row>
    <row r="216" spans="1:15" ht="67.5">
      <c r="A216" s="140" t="s">
        <v>11294</v>
      </c>
      <c r="B216" s="140" t="s">
        <v>11295</v>
      </c>
      <c r="C216" s="140" t="s">
        <v>11296</v>
      </c>
      <c r="D216" s="140" t="s">
        <v>10606</v>
      </c>
      <c r="E216" s="229"/>
      <c r="F216" s="476" t="s">
        <v>296</v>
      </c>
      <c r="G216" s="462" t="s">
        <v>11297</v>
      </c>
      <c r="H216" s="142" t="s">
        <v>198</v>
      </c>
      <c r="I216" s="142" t="s">
        <v>11298</v>
      </c>
      <c r="J216" s="142" t="s">
        <v>11299</v>
      </c>
      <c r="K216" s="142"/>
      <c r="L216" s="142" t="s">
        <v>191</v>
      </c>
      <c r="M216" s="143">
        <v>4</v>
      </c>
      <c r="N216" s="148">
        <v>5</v>
      </c>
      <c r="O216" s="148" t="s">
        <v>199</v>
      </c>
    </row>
    <row r="217" spans="1:15" ht="67.5">
      <c r="A217" s="140" t="s">
        <v>11300</v>
      </c>
      <c r="B217" s="140" t="s">
        <v>11301</v>
      </c>
      <c r="C217" s="140" t="s">
        <v>11302</v>
      </c>
      <c r="D217" s="140" t="s">
        <v>10606</v>
      </c>
      <c r="E217" s="229"/>
      <c r="F217" s="476" t="s">
        <v>296</v>
      </c>
      <c r="G217" s="462" t="s">
        <v>11303</v>
      </c>
      <c r="H217" s="142" t="s">
        <v>198</v>
      </c>
      <c r="I217" s="140"/>
      <c r="J217" s="142" t="s">
        <v>11304</v>
      </c>
      <c r="K217" s="142"/>
      <c r="L217" s="142" t="s">
        <v>191</v>
      </c>
      <c r="M217" s="143">
        <v>4</v>
      </c>
      <c r="N217" s="148">
        <v>5</v>
      </c>
      <c r="O217" s="148" t="s">
        <v>199</v>
      </c>
    </row>
    <row r="218" spans="1:15" ht="67.5">
      <c r="A218" s="140" t="s">
        <v>11305</v>
      </c>
      <c r="B218" s="140" t="s">
        <v>11306</v>
      </c>
      <c r="C218" s="140" t="s">
        <v>11307</v>
      </c>
      <c r="D218" s="140" t="s">
        <v>10606</v>
      </c>
      <c r="E218" s="229"/>
      <c r="F218" s="476" t="s">
        <v>296</v>
      </c>
      <c r="G218" s="462" t="s">
        <v>11308</v>
      </c>
      <c r="H218" s="142" t="s">
        <v>198</v>
      </c>
      <c r="I218" s="140"/>
      <c r="J218" s="142" t="s">
        <v>11309</v>
      </c>
      <c r="K218" s="142"/>
      <c r="L218" s="142" t="s">
        <v>191</v>
      </c>
      <c r="M218" s="143">
        <v>4</v>
      </c>
      <c r="N218" s="148">
        <v>5</v>
      </c>
      <c r="O218" s="148" t="s">
        <v>199</v>
      </c>
    </row>
    <row r="219" spans="1:15" ht="67.5">
      <c r="A219" s="140" t="s">
        <v>11310</v>
      </c>
      <c r="B219" s="140" t="s">
        <v>11311</v>
      </c>
      <c r="C219" s="140" t="s">
        <v>11312</v>
      </c>
      <c r="D219" s="140" t="s">
        <v>10606</v>
      </c>
      <c r="E219" s="229"/>
      <c r="F219" s="476" t="s">
        <v>296</v>
      </c>
      <c r="G219" s="462" t="s">
        <v>11313</v>
      </c>
      <c r="H219" s="142" t="s">
        <v>198</v>
      </c>
      <c r="I219" s="140"/>
      <c r="J219" s="142" t="s">
        <v>11314</v>
      </c>
      <c r="K219" s="142"/>
      <c r="L219" s="142" t="s">
        <v>191</v>
      </c>
      <c r="M219" s="143">
        <v>4</v>
      </c>
      <c r="N219" s="148">
        <v>5</v>
      </c>
      <c r="O219" s="148" t="s">
        <v>199</v>
      </c>
    </row>
    <row r="220" spans="1:15" ht="49.5" customHeight="1">
      <c r="A220" s="140" t="s">
        <v>11315</v>
      </c>
      <c r="B220" s="140" t="s">
        <v>11316</v>
      </c>
      <c r="C220" s="140" t="s">
        <v>135</v>
      </c>
      <c r="D220" s="140" t="s">
        <v>10606</v>
      </c>
      <c r="E220" s="229"/>
      <c r="F220" s="476" t="s">
        <v>400</v>
      </c>
      <c r="G220" s="462" t="s">
        <v>11317</v>
      </c>
      <c r="H220" s="142" t="s">
        <v>198</v>
      </c>
      <c r="I220" s="142"/>
      <c r="J220" s="142" t="s">
        <v>11318</v>
      </c>
      <c r="K220" s="142"/>
      <c r="L220" s="142" t="s">
        <v>191</v>
      </c>
      <c r="M220" s="143">
        <v>4</v>
      </c>
      <c r="N220" s="148">
        <v>5</v>
      </c>
      <c r="O220" s="148" t="s">
        <v>199</v>
      </c>
    </row>
    <row r="221" spans="1:15" ht="46.5" customHeight="1">
      <c r="A221" s="140" t="s">
        <v>11319</v>
      </c>
      <c r="B221" s="140" t="s">
        <v>11320</v>
      </c>
      <c r="C221" s="140" t="s">
        <v>135</v>
      </c>
      <c r="D221" s="140" t="s">
        <v>10606</v>
      </c>
      <c r="E221" s="229"/>
      <c r="F221" s="476" t="s">
        <v>400</v>
      </c>
      <c r="G221" s="462" t="s">
        <v>11321</v>
      </c>
      <c r="H221" s="142" t="s">
        <v>198</v>
      </c>
      <c r="I221" s="142"/>
      <c r="J221" s="142" t="s">
        <v>11322</v>
      </c>
      <c r="K221" s="142"/>
      <c r="L221" s="142" t="s">
        <v>191</v>
      </c>
      <c r="M221" s="143">
        <v>4</v>
      </c>
      <c r="N221" s="148">
        <v>5</v>
      </c>
      <c r="O221" s="148" t="s">
        <v>199</v>
      </c>
    </row>
    <row r="222" spans="1:15" ht="48.75" customHeight="1">
      <c r="A222" s="140" t="s">
        <v>11323</v>
      </c>
      <c r="B222" s="140" t="s">
        <v>11324</v>
      </c>
      <c r="C222" s="140" t="s">
        <v>135</v>
      </c>
      <c r="D222" s="140" t="s">
        <v>10606</v>
      </c>
      <c r="E222" s="229"/>
      <c r="F222" s="476" t="s">
        <v>400</v>
      </c>
      <c r="G222" s="462" t="s">
        <v>11325</v>
      </c>
      <c r="H222" s="142" t="s">
        <v>198</v>
      </c>
      <c r="I222" s="142"/>
      <c r="J222" s="142" t="s">
        <v>11326</v>
      </c>
      <c r="K222" s="142"/>
      <c r="L222" s="142" t="s">
        <v>191</v>
      </c>
      <c r="M222" s="143">
        <v>4</v>
      </c>
      <c r="N222" s="148">
        <v>5</v>
      </c>
      <c r="O222" s="148" t="s">
        <v>199</v>
      </c>
    </row>
    <row r="223" spans="1:15" ht="34.5" customHeight="1">
      <c r="A223" s="140" t="s">
        <v>11327</v>
      </c>
      <c r="B223" s="140" t="s">
        <v>11328</v>
      </c>
      <c r="C223" s="140" t="s">
        <v>135</v>
      </c>
      <c r="D223" s="140" t="s">
        <v>10606</v>
      </c>
      <c r="E223" s="229"/>
      <c r="F223" s="476" t="s">
        <v>400</v>
      </c>
      <c r="G223" s="462" t="s">
        <v>11313</v>
      </c>
      <c r="H223" s="142" t="s">
        <v>198</v>
      </c>
      <c r="I223" s="142"/>
      <c r="J223" s="142" t="s">
        <v>11329</v>
      </c>
      <c r="K223" s="142"/>
      <c r="L223" s="142" t="s">
        <v>191</v>
      </c>
      <c r="M223" s="143">
        <v>4</v>
      </c>
      <c r="N223" s="148">
        <v>5</v>
      </c>
      <c r="O223" s="148" t="s">
        <v>199</v>
      </c>
    </row>
    <row r="224" spans="1:15" ht="78.75">
      <c r="A224" s="140" t="s">
        <v>11330</v>
      </c>
      <c r="B224" s="140" t="s">
        <v>11331</v>
      </c>
      <c r="C224" s="140" t="s">
        <v>135</v>
      </c>
      <c r="D224" s="140" t="s">
        <v>10606</v>
      </c>
      <c r="E224" s="229"/>
      <c r="F224" s="476" t="s">
        <v>400</v>
      </c>
      <c r="G224" s="462" t="s">
        <v>11317</v>
      </c>
      <c r="H224" s="142" t="s">
        <v>198</v>
      </c>
      <c r="I224" s="142"/>
      <c r="J224" s="142" t="s">
        <v>11332</v>
      </c>
      <c r="K224" s="142"/>
      <c r="L224" s="142" t="s">
        <v>191</v>
      </c>
      <c r="M224" s="143">
        <v>4</v>
      </c>
      <c r="N224" s="148">
        <v>5</v>
      </c>
      <c r="O224" s="148" t="s">
        <v>199</v>
      </c>
    </row>
    <row r="225" spans="1:15" ht="78.75">
      <c r="A225" s="140" t="s">
        <v>11333</v>
      </c>
      <c r="B225" s="140" t="s">
        <v>11334</v>
      </c>
      <c r="C225" s="140" t="s">
        <v>135</v>
      </c>
      <c r="D225" s="140" t="s">
        <v>10606</v>
      </c>
      <c r="E225" s="229"/>
      <c r="F225" s="476" t="s">
        <v>400</v>
      </c>
      <c r="G225" s="462" t="s">
        <v>11303</v>
      </c>
      <c r="H225" s="142" t="s">
        <v>198</v>
      </c>
      <c r="I225" s="142"/>
      <c r="J225" s="142" t="s">
        <v>11335</v>
      </c>
      <c r="K225" s="142"/>
      <c r="L225" s="142" t="s">
        <v>191</v>
      </c>
      <c r="M225" s="143">
        <v>4</v>
      </c>
      <c r="N225" s="148">
        <v>5</v>
      </c>
      <c r="O225" s="148" t="s">
        <v>199</v>
      </c>
    </row>
    <row r="226" spans="1:15" ht="78.75">
      <c r="A226" s="140" t="s">
        <v>11336</v>
      </c>
      <c r="B226" s="140" t="s">
        <v>11337</v>
      </c>
      <c r="C226" s="140" t="s">
        <v>135</v>
      </c>
      <c r="D226" s="140" t="s">
        <v>10606</v>
      </c>
      <c r="E226" s="229"/>
      <c r="F226" s="476" t="s">
        <v>400</v>
      </c>
      <c r="G226" s="462" t="s">
        <v>11325</v>
      </c>
      <c r="H226" s="142" t="s">
        <v>198</v>
      </c>
      <c r="I226" s="142"/>
      <c r="J226" s="142" t="s">
        <v>11338</v>
      </c>
      <c r="K226" s="142"/>
      <c r="L226" s="142" t="s">
        <v>191</v>
      </c>
      <c r="M226" s="143">
        <v>4</v>
      </c>
      <c r="N226" s="148">
        <v>5</v>
      </c>
      <c r="O226" s="148" t="s">
        <v>199</v>
      </c>
    </row>
    <row r="227" spans="1:15" ht="59.25" customHeight="1">
      <c r="A227" s="140" t="s">
        <v>11339</v>
      </c>
      <c r="B227" s="140" t="s">
        <v>11340</v>
      </c>
      <c r="C227" s="140" t="s">
        <v>135</v>
      </c>
      <c r="D227" s="140" t="s">
        <v>10606</v>
      </c>
      <c r="E227" s="229"/>
      <c r="F227" s="476" t="s">
        <v>400</v>
      </c>
      <c r="G227" s="462" t="s">
        <v>11313</v>
      </c>
      <c r="H227" s="142" t="s">
        <v>198</v>
      </c>
      <c r="I227" s="142"/>
      <c r="J227" s="142" t="s">
        <v>11341</v>
      </c>
      <c r="K227" s="142"/>
      <c r="L227" s="142" t="s">
        <v>191</v>
      </c>
      <c r="M227" s="143">
        <v>4</v>
      </c>
      <c r="N227" s="148">
        <v>5</v>
      </c>
      <c r="O227" s="148" t="s">
        <v>199</v>
      </c>
    </row>
    <row r="228" spans="1:15" ht="45">
      <c r="A228" s="140" t="s">
        <v>11342</v>
      </c>
      <c r="B228" s="140" t="s">
        <v>11343</v>
      </c>
      <c r="C228" s="140" t="s">
        <v>11344</v>
      </c>
      <c r="D228" s="140" t="s">
        <v>10606</v>
      </c>
      <c r="E228" s="229"/>
      <c r="F228" s="476" t="s">
        <v>231</v>
      </c>
      <c r="G228" s="462" t="s">
        <v>11345</v>
      </c>
      <c r="H228" s="142" t="s">
        <v>188</v>
      </c>
      <c r="I228" s="142" t="s">
        <v>250</v>
      </c>
      <c r="J228" s="142" t="s">
        <v>11346</v>
      </c>
      <c r="K228" s="142"/>
      <c r="L228" s="142" t="s">
        <v>191</v>
      </c>
      <c r="M228" s="143">
        <v>4</v>
      </c>
      <c r="N228" s="148">
        <v>5</v>
      </c>
      <c r="O228" s="148" t="s">
        <v>199</v>
      </c>
    </row>
    <row r="229" spans="1:15" ht="348.75">
      <c r="A229" s="140" t="s">
        <v>11347</v>
      </c>
      <c r="B229" s="140" t="s">
        <v>11348</v>
      </c>
      <c r="C229" s="140"/>
      <c r="D229" s="140" t="s">
        <v>10606</v>
      </c>
      <c r="E229" s="229"/>
      <c r="F229" s="476" t="s">
        <v>366</v>
      </c>
      <c r="G229" s="462" t="s">
        <v>11349</v>
      </c>
      <c r="H229" s="142" t="s">
        <v>740</v>
      </c>
      <c r="I229" s="142" t="s">
        <v>11350</v>
      </c>
      <c r="J229" s="142"/>
      <c r="K229" s="142"/>
      <c r="L229" s="142" t="s">
        <v>191</v>
      </c>
      <c r="M229" s="143">
        <v>4</v>
      </c>
      <c r="N229" s="148">
        <v>5</v>
      </c>
      <c r="O229" s="148" t="s">
        <v>199</v>
      </c>
    </row>
  </sheetData>
  <autoFilter ref="A7:Q163" xr:uid="{00000000-0009-0000-0000-000010000000}"/>
  <phoneticPr fontId="39" type="noConversion"/>
  <conditionalFormatting sqref="P8:P164">
    <cfRule type="containsText" dxfId="61" priority="3" operator="containsText" text="Yes">
      <formula>NOT(ISERROR(SEARCH("Yes",P8)))</formula>
    </cfRule>
  </conditionalFormatting>
  <dataValidations count="1">
    <dataValidation type="list" allowBlank="1" showInputMessage="1" showErrorMessage="1" sqref="P8:P164" xr:uid="{00000000-0002-0000-1000-000000000000}">
      <formula1>"No,Yes"</formula1>
    </dataValidation>
  </dataValidations>
  <pageMargins left="0.15748031496063003" right="0.15748031496063003" top="0.47244094488189015" bottom="0.47244094488189015" header="0.15748031496063003" footer="0.15748031496063003"/>
  <pageSetup paperSize="9" scale="65" fitToWidth="0" fitToHeight="0" orientation="landscape" r:id="rId1"/>
  <headerFooter alignWithMargins="0">
    <oddHeader>&amp;C&amp;F</oddHeader>
    <oddFooter>&amp;L&amp;A&amp;CPage &amp;P of &amp;N</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9" tint="0.39997558519241921"/>
  </sheetPr>
  <dimension ref="A1:O26"/>
  <sheetViews>
    <sheetView showGridLines="0" zoomScale="75" zoomScaleNormal="75" workbookViewId="0">
      <pane xSplit="1" ySplit="5" topLeftCell="G6" activePane="bottomRight" state="frozen"/>
      <selection pane="bottomRight" activeCell="O15" sqref="O15"/>
      <selection pane="bottomLeft" activeCell="A101" sqref="A101"/>
      <selection pane="topRight" activeCell="A101" sqref="A101"/>
    </sheetView>
  </sheetViews>
  <sheetFormatPr defaultColWidth="9" defaultRowHeight="12.75"/>
  <cols>
    <col min="1" max="1" width="30" style="39" bestFit="1" customWidth="1"/>
    <col min="2" max="2" width="20.85546875" style="39" bestFit="1" customWidth="1"/>
    <col min="3" max="3" width="9" style="39" customWidth="1"/>
    <col min="4" max="5" width="9" style="39" hidden="1" customWidth="1"/>
    <col min="6" max="6" width="15.28515625" style="40" customWidth="1"/>
    <col min="7" max="7" width="38" style="39" customWidth="1"/>
    <col min="8" max="8" width="25" style="39" hidden="1" customWidth="1"/>
    <col min="9" max="9" width="22" style="39" hidden="1" customWidth="1"/>
    <col min="10" max="10" width="15" style="39" hidden="1" customWidth="1"/>
    <col min="11" max="11" width="16.28515625" style="39" customWidth="1"/>
    <col min="12" max="12" width="11.85546875" style="72" customWidth="1"/>
    <col min="13" max="13" width="13.140625" style="72" bestFit="1" customWidth="1"/>
    <col min="14" max="14" width="19.140625" style="50" bestFit="1" customWidth="1"/>
    <col min="15" max="15" width="20.140625" style="50" bestFit="1" customWidth="1"/>
    <col min="16" max="16384" width="9" style="50"/>
  </cols>
  <sheetData>
    <row r="1" spans="1:15">
      <c r="A1" s="40" t="s">
        <v>11351</v>
      </c>
      <c r="E1" s="40"/>
      <c r="F1" s="39"/>
      <c r="K1" s="72"/>
      <c r="M1" s="50"/>
    </row>
    <row r="2" spans="1:15">
      <c r="A2" s="40"/>
      <c r="E2" s="40"/>
      <c r="F2" s="39"/>
      <c r="K2" s="72"/>
      <c r="M2" s="50"/>
    </row>
    <row r="3" spans="1:15">
      <c r="A3" s="139" t="s">
        <v>159</v>
      </c>
      <c r="E3" s="40"/>
      <c r="F3" s="39"/>
      <c r="K3" s="72"/>
      <c r="M3" s="50"/>
    </row>
    <row r="4" spans="1:15">
      <c r="E4" s="40"/>
      <c r="F4" s="39"/>
      <c r="J4" s="129"/>
      <c r="K4" s="72"/>
      <c r="M4" s="50"/>
    </row>
    <row r="5" spans="1:15" ht="22.5">
      <c r="A5" s="79" t="s">
        <v>165</v>
      </c>
      <c r="B5" s="79" t="s">
        <v>166</v>
      </c>
      <c r="C5" s="79" t="s">
        <v>167</v>
      </c>
      <c r="D5" s="58" t="s">
        <v>168</v>
      </c>
      <c r="E5" s="58" t="s">
        <v>169</v>
      </c>
      <c r="F5" s="81" t="s">
        <v>170</v>
      </c>
      <c r="G5" s="81" t="s">
        <v>20</v>
      </c>
      <c r="H5" s="58" t="s">
        <v>171</v>
      </c>
      <c r="I5" s="58" t="s">
        <v>174</v>
      </c>
      <c r="J5" s="58" t="s">
        <v>175</v>
      </c>
      <c r="K5" s="59" t="s">
        <v>176</v>
      </c>
      <c r="L5" s="60" t="s">
        <v>655</v>
      </c>
      <c r="M5" s="60" t="s">
        <v>179</v>
      </c>
      <c r="N5" s="291" t="s">
        <v>180</v>
      </c>
      <c r="O5" s="379" t="s">
        <v>181</v>
      </c>
    </row>
    <row r="6" spans="1:15" ht="123.75">
      <c r="A6" s="61" t="s">
        <v>11352</v>
      </c>
      <c r="B6" s="61" t="s">
        <v>183</v>
      </c>
      <c r="C6" s="61" t="s">
        <v>184</v>
      </c>
      <c r="D6" s="61" t="s">
        <v>10606</v>
      </c>
      <c r="E6" s="61"/>
      <c r="F6" s="62" t="s">
        <v>11353</v>
      </c>
      <c r="G6" s="63" t="s">
        <v>187</v>
      </c>
      <c r="H6" s="61" t="s">
        <v>740</v>
      </c>
      <c r="I6" s="61"/>
      <c r="J6" s="61" t="s">
        <v>191</v>
      </c>
      <c r="K6" s="64">
        <v>4</v>
      </c>
      <c r="L6" s="73">
        <v>5</v>
      </c>
      <c r="M6" s="73" t="s">
        <v>192</v>
      </c>
      <c r="N6" s="387"/>
      <c r="O6" s="391"/>
    </row>
    <row r="7" spans="1:15">
      <c r="A7" s="61" t="s">
        <v>11354</v>
      </c>
      <c r="B7" s="61" t="s">
        <v>207</v>
      </c>
      <c r="C7" s="61" t="s">
        <v>208</v>
      </c>
      <c r="D7" s="61" t="s">
        <v>10606</v>
      </c>
      <c r="E7" s="61"/>
      <c r="F7" s="62" t="s">
        <v>11353</v>
      </c>
      <c r="G7" s="63" t="s">
        <v>209</v>
      </c>
      <c r="H7" s="63" t="s">
        <v>198</v>
      </c>
      <c r="I7" s="63"/>
      <c r="J7" s="61" t="s">
        <v>191</v>
      </c>
      <c r="K7" s="64">
        <v>2</v>
      </c>
      <c r="L7" s="73">
        <v>5</v>
      </c>
      <c r="M7" s="75" t="s">
        <v>199</v>
      </c>
      <c r="N7" s="279"/>
      <c r="O7" s="391"/>
    </row>
    <row r="8" spans="1:15">
      <c r="A8" s="61" t="s">
        <v>11355</v>
      </c>
      <c r="B8" s="61" t="s">
        <v>211</v>
      </c>
      <c r="C8" s="61" t="s">
        <v>212</v>
      </c>
      <c r="D8" s="61" t="s">
        <v>10606</v>
      </c>
      <c r="E8" s="61"/>
      <c r="F8" s="62" t="s">
        <v>11353</v>
      </c>
      <c r="G8" s="63" t="s">
        <v>213</v>
      </c>
      <c r="H8" s="63" t="s">
        <v>204</v>
      </c>
      <c r="I8" s="63"/>
      <c r="J8" s="61" t="s">
        <v>191</v>
      </c>
      <c r="K8" s="64">
        <v>2</v>
      </c>
      <c r="L8" s="73">
        <v>5</v>
      </c>
      <c r="M8" s="75" t="s">
        <v>199</v>
      </c>
      <c r="N8" s="279"/>
      <c r="O8" s="391"/>
    </row>
    <row r="9" spans="1:15">
      <c r="A9" s="61" t="s">
        <v>11356</v>
      </c>
      <c r="B9" s="61" t="s">
        <v>216</v>
      </c>
      <c r="C9" s="61" t="s">
        <v>11357</v>
      </c>
      <c r="D9" s="61" t="s">
        <v>10606</v>
      </c>
      <c r="E9" s="61"/>
      <c r="F9" s="62" t="s">
        <v>11353</v>
      </c>
      <c r="G9" s="63" t="s">
        <v>219</v>
      </c>
      <c r="H9" s="63" t="s">
        <v>204</v>
      </c>
      <c r="I9" s="63"/>
      <c r="J9" s="61" t="s">
        <v>191</v>
      </c>
      <c r="K9" s="64">
        <v>1</v>
      </c>
      <c r="L9" s="73">
        <v>4</v>
      </c>
      <c r="M9" s="75" t="s">
        <v>222</v>
      </c>
      <c r="N9" s="279"/>
      <c r="O9" s="391"/>
    </row>
    <row r="10" spans="1:15">
      <c r="A10" s="61" t="s">
        <v>11358</v>
      </c>
      <c r="B10" s="61" t="s">
        <v>224</v>
      </c>
      <c r="C10" s="61" t="s">
        <v>11359</v>
      </c>
      <c r="D10" s="61" t="s">
        <v>10606</v>
      </c>
      <c r="E10" s="61"/>
      <c r="F10" s="62" t="s">
        <v>11353</v>
      </c>
      <c r="G10" s="63" t="s">
        <v>227</v>
      </c>
      <c r="H10" s="63" t="s">
        <v>204</v>
      </c>
      <c r="I10" s="63"/>
      <c r="J10" s="61" t="s">
        <v>191</v>
      </c>
      <c r="K10" s="64">
        <v>2</v>
      </c>
      <c r="L10" s="73">
        <v>4</v>
      </c>
      <c r="M10" s="75" t="s">
        <v>222</v>
      </c>
      <c r="N10" s="279"/>
      <c r="O10" s="391"/>
    </row>
    <row r="11" spans="1:15" ht="22.5">
      <c r="A11" s="63" t="s">
        <v>11360</v>
      </c>
      <c r="B11" s="61" t="s">
        <v>240</v>
      </c>
      <c r="C11" s="61" t="s">
        <v>11361</v>
      </c>
      <c r="D11" s="61" t="s">
        <v>10606</v>
      </c>
      <c r="E11" s="61"/>
      <c r="F11" s="62" t="s">
        <v>11353</v>
      </c>
      <c r="G11" s="63" t="s">
        <v>244</v>
      </c>
      <c r="H11" s="63" t="s">
        <v>204</v>
      </c>
      <c r="I11" s="63"/>
      <c r="J11" s="61" t="s">
        <v>191</v>
      </c>
      <c r="K11" s="64">
        <v>1</v>
      </c>
      <c r="L11" s="73">
        <v>5</v>
      </c>
      <c r="M11" s="75" t="s">
        <v>222</v>
      </c>
      <c r="N11" s="279"/>
      <c r="O11" s="391"/>
    </row>
    <row r="12" spans="1:15" ht="22.5">
      <c r="A12" s="63" t="s">
        <v>11362</v>
      </c>
      <c r="B12" s="61" t="s">
        <v>11363</v>
      </c>
      <c r="C12" s="61" t="s">
        <v>11364</v>
      </c>
      <c r="D12" s="61" t="s">
        <v>10606</v>
      </c>
      <c r="E12" s="61"/>
      <c r="F12" s="62" t="s">
        <v>11353</v>
      </c>
      <c r="G12" s="63" t="s">
        <v>334</v>
      </c>
      <c r="H12" s="63" t="s">
        <v>204</v>
      </c>
      <c r="I12" s="63"/>
      <c r="J12" s="61" t="s">
        <v>191</v>
      </c>
      <c r="K12" s="64">
        <v>2</v>
      </c>
      <c r="L12" s="73">
        <v>5</v>
      </c>
      <c r="M12" s="75" t="s">
        <v>222</v>
      </c>
      <c r="N12" s="279"/>
      <c r="O12" s="391"/>
    </row>
    <row r="13" spans="1:15" ht="67.5">
      <c r="A13" s="63" t="s">
        <v>11365</v>
      </c>
      <c r="B13" s="61" t="s">
        <v>446</v>
      </c>
      <c r="C13" s="61" t="s">
        <v>447</v>
      </c>
      <c r="D13" s="61" t="s">
        <v>10606</v>
      </c>
      <c r="E13" s="61"/>
      <c r="F13" s="62" t="s">
        <v>11353</v>
      </c>
      <c r="G13" s="63" t="s">
        <v>448</v>
      </c>
      <c r="H13" s="63" t="s">
        <v>204</v>
      </c>
      <c r="I13" s="63"/>
      <c r="J13" s="61" t="s">
        <v>191</v>
      </c>
      <c r="K13" s="64">
        <v>1</v>
      </c>
      <c r="L13" s="73">
        <v>5</v>
      </c>
      <c r="M13" s="75" t="s">
        <v>199</v>
      </c>
      <c r="N13" s="279"/>
      <c r="O13" s="391"/>
    </row>
    <row r="14" spans="1:15" ht="67.5">
      <c r="A14" s="63" t="s">
        <v>11366</v>
      </c>
      <c r="B14" s="61" t="s">
        <v>454</v>
      </c>
      <c r="C14" s="61" t="s">
        <v>455</v>
      </c>
      <c r="D14" s="61" t="s">
        <v>10606</v>
      </c>
      <c r="E14" s="61"/>
      <c r="F14" s="62" t="s">
        <v>11353</v>
      </c>
      <c r="G14" s="63" t="s">
        <v>456</v>
      </c>
      <c r="H14" s="63" t="s">
        <v>204</v>
      </c>
      <c r="I14" s="63"/>
      <c r="J14" s="61" t="s">
        <v>191</v>
      </c>
      <c r="K14" s="64">
        <v>1</v>
      </c>
      <c r="L14" s="73">
        <v>4</v>
      </c>
      <c r="M14" s="75" t="s">
        <v>199</v>
      </c>
      <c r="N14" s="279"/>
      <c r="O14" s="391"/>
    </row>
    <row r="15" spans="1:15" ht="56.25">
      <c r="A15" s="63" t="s">
        <v>11367</v>
      </c>
      <c r="B15" s="61" t="s">
        <v>463</v>
      </c>
      <c r="C15" s="61" t="s">
        <v>464</v>
      </c>
      <c r="D15" s="61" t="s">
        <v>10606</v>
      </c>
      <c r="E15" s="61"/>
      <c r="F15" s="62" t="s">
        <v>11353</v>
      </c>
      <c r="G15" s="63" t="s">
        <v>465</v>
      </c>
      <c r="H15" s="63" t="s">
        <v>466</v>
      </c>
      <c r="I15" s="63"/>
      <c r="J15" s="61" t="s">
        <v>191</v>
      </c>
      <c r="K15" s="64">
        <v>1</v>
      </c>
      <c r="L15" s="73">
        <v>4</v>
      </c>
      <c r="M15" s="75" t="s">
        <v>199</v>
      </c>
      <c r="N15" s="279"/>
      <c r="O15" s="391"/>
    </row>
    <row r="16" spans="1:15">
      <c r="A16" s="45"/>
      <c r="B16" s="85"/>
      <c r="C16" s="85"/>
      <c r="D16" s="85"/>
      <c r="E16" s="85"/>
      <c r="F16" s="138"/>
      <c r="G16" s="45"/>
      <c r="H16" s="45"/>
      <c r="I16" s="45"/>
      <c r="J16" s="45"/>
      <c r="K16" s="101"/>
      <c r="N16" s="49"/>
      <c r="O16" s="49"/>
    </row>
    <row r="17" spans="1:13" ht="12.75" customHeight="1">
      <c r="A17" s="40" t="s">
        <v>11351</v>
      </c>
    </row>
    <row r="18" spans="1:13">
      <c r="A18" s="40"/>
    </row>
    <row r="19" spans="1:13">
      <c r="A19" s="40" t="s">
        <v>488</v>
      </c>
    </row>
    <row r="20" spans="1:13">
      <c r="A20" s="46" t="s">
        <v>489</v>
      </c>
    </row>
    <row r="21" spans="1:13">
      <c r="K21" s="50"/>
    </row>
    <row r="22" spans="1:13" ht="22.5">
      <c r="A22" s="79" t="s">
        <v>165</v>
      </c>
      <c r="B22" s="79" t="s">
        <v>166</v>
      </c>
      <c r="C22" s="79" t="s">
        <v>167</v>
      </c>
      <c r="D22" s="81" t="s">
        <v>168</v>
      </c>
      <c r="E22" s="58" t="s">
        <v>169</v>
      </c>
      <c r="F22" s="81" t="s">
        <v>170</v>
      </c>
      <c r="G22" s="81" t="s">
        <v>20</v>
      </c>
      <c r="H22" s="58" t="s">
        <v>171</v>
      </c>
      <c r="I22" s="58" t="s">
        <v>174</v>
      </c>
      <c r="J22" s="58" t="s">
        <v>175</v>
      </c>
      <c r="K22" s="59" t="s">
        <v>176</v>
      </c>
      <c r="L22" s="60" t="s">
        <v>655</v>
      </c>
      <c r="M22" s="130" t="s">
        <v>179</v>
      </c>
    </row>
    <row r="23" spans="1:13" ht="30" customHeight="1">
      <c r="A23" s="140" t="s">
        <v>11368</v>
      </c>
      <c r="B23" s="140" t="s">
        <v>505</v>
      </c>
      <c r="C23" s="140" t="s">
        <v>506</v>
      </c>
      <c r="D23" s="140" t="s">
        <v>10606</v>
      </c>
      <c r="E23" s="140"/>
      <c r="F23" s="141" t="s">
        <v>11353</v>
      </c>
      <c r="G23" s="140" t="s">
        <v>507</v>
      </c>
      <c r="H23" s="140" t="s">
        <v>198</v>
      </c>
      <c r="I23" s="140"/>
      <c r="J23" s="140" t="s">
        <v>191</v>
      </c>
      <c r="K23" s="143">
        <v>4</v>
      </c>
      <c r="L23" s="148">
        <v>5</v>
      </c>
      <c r="M23" s="149" t="s">
        <v>199</v>
      </c>
    </row>
    <row r="24" spans="1:13" ht="30" customHeight="1">
      <c r="A24" s="140" t="s">
        <v>11369</v>
      </c>
      <c r="B24" s="140" t="s">
        <v>491</v>
      </c>
      <c r="C24" s="140" t="s">
        <v>492</v>
      </c>
      <c r="D24" s="140" t="s">
        <v>10606</v>
      </c>
      <c r="E24" s="140"/>
      <c r="F24" s="141" t="s">
        <v>11353</v>
      </c>
      <c r="G24" s="142" t="s">
        <v>494</v>
      </c>
      <c r="H24" s="142" t="s">
        <v>466</v>
      </c>
      <c r="I24" s="142"/>
      <c r="J24" s="140" t="s">
        <v>191</v>
      </c>
      <c r="K24" s="143">
        <v>4</v>
      </c>
      <c r="L24" s="148">
        <v>3</v>
      </c>
      <c r="M24" s="148" t="s">
        <v>199</v>
      </c>
    </row>
    <row r="25" spans="1:13" ht="30" customHeight="1">
      <c r="A25" s="140" t="s">
        <v>11370</v>
      </c>
      <c r="B25" s="140" t="s">
        <v>11371</v>
      </c>
      <c r="C25" s="140" t="s">
        <v>11372</v>
      </c>
      <c r="D25" s="140" t="s">
        <v>10606</v>
      </c>
      <c r="E25" s="140"/>
      <c r="F25" s="141" t="s">
        <v>11353</v>
      </c>
      <c r="G25" s="140" t="s">
        <v>11373</v>
      </c>
      <c r="H25" s="140" t="s">
        <v>198</v>
      </c>
      <c r="I25" s="140"/>
      <c r="J25" s="140" t="s">
        <v>191</v>
      </c>
      <c r="K25" s="143">
        <v>4</v>
      </c>
      <c r="L25" s="148">
        <v>4</v>
      </c>
      <c r="M25" s="148" t="s">
        <v>199</v>
      </c>
    </row>
    <row r="26" spans="1:13" ht="30" customHeight="1">
      <c r="A26" s="140" t="s">
        <v>11374</v>
      </c>
      <c r="B26" s="140" t="s">
        <v>11375</v>
      </c>
      <c r="C26" s="140" t="s">
        <v>11376</v>
      </c>
      <c r="D26" s="140" t="s">
        <v>10606</v>
      </c>
      <c r="E26" s="140"/>
      <c r="F26" s="141" t="s">
        <v>4220</v>
      </c>
      <c r="G26" s="140" t="s">
        <v>11377</v>
      </c>
      <c r="H26" s="220" t="s">
        <v>740</v>
      </c>
      <c r="I26" s="140"/>
      <c r="J26" s="140" t="s">
        <v>191</v>
      </c>
      <c r="K26" s="143">
        <v>4</v>
      </c>
      <c r="L26" s="148">
        <v>5</v>
      </c>
      <c r="M26" s="148" t="s">
        <v>199</v>
      </c>
    </row>
  </sheetData>
  <autoFilter ref="A5:O15" xr:uid="{00000000-0009-0000-0000-000011000000}"/>
  <conditionalFormatting sqref="N6:N16">
    <cfRule type="containsText" dxfId="60" priority="3" operator="containsText" text="Yes">
      <formula>NOT(ISERROR(SEARCH("Yes",N6)))</formula>
    </cfRule>
  </conditionalFormatting>
  <dataValidations disablePrompts="1" count="1">
    <dataValidation type="list" allowBlank="1" showInputMessage="1" showErrorMessage="1" sqref="N6:N16" xr:uid="{00000000-0002-0000-1100-000000000000}">
      <formula1>"No,Yes"</formula1>
    </dataValidation>
  </dataValidations>
  <pageMargins left="0.17" right="0.17" top="0.28000000000000003" bottom="0.29000000000000004" header="0.17" footer="0.17"/>
  <pageSetup paperSize="9" fitToWidth="0" fitToHeight="0" orientation="landscape" r:id="rId1"/>
  <headerFooter alignWithMargins="0">
    <oddHeader>&amp;C&amp;F</oddHeader>
    <oddFooter>&amp;L&amp;A&amp;CPage &amp;P of &amp;N</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R96"/>
  <sheetViews>
    <sheetView showGridLines="0" zoomScale="75" zoomScaleNormal="75" workbookViewId="0">
      <pane xSplit="1" ySplit="7" topLeftCell="B8" activePane="bottomRight" state="frozen"/>
      <selection pane="bottomRight" activeCell="R62" sqref="R62"/>
      <selection pane="bottomLeft" activeCell="A101" sqref="A101"/>
      <selection pane="topRight" activeCell="A101" sqref="A101"/>
    </sheetView>
  </sheetViews>
  <sheetFormatPr defaultColWidth="9" defaultRowHeight="12.75"/>
  <cols>
    <col min="1" max="1" width="35" style="54" bestFit="1" customWidth="1"/>
    <col min="2" max="2" width="25.5703125" style="54" customWidth="1"/>
    <col min="3" max="3" width="9.85546875" style="54" bestFit="1" customWidth="1"/>
    <col min="4" max="5" width="9.85546875" style="54" hidden="1" customWidth="1"/>
    <col min="6" max="6" width="23.28515625" style="86" bestFit="1" customWidth="1"/>
    <col min="7" max="7" width="42" style="56" customWidth="1"/>
    <col min="8" max="8" width="17.28515625" style="56" hidden="1" customWidth="1"/>
    <col min="9" max="9" width="27.28515625" style="54" customWidth="1"/>
    <col min="10" max="10" width="9.85546875" style="54" customWidth="1"/>
    <col min="11" max="12" width="9.85546875" style="54" hidden="1" customWidth="1"/>
    <col min="13" max="13" width="6.5703125" style="39" customWidth="1"/>
    <col min="14" max="14" width="17.5703125" style="72" customWidth="1"/>
    <col min="15" max="15" width="13.7109375" style="72" customWidth="1"/>
    <col min="16" max="16" width="18.5703125" style="47" customWidth="1"/>
    <col min="17" max="17" width="20" style="47" hidden="1" customWidth="1"/>
    <col min="18" max="18" width="20.140625" style="47" bestFit="1" customWidth="1"/>
    <col min="19" max="16384" width="9" style="47"/>
  </cols>
  <sheetData>
    <row r="1" spans="1:18">
      <c r="A1" s="40" t="s">
        <v>11378</v>
      </c>
      <c r="B1" s="216" t="s">
        <v>11379</v>
      </c>
      <c r="H1" s="54"/>
      <c r="L1" s="39"/>
      <c r="M1" s="72"/>
      <c r="O1" s="47"/>
    </row>
    <row r="2" spans="1:18">
      <c r="A2" s="40"/>
      <c r="B2" s="216" t="s">
        <v>11380</v>
      </c>
      <c r="H2" s="54"/>
      <c r="L2" s="39"/>
      <c r="M2" s="72"/>
      <c r="O2" s="47"/>
    </row>
    <row r="3" spans="1:18">
      <c r="A3" s="139" t="s">
        <v>159</v>
      </c>
      <c r="B3" s="216" t="s">
        <v>11381</v>
      </c>
      <c r="H3" s="54"/>
      <c r="L3" s="39"/>
      <c r="M3" s="72"/>
      <c r="O3" s="47"/>
    </row>
    <row r="4" spans="1:18" ht="12.75" customHeight="1">
      <c r="B4" s="216" t="s">
        <v>11382</v>
      </c>
      <c r="H4" s="54"/>
      <c r="L4" s="39"/>
      <c r="M4" s="72"/>
      <c r="O4" s="47"/>
    </row>
    <row r="5" spans="1:18" ht="15" customHeight="1">
      <c r="B5" s="216" t="s">
        <v>11383</v>
      </c>
    </row>
    <row r="6" spans="1:18">
      <c r="B6" s="216"/>
    </row>
    <row r="7" spans="1:18" ht="45">
      <c r="A7" s="79" t="s">
        <v>11098</v>
      </c>
      <c r="B7" s="76" t="s">
        <v>11099</v>
      </c>
      <c r="C7" s="79" t="s">
        <v>11100</v>
      </c>
      <c r="D7" s="58" t="s">
        <v>168</v>
      </c>
      <c r="E7" s="58" t="s">
        <v>169</v>
      </c>
      <c r="F7" s="478" t="s">
        <v>170</v>
      </c>
      <c r="G7" s="81" t="s">
        <v>20</v>
      </c>
      <c r="H7" s="58" t="s">
        <v>171</v>
      </c>
      <c r="I7" s="81" t="s">
        <v>172</v>
      </c>
      <c r="J7" s="83" t="s">
        <v>11384</v>
      </c>
      <c r="K7" s="58" t="s">
        <v>174</v>
      </c>
      <c r="L7" s="58" t="s">
        <v>175</v>
      </c>
      <c r="M7" s="59" t="s">
        <v>176</v>
      </c>
      <c r="N7" s="60" t="s">
        <v>655</v>
      </c>
      <c r="O7" s="60" t="s">
        <v>179</v>
      </c>
      <c r="P7" s="51" t="s">
        <v>180</v>
      </c>
      <c r="Q7" s="291" t="s">
        <v>11385</v>
      </c>
      <c r="R7" s="379" t="s">
        <v>181</v>
      </c>
    </row>
    <row r="8" spans="1:18" ht="112.5">
      <c r="A8" s="61" t="s">
        <v>11352</v>
      </c>
      <c r="B8" s="61" t="s">
        <v>183</v>
      </c>
      <c r="C8" s="61" t="s">
        <v>11386</v>
      </c>
      <c r="D8" s="61" t="s">
        <v>10606</v>
      </c>
      <c r="E8" s="228"/>
      <c r="F8" s="474" t="s">
        <v>231</v>
      </c>
      <c r="G8" s="253" t="s">
        <v>187</v>
      </c>
      <c r="H8" s="63" t="s">
        <v>188</v>
      </c>
      <c r="I8" s="63" t="s">
        <v>189</v>
      </c>
      <c r="J8" s="52">
        <v>2</v>
      </c>
      <c r="K8" s="43"/>
      <c r="L8" s="43" t="s">
        <v>191</v>
      </c>
      <c r="M8" s="64">
        <v>4</v>
      </c>
      <c r="N8" s="73">
        <v>5</v>
      </c>
      <c r="O8" s="73" t="s">
        <v>192</v>
      </c>
      <c r="P8" s="52"/>
      <c r="Q8" s="279">
        <v>2</v>
      </c>
      <c r="R8" s="371"/>
    </row>
    <row r="9" spans="1:18" ht="22.5">
      <c r="A9" s="61" t="s">
        <v>11387</v>
      </c>
      <c r="B9" s="61" t="s">
        <v>194</v>
      </c>
      <c r="C9" s="228" t="s">
        <v>11388</v>
      </c>
      <c r="D9" s="218" t="s">
        <v>10606</v>
      </c>
      <c r="E9" s="477"/>
      <c r="F9" s="474" t="s">
        <v>231</v>
      </c>
      <c r="G9" s="253" t="s">
        <v>11389</v>
      </c>
      <c r="H9" s="63" t="s">
        <v>198</v>
      </c>
      <c r="I9" s="63"/>
      <c r="J9" s="52">
        <v>2</v>
      </c>
      <c r="K9" s="43"/>
      <c r="L9" s="43" t="s">
        <v>191</v>
      </c>
      <c r="M9" s="64">
        <v>2</v>
      </c>
      <c r="N9" s="73">
        <v>5</v>
      </c>
      <c r="O9" s="75" t="s">
        <v>199</v>
      </c>
      <c r="P9" s="52"/>
      <c r="Q9" s="279">
        <v>2</v>
      </c>
      <c r="R9" s="371"/>
    </row>
    <row r="10" spans="1:18" ht="22.5">
      <c r="A10" s="61" t="s">
        <v>11390</v>
      </c>
      <c r="B10" s="61" t="s">
        <v>201</v>
      </c>
      <c r="C10" s="228" t="s">
        <v>11391</v>
      </c>
      <c r="D10" s="218" t="s">
        <v>10606</v>
      </c>
      <c r="E10" s="477"/>
      <c r="F10" s="474" t="s">
        <v>231</v>
      </c>
      <c r="G10" s="253" t="s">
        <v>11392</v>
      </c>
      <c r="H10" s="63" t="s">
        <v>740</v>
      </c>
      <c r="I10" s="63" t="s">
        <v>660</v>
      </c>
      <c r="J10" s="52">
        <v>2</v>
      </c>
      <c r="K10" s="43"/>
      <c r="L10" s="43" t="s">
        <v>191</v>
      </c>
      <c r="M10" s="64">
        <v>2</v>
      </c>
      <c r="N10" s="73">
        <v>5</v>
      </c>
      <c r="O10" s="75" t="s">
        <v>199</v>
      </c>
      <c r="P10" s="52"/>
      <c r="Q10" s="279">
        <v>2</v>
      </c>
      <c r="R10" s="371"/>
    </row>
    <row r="11" spans="1:18" ht="11.25">
      <c r="A11" s="61" t="s">
        <v>11354</v>
      </c>
      <c r="B11" s="61" t="s">
        <v>207</v>
      </c>
      <c r="C11" s="228" t="s">
        <v>11393</v>
      </c>
      <c r="D11" s="218" t="s">
        <v>10606</v>
      </c>
      <c r="E11" s="477"/>
      <c r="F11" s="474" t="s">
        <v>231</v>
      </c>
      <c r="G11" s="253" t="s">
        <v>209</v>
      </c>
      <c r="H11" s="63" t="s">
        <v>198</v>
      </c>
      <c r="I11" s="63"/>
      <c r="J11" s="52">
        <v>2</v>
      </c>
      <c r="K11" s="43"/>
      <c r="L11" s="43" t="s">
        <v>191</v>
      </c>
      <c r="M11" s="64">
        <v>2</v>
      </c>
      <c r="N11" s="73">
        <v>5</v>
      </c>
      <c r="O11" s="75" t="s">
        <v>199</v>
      </c>
      <c r="P11" s="52"/>
      <c r="Q11" s="279">
        <v>2</v>
      </c>
      <c r="R11" s="371"/>
    </row>
    <row r="12" spans="1:18" ht="11.25">
      <c r="A12" s="61" t="s">
        <v>11355</v>
      </c>
      <c r="B12" s="61" t="s">
        <v>211</v>
      </c>
      <c r="C12" s="228" t="s">
        <v>11394</v>
      </c>
      <c r="D12" s="218" t="s">
        <v>10606</v>
      </c>
      <c r="E12" s="477"/>
      <c r="F12" s="474" t="s">
        <v>231</v>
      </c>
      <c r="G12" s="253" t="s">
        <v>213</v>
      </c>
      <c r="H12" s="63" t="s">
        <v>740</v>
      </c>
      <c r="I12" s="63" t="s">
        <v>663</v>
      </c>
      <c r="J12" s="52">
        <v>2</v>
      </c>
      <c r="K12" s="43"/>
      <c r="L12" s="43" t="s">
        <v>191</v>
      </c>
      <c r="M12" s="64">
        <v>2</v>
      </c>
      <c r="N12" s="73">
        <v>5</v>
      </c>
      <c r="O12" s="75" t="s">
        <v>199</v>
      </c>
      <c r="P12" s="52"/>
      <c r="Q12" s="279">
        <v>2</v>
      </c>
      <c r="R12" s="371"/>
    </row>
    <row r="13" spans="1:18" ht="11.25">
      <c r="A13" s="61" t="s">
        <v>11356</v>
      </c>
      <c r="B13" s="61" t="s">
        <v>216</v>
      </c>
      <c r="C13" s="228" t="s">
        <v>11395</v>
      </c>
      <c r="D13" s="218" t="s">
        <v>10606</v>
      </c>
      <c r="E13" s="477"/>
      <c r="F13" s="474" t="s">
        <v>231</v>
      </c>
      <c r="G13" s="253" t="s">
        <v>219</v>
      </c>
      <c r="H13" s="63" t="s">
        <v>740</v>
      </c>
      <c r="I13" s="63"/>
      <c r="J13" s="52">
        <v>2</v>
      </c>
      <c r="K13" s="43"/>
      <c r="L13" s="43" t="s">
        <v>191</v>
      </c>
      <c r="M13" s="64">
        <v>1</v>
      </c>
      <c r="N13" s="73">
        <v>4</v>
      </c>
      <c r="O13" s="75" t="s">
        <v>222</v>
      </c>
      <c r="P13" s="52"/>
      <c r="Q13" s="279">
        <v>2</v>
      </c>
      <c r="R13" s="371"/>
    </row>
    <row r="14" spans="1:18" ht="11.25">
      <c r="A14" s="61" t="s">
        <v>11358</v>
      </c>
      <c r="B14" s="61" t="s">
        <v>224</v>
      </c>
      <c r="C14" s="228" t="s">
        <v>11396</v>
      </c>
      <c r="D14" s="218" t="s">
        <v>10606</v>
      </c>
      <c r="E14" s="477"/>
      <c r="F14" s="474" t="s">
        <v>10621</v>
      </c>
      <c r="G14" s="253" t="s">
        <v>227</v>
      </c>
      <c r="H14" s="63" t="s">
        <v>740</v>
      </c>
      <c r="I14" s="63"/>
      <c r="J14" s="52">
        <v>2</v>
      </c>
      <c r="K14" s="43"/>
      <c r="L14" s="43" t="s">
        <v>191</v>
      </c>
      <c r="M14" s="64">
        <v>2</v>
      </c>
      <c r="N14" s="73">
        <v>4</v>
      </c>
      <c r="O14" s="75" t="s">
        <v>222</v>
      </c>
      <c r="P14" s="52"/>
      <c r="Q14" s="279">
        <v>2</v>
      </c>
      <c r="R14" s="371"/>
    </row>
    <row r="15" spans="1:18" ht="98.25" customHeight="1">
      <c r="A15" s="61" t="s">
        <v>11397</v>
      </c>
      <c r="B15" s="61" t="s">
        <v>230</v>
      </c>
      <c r="C15" s="228" t="s">
        <v>225</v>
      </c>
      <c r="D15" s="218" t="s">
        <v>10606</v>
      </c>
      <c r="E15" s="477"/>
      <c r="F15" s="472" t="s">
        <v>328</v>
      </c>
      <c r="G15" s="253" t="s">
        <v>232</v>
      </c>
      <c r="H15" s="63" t="s">
        <v>740</v>
      </c>
      <c r="I15" s="63" t="s">
        <v>233</v>
      </c>
      <c r="J15" s="52">
        <v>2</v>
      </c>
      <c r="K15" s="43"/>
      <c r="L15" s="43" t="s">
        <v>191</v>
      </c>
      <c r="M15" s="64">
        <v>2</v>
      </c>
      <c r="N15" s="73">
        <v>4</v>
      </c>
      <c r="O15" s="75" t="s">
        <v>222</v>
      </c>
      <c r="P15" s="52"/>
      <c r="Q15" s="279">
        <v>2</v>
      </c>
      <c r="R15" s="371"/>
    </row>
    <row r="16" spans="1:18" ht="78.75">
      <c r="A16" s="61" t="s">
        <v>11398</v>
      </c>
      <c r="B16" s="61" t="s">
        <v>235</v>
      </c>
      <c r="C16" s="228" t="s">
        <v>236</v>
      </c>
      <c r="D16" s="218" t="s">
        <v>10606</v>
      </c>
      <c r="E16" s="477"/>
      <c r="F16" s="472" t="s">
        <v>328</v>
      </c>
      <c r="G16" s="253" t="s">
        <v>237</v>
      </c>
      <c r="H16" s="63" t="s">
        <v>740</v>
      </c>
      <c r="I16" s="63" t="s">
        <v>238</v>
      </c>
      <c r="J16" s="52">
        <v>2</v>
      </c>
      <c r="K16" s="43"/>
      <c r="L16" s="43" t="s">
        <v>191</v>
      </c>
      <c r="M16" s="64">
        <v>2</v>
      </c>
      <c r="N16" s="73">
        <v>5</v>
      </c>
      <c r="O16" s="75" t="s">
        <v>222</v>
      </c>
      <c r="P16" s="52"/>
      <c r="Q16" s="279">
        <v>2</v>
      </c>
      <c r="R16" s="371"/>
    </row>
    <row r="17" spans="1:18" ht="56.25">
      <c r="A17" s="61" t="s">
        <v>11399</v>
      </c>
      <c r="B17" s="61" t="s">
        <v>240</v>
      </c>
      <c r="C17" s="228" t="s">
        <v>11400</v>
      </c>
      <c r="D17" s="218" t="s">
        <v>10606</v>
      </c>
      <c r="E17" s="477"/>
      <c r="F17" s="472" t="s">
        <v>296</v>
      </c>
      <c r="G17" s="253" t="s">
        <v>244</v>
      </c>
      <c r="H17" s="63" t="s">
        <v>740</v>
      </c>
      <c r="I17" s="63" t="s">
        <v>245</v>
      </c>
      <c r="J17" s="52">
        <v>2</v>
      </c>
      <c r="K17" s="43"/>
      <c r="L17" s="43" t="s">
        <v>191</v>
      </c>
      <c r="M17" s="64">
        <v>1</v>
      </c>
      <c r="N17" s="73">
        <v>5</v>
      </c>
      <c r="O17" s="75" t="s">
        <v>199</v>
      </c>
      <c r="P17" s="52"/>
      <c r="Q17" s="279">
        <v>2</v>
      </c>
      <c r="R17" s="371"/>
    </row>
    <row r="18" spans="1:18" ht="13.5" customHeight="1">
      <c r="A18" s="61" t="s">
        <v>11401</v>
      </c>
      <c r="B18" s="61" t="s">
        <v>313</v>
      </c>
      <c r="C18" s="61" t="s">
        <v>11402</v>
      </c>
      <c r="D18" s="61" t="s">
        <v>10606</v>
      </c>
      <c r="E18" s="228"/>
      <c r="F18" s="472" t="s">
        <v>231</v>
      </c>
      <c r="G18" s="253" t="s">
        <v>315</v>
      </c>
      <c r="H18" s="63" t="s">
        <v>198</v>
      </c>
      <c r="I18" s="63"/>
      <c r="J18" s="52">
        <v>2</v>
      </c>
      <c r="K18" s="43"/>
      <c r="L18" s="43" t="s">
        <v>191</v>
      </c>
      <c r="M18" s="64">
        <v>2</v>
      </c>
      <c r="N18" s="73">
        <v>5</v>
      </c>
      <c r="O18" s="75" t="s">
        <v>199</v>
      </c>
      <c r="P18" s="52"/>
      <c r="Q18" s="279">
        <v>2</v>
      </c>
      <c r="R18" s="371"/>
    </row>
    <row r="19" spans="1:18" ht="11.25">
      <c r="A19" s="61" t="s">
        <v>11403</v>
      </c>
      <c r="B19" s="61" t="s">
        <v>317</v>
      </c>
      <c r="C19" s="61" t="s">
        <v>11404</v>
      </c>
      <c r="D19" s="61" t="s">
        <v>10606</v>
      </c>
      <c r="E19" s="228"/>
      <c r="F19" s="472" t="s">
        <v>231</v>
      </c>
      <c r="G19" s="253" t="s">
        <v>319</v>
      </c>
      <c r="H19" s="63" t="s">
        <v>198</v>
      </c>
      <c r="I19" s="63"/>
      <c r="J19" s="52">
        <v>2</v>
      </c>
      <c r="K19" s="43"/>
      <c r="L19" s="43" t="s">
        <v>191</v>
      </c>
      <c r="M19" s="64">
        <v>2</v>
      </c>
      <c r="N19" s="73">
        <v>5</v>
      </c>
      <c r="O19" s="75" t="s">
        <v>199</v>
      </c>
      <c r="P19" s="52"/>
      <c r="Q19" s="279">
        <v>2</v>
      </c>
      <c r="R19" s="371"/>
    </row>
    <row r="20" spans="1:18" ht="22.5">
      <c r="A20" s="61" t="s">
        <v>11405</v>
      </c>
      <c r="B20" s="61" t="s">
        <v>321</v>
      </c>
      <c r="C20" s="61" t="s">
        <v>11406</v>
      </c>
      <c r="D20" s="61" t="s">
        <v>10606</v>
      </c>
      <c r="E20" s="228"/>
      <c r="F20" s="472" t="s">
        <v>231</v>
      </c>
      <c r="G20" s="253" t="s">
        <v>324</v>
      </c>
      <c r="H20" s="63" t="s">
        <v>188</v>
      </c>
      <c r="I20" s="63" t="s">
        <v>250</v>
      </c>
      <c r="J20" s="52">
        <v>2</v>
      </c>
      <c r="K20" s="43"/>
      <c r="L20" s="43" t="s">
        <v>191</v>
      </c>
      <c r="M20" s="64">
        <v>2</v>
      </c>
      <c r="N20" s="73">
        <v>5</v>
      </c>
      <c r="O20" s="75" t="s">
        <v>199</v>
      </c>
      <c r="P20" s="52"/>
      <c r="Q20" s="279">
        <v>2</v>
      </c>
      <c r="R20" s="371"/>
    </row>
    <row r="21" spans="1:18" ht="11.25">
      <c r="A21" s="61" t="s">
        <v>11407</v>
      </c>
      <c r="B21" s="61" t="s">
        <v>326</v>
      </c>
      <c r="C21" s="61" t="s">
        <v>11408</v>
      </c>
      <c r="D21" s="61" t="s">
        <v>10606</v>
      </c>
      <c r="E21" s="228"/>
      <c r="F21" s="472" t="s">
        <v>231</v>
      </c>
      <c r="G21" s="253" t="s">
        <v>329</v>
      </c>
      <c r="H21" s="225" t="s">
        <v>740</v>
      </c>
      <c r="I21" s="63"/>
      <c r="J21" s="52">
        <v>2</v>
      </c>
      <c r="K21" s="43"/>
      <c r="L21" s="43" t="s">
        <v>191</v>
      </c>
      <c r="M21" s="64">
        <v>2</v>
      </c>
      <c r="N21" s="73">
        <v>4</v>
      </c>
      <c r="O21" s="75" t="s">
        <v>199</v>
      </c>
      <c r="P21" s="52"/>
      <c r="Q21" s="279">
        <v>2</v>
      </c>
      <c r="R21" s="371"/>
    </row>
    <row r="22" spans="1:18" ht="71.25" customHeight="1">
      <c r="A22" s="61" t="s">
        <v>11409</v>
      </c>
      <c r="B22" s="61" t="s">
        <v>332</v>
      </c>
      <c r="C22" s="61" t="s">
        <v>11410</v>
      </c>
      <c r="D22" s="61" t="s">
        <v>10606</v>
      </c>
      <c r="E22" s="228"/>
      <c r="F22" s="472" t="s">
        <v>231</v>
      </c>
      <c r="G22" s="253" t="s">
        <v>334</v>
      </c>
      <c r="H22" s="63" t="s">
        <v>740</v>
      </c>
      <c r="I22" s="63" t="s">
        <v>11411</v>
      </c>
      <c r="J22" s="52">
        <v>1</v>
      </c>
      <c r="K22" s="43"/>
      <c r="L22" s="43" t="s">
        <v>191</v>
      </c>
      <c r="M22" s="64">
        <v>2</v>
      </c>
      <c r="N22" s="73">
        <v>5</v>
      </c>
      <c r="O22" s="75" t="s">
        <v>222</v>
      </c>
      <c r="P22" s="52"/>
      <c r="Q22" s="279">
        <v>1</v>
      </c>
      <c r="R22" s="371"/>
    </row>
    <row r="23" spans="1:18" ht="11.25">
      <c r="A23" s="61" t="s">
        <v>11412</v>
      </c>
      <c r="B23" s="61" t="s">
        <v>11413</v>
      </c>
      <c r="C23" s="61"/>
      <c r="D23" s="61" t="s">
        <v>10606</v>
      </c>
      <c r="E23" s="228"/>
      <c r="F23" s="472" t="s">
        <v>302</v>
      </c>
      <c r="G23" s="253" t="s">
        <v>334</v>
      </c>
      <c r="H23" s="63" t="s">
        <v>740</v>
      </c>
      <c r="I23" s="63" t="s">
        <v>11414</v>
      </c>
      <c r="J23" s="52">
        <v>2</v>
      </c>
      <c r="K23" s="43"/>
      <c r="L23" s="43" t="s">
        <v>191</v>
      </c>
      <c r="M23" s="64">
        <v>2</v>
      </c>
      <c r="N23" s="73">
        <v>5</v>
      </c>
      <c r="O23" s="75" t="s">
        <v>222</v>
      </c>
      <c r="P23" s="52"/>
      <c r="Q23" s="279">
        <v>2</v>
      </c>
      <c r="R23" s="371"/>
    </row>
    <row r="24" spans="1:18" ht="11.25">
      <c r="A24" s="61" t="s">
        <v>11415</v>
      </c>
      <c r="B24" s="61" t="s">
        <v>11416</v>
      </c>
      <c r="C24" s="61"/>
      <c r="D24" s="61" t="s">
        <v>10606</v>
      </c>
      <c r="E24" s="228"/>
      <c r="F24" s="472" t="s">
        <v>302</v>
      </c>
      <c r="G24" s="253" t="s">
        <v>334</v>
      </c>
      <c r="H24" s="63" t="s">
        <v>740</v>
      </c>
      <c r="I24" s="63" t="s">
        <v>11414</v>
      </c>
      <c r="J24" s="52">
        <v>2</v>
      </c>
      <c r="K24" s="43"/>
      <c r="L24" s="43" t="s">
        <v>191</v>
      </c>
      <c r="M24" s="64">
        <v>2</v>
      </c>
      <c r="N24" s="73">
        <v>5</v>
      </c>
      <c r="O24" s="75" t="s">
        <v>222</v>
      </c>
      <c r="P24" s="52"/>
      <c r="Q24" s="279">
        <v>2</v>
      </c>
      <c r="R24" s="371"/>
    </row>
    <row r="25" spans="1:18" ht="168.75">
      <c r="A25" s="61" t="s">
        <v>11417</v>
      </c>
      <c r="B25" s="61" t="s">
        <v>11418</v>
      </c>
      <c r="C25" s="61" t="s">
        <v>11419</v>
      </c>
      <c r="D25" s="61" t="s">
        <v>10606</v>
      </c>
      <c r="E25" s="228"/>
      <c r="F25" s="472" t="s">
        <v>231</v>
      </c>
      <c r="G25" s="253" t="s">
        <v>11420</v>
      </c>
      <c r="H25" s="63" t="s">
        <v>740</v>
      </c>
      <c r="I25" s="63" t="s">
        <v>11421</v>
      </c>
      <c r="J25" s="52">
        <v>1</v>
      </c>
      <c r="K25" s="43"/>
      <c r="L25" s="43" t="s">
        <v>191</v>
      </c>
      <c r="M25" s="64">
        <v>1</v>
      </c>
      <c r="N25" s="73">
        <v>5</v>
      </c>
      <c r="O25" s="75" t="s">
        <v>222</v>
      </c>
      <c r="P25" s="52"/>
      <c r="Q25" s="279">
        <v>1</v>
      </c>
      <c r="R25" s="371"/>
    </row>
    <row r="26" spans="1:18" ht="168.75">
      <c r="A26" s="61" t="s">
        <v>11422</v>
      </c>
      <c r="B26" s="61" t="s">
        <v>11418</v>
      </c>
      <c r="C26" s="61"/>
      <c r="D26" s="61"/>
      <c r="E26" s="228"/>
      <c r="F26" s="472" t="s">
        <v>601</v>
      </c>
      <c r="G26" s="253" t="s">
        <v>11423</v>
      </c>
      <c r="H26" s="63" t="s">
        <v>11424</v>
      </c>
      <c r="I26" s="63" t="s">
        <v>11421</v>
      </c>
      <c r="J26" s="52">
        <v>1</v>
      </c>
      <c r="K26" s="43"/>
      <c r="L26" s="43"/>
      <c r="M26" s="64">
        <v>1</v>
      </c>
      <c r="N26" s="73">
        <v>5</v>
      </c>
      <c r="O26" s="75" t="s">
        <v>222</v>
      </c>
      <c r="P26" s="52"/>
      <c r="Q26" s="279"/>
      <c r="R26" s="371"/>
    </row>
    <row r="27" spans="1:18" ht="168.75">
      <c r="A27" s="61" t="s">
        <v>11425</v>
      </c>
      <c r="B27" s="61" t="s">
        <v>11418</v>
      </c>
      <c r="C27" s="61"/>
      <c r="D27" s="61"/>
      <c r="E27" s="228"/>
      <c r="F27" s="472" t="s">
        <v>601</v>
      </c>
      <c r="G27" s="253" t="s">
        <v>11423</v>
      </c>
      <c r="H27" s="63" t="s">
        <v>11426</v>
      </c>
      <c r="I27" s="63" t="s">
        <v>11421</v>
      </c>
      <c r="J27" s="52">
        <v>1</v>
      </c>
      <c r="K27" s="43"/>
      <c r="L27" s="43"/>
      <c r="M27" s="64">
        <v>1</v>
      </c>
      <c r="N27" s="73">
        <v>5</v>
      </c>
      <c r="O27" s="75" t="s">
        <v>222</v>
      </c>
      <c r="P27" s="52"/>
      <c r="Q27" s="279"/>
      <c r="R27" s="371"/>
    </row>
    <row r="28" spans="1:18" ht="168.75">
      <c r="A28" s="61" t="s">
        <v>11427</v>
      </c>
      <c r="B28" s="61" t="s">
        <v>11418</v>
      </c>
      <c r="C28" s="61"/>
      <c r="D28" s="61"/>
      <c r="E28" s="228"/>
      <c r="F28" s="472" t="s">
        <v>601</v>
      </c>
      <c r="G28" s="253" t="s">
        <v>11423</v>
      </c>
      <c r="H28" s="63" t="s">
        <v>11428</v>
      </c>
      <c r="I28" s="63" t="s">
        <v>11421</v>
      </c>
      <c r="J28" s="52">
        <v>1</v>
      </c>
      <c r="K28" s="43"/>
      <c r="L28" s="43"/>
      <c r="M28" s="64">
        <v>1</v>
      </c>
      <c r="N28" s="73">
        <v>5</v>
      </c>
      <c r="O28" s="75" t="s">
        <v>222</v>
      </c>
      <c r="P28" s="52"/>
      <c r="Q28" s="279"/>
      <c r="R28" s="371"/>
    </row>
    <row r="29" spans="1:18" ht="135">
      <c r="A29" s="61" t="s">
        <v>11429</v>
      </c>
      <c r="B29" s="61" t="s">
        <v>247</v>
      </c>
      <c r="C29" s="61" t="s">
        <v>11430</v>
      </c>
      <c r="D29" s="61" t="s">
        <v>10606</v>
      </c>
      <c r="E29" s="228"/>
      <c r="F29" s="472" t="s">
        <v>231</v>
      </c>
      <c r="G29" s="253" t="s">
        <v>10632</v>
      </c>
      <c r="H29" s="63" t="s">
        <v>188</v>
      </c>
      <c r="I29" s="63" t="s">
        <v>1453</v>
      </c>
      <c r="J29" s="52">
        <v>2</v>
      </c>
      <c r="K29" s="43"/>
      <c r="L29" s="43" t="s">
        <v>191</v>
      </c>
      <c r="M29" s="64">
        <v>2</v>
      </c>
      <c r="N29" s="73">
        <v>5</v>
      </c>
      <c r="O29" s="75" t="s">
        <v>192</v>
      </c>
      <c r="P29" s="52"/>
      <c r="Q29" s="279">
        <v>2</v>
      </c>
      <c r="R29" s="371"/>
    </row>
    <row r="30" spans="1:18" ht="90">
      <c r="A30" s="61" t="s">
        <v>11431</v>
      </c>
      <c r="B30" s="63" t="s">
        <v>267</v>
      </c>
      <c r="C30" s="61" t="s">
        <v>11432</v>
      </c>
      <c r="D30" s="61" t="s">
        <v>10606</v>
      </c>
      <c r="E30" s="228"/>
      <c r="F30" s="472" t="s">
        <v>354</v>
      </c>
      <c r="G30" s="253" t="s">
        <v>270</v>
      </c>
      <c r="H30" s="63" t="s">
        <v>740</v>
      </c>
      <c r="I30" s="63" t="s">
        <v>271</v>
      </c>
      <c r="J30" s="52">
        <v>2</v>
      </c>
      <c r="K30" s="43"/>
      <c r="L30" s="43" t="s">
        <v>191</v>
      </c>
      <c r="M30" s="64">
        <v>2</v>
      </c>
      <c r="N30" s="73">
        <v>5</v>
      </c>
      <c r="O30" s="75" t="s">
        <v>222</v>
      </c>
      <c r="P30" s="52"/>
      <c r="Q30" s="279">
        <v>2</v>
      </c>
      <c r="R30" s="371"/>
    </row>
    <row r="31" spans="1:18" ht="22.5">
      <c r="A31" s="61" t="s">
        <v>11433</v>
      </c>
      <c r="B31" s="61" t="s">
        <v>273</v>
      </c>
      <c r="C31" s="61" t="s">
        <v>11434</v>
      </c>
      <c r="D31" s="61" t="s">
        <v>10606</v>
      </c>
      <c r="E31" s="228"/>
      <c r="F31" s="472" t="s">
        <v>275</v>
      </c>
      <c r="G31" s="253" t="s">
        <v>276</v>
      </c>
      <c r="H31" s="63" t="s">
        <v>740</v>
      </c>
      <c r="I31" s="63" t="s">
        <v>11435</v>
      </c>
      <c r="J31" s="52">
        <v>2</v>
      </c>
      <c r="K31" s="43"/>
      <c r="L31" s="43" t="s">
        <v>191</v>
      </c>
      <c r="M31" s="64">
        <v>1</v>
      </c>
      <c r="N31" s="73">
        <v>4</v>
      </c>
      <c r="O31" s="75" t="s">
        <v>222</v>
      </c>
      <c r="P31" s="52"/>
      <c r="Q31" s="279">
        <v>2</v>
      </c>
      <c r="R31" s="371"/>
    </row>
    <row r="32" spans="1:18" ht="45">
      <c r="A32" s="61" t="s">
        <v>11436</v>
      </c>
      <c r="B32" s="61" t="s">
        <v>279</v>
      </c>
      <c r="C32" s="61" t="s">
        <v>11437</v>
      </c>
      <c r="D32" s="61" t="s">
        <v>10606</v>
      </c>
      <c r="E32" s="228"/>
      <c r="F32" s="472" t="s">
        <v>11438</v>
      </c>
      <c r="G32" s="253" t="s">
        <v>11439</v>
      </c>
      <c r="H32" s="63" t="s">
        <v>740</v>
      </c>
      <c r="I32" s="63" t="s">
        <v>11440</v>
      </c>
      <c r="J32" s="52">
        <v>2</v>
      </c>
      <c r="K32" s="43"/>
      <c r="L32" s="43" t="s">
        <v>191</v>
      </c>
      <c r="M32" s="64">
        <v>2</v>
      </c>
      <c r="N32" s="73">
        <v>5</v>
      </c>
      <c r="O32" s="75" t="s">
        <v>222</v>
      </c>
      <c r="P32" s="52"/>
      <c r="Q32" s="279">
        <v>2</v>
      </c>
      <c r="R32" s="371"/>
    </row>
    <row r="33" spans="1:18" ht="135">
      <c r="A33" s="61" t="s">
        <v>11441</v>
      </c>
      <c r="B33" s="61" t="s">
        <v>285</v>
      </c>
      <c r="C33" s="61" t="s">
        <v>280</v>
      </c>
      <c r="D33" s="61" t="s">
        <v>10606</v>
      </c>
      <c r="E33" s="228"/>
      <c r="F33" s="472" t="s">
        <v>328</v>
      </c>
      <c r="G33" s="253" t="s">
        <v>286</v>
      </c>
      <c r="H33" s="63" t="s">
        <v>740</v>
      </c>
      <c r="I33" s="63" t="s">
        <v>287</v>
      </c>
      <c r="J33" s="52">
        <v>2</v>
      </c>
      <c r="K33" s="43"/>
      <c r="L33" s="43" t="s">
        <v>191</v>
      </c>
      <c r="M33" s="64">
        <v>2</v>
      </c>
      <c r="N33" s="73">
        <v>5</v>
      </c>
      <c r="O33" s="75" t="s">
        <v>222</v>
      </c>
      <c r="P33" s="52"/>
      <c r="Q33" s="279">
        <v>2</v>
      </c>
      <c r="R33" s="371"/>
    </row>
    <row r="34" spans="1:18" ht="67.5">
      <c r="A34" s="61" t="s">
        <v>11442</v>
      </c>
      <c r="B34" s="61" t="s">
        <v>289</v>
      </c>
      <c r="C34" s="61" t="s">
        <v>290</v>
      </c>
      <c r="D34" s="61" t="s">
        <v>10606</v>
      </c>
      <c r="E34" s="228"/>
      <c r="F34" s="472" t="s">
        <v>328</v>
      </c>
      <c r="G34" s="253" t="s">
        <v>291</v>
      </c>
      <c r="H34" s="63" t="s">
        <v>740</v>
      </c>
      <c r="I34" s="63" t="s">
        <v>292</v>
      </c>
      <c r="J34" s="52">
        <v>2</v>
      </c>
      <c r="K34" s="43"/>
      <c r="L34" s="43" t="s">
        <v>191</v>
      </c>
      <c r="M34" s="64">
        <v>2</v>
      </c>
      <c r="N34" s="73">
        <v>5</v>
      </c>
      <c r="O34" s="75" t="s">
        <v>222</v>
      </c>
      <c r="P34" s="52"/>
      <c r="Q34" s="279">
        <v>2</v>
      </c>
      <c r="R34" s="371"/>
    </row>
    <row r="35" spans="1:18" ht="22.5">
      <c r="A35" s="61" t="s">
        <v>11443</v>
      </c>
      <c r="B35" s="61" t="s">
        <v>294</v>
      </c>
      <c r="C35" s="61" t="s">
        <v>11444</v>
      </c>
      <c r="D35" s="61" t="s">
        <v>10606</v>
      </c>
      <c r="E35" s="228"/>
      <c r="F35" s="472" t="s">
        <v>11445</v>
      </c>
      <c r="G35" s="253" t="s">
        <v>297</v>
      </c>
      <c r="H35" s="63" t="s">
        <v>188</v>
      </c>
      <c r="I35" s="63" t="s">
        <v>1453</v>
      </c>
      <c r="J35" s="52">
        <v>2</v>
      </c>
      <c r="K35" s="43"/>
      <c r="L35" s="43" t="s">
        <v>191</v>
      </c>
      <c r="M35" s="64">
        <v>2</v>
      </c>
      <c r="N35" s="73">
        <v>4</v>
      </c>
      <c r="O35" s="75" t="s">
        <v>199</v>
      </c>
      <c r="P35" s="52"/>
      <c r="Q35" s="279">
        <v>2</v>
      </c>
      <c r="R35" s="371"/>
    </row>
    <row r="36" spans="1:18" ht="45">
      <c r="A36" s="61" t="s">
        <v>11446</v>
      </c>
      <c r="B36" s="61" t="s">
        <v>299</v>
      </c>
      <c r="C36" s="61" t="s">
        <v>11447</v>
      </c>
      <c r="D36" s="61" t="s">
        <v>10606</v>
      </c>
      <c r="E36" s="228"/>
      <c r="F36" s="472" t="s">
        <v>302</v>
      </c>
      <c r="G36" s="253" t="s">
        <v>303</v>
      </c>
      <c r="H36" s="63" t="s">
        <v>740</v>
      </c>
      <c r="I36" s="63" t="s">
        <v>304</v>
      </c>
      <c r="J36" s="52">
        <v>2</v>
      </c>
      <c r="K36" s="43"/>
      <c r="L36" s="43" t="s">
        <v>191</v>
      </c>
      <c r="M36" s="64">
        <v>1</v>
      </c>
      <c r="N36" s="73">
        <v>5</v>
      </c>
      <c r="O36" s="75" t="s">
        <v>192</v>
      </c>
      <c r="P36" s="52"/>
      <c r="Q36" s="279">
        <v>2</v>
      </c>
      <c r="R36" s="371"/>
    </row>
    <row r="37" spans="1:18" ht="45">
      <c r="A37" s="61" t="s">
        <v>11448</v>
      </c>
      <c r="B37" s="61" t="s">
        <v>307</v>
      </c>
      <c r="C37" s="61" t="s">
        <v>11449</v>
      </c>
      <c r="D37" s="61" t="s">
        <v>10606</v>
      </c>
      <c r="E37" s="228"/>
      <c r="F37" s="472" t="s">
        <v>11450</v>
      </c>
      <c r="G37" s="253" t="s">
        <v>310</v>
      </c>
      <c r="H37" s="63" t="s">
        <v>740</v>
      </c>
      <c r="I37" s="63" t="s">
        <v>311</v>
      </c>
      <c r="J37" s="52">
        <v>2</v>
      </c>
      <c r="K37" s="43"/>
      <c r="L37" s="43" t="s">
        <v>191</v>
      </c>
      <c r="M37" s="64">
        <v>1</v>
      </c>
      <c r="N37" s="73">
        <v>5</v>
      </c>
      <c r="O37" s="75" t="s">
        <v>192</v>
      </c>
      <c r="P37" s="52"/>
      <c r="Q37" s="279">
        <v>2</v>
      </c>
      <c r="R37" s="371"/>
    </row>
    <row r="38" spans="1:18" ht="168.75">
      <c r="A38" s="61" t="s">
        <v>11451</v>
      </c>
      <c r="B38" s="61" t="s">
        <v>341</v>
      </c>
      <c r="C38" s="61" t="s">
        <v>11452</v>
      </c>
      <c r="D38" s="61" t="s">
        <v>10606</v>
      </c>
      <c r="E38" s="228"/>
      <c r="F38" s="472" t="s">
        <v>231</v>
      </c>
      <c r="G38" s="253" t="s">
        <v>4269</v>
      </c>
      <c r="H38" s="63" t="s">
        <v>740</v>
      </c>
      <c r="I38" s="63" t="s">
        <v>11453</v>
      </c>
      <c r="J38" s="52">
        <v>2</v>
      </c>
      <c r="K38" s="43"/>
      <c r="L38" s="43" t="s">
        <v>191</v>
      </c>
      <c r="M38" s="64">
        <v>1</v>
      </c>
      <c r="N38" s="73">
        <v>5</v>
      </c>
      <c r="O38" s="75" t="s">
        <v>222</v>
      </c>
      <c r="P38" s="52"/>
      <c r="Q38" s="279">
        <v>2</v>
      </c>
      <c r="R38" s="371"/>
    </row>
    <row r="39" spans="1:18" ht="11.25">
      <c r="A39" s="61" t="s">
        <v>11454</v>
      </c>
      <c r="B39" s="61" t="s">
        <v>347</v>
      </c>
      <c r="C39" s="61" t="s">
        <v>11455</v>
      </c>
      <c r="D39" s="61" t="s">
        <v>10606</v>
      </c>
      <c r="E39" s="228"/>
      <c r="F39" s="472" t="s">
        <v>231</v>
      </c>
      <c r="G39" s="253" t="s">
        <v>11456</v>
      </c>
      <c r="H39" s="63" t="s">
        <v>740</v>
      </c>
      <c r="I39" s="63" t="s">
        <v>350</v>
      </c>
      <c r="J39" s="52">
        <v>2</v>
      </c>
      <c r="K39" s="43"/>
      <c r="L39" s="43" t="s">
        <v>191</v>
      </c>
      <c r="M39" s="64">
        <v>1</v>
      </c>
      <c r="N39" s="73">
        <v>5</v>
      </c>
      <c r="O39" s="75" t="s">
        <v>222</v>
      </c>
      <c r="P39" s="52"/>
      <c r="Q39" s="279">
        <v>2</v>
      </c>
      <c r="R39" s="371"/>
    </row>
    <row r="40" spans="1:18" ht="33.75">
      <c r="A40" s="61" t="s">
        <v>11457</v>
      </c>
      <c r="B40" s="61" t="s">
        <v>352</v>
      </c>
      <c r="C40" s="61" t="s">
        <v>11458</v>
      </c>
      <c r="D40" s="61" t="s">
        <v>10606</v>
      </c>
      <c r="E40" s="228"/>
      <c r="F40" s="472" t="s">
        <v>354</v>
      </c>
      <c r="G40" s="253" t="s">
        <v>355</v>
      </c>
      <c r="H40" s="63" t="s">
        <v>188</v>
      </c>
      <c r="I40" s="63" t="s">
        <v>1453</v>
      </c>
      <c r="J40" s="52">
        <v>2</v>
      </c>
      <c r="K40" s="43"/>
      <c r="L40" s="43" t="s">
        <v>191</v>
      </c>
      <c r="M40" s="64">
        <v>2</v>
      </c>
      <c r="N40" s="73">
        <v>5</v>
      </c>
      <c r="O40" s="75" t="s">
        <v>222</v>
      </c>
      <c r="P40" s="52"/>
      <c r="Q40" s="279">
        <v>2</v>
      </c>
      <c r="R40" s="371"/>
    </row>
    <row r="41" spans="1:18" ht="22.5">
      <c r="A41" s="61" t="s">
        <v>11459</v>
      </c>
      <c r="B41" s="61" t="s">
        <v>357</v>
      </c>
      <c r="C41" s="61" t="s">
        <v>11460</v>
      </c>
      <c r="D41" s="61" t="s">
        <v>10606</v>
      </c>
      <c r="E41" s="228"/>
      <c r="F41" s="472" t="s">
        <v>275</v>
      </c>
      <c r="G41" s="253" t="s">
        <v>359</v>
      </c>
      <c r="H41" s="63" t="s">
        <v>188</v>
      </c>
      <c r="I41" s="63" t="s">
        <v>1453</v>
      </c>
      <c r="J41" s="52">
        <v>2</v>
      </c>
      <c r="K41" s="43"/>
      <c r="L41" s="43" t="s">
        <v>191</v>
      </c>
      <c r="M41" s="64">
        <v>2</v>
      </c>
      <c r="N41" s="73">
        <v>5</v>
      </c>
      <c r="O41" s="75" t="s">
        <v>222</v>
      </c>
      <c r="P41" s="52"/>
      <c r="Q41" s="279">
        <v>2</v>
      </c>
      <c r="R41" s="371"/>
    </row>
    <row r="42" spans="1:18" ht="22.5">
      <c r="A42" s="61" t="s">
        <v>11461</v>
      </c>
      <c r="B42" s="61" t="s">
        <v>362</v>
      </c>
      <c r="C42" s="61" t="s">
        <v>11462</v>
      </c>
      <c r="D42" s="61" t="s">
        <v>10606</v>
      </c>
      <c r="E42" s="228"/>
      <c r="F42" s="472" t="s">
        <v>275</v>
      </c>
      <c r="G42" s="253" t="s">
        <v>364</v>
      </c>
      <c r="H42" s="63" t="s">
        <v>188</v>
      </c>
      <c r="I42" s="63" t="s">
        <v>1453</v>
      </c>
      <c r="J42" s="52">
        <v>2</v>
      </c>
      <c r="K42" s="43"/>
      <c r="L42" s="43" t="s">
        <v>191</v>
      </c>
      <c r="M42" s="64">
        <v>2</v>
      </c>
      <c r="N42" s="73">
        <v>5</v>
      </c>
      <c r="O42" s="75" t="s">
        <v>222</v>
      </c>
      <c r="P42" s="52"/>
      <c r="Q42" s="279">
        <v>2</v>
      </c>
      <c r="R42" s="371"/>
    </row>
    <row r="43" spans="1:18" ht="22.5">
      <c r="A43" s="61" t="s">
        <v>11463</v>
      </c>
      <c r="B43" s="61" t="s">
        <v>389</v>
      </c>
      <c r="C43" s="61" t="s">
        <v>11464</v>
      </c>
      <c r="D43" s="61" t="s">
        <v>10606</v>
      </c>
      <c r="E43" s="228"/>
      <c r="F43" s="472" t="s">
        <v>296</v>
      </c>
      <c r="G43" s="253" t="s">
        <v>10685</v>
      </c>
      <c r="H43" s="63" t="s">
        <v>740</v>
      </c>
      <c r="I43" s="63"/>
      <c r="J43" s="52">
        <v>2</v>
      </c>
      <c r="K43" s="43"/>
      <c r="L43" s="43" t="s">
        <v>191</v>
      </c>
      <c r="M43" s="64">
        <v>1</v>
      </c>
      <c r="N43" s="73">
        <v>5</v>
      </c>
      <c r="O43" s="75" t="s">
        <v>199</v>
      </c>
      <c r="P43" s="52"/>
      <c r="Q43" s="279">
        <v>2</v>
      </c>
      <c r="R43" s="371"/>
    </row>
    <row r="44" spans="1:18" ht="22.5">
      <c r="A44" s="61" t="s">
        <v>11465</v>
      </c>
      <c r="B44" s="61" t="s">
        <v>693</v>
      </c>
      <c r="C44" s="61" t="s">
        <v>11466</v>
      </c>
      <c r="D44" s="61" t="s">
        <v>10606</v>
      </c>
      <c r="E44" s="228"/>
      <c r="F44" s="472" t="s">
        <v>296</v>
      </c>
      <c r="G44" s="253" t="s">
        <v>10378</v>
      </c>
      <c r="H44" s="63" t="s">
        <v>740</v>
      </c>
      <c r="I44" s="63"/>
      <c r="J44" s="52">
        <v>2</v>
      </c>
      <c r="K44" s="43"/>
      <c r="L44" s="43" t="s">
        <v>191</v>
      </c>
      <c r="M44" s="64">
        <v>1</v>
      </c>
      <c r="N44" s="73">
        <v>5</v>
      </c>
      <c r="O44" s="75" t="s">
        <v>199</v>
      </c>
      <c r="P44" s="52"/>
      <c r="Q44" s="279">
        <v>2</v>
      </c>
      <c r="R44" s="371"/>
    </row>
    <row r="45" spans="1:18" ht="33.75">
      <c r="A45" s="61" t="s">
        <v>11467</v>
      </c>
      <c r="B45" s="61" t="s">
        <v>394</v>
      </c>
      <c r="C45" s="61"/>
      <c r="D45" s="61" t="s">
        <v>10606</v>
      </c>
      <c r="E45" s="228"/>
      <c r="F45" s="472" t="s">
        <v>11053</v>
      </c>
      <c r="G45" s="253" t="s">
        <v>11468</v>
      </c>
      <c r="H45" s="63" t="s">
        <v>740</v>
      </c>
      <c r="I45" s="63"/>
      <c r="J45" s="52">
        <v>2</v>
      </c>
      <c r="K45" s="43"/>
      <c r="L45" s="43" t="s">
        <v>191</v>
      </c>
      <c r="M45" s="64">
        <v>1</v>
      </c>
      <c r="N45" s="73">
        <v>5</v>
      </c>
      <c r="O45" s="75" t="s">
        <v>199</v>
      </c>
      <c r="P45" s="52"/>
      <c r="Q45" s="279">
        <v>2</v>
      </c>
      <c r="R45" s="371"/>
    </row>
    <row r="46" spans="1:18" ht="33.75">
      <c r="A46" s="61" t="s">
        <v>11469</v>
      </c>
      <c r="B46" s="61" t="s">
        <v>399</v>
      </c>
      <c r="C46" s="61"/>
      <c r="D46" s="61" t="s">
        <v>10606</v>
      </c>
      <c r="E46" s="228"/>
      <c r="F46" s="472" t="s">
        <v>400</v>
      </c>
      <c r="G46" s="253" t="s">
        <v>11470</v>
      </c>
      <c r="H46" s="63" t="s">
        <v>740</v>
      </c>
      <c r="I46" s="63"/>
      <c r="J46" s="52">
        <v>2</v>
      </c>
      <c r="K46" s="43"/>
      <c r="L46" s="43" t="s">
        <v>191</v>
      </c>
      <c r="M46" s="64">
        <v>1</v>
      </c>
      <c r="N46" s="73">
        <v>5</v>
      </c>
      <c r="O46" s="75" t="s">
        <v>199</v>
      </c>
      <c r="P46" s="52"/>
      <c r="Q46" s="279">
        <v>2</v>
      </c>
      <c r="R46" s="371"/>
    </row>
    <row r="47" spans="1:18" ht="22.5">
      <c r="A47" s="61" t="s">
        <v>11471</v>
      </c>
      <c r="B47" s="61" t="s">
        <v>11472</v>
      </c>
      <c r="C47" s="61" t="s">
        <v>11473</v>
      </c>
      <c r="D47" s="61" t="s">
        <v>10606</v>
      </c>
      <c r="E47" s="228"/>
      <c r="F47" s="472" t="s">
        <v>587</v>
      </c>
      <c r="G47" s="253" t="s">
        <v>11474</v>
      </c>
      <c r="H47" s="63" t="s">
        <v>198</v>
      </c>
      <c r="I47" s="63"/>
      <c r="J47" s="52">
        <v>2</v>
      </c>
      <c r="K47" s="43"/>
      <c r="L47" s="43" t="s">
        <v>191</v>
      </c>
      <c r="M47" s="64">
        <v>2</v>
      </c>
      <c r="N47" s="73">
        <v>5</v>
      </c>
      <c r="O47" s="75" t="s">
        <v>199</v>
      </c>
      <c r="P47" s="52"/>
      <c r="Q47" s="279">
        <v>2</v>
      </c>
      <c r="R47" s="371"/>
    </row>
    <row r="48" spans="1:18" ht="22.5">
      <c r="A48" s="61" t="s">
        <v>11475</v>
      </c>
      <c r="B48" s="61" t="s">
        <v>11476</v>
      </c>
      <c r="C48" s="61" t="s">
        <v>11477</v>
      </c>
      <c r="D48" s="61" t="s">
        <v>10606</v>
      </c>
      <c r="E48" s="228"/>
      <c r="F48" s="472" t="s">
        <v>587</v>
      </c>
      <c r="G48" s="253" t="s">
        <v>11478</v>
      </c>
      <c r="H48" s="63" t="s">
        <v>740</v>
      </c>
      <c r="I48" s="63"/>
      <c r="J48" s="52">
        <v>2</v>
      </c>
      <c r="K48" s="43"/>
      <c r="L48" s="43" t="s">
        <v>191</v>
      </c>
      <c r="M48" s="64">
        <v>2</v>
      </c>
      <c r="N48" s="73">
        <v>5</v>
      </c>
      <c r="O48" s="75" t="s">
        <v>199</v>
      </c>
      <c r="P48" s="52"/>
      <c r="Q48" s="279">
        <v>2</v>
      </c>
      <c r="R48" s="371"/>
    </row>
    <row r="49" spans="1:18" ht="22.5">
      <c r="A49" s="67" t="s">
        <v>11479</v>
      </c>
      <c r="B49" s="61" t="s">
        <v>11480</v>
      </c>
      <c r="C49" s="115"/>
      <c r="D49" s="61" t="s">
        <v>10606</v>
      </c>
      <c r="E49" s="228"/>
      <c r="F49" s="472" t="s">
        <v>370</v>
      </c>
      <c r="G49" s="303" t="s">
        <v>11481</v>
      </c>
      <c r="H49" s="68" t="s">
        <v>198</v>
      </c>
      <c r="I49" s="116"/>
      <c r="J49" s="52">
        <v>2</v>
      </c>
      <c r="K49" s="103"/>
      <c r="L49" s="43" t="s">
        <v>191</v>
      </c>
      <c r="M49" s="64">
        <v>2</v>
      </c>
      <c r="N49" s="73">
        <v>5</v>
      </c>
      <c r="O49" s="75" t="s">
        <v>199</v>
      </c>
      <c r="P49" s="52"/>
      <c r="Q49" s="279">
        <v>2</v>
      </c>
      <c r="R49" s="371"/>
    </row>
    <row r="50" spans="1:18" ht="22.5">
      <c r="A50" s="67" t="s">
        <v>11482</v>
      </c>
      <c r="B50" s="61" t="s">
        <v>11483</v>
      </c>
      <c r="C50" s="115"/>
      <c r="D50" s="61" t="s">
        <v>10606</v>
      </c>
      <c r="E50" s="228"/>
      <c r="F50" s="472" t="s">
        <v>370</v>
      </c>
      <c r="G50" s="303" t="s">
        <v>11484</v>
      </c>
      <c r="H50" s="68" t="s">
        <v>740</v>
      </c>
      <c r="I50" s="116"/>
      <c r="J50" s="52">
        <v>2</v>
      </c>
      <c r="K50" s="103"/>
      <c r="L50" s="43" t="s">
        <v>191</v>
      </c>
      <c r="M50" s="64">
        <v>2</v>
      </c>
      <c r="N50" s="73">
        <v>5</v>
      </c>
      <c r="O50" s="75" t="s">
        <v>199</v>
      </c>
      <c r="P50" s="52"/>
      <c r="Q50" s="279">
        <v>2</v>
      </c>
      <c r="R50" s="371"/>
    </row>
    <row r="51" spans="1:18" ht="112.5">
      <c r="A51" s="67" t="s">
        <v>11485</v>
      </c>
      <c r="B51" s="61" t="s">
        <v>11486</v>
      </c>
      <c r="C51" s="115"/>
      <c r="D51" s="61" t="s">
        <v>10606</v>
      </c>
      <c r="E51" s="228"/>
      <c r="F51" s="480" t="s">
        <v>11079</v>
      </c>
      <c r="G51" s="303" t="s">
        <v>11487</v>
      </c>
      <c r="H51" s="68" t="s">
        <v>740</v>
      </c>
      <c r="I51" s="68" t="s">
        <v>11488</v>
      </c>
      <c r="J51" s="52">
        <v>2</v>
      </c>
      <c r="K51" s="103"/>
      <c r="L51" s="43" t="s">
        <v>191</v>
      </c>
      <c r="M51" s="64">
        <v>2</v>
      </c>
      <c r="N51" s="73">
        <v>5</v>
      </c>
      <c r="O51" s="75" t="s">
        <v>199</v>
      </c>
      <c r="P51" s="52"/>
      <c r="Q51" s="279">
        <v>2</v>
      </c>
      <c r="R51" s="371"/>
    </row>
    <row r="52" spans="1:18" ht="67.5">
      <c r="A52" s="67" t="s">
        <v>11365</v>
      </c>
      <c r="B52" s="61" t="s">
        <v>446</v>
      </c>
      <c r="C52" s="115" t="s">
        <v>11489</v>
      </c>
      <c r="D52" s="61" t="s">
        <v>10606</v>
      </c>
      <c r="E52" s="228"/>
      <c r="F52" s="480" t="s">
        <v>231</v>
      </c>
      <c r="G52" s="303" t="s">
        <v>448</v>
      </c>
      <c r="H52" s="68" t="s">
        <v>740</v>
      </c>
      <c r="I52" s="68"/>
      <c r="J52" s="52">
        <v>2</v>
      </c>
      <c r="K52" s="103"/>
      <c r="L52" s="43" t="s">
        <v>191</v>
      </c>
      <c r="M52" s="64">
        <v>1</v>
      </c>
      <c r="N52" s="73">
        <v>5</v>
      </c>
      <c r="O52" s="75" t="s">
        <v>199</v>
      </c>
      <c r="P52" s="52"/>
      <c r="Q52" s="279">
        <v>2</v>
      </c>
      <c r="R52" s="371"/>
    </row>
    <row r="53" spans="1:18" ht="56.25">
      <c r="A53" s="67" t="s">
        <v>11366</v>
      </c>
      <c r="B53" s="61" t="s">
        <v>454</v>
      </c>
      <c r="C53" s="115" t="s">
        <v>11490</v>
      </c>
      <c r="D53" s="61" t="s">
        <v>10606</v>
      </c>
      <c r="E53" s="228"/>
      <c r="F53" s="480" t="s">
        <v>231</v>
      </c>
      <c r="G53" s="303" t="s">
        <v>456</v>
      </c>
      <c r="H53" s="68" t="s">
        <v>740</v>
      </c>
      <c r="I53" s="68"/>
      <c r="J53" s="52">
        <v>2</v>
      </c>
      <c r="K53" s="103"/>
      <c r="L53" s="43" t="s">
        <v>191</v>
      </c>
      <c r="M53" s="64">
        <v>1</v>
      </c>
      <c r="N53" s="73">
        <v>4</v>
      </c>
      <c r="O53" s="75" t="s">
        <v>199</v>
      </c>
      <c r="P53" s="52"/>
      <c r="Q53" s="279">
        <v>2</v>
      </c>
      <c r="R53" s="371"/>
    </row>
    <row r="54" spans="1:18" ht="56.25">
      <c r="A54" s="67" t="s">
        <v>11367</v>
      </c>
      <c r="B54" s="61" t="s">
        <v>463</v>
      </c>
      <c r="C54" s="115" t="s">
        <v>11491</v>
      </c>
      <c r="D54" s="61" t="s">
        <v>10606</v>
      </c>
      <c r="E54" s="228"/>
      <c r="F54" s="480" t="s">
        <v>231</v>
      </c>
      <c r="G54" s="303" t="s">
        <v>465</v>
      </c>
      <c r="H54" s="68" t="s">
        <v>466</v>
      </c>
      <c r="I54" s="68"/>
      <c r="J54" s="52">
        <v>2</v>
      </c>
      <c r="K54" s="103"/>
      <c r="L54" s="43" t="s">
        <v>191</v>
      </c>
      <c r="M54" s="64">
        <v>1</v>
      </c>
      <c r="N54" s="73">
        <v>4</v>
      </c>
      <c r="O54" s="75" t="s">
        <v>199</v>
      </c>
      <c r="P54" s="52"/>
      <c r="Q54" s="279">
        <v>2</v>
      </c>
      <c r="R54" s="371"/>
    </row>
    <row r="55" spans="1:18" ht="56.25">
      <c r="A55" s="67" t="s">
        <v>11492</v>
      </c>
      <c r="B55" s="61" t="s">
        <v>11493</v>
      </c>
      <c r="C55" s="115"/>
      <c r="D55" s="61" t="s">
        <v>10606</v>
      </c>
      <c r="E55" s="228"/>
      <c r="F55" s="480" t="s">
        <v>302</v>
      </c>
      <c r="G55" s="303" t="s">
        <v>11494</v>
      </c>
      <c r="H55" s="68" t="s">
        <v>740</v>
      </c>
      <c r="I55" s="68"/>
      <c r="J55" s="52">
        <v>3</v>
      </c>
      <c r="K55" s="103"/>
      <c r="L55" s="43" t="s">
        <v>191</v>
      </c>
      <c r="M55" s="64">
        <v>1</v>
      </c>
      <c r="N55" s="73">
        <v>5</v>
      </c>
      <c r="O55" s="75" t="s">
        <v>199</v>
      </c>
      <c r="P55" s="52"/>
      <c r="Q55" s="279">
        <v>3</v>
      </c>
      <c r="R55" s="371"/>
    </row>
    <row r="56" spans="1:18" ht="11.25">
      <c r="A56" s="85"/>
      <c r="B56" s="85"/>
      <c r="C56" s="85"/>
      <c r="D56" s="85"/>
      <c r="E56" s="85"/>
      <c r="F56" s="472"/>
      <c r="G56" s="45"/>
      <c r="H56" s="45"/>
      <c r="I56" s="45"/>
      <c r="J56" s="49"/>
      <c r="K56" s="44"/>
      <c r="L56" s="44"/>
      <c r="M56" s="101"/>
      <c r="P56" s="49"/>
      <c r="Q56" s="49"/>
      <c r="R56" s="371"/>
    </row>
    <row r="57" spans="1:18" ht="11.25">
      <c r="A57" s="102" t="s">
        <v>11495</v>
      </c>
      <c r="B57" s="47"/>
      <c r="C57" s="85"/>
      <c r="D57" s="85"/>
      <c r="E57" s="85"/>
      <c r="F57" s="472"/>
      <c r="G57" s="45"/>
      <c r="H57" s="45"/>
      <c r="I57" s="85"/>
      <c r="J57" s="49"/>
      <c r="K57" s="44"/>
      <c r="L57" s="44"/>
      <c r="M57" s="54"/>
      <c r="P57" s="49"/>
      <c r="Q57" s="49"/>
      <c r="R57" s="371"/>
    </row>
    <row r="58" spans="1:18" ht="168.75">
      <c r="A58" s="61" t="s">
        <v>11496</v>
      </c>
      <c r="B58" s="61" t="s">
        <v>11497</v>
      </c>
      <c r="C58" s="61" t="s">
        <v>11498</v>
      </c>
      <c r="D58" s="61" t="s">
        <v>10606</v>
      </c>
      <c r="E58" s="228"/>
      <c r="F58" s="472" t="s">
        <v>231</v>
      </c>
      <c r="G58" s="253" t="s">
        <v>11423</v>
      </c>
      <c r="H58" s="63" t="s">
        <v>740</v>
      </c>
      <c r="I58" s="63" t="s">
        <v>11421</v>
      </c>
      <c r="J58" s="52">
        <v>2</v>
      </c>
      <c r="K58" s="43"/>
      <c r="L58" s="43" t="s">
        <v>191</v>
      </c>
      <c r="M58" s="64">
        <v>1</v>
      </c>
      <c r="N58" s="73">
        <v>5</v>
      </c>
      <c r="O58" s="75" t="s">
        <v>222</v>
      </c>
      <c r="P58" s="52"/>
      <c r="Q58" s="279">
        <v>2</v>
      </c>
      <c r="R58" s="371"/>
    </row>
    <row r="59" spans="1:18" ht="90">
      <c r="A59" s="61" t="s">
        <v>11499</v>
      </c>
      <c r="B59" s="61" t="s">
        <v>11500</v>
      </c>
      <c r="C59" s="61" t="s">
        <v>11501</v>
      </c>
      <c r="D59" s="61" t="s">
        <v>10606</v>
      </c>
      <c r="E59" s="228"/>
      <c r="F59" s="472" t="s">
        <v>231</v>
      </c>
      <c r="G59" s="253" t="s">
        <v>334</v>
      </c>
      <c r="H59" s="63" t="s">
        <v>740</v>
      </c>
      <c r="I59" s="63" t="s">
        <v>11411</v>
      </c>
      <c r="J59" s="52">
        <v>2</v>
      </c>
      <c r="K59" s="43"/>
      <c r="L59" s="43" t="s">
        <v>191</v>
      </c>
      <c r="M59" s="64">
        <v>2</v>
      </c>
      <c r="N59" s="73">
        <v>5</v>
      </c>
      <c r="O59" s="75" t="s">
        <v>222</v>
      </c>
      <c r="P59" s="52"/>
      <c r="Q59" s="279">
        <v>2</v>
      </c>
      <c r="R59" s="371"/>
    </row>
    <row r="60" spans="1:18" ht="67.5">
      <c r="A60" s="61" t="s">
        <v>11502</v>
      </c>
      <c r="B60" s="61" t="s">
        <v>11503</v>
      </c>
      <c r="C60" s="61" t="s">
        <v>11504</v>
      </c>
      <c r="D60" s="61" t="s">
        <v>10606</v>
      </c>
      <c r="E60" s="228"/>
      <c r="F60" s="472" t="s">
        <v>231</v>
      </c>
      <c r="G60" s="253" t="s">
        <v>448</v>
      </c>
      <c r="H60" s="63" t="s">
        <v>740</v>
      </c>
      <c r="I60" s="63"/>
      <c r="J60" s="52">
        <v>2</v>
      </c>
      <c r="K60" s="43"/>
      <c r="L60" s="43" t="s">
        <v>191</v>
      </c>
      <c r="M60" s="64">
        <v>1</v>
      </c>
      <c r="N60" s="73">
        <v>4</v>
      </c>
      <c r="O60" s="75" t="s">
        <v>199</v>
      </c>
      <c r="P60" s="52"/>
      <c r="Q60" s="279">
        <v>2</v>
      </c>
      <c r="R60" s="371"/>
    </row>
    <row r="61" spans="1:18" s="211" customFormat="1" ht="22.5">
      <c r="A61" s="208" t="s">
        <v>11505</v>
      </c>
      <c r="B61" s="208" t="s">
        <v>11506</v>
      </c>
      <c r="C61" s="208" t="s">
        <v>11507</v>
      </c>
      <c r="D61" s="61" t="s">
        <v>10606</v>
      </c>
      <c r="E61" s="228"/>
      <c r="F61" s="480" t="s">
        <v>231</v>
      </c>
      <c r="G61" s="479" t="s">
        <v>11069</v>
      </c>
      <c r="H61" s="209" t="s">
        <v>740</v>
      </c>
      <c r="I61" s="209"/>
      <c r="J61" s="52">
        <v>3</v>
      </c>
      <c r="K61" s="212"/>
      <c r="L61" s="212" t="s">
        <v>191</v>
      </c>
      <c r="M61" s="210">
        <v>1</v>
      </c>
      <c r="N61" s="213">
        <v>5</v>
      </c>
      <c r="O61" s="213" t="s">
        <v>199</v>
      </c>
      <c r="P61" s="52"/>
      <c r="Q61" s="279">
        <v>3</v>
      </c>
      <c r="R61" s="371"/>
    </row>
    <row r="62" spans="1:18" ht="56.25">
      <c r="A62" s="61" t="s">
        <v>11508</v>
      </c>
      <c r="B62" s="61" t="s">
        <v>11509</v>
      </c>
      <c r="C62" s="61" t="s">
        <v>11510</v>
      </c>
      <c r="D62" s="61" t="s">
        <v>10606</v>
      </c>
      <c r="E62" s="228"/>
      <c r="F62" s="472" t="s">
        <v>231</v>
      </c>
      <c r="G62" s="253" t="s">
        <v>465</v>
      </c>
      <c r="H62" s="63" t="s">
        <v>466</v>
      </c>
      <c r="I62" s="63"/>
      <c r="J62" s="52">
        <v>3</v>
      </c>
      <c r="K62" s="43"/>
      <c r="L62" s="43" t="s">
        <v>191</v>
      </c>
      <c r="M62" s="64">
        <v>1</v>
      </c>
      <c r="N62" s="73">
        <v>4</v>
      </c>
      <c r="O62" s="75" t="s">
        <v>199</v>
      </c>
      <c r="P62" s="52"/>
      <c r="Q62" s="279">
        <v>3</v>
      </c>
      <c r="R62" s="371"/>
    </row>
    <row r="63" spans="1:18" ht="11.25">
      <c r="A63" s="85"/>
      <c r="B63" s="85"/>
      <c r="C63" s="85"/>
      <c r="D63" s="85"/>
      <c r="E63" s="85"/>
      <c r="F63" s="99"/>
      <c r="G63" s="45"/>
      <c r="H63" s="45"/>
      <c r="I63" s="45"/>
      <c r="J63" s="44"/>
      <c r="K63" s="44"/>
      <c r="L63" s="44"/>
      <c r="M63" s="101"/>
      <c r="P63" s="49"/>
      <c r="Q63" s="49"/>
      <c r="R63" s="49"/>
    </row>
    <row r="65" spans="1:15">
      <c r="A65" s="40" t="s">
        <v>11378</v>
      </c>
    </row>
    <row r="66" spans="1:15">
      <c r="A66" s="40"/>
    </row>
    <row r="67" spans="1:15">
      <c r="A67" s="40" t="s">
        <v>488</v>
      </c>
    </row>
    <row r="68" spans="1:15" ht="15" customHeight="1">
      <c r="A68" s="46" t="s">
        <v>489</v>
      </c>
    </row>
    <row r="69" spans="1:15" ht="11.25">
      <c r="A69" s="47"/>
      <c r="M69" s="47"/>
    </row>
    <row r="70" spans="1:15" ht="45">
      <c r="A70" s="79" t="s">
        <v>11098</v>
      </c>
      <c r="B70" s="76" t="s">
        <v>11099</v>
      </c>
      <c r="C70" s="79" t="s">
        <v>11100</v>
      </c>
      <c r="D70" s="79" t="s">
        <v>168</v>
      </c>
      <c r="E70" s="58" t="s">
        <v>169</v>
      </c>
      <c r="F70" s="478" t="s">
        <v>170</v>
      </c>
      <c r="G70" s="81" t="s">
        <v>20</v>
      </c>
      <c r="H70" s="81" t="s">
        <v>171</v>
      </c>
      <c r="I70" s="81" t="s">
        <v>172</v>
      </c>
      <c r="J70" s="83" t="s">
        <v>11384</v>
      </c>
      <c r="K70" s="58" t="s">
        <v>174</v>
      </c>
      <c r="L70" s="58" t="s">
        <v>175</v>
      </c>
      <c r="M70" s="59" t="s">
        <v>176</v>
      </c>
      <c r="N70" s="388" t="s">
        <v>655</v>
      </c>
      <c r="O70" s="389" t="s">
        <v>179</v>
      </c>
    </row>
    <row r="71" spans="1:15" ht="11.25">
      <c r="A71" s="140" t="s">
        <v>11511</v>
      </c>
      <c r="B71" s="140" t="s">
        <v>501</v>
      </c>
      <c r="C71" s="140" t="s">
        <v>11512</v>
      </c>
      <c r="D71" s="140" t="s">
        <v>10606</v>
      </c>
      <c r="E71" s="229"/>
      <c r="F71" s="476" t="s">
        <v>231</v>
      </c>
      <c r="G71" s="462" t="s">
        <v>11513</v>
      </c>
      <c r="H71" s="142" t="s">
        <v>198</v>
      </c>
      <c r="I71" s="198"/>
      <c r="J71" s="145" t="s">
        <v>11514</v>
      </c>
      <c r="K71" s="145"/>
      <c r="L71" s="145" t="s">
        <v>191</v>
      </c>
      <c r="M71" s="143">
        <v>4</v>
      </c>
      <c r="N71" s="368">
        <v>5</v>
      </c>
      <c r="O71" s="148" t="s">
        <v>199</v>
      </c>
    </row>
    <row r="72" spans="1:15" ht="67.5">
      <c r="A72" s="140" t="s">
        <v>11515</v>
      </c>
      <c r="B72" s="140" t="s">
        <v>11516</v>
      </c>
      <c r="C72" s="140" t="s">
        <v>11517</v>
      </c>
      <c r="D72" s="140" t="s">
        <v>10606</v>
      </c>
      <c r="E72" s="229"/>
      <c r="F72" s="476" t="s">
        <v>231</v>
      </c>
      <c r="G72" s="462" t="s">
        <v>11518</v>
      </c>
      <c r="H72" s="142" t="s">
        <v>198</v>
      </c>
      <c r="I72" s="142" t="s">
        <v>11519</v>
      </c>
      <c r="J72" s="145">
        <v>1</v>
      </c>
      <c r="K72" s="145"/>
      <c r="L72" s="145" t="s">
        <v>191</v>
      </c>
      <c r="M72" s="143">
        <v>4</v>
      </c>
      <c r="N72" s="368">
        <v>5</v>
      </c>
      <c r="O72" s="148" t="s">
        <v>199</v>
      </c>
    </row>
    <row r="73" spans="1:15" ht="11.25">
      <c r="A73" s="140" t="s">
        <v>11520</v>
      </c>
      <c r="B73" s="140" t="s">
        <v>491</v>
      </c>
      <c r="C73" s="140" t="s">
        <v>11521</v>
      </c>
      <c r="D73" s="140" t="s">
        <v>10606</v>
      </c>
      <c r="E73" s="229"/>
      <c r="F73" s="476" t="s">
        <v>231</v>
      </c>
      <c r="G73" s="462" t="s">
        <v>494</v>
      </c>
      <c r="H73" s="142" t="s">
        <v>466</v>
      </c>
      <c r="I73" s="142"/>
      <c r="J73" s="145" t="s">
        <v>11514</v>
      </c>
      <c r="K73" s="145"/>
      <c r="L73" s="145" t="s">
        <v>191</v>
      </c>
      <c r="M73" s="143">
        <v>4</v>
      </c>
      <c r="N73" s="368">
        <v>3</v>
      </c>
      <c r="O73" s="148" t="s">
        <v>199</v>
      </c>
    </row>
    <row r="74" spans="1:15" ht="22.5">
      <c r="A74" s="140" t="s">
        <v>11522</v>
      </c>
      <c r="B74" s="140" t="s">
        <v>11523</v>
      </c>
      <c r="C74" s="140" t="s">
        <v>11524</v>
      </c>
      <c r="D74" s="140" t="s">
        <v>10606</v>
      </c>
      <c r="E74" s="229"/>
      <c r="F74" s="476" t="s">
        <v>231</v>
      </c>
      <c r="G74" s="462" t="s">
        <v>11525</v>
      </c>
      <c r="H74" s="142" t="s">
        <v>198</v>
      </c>
      <c r="I74" s="142"/>
      <c r="J74" s="145">
        <v>1</v>
      </c>
      <c r="K74" s="145"/>
      <c r="L74" s="145" t="s">
        <v>191</v>
      </c>
      <c r="M74" s="143">
        <v>4</v>
      </c>
      <c r="N74" s="368">
        <v>5</v>
      </c>
      <c r="O74" s="148" t="s">
        <v>199</v>
      </c>
    </row>
    <row r="75" spans="1:15" ht="33.75">
      <c r="A75" s="140" t="s">
        <v>11526</v>
      </c>
      <c r="B75" s="140" t="s">
        <v>11527</v>
      </c>
      <c r="C75" s="140" t="s">
        <v>11528</v>
      </c>
      <c r="D75" s="140" t="s">
        <v>10606</v>
      </c>
      <c r="E75" s="229"/>
      <c r="F75" s="476" t="s">
        <v>231</v>
      </c>
      <c r="G75" s="462" t="s">
        <v>11529</v>
      </c>
      <c r="H75" s="142" t="s">
        <v>740</v>
      </c>
      <c r="I75" s="142" t="s">
        <v>11530</v>
      </c>
      <c r="J75" s="145">
        <v>1</v>
      </c>
      <c r="K75" s="145"/>
      <c r="L75" s="145" t="s">
        <v>191</v>
      </c>
      <c r="M75" s="143">
        <v>4</v>
      </c>
      <c r="N75" s="368">
        <v>5</v>
      </c>
      <c r="O75" s="148" t="s">
        <v>199</v>
      </c>
    </row>
    <row r="76" spans="1:15" ht="33.75">
      <c r="A76" s="140" t="s">
        <v>11531</v>
      </c>
      <c r="B76" s="140" t="s">
        <v>169</v>
      </c>
      <c r="C76" s="140" t="s">
        <v>11532</v>
      </c>
      <c r="D76" s="140" t="s">
        <v>10606</v>
      </c>
      <c r="E76" s="229"/>
      <c r="F76" s="476" t="s">
        <v>231</v>
      </c>
      <c r="G76" s="462" t="s">
        <v>11533</v>
      </c>
      <c r="H76" s="142" t="s">
        <v>740</v>
      </c>
      <c r="I76" s="142" t="s">
        <v>11534</v>
      </c>
      <c r="J76" s="145">
        <v>1</v>
      </c>
      <c r="K76" s="145"/>
      <c r="L76" s="145" t="s">
        <v>191</v>
      </c>
      <c r="M76" s="143">
        <v>4</v>
      </c>
      <c r="N76" s="368">
        <v>5</v>
      </c>
      <c r="O76" s="148" t="s">
        <v>199</v>
      </c>
    </row>
    <row r="77" spans="1:15" ht="11.25">
      <c r="A77" s="140" t="s">
        <v>11370</v>
      </c>
      <c r="B77" s="140" t="s">
        <v>11371</v>
      </c>
      <c r="C77" s="140" t="s">
        <v>11535</v>
      </c>
      <c r="D77" s="140" t="s">
        <v>10606</v>
      </c>
      <c r="E77" s="229"/>
      <c r="F77" s="476" t="s">
        <v>231</v>
      </c>
      <c r="G77" s="462" t="s">
        <v>11536</v>
      </c>
      <c r="H77" s="142" t="s">
        <v>198</v>
      </c>
      <c r="I77" s="142"/>
      <c r="J77" s="145">
        <v>1</v>
      </c>
      <c r="K77" s="145"/>
      <c r="L77" s="145" t="s">
        <v>191</v>
      </c>
      <c r="M77" s="143">
        <v>4</v>
      </c>
      <c r="N77" s="368">
        <v>5</v>
      </c>
      <c r="O77" s="148" t="s">
        <v>199</v>
      </c>
    </row>
    <row r="78" spans="1:15" ht="11.25">
      <c r="A78" s="140" t="s">
        <v>11537</v>
      </c>
      <c r="B78" s="140" t="s">
        <v>11538</v>
      </c>
      <c r="C78" s="140" t="s">
        <v>11539</v>
      </c>
      <c r="D78" s="140" t="s">
        <v>10606</v>
      </c>
      <c r="E78" s="229"/>
      <c r="F78" s="476" t="s">
        <v>231</v>
      </c>
      <c r="G78" s="462" t="s">
        <v>11540</v>
      </c>
      <c r="H78" s="142" t="s">
        <v>198</v>
      </c>
      <c r="I78" s="142"/>
      <c r="J78" s="145" t="s">
        <v>11514</v>
      </c>
      <c r="K78" s="145"/>
      <c r="L78" s="145" t="s">
        <v>191</v>
      </c>
      <c r="M78" s="143">
        <v>4</v>
      </c>
      <c r="N78" s="368">
        <v>5</v>
      </c>
      <c r="O78" s="148" t="s">
        <v>199</v>
      </c>
    </row>
    <row r="79" spans="1:15" ht="56.25">
      <c r="A79" s="142" t="s">
        <v>11541</v>
      </c>
      <c r="B79" s="140" t="s">
        <v>534</v>
      </c>
      <c r="C79" s="140" t="s">
        <v>11542</v>
      </c>
      <c r="D79" s="140" t="s">
        <v>10606</v>
      </c>
      <c r="E79" s="229"/>
      <c r="F79" s="476" t="s">
        <v>231</v>
      </c>
      <c r="G79" s="462" t="s">
        <v>536</v>
      </c>
      <c r="H79" s="225" t="s">
        <v>740</v>
      </c>
      <c r="I79" s="142"/>
      <c r="J79" s="145" t="s">
        <v>11514</v>
      </c>
      <c r="K79" s="145"/>
      <c r="L79" s="145" t="s">
        <v>191</v>
      </c>
      <c r="M79" s="143">
        <v>4</v>
      </c>
      <c r="N79" s="368">
        <v>5</v>
      </c>
      <c r="O79" s="148" t="s">
        <v>199</v>
      </c>
    </row>
    <row r="80" spans="1:15" ht="90">
      <c r="A80" s="140" t="s">
        <v>11543</v>
      </c>
      <c r="B80" s="140" t="s">
        <v>559</v>
      </c>
      <c r="C80" s="140" t="s">
        <v>11544</v>
      </c>
      <c r="D80" s="140" t="s">
        <v>10606</v>
      </c>
      <c r="E80" s="229"/>
      <c r="F80" s="476" t="s">
        <v>231</v>
      </c>
      <c r="G80" s="462" t="s">
        <v>561</v>
      </c>
      <c r="H80" s="142" t="s">
        <v>740</v>
      </c>
      <c r="I80" s="142" t="s">
        <v>718</v>
      </c>
      <c r="J80" s="145" t="s">
        <v>11514</v>
      </c>
      <c r="K80" s="145"/>
      <c r="L80" s="145" t="s">
        <v>191</v>
      </c>
      <c r="M80" s="143">
        <v>4</v>
      </c>
      <c r="N80" s="368">
        <v>5</v>
      </c>
      <c r="O80" s="148" t="s">
        <v>199</v>
      </c>
    </row>
    <row r="81" spans="1:15" ht="146.25">
      <c r="A81" s="140" t="s">
        <v>11545</v>
      </c>
      <c r="B81" s="140" t="s">
        <v>539</v>
      </c>
      <c r="C81" s="140" t="s">
        <v>11546</v>
      </c>
      <c r="D81" s="140" t="s">
        <v>10606</v>
      </c>
      <c r="E81" s="229"/>
      <c r="F81" s="476" t="s">
        <v>541</v>
      </c>
      <c r="G81" s="462" t="s">
        <v>542</v>
      </c>
      <c r="H81" s="142" t="s">
        <v>740</v>
      </c>
      <c r="I81" s="142" t="s">
        <v>11547</v>
      </c>
      <c r="J81" s="145" t="s">
        <v>11514</v>
      </c>
      <c r="K81" s="145"/>
      <c r="L81" s="145" t="s">
        <v>191</v>
      </c>
      <c r="M81" s="143">
        <v>4</v>
      </c>
      <c r="N81" s="368">
        <v>5</v>
      </c>
      <c r="O81" s="148" t="s">
        <v>199</v>
      </c>
    </row>
    <row r="82" spans="1:15" ht="67.5">
      <c r="A82" s="140" t="s">
        <v>11548</v>
      </c>
      <c r="B82" s="140" t="s">
        <v>11549</v>
      </c>
      <c r="C82" s="140"/>
      <c r="D82" s="140" t="s">
        <v>10606</v>
      </c>
      <c r="E82" s="229"/>
      <c r="F82" s="476" t="s">
        <v>253</v>
      </c>
      <c r="G82" s="462" t="s">
        <v>11550</v>
      </c>
      <c r="H82" s="142" t="s">
        <v>740</v>
      </c>
      <c r="I82" s="142" t="s">
        <v>728</v>
      </c>
      <c r="J82" s="145" t="s">
        <v>11551</v>
      </c>
      <c r="K82" s="145"/>
      <c r="L82" s="145" t="s">
        <v>191</v>
      </c>
      <c r="M82" s="143">
        <v>4</v>
      </c>
      <c r="N82" s="368">
        <v>5</v>
      </c>
      <c r="O82" s="148" t="s">
        <v>199</v>
      </c>
    </row>
    <row r="83" spans="1:15" ht="11.25">
      <c r="A83" s="140" t="s">
        <v>11552</v>
      </c>
      <c r="B83" s="140" t="s">
        <v>11553</v>
      </c>
      <c r="C83" s="140" t="s">
        <v>11554</v>
      </c>
      <c r="D83" s="140" t="s">
        <v>10606</v>
      </c>
      <c r="E83" s="229"/>
      <c r="F83" s="476" t="s">
        <v>231</v>
      </c>
      <c r="G83" s="462" t="s">
        <v>11555</v>
      </c>
      <c r="H83" s="225" t="s">
        <v>740</v>
      </c>
      <c r="I83" s="142"/>
      <c r="J83" s="145" t="s">
        <v>11514</v>
      </c>
      <c r="K83" s="145"/>
      <c r="L83" s="145" t="s">
        <v>191</v>
      </c>
      <c r="M83" s="143">
        <v>4</v>
      </c>
      <c r="N83" s="368">
        <v>5</v>
      </c>
      <c r="O83" s="148" t="s">
        <v>199</v>
      </c>
    </row>
    <row r="84" spans="1:15" ht="22.5">
      <c r="A84" s="140" t="s">
        <v>11556</v>
      </c>
      <c r="B84" s="140" t="s">
        <v>11557</v>
      </c>
      <c r="C84" s="140" t="s">
        <v>11558</v>
      </c>
      <c r="D84" s="140" t="s">
        <v>10606</v>
      </c>
      <c r="E84" s="229"/>
      <c r="F84" s="476" t="s">
        <v>231</v>
      </c>
      <c r="G84" s="462" t="s">
        <v>11559</v>
      </c>
      <c r="H84" s="142" t="s">
        <v>188</v>
      </c>
      <c r="I84" s="142" t="s">
        <v>1453</v>
      </c>
      <c r="J84" s="145">
        <v>1</v>
      </c>
      <c r="K84" s="145"/>
      <c r="L84" s="145" t="s">
        <v>191</v>
      </c>
      <c r="M84" s="143">
        <v>4</v>
      </c>
      <c r="N84" s="368">
        <v>5</v>
      </c>
      <c r="O84" s="148" t="s">
        <v>199</v>
      </c>
    </row>
    <row r="85" spans="1:15" ht="78.75">
      <c r="A85" s="140" t="s">
        <v>11560</v>
      </c>
      <c r="B85" s="140" t="s">
        <v>11561</v>
      </c>
      <c r="C85" s="140" t="s">
        <v>11562</v>
      </c>
      <c r="D85" s="140" t="s">
        <v>10606</v>
      </c>
      <c r="E85" s="229"/>
      <c r="F85" s="476" t="s">
        <v>11563</v>
      </c>
      <c r="G85" s="462" t="s">
        <v>11564</v>
      </c>
      <c r="H85" s="142" t="s">
        <v>740</v>
      </c>
      <c r="I85" s="142" t="s">
        <v>11565</v>
      </c>
      <c r="J85" s="145" t="s">
        <v>11566</v>
      </c>
      <c r="K85" s="145"/>
      <c r="L85" s="145" t="s">
        <v>191</v>
      </c>
      <c r="M85" s="143">
        <v>4</v>
      </c>
      <c r="N85" s="368">
        <v>5</v>
      </c>
      <c r="O85" s="148" t="s">
        <v>199</v>
      </c>
    </row>
    <row r="86" spans="1:15" ht="45">
      <c r="A86" s="140" t="s">
        <v>11567</v>
      </c>
      <c r="B86" s="140" t="s">
        <v>11568</v>
      </c>
      <c r="C86" s="140" t="s">
        <v>11569</v>
      </c>
      <c r="D86" s="140" t="s">
        <v>10606</v>
      </c>
      <c r="E86" s="229"/>
      <c r="F86" s="476" t="s">
        <v>231</v>
      </c>
      <c r="G86" s="462" t="s">
        <v>11570</v>
      </c>
      <c r="H86" s="142" t="s">
        <v>198</v>
      </c>
      <c r="I86" s="140"/>
      <c r="J86" s="145" t="s">
        <v>11566</v>
      </c>
      <c r="K86" s="145"/>
      <c r="L86" s="145" t="s">
        <v>191</v>
      </c>
      <c r="M86" s="143">
        <v>4</v>
      </c>
      <c r="N86" s="368">
        <v>5</v>
      </c>
      <c r="O86" s="148" t="s">
        <v>199</v>
      </c>
    </row>
    <row r="87" spans="1:15" ht="45">
      <c r="A87" s="140" t="s">
        <v>11571</v>
      </c>
      <c r="B87" s="140" t="s">
        <v>11572</v>
      </c>
      <c r="C87" s="140" t="s">
        <v>11573</v>
      </c>
      <c r="D87" s="140" t="s">
        <v>10606</v>
      </c>
      <c r="E87" s="229"/>
      <c r="F87" s="476" t="s">
        <v>231</v>
      </c>
      <c r="G87" s="462" t="s">
        <v>11574</v>
      </c>
      <c r="H87" s="142" t="s">
        <v>198</v>
      </c>
      <c r="I87" s="140"/>
      <c r="J87" s="145" t="s">
        <v>11566</v>
      </c>
      <c r="K87" s="145"/>
      <c r="L87" s="145" t="s">
        <v>191</v>
      </c>
      <c r="M87" s="143">
        <v>4</v>
      </c>
      <c r="N87" s="368">
        <v>5</v>
      </c>
      <c r="O87" s="148" t="s">
        <v>199</v>
      </c>
    </row>
    <row r="88" spans="1:15" ht="45">
      <c r="A88" s="140" t="s">
        <v>11575</v>
      </c>
      <c r="B88" s="140" t="s">
        <v>11576</v>
      </c>
      <c r="C88" s="140" t="s">
        <v>11577</v>
      </c>
      <c r="D88" s="140" t="s">
        <v>10606</v>
      </c>
      <c r="E88" s="481"/>
      <c r="F88" s="476" t="s">
        <v>354</v>
      </c>
      <c r="G88" s="462" t="s">
        <v>11578</v>
      </c>
      <c r="H88" s="142" t="s">
        <v>188</v>
      </c>
      <c r="I88" s="142" t="s">
        <v>11579</v>
      </c>
      <c r="J88" s="145" t="s">
        <v>11566</v>
      </c>
      <c r="K88" s="145"/>
      <c r="L88" s="145" t="s">
        <v>191</v>
      </c>
      <c r="M88" s="143">
        <v>4</v>
      </c>
      <c r="N88" s="368">
        <v>5</v>
      </c>
      <c r="O88" s="148" t="s">
        <v>199</v>
      </c>
    </row>
    <row r="89" spans="1:15" ht="45">
      <c r="A89" s="159" t="s">
        <v>11580</v>
      </c>
      <c r="B89" s="159" t="s">
        <v>11581</v>
      </c>
      <c r="C89" s="159"/>
      <c r="D89" s="481" t="s">
        <v>10606</v>
      </c>
      <c r="E89" s="482"/>
      <c r="F89" s="483" t="s">
        <v>302</v>
      </c>
      <c r="G89" s="489" t="s">
        <v>11582</v>
      </c>
      <c r="H89" s="160" t="s">
        <v>198</v>
      </c>
      <c r="I89" s="160"/>
      <c r="J89" s="334" t="s">
        <v>11566</v>
      </c>
      <c r="K89" s="334"/>
      <c r="L89" s="334" t="s">
        <v>191</v>
      </c>
      <c r="M89" s="490">
        <v>4</v>
      </c>
      <c r="N89" s="491">
        <v>5</v>
      </c>
      <c r="O89" s="492" t="s">
        <v>199</v>
      </c>
    </row>
    <row r="90" spans="1:15" ht="11.25">
      <c r="A90" s="482"/>
      <c r="B90" s="486"/>
      <c r="C90" s="482"/>
      <c r="D90" s="486"/>
      <c r="E90" s="486"/>
      <c r="F90" s="497"/>
      <c r="G90" s="498"/>
      <c r="H90" s="498"/>
      <c r="I90" s="498"/>
      <c r="J90" s="499"/>
      <c r="K90" s="499"/>
      <c r="L90" s="499"/>
      <c r="M90" s="500"/>
      <c r="N90" s="501"/>
      <c r="O90" s="205"/>
    </row>
    <row r="91" spans="1:15" ht="11.25">
      <c r="A91" s="502" t="s">
        <v>11495</v>
      </c>
      <c r="B91" s="503"/>
      <c r="C91" s="487"/>
      <c r="D91" s="488"/>
      <c r="E91" s="488"/>
      <c r="F91" s="504"/>
      <c r="G91" s="505"/>
      <c r="H91" s="505"/>
      <c r="I91" s="488"/>
      <c r="J91" s="506"/>
      <c r="K91" s="506"/>
      <c r="L91" s="506"/>
      <c r="M91" s="507"/>
      <c r="N91" s="508"/>
      <c r="O91" s="390"/>
    </row>
    <row r="92" spans="1:15" ht="33.75">
      <c r="A92" s="161" t="s">
        <v>11583</v>
      </c>
      <c r="B92" s="161" t="s">
        <v>11584</v>
      </c>
      <c r="C92" s="161" t="s">
        <v>11585</v>
      </c>
      <c r="D92" s="161" t="s">
        <v>10606</v>
      </c>
      <c r="E92" s="484"/>
      <c r="F92" s="485" t="s">
        <v>231</v>
      </c>
      <c r="G92" s="493" t="s">
        <v>11586</v>
      </c>
      <c r="H92" s="162" t="s">
        <v>740</v>
      </c>
      <c r="I92" s="162" t="s">
        <v>11534</v>
      </c>
      <c r="J92" s="432" t="s">
        <v>11566</v>
      </c>
      <c r="K92" s="432"/>
      <c r="L92" s="432" t="s">
        <v>191</v>
      </c>
      <c r="M92" s="494">
        <v>4</v>
      </c>
      <c r="N92" s="495">
        <v>5</v>
      </c>
      <c r="O92" s="496" t="s">
        <v>199</v>
      </c>
    </row>
    <row r="93" spans="1:15" ht="67.5">
      <c r="A93" s="140" t="s">
        <v>11587</v>
      </c>
      <c r="B93" s="140" t="s">
        <v>11588</v>
      </c>
      <c r="C93" s="140" t="s">
        <v>11589</v>
      </c>
      <c r="D93" s="140" t="s">
        <v>10606</v>
      </c>
      <c r="E93" s="229"/>
      <c r="F93" s="476" t="s">
        <v>231</v>
      </c>
      <c r="G93" s="462" t="s">
        <v>11518</v>
      </c>
      <c r="H93" s="142" t="s">
        <v>740</v>
      </c>
      <c r="I93" s="142" t="s">
        <v>11519</v>
      </c>
      <c r="J93" s="145" t="s">
        <v>11566</v>
      </c>
      <c r="K93" s="145"/>
      <c r="L93" s="145" t="s">
        <v>191</v>
      </c>
      <c r="M93" s="143">
        <v>4</v>
      </c>
      <c r="N93" s="368">
        <v>5</v>
      </c>
      <c r="O93" s="148" t="s">
        <v>199</v>
      </c>
    </row>
    <row r="94" spans="1:15" ht="11.25">
      <c r="A94" s="140" t="s">
        <v>11590</v>
      </c>
      <c r="B94" s="140" t="s">
        <v>11591</v>
      </c>
      <c r="C94" s="140" t="s">
        <v>11592</v>
      </c>
      <c r="D94" s="140" t="s">
        <v>10606</v>
      </c>
      <c r="E94" s="229"/>
      <c r="F94" s="476" t="s">
        <v>231</v>
      </c>
      <c r="G94" s="462" t="s">
        <v>11536</v>
      </c>
      <c r="H94" s="142" t="s">
        <v>198</v>
      </c>
      <c r="I94" s="142"/>
      <c r="J94" s="145" t="s">
        <v>11566</v>
      </c>
      <c r="K94" s="145"/>
      <c r="L94" s="145" t="s">
        <v>191</v>
      </c>
      <c r="M94" s="143">
        <v>4</v>
      </c>
      <c r="N94" s="368">
        <v>5</v>
      </c>
      <c r="O94" s="148" t="s">
        <v>199</v>
      </c>
    </row>
    <row r="95" spans="1:15" ht="11.25">
      <c r="A95" s="140" t="s">
        <v>11593</v>
      </c>
      <c r="B95" s="140" t="s">
        <v>11594</v>
      </c>
      <c r="C95" s="140" t="s">
        <v>11595</v>
      </c>
      <c r="D95" s="140" t="s">
        <v>10606</v>
      </c>
      <c r="E95" s="229"/>
      <c r="F95" s="476" t="s">
        <v>231</v>
      </c>
      <c r="G95" s="462" t="s">
        <v>11540</v>
      </c>
      <c r="H95" s="142" t="s">
        <v>198</v>
      </c>
      <c r="I95" s="142"/>
      <c r="J95" s="145" t="s">
        <v>11566</v>
      </c>
      <c r="K95" s="145"/>
      <c r="L95" s="145" t="s">
        <v>191</v>
      </c>
      <c r="M95" s="143">
        <v>4</v>
      </c>
      <c r="N95" s="368">
        <v>5</v>
      </c>
      <c r="O95" s="148" t="s">
        <v>199</v>
      </c>
    </row>
    <row r="96" spans="1:15" s="84" customFormat="1" ht="67.5">
      <c r="A96" s="140" t="s">
        <v>11596</v>
      </c>
      <c r="B96" s="140" t="s">
        <v>11597</v>
      </c>
      <c r="C96" s="140"/>
      <c r="D96" s="140" t="s">
        <v>10606</v>
      </c>
      <c r="E96" s="229"/>
      <c r="F96" s="476" t="s">
        <v>253</v>
      </c>
      <c r="G96" s="462" t="s">
        <v>11550</v>
      </c>
      <c r="H96" s="142" t="s">
        <v>740</v>
      </c>
      <c r="I96" s="142" t="s">
        <v>728</v>
      </c>
      <c r="J96" s="145" t="s">
        <v>11566</v>
      </c>
      <c r="K96" s="145"/>
      <c r="L96" s="145" t="s">
        <v>191</v>
      </c>
      <c r="M96" s="143">
        <v>4</v>
      </c>
      <c r="N96" s="368">
        <v>5</v>
      </c>
      <c r="O96" s="148" t="s">
        <v>199</v>
      </c>
    </row>
  </sheetData>
  <autoFilter ref="A7:R62" xr:uid="{00000000-0009-0000-0000-000012000000}"/>
  <phoneticPr fontId="39" type="noConversion"/>
  <conditionalFormatting sqref="P8:P63">
    <cfRule type="containsText" dxfId="59" priority="5" operator="containsText" text="Yes">
      <formula>NOT(ISERROR(SEARCH("Yes",P8)))</formula>
    </cfRule>
  </conditionalFormatting>
  <dataValidations count="1">
    <dataValidation type="list" allowBlank="1" showInputMessage="1" showErrorMessage="1" sqref="P8:P63" xr:uid="{00000000-0002-0000-1200-000000000000}">
      <formula1>"No,Yes"</formula1>
    </dataValidation>
  </dataValidations>
  <pageMargins left="0.15748031496063003" right="0.15748031496063003" top="0.51181102362204711" bottom="0.511811023622047" header="0.19685039370078702" footer="0.15748031496063003"/>
  <pageSetup paperSize="9" scale="75" fitToWidth="0" fitToHeight="0" orientation="landscape" r:id="rId1"/>
  <headerFooter alignWithMargins="0">
    <oddHeader>&amp;C&amp;F</oddHeader>
    <oddFooter>&amp;L&amp;A&amp;CPage &amp;P of &amp;N</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BYW83"/>
  <sheetViews>
    <sheetView showGridLines="0" zoomScale="75" zoomScaleNormal="75" workbookViewId="0">
      <pane xSplit="1" ySplit="5" topLeftCell="B11" activePane="bottomRight" state="frozen"/>
      <selection pane="bottomRight" activeCell="P15" sqref="P15"/>
      <selection pane="bottomLeft" activeCell="A101" sqref="A101"/>
      <selection pane="topRight" activeCell="A101" sqref="A101"/>
    </sheetView>
  </sheetViews>
  <sheetFormatPr defaultColWidth="9" defaultRowHeight="12.75"/>
  <cols>
    <col min="1" max="1" width="34.85546875" style="39" customWidth="1"/>
    <col min="2" max="2" width="29.28515625" style="39" customWidth="1"/>
    <col min="3" max="3" width="7" style="39" customWidth="1"/>
    <col min="4" max="4" width="13.5703125" style="39" hidden="1" customWidth="1"/>
    <col min="5" max="5" width="10.28515625" style="39" hidden="1" customWidth="1"/>
    <col min="6" max="6" width="17.28515625" style="40" customWidth="1"/>
    <col min="7" max="7" width="33.5703125" style="42" customWidth="1"/>
    <col min="8" max="8" width="21.5703125" style="42" hidden="1" customWidth="1"/>
    <col min="9" max="9" width="18.85546875" style="39" customWidth="1"/>
    <col min="10" max="10" width="10" style="39" hidden="1" customWidth="1"/>
    <col min="11" max="11" width="15.28515625" style="39" hidden="1" customWidth="1"/>
    <col min="12" max="12" width="13.5703125" style="39" customWidth="1"/>
    <col min="13" max="13" width="7.5703125" style="72" customWidth="1"/>
    <col min="14" max="14" width="13.85546875" style="72" bestFit="1" customWidth="1"/>
    <col min="15" max="15" width="13.28515625" style="50" bestFit="1" customWidth="1"/>
    <col min="16" max="16" width="20.140625" style="255" bestFit="1" customWidth="1"/>
    <col min="17" max="16384" width="9" style="50"/>
  </cols>
  <sheetData>
    <row r="1" spans="1:16">
      <c r="A1" s="40" t="s">
        <v>11598</v>
      </c>
      <c r="E1" s="40"/>
      <c r="F1" s="42"/>
      <c r="H1" s="39"/>
      <c r="L1" s="72"/>
      <c r="N1" s="50"/>
      <c r="O1" s="255"/>
      <c r="P1" s="50"/>
    </row>
    <row r="2" spans="1:16">
      <c r="E2" s="40"/>
      <c r="F2" s="42"/>
      <c r="H2" s="39"/>
      <c r="L2" s="72"/>
      <c r="N2" s="50"/>
      <c r="O2" s="255"/>
      <c r="P2" s="50"/>
    </row>
    <row r="3" spans="1:16">
      <c r="A3" s="139" t="s">
        <v>159</v>
      </c>
      <c r="E3" s="40"/>
      <c r="F3" s="42"/>
      <c r="H3" s="39"/>
      <c r="L3" s="72"/>
      <c r="N3" s="50"/>
      <c r="O3" s="255"/>
      <c r="P3" s="50"/>
    </row>
    <row r="4" spans="1:16">
      <c r="A4" s="50"/>
      <c r="E4" s="40"/>
      <c r="F4" s="42"/>
      <c r="H4" s="39"/>
      <c r="L4" s="72"/>
      <c r="N4" s="50"/>
      <c r="O4" s="255"/>
      <c r="P4" s="50"/>
    </row>
    <row r="5" spans="1:16" ht="33.75">
      <c r="A5" s="81" t="s">
        <v>11098</v>
      </c>
      <c r="B5" s="81" t="s">
        <v>11099</v>
      </c>
      <c r="C5" s="81" t="s">
        <v>4368</v>
      </c>
      <c r="D5" s="58" t="s">
        <v>168</v>
      </c>
      <c r="E5" s="58" t="s">
        <v>169</v>
      </c>
      <c r="F5" s="76" t="s">
        <v>170</v>
      </c>
      <c r="G5" s="81" t="s">
        <v>20</v>
      </c>
      <c r="H5" s="58" t="s">
        <v>171</v>
      </c>
      <c r="I5" s="81" t="s">
        <v>172</v>
      </c>
      <c r="J5" s="58" t="s">
        <v>174</v>
      </c>
      <c r="K5" s="58" t="s">
        <v>175</v>
      </c>
      <c r="L5" s="59" t="s">
        <v>176</v>
      </c>
      <c r="M5" s="60" t="s">
        <v>655</v>
      </c>
      <c r="N5" s="60" t="s">
        <v>179</v>
      </c>
      <c r="O5" s="291" t="s">
        <v>180</v>
      </c>
      <c r="P5" s="379" t="s">
        <v>181</v>
      </c>
    </row>
    <row r="6" spans="1:16" ht="135">
      <c r="A6" s="118" t="s">
        <v>11599</v>
      </c>
      <c r="B6" s="118" t="s">
        <v>183</v>
      </c>
      <c r="C6" s="61"/>
      <c r="D6" s="61" t="s">
        <v>185</v>
      </c>
      <c r="E6" s="61"/>
      <c r="F6" s="98" t="s">
        <v>4505</v>
      </c>
      <c r="G6" s="63" t="s">
        <v>187</v>
      </c>
      <c r="H6" s="63" t="s">
        <v>188</v>
      </c>
      <c r="I6" s="63" t="s">
        <v>189</v>
      </c>
      <c r="J6" s="63"/>
      <c r="K6" s="61" t="s">
        <v>191</v>
      </c>
      <c r="L6" s="64">
        <v>4</v>
      </c>
      <c r="M6" s="73">
        <v>5</v>
      </c>
      <c r="N6" s="73" t="s">
        <v>192</v>
      </c>
      <c r="O6" s="279" t="s">
        <v>14</v>
      </c>
      <c r="P6" s="391"/>
    </row>
    <row r="7" spans="1:16" ht="22.5">
      <c r="A7" s="61" t="s">
        <v>11600</v>
      </c>
      <c r="B7" s="61" t="s">
        <v>194</v>
      </c>
      <c r="C7" s="61"/>
      <c r="D7" s="61" t="s">
        <v>185</v>
      </c>
      <c r="E7" s="61"/>
      <c r="F7" s="98" t="s">
        <v>4505</v>
      </c>
      <c r="G7" s="63" t="s">
        <v>197</v>
      </c>
      <c r="H7" s="63" t="s">
        <v>198</v>
      </c>
      <c r="I7" s="63"/>
      <c r="J7" s="63"/>
      <c r="K7" s="63" t="s">
        <v>191</v>
      </c>
      <c r="L7" s="64">
        <v>2</v>
      </c>
      <c r="M7" s="73">
        <v>5</v>
      </c>
      <c r="N7" s="75" t="s">
        <v>199</v>
      </c>
      <c r="O7" s="279" t="s">
        <v>14</v>
      </c>
      <c r="P7" s="391"/>
    </row>
    <row r="8" spans="1:16" ht="22.5">
      <c r="A8" s="61" t="s">
        <v>11601</v>
      </c>
      <c r="B8" s="61" t="s">
        <v>201</v>
      </c>
      <c r="C8" s="61"/>
      <c r="D8" s="61" t="s">
        <v>185</v>
      </c>
      <c r="E8" s="61"/>
      <c r="F8" s="98" t="s">
        <v>4505</v>
      </c>
      <c r="G8" s="63" t="s">
        <v>203</v>
      </c>
      <c r="H8" s="63" t="s">
        <v>740</v>
      </c>
      <c r="I8" s="63" t="s">
        <v>660</v>
      </c>
      <c r="J8" s="63"/>
      <c r="K8" s="63" t="s">
        <v>191</v>
      </c>
      <c r="L8" s="64">
        <v>2</v>
      </c>
      <c r="M8" s="73">
        <v>5</v>
      </c>
      <c r="N8" s="75" t="s">
        <v>199</v>
      </c>
      <c r="O8" s="279" t="s">
        <v>14</v>
      </c>
      <c r="P8" s="391"/>
    </row>
    <row r="9" spans="1:16">
      <c r="A9" s="61" t="s">
        <v>11602</v>
      </c>
      <c r="B9" s="61" t="s">
        <v>207</v>
      </c>
      <c r="C9" s="61"/>
      <c r="D9" s="61" t="s">
        <v>185</v>
      </c>
      <c r="E9" s="61"/>
      <c r="F9" s="98" t="s">
        <v>4505</v>
      </c>
      <c r="G9" s="63" t="s">
        <v>209</v>
      </c>
      <c r="H9" s="63" t="s">
        <v>198</v>
      </c>
      <c r="I9" s="63"/>
      <c r="J9" s="63"/>
      <c r="K9" s="63" t="s">
        <v>191</v>
      </c>
      <c r="L9" s="64">
        <v>2</v>
      </c>
      <c r="M9" s="73">
        <v>5</v>
      </c>
      <c r="N9" s="75" t="s">
        <v>199</v>
      </c>
      <c r="O9" s="279" t="s">
        <v>14</v>
      </c>
      <c r="P9" s="391"/>
    </row>
    <row r="10" spans="1:16">
      <c r="A10" s="61" t="s">
        <v>11603</v>
      </c>
      <c r="B10" s="61" t="s">
        <v>211</v>
      </c>
      <c r="C10" s="61"/>
      <c r="D10" s="61" t="s">
        <v>185</v>
      </c>
      <c r="E10" s="61"/>
      <c r="F10" s="98" t="s">
        <v>4505</v>
      </c>
      <c r="G10" s="63" t="s">
        <v>213</v>
      </c>
      <c r="H10" s="63" t="s">
        <v>740</v>
      </c>
      <c r="I10" s="63" t="s">
        <v>663</v>
      </c>
      <c r="J10" s="63"/>
      <c r="K10" s="63" t="s">
        <v>191</v>
      </c>
      <c r="L10" s="64">
        <v>2</v>
      </c>
      <c r="M10" s="73">
        <v>5</v>
      </c>
      <c r="N10" s="75" t="s">
        <v>199</v>
      </c>
      <c r="O10" s="279" t="s">
        <v>14</v>
      </c>
      <c r="P10" s="391"/>
    </row>
    <row r="11" spans="1:16" ht="22.5">
      <c r="A11" s="61" t="s">
        <v>11604</v>
      </c>
      <c r="B11" s="61" t="s">
        <v>11605</v>
      </c>
      <c r="C11" s="61"/>
      <c r="D11" s="61"/>
      <c r="E11" s="61"/>
      <c r="F11" s="98" t="s">
        <v>7929</v>
      </c>
      <c r="G11" s="63" t="s">
        <v>11069</v>
      </c>
      <c r="H11" s="63" t="s">
        <v>204</v>
      </c>
      <c r="I11" s="63"/>
      <c r="J11" s="63"/>
      <c r="K11" s="63"/>
      <c r="L11" s="64">
        <v>1</v>
      </c>
      <c r="M11" s="73">
        <v>5</v>
      </c>
      <c r="N11" s="75" t="s">
        <v>199</v>
      </c>
      <c r="O11" s="279" t="s">
        <v>14</v>
      </c>
      <c r="P11" s="391"/>
    </row>
    <row r="12" spans="1:16" ht="22.5">
      <c r="A12" s="61" t="s">
        <v>11606</v>
      </c>
      <c r="B12" s="61" t="s">
        <v>11607</v>
      </c>
      <c r="C12" s="61"/>
      <c r="D12" s="61"/>
      <c r="E12" s="61"/>
      <c r="F12" s="98" t="s">
        <v>7929</v>
      </c>
      <c r="G12" s="63" t="s">
        <v>11608</v>
      </c>
      <c r="H12" s="63" t="s">
        <v>204</v>
      </c>
      <c r="I12" s="63"/>
      <c r="J12" s="63"/>
      <c r="K12" s="63"/>
      <c r="L12" s="64">
        <v>1</v>
      </c>
      <c r="M12" s="73">
        <v>5</v>
      </c>
      <c r="N12" s="75" t="s">
        <v>199</v>
      </c>
      <c r="O12" s="279" t="s">
        <v>14</v>
      </c>
      <c r="P12" s="391"/>
    </row>
    <row r="13" spans="1:16" ht="90">
      <c r="A13" s="61" t="s">
        <v>11609</v>
      </c>
      <c r="B13" s="61" t="s">
        <v>454</v>
      </c>
      <c r="C13" s="61"/>
      <c r="D13" s="61" t="s">
        <v>185</v>
      </c>
      <c r="E13" s="61"/>
      <c r="F13" s="98" t="s">
        <v>2194</v>
      </c>
      <c r="G13" s="63" t="s">
        <v>11610</v>
      </c>
      <c r="H13" s="63" t="s">
        <v>740</v>
      </c>
      <c r="I13" s="63"/>
      <c r="J13" s="63"/>
      <c r="K13" s="63" t="s">
        <v>191</v>
      </c>
      <c r="L13" s="64">
        <v>1</v>
      </c>
      <c r="M13" s="73">
        <v>5</v>
      </c>
      <c r="N13" s="75" t="s">
        <v>199</v>
      </c>
      <c r="O13" s="279" t="s">
        <v>12</v>
      </c>
      <c r="P13" s="391" t="s">
        <v>10315</v>
      </c>
    </row>
    <row r="14" spans="1:16" ht="90">
      <c r="A14" s="61" t="s">
        <v>11611</v>
      </c>
      <c r="B14" s="61" t="s">
        <v>11612</v>
      </c>
      <c r="C14" s="61"/>
      <c r="D14" s="61" t="s">
        <v>185</v>
      </c>
      <c r="E14" s="61"/>
      <c r="F14" s="98" t="s">
        <v>11613</v>
      </c>
      <c r="G14" s="63" t="s">
        <v>11614</v>
      </c>
      <c r="H14" s="63" t="s">
        <v>740</v>
      </c>
      <c r="I14" s="63"/>
      <c r="J14" s="63"/>
      <c r="K14" s="63" t="s">
        <v>191</v>
      </c>
      <c r="L14" s="64">
        <v>1</v>
      </c>
      <c r="M14" s="73">
        <v>5</v>
      </c>
      <c r="N14" s="75" t="s">
        <v>199</v>
      </c>
      <c r="O14" s="279" t="s">
        <v>12</v>
      </c>
      <c r="P14" s="391" t="s">
        <v>11613</v>
      </c>
    </row>
    <row r="15" spans="1:16" ht="101.25">
      <c r="A15" s="61" t="s">
        <v>11615</v>
      </c>
      <c r="B15" s="61" t="s">
        <v>11616</v>
      </c>
      <c r="C15" s="61"/>
      <c r="D15" s="61" t="s">
        <v>185</v>
      </c>
      <c r="E15" s="61"/>
      <c r="F15" s="98" t="s">
        <v>4505</v>
      </c>
      <c r="G15" s="63" t="s">
        <v>11617</v>
      </c>
      <c r="H15" s="63" t="s">
        <v>740</v>
      </c>
      <c r="I15" s="63"/>
      <c r="J15" s="63"/>
      <c r="K15" s="63" t="s">
        <v>191</v>
      </c>
      <c r="L15" s="64">
        <v>1</v>
      </c>
      <c r="M15" s="73">
        <v>5</v>
      </c>
      <c r="N15" s="75" t="s">
        <v>199</v>
      </c>
      <c r="O15" s="279" t="s">
        <v>12</v>
      </c>
      <c r="P15" s="391" t="s">
        <v>10322</v>
      </c>
    </row>
    <row r="17" spans="1:2025">
      <c r="A17" s="40" t="s">
        <v>11598</v>
      </c>
    </row>
    <row r="19" spans="1:2025">
      <c r="A19" s="40" t="s">
        <v>488</v>
      </c>
    </row>
    <row r="20" spans="1:2025">
      <c r="A20" s="46" t="s">
        <v>489</v>
      </c>
      <c r="P20" s="50"/>
    </row>
    <row r="21" spans="1:2025">
      <c r="L21" s="50"/>
      <c r="P21" s="50"/>
    </row>
    <row r="22" spans="1:2025" ht="33.75">
      <c r="A22" s="81" t="s">
        <v>11098</v>
      </c>
      <c r="B22" s="81" t="s">
        <v>11099</v>
      </c>
      <c r="C22" s="81" t="s">
        <v>4368</v>
      </c>
      <c r="D22" s="58" t="s">
        <v>168</v>
      </c>
      <c r="E22" s="58" t="s">
        <v>169</v>
      </c>
      <c r="F22" s="76" t="s">
        <v>170</v>
      </c>
      <c r="G22" s="81" t="s">
        <v>20</v>
      </c>
      <c r="H22" s="81" t="s">
        <v>171</v>
      </c>
      <c r="I22" s="81" t="s">
        <v>172</v>
      </c>
      <c r="J22" s="81" t="s">
        <v>174</v>
      </c>
      <c r="K22" s="81" t="s">
        <v>175</v>
      </c>
      <c r="L22" s="59" t="s">
        <v>176</v>
      </c>
      <c r="M22" s="60" t="s">
        <v>655</v>
      </c>
      <c r="N22" s="130" t="s">
        <v>179</v>
      </c>
      <c r="P22" s="50"/>
    </row>
    <row r="23" spans="1:2025">
      <c r="A23" s="140" t="s">
        <v>11618</v>
      </c>
      <c r="B23" s="140" t="s">
        <v>770</v>
      </c>
      <c r="C23" s="140"/>
      <c r="D23" s="140" t="s">
        <v>493</v>
      </c>
      <c r="E23" s="140"/>
      <c r="F23" s="141" t="s">
        <v>2250</v>
      </c>
      <c r="G23" s="142" t="s">
        <v>11619</v>
      </c>
      <c r="H23" s="142" t="s">
        <v>198</v>
      </c>
      <c r="I23" s="140"/>
      <c r="J23" s="140"/>
      <c r="K23" s="140" t="s">
        <v>191</v>
      </c>
      <c r="L23" s="143">
        <v>4</v>
      </c>
      <c r="M23" s="148">
        <v>5</v>
      </c>
      <c r="N23" s="186" t="s">
        <v>199</v>
      </c>
      <c r="P23" s="50"/>
    </row>
    <row r="24" spans="1:2025">
      <c r="A24" s="140" t="s">
        <v>11620</v>
      </c>
      <c r="B24" s="140" t="s">
        <v>491</v>
      </c>
      <c r="C24" s="140"/>
      <c r="D24" s="140" t="s">
        <v>493</v>
      </c>
      <c r="E24" s="140"/>
      <c r="F24" s="141" t="s">
        <v>2250</v>
      </c>
      <c r="G24" s="142" t="s">
        <v>494</v>
      </c>
      <c r="H24" s="142" t="s">
        <v>466</v>
      </c>
      <c r="I24" s="140"/>
      <c r="J24" s="140"/>
      <c r="K24" s="140" t="s">
        <v>191</v>
      </c>
      <c r="L24" s="143">
        <v>4</v>
      </c>
      <c r="M24" s="148">
        <v>3</v>
      </c>
      <c r="N24" s="148" t="s">
        <v>199</v>
      </c>
      <c r="P24" s="50"/>
    </row>
    <row r="25" spans="1:2025" ht="67.5">
      <c r="A25" s="140" t="s">
        <v>11621</v>
      </c>
      <c r="B25" s="140" t="s">
        <v>11622</v>
      </c>
      <c r="C25" s="140"/>
      <c r="D25" s="140" t="s">
        <v>493</v>
      </c>
      <c r="E25" s="140"/>
      <c r="F25" s="141" t="s">
        <v>2250</v>
      </c>
      <c r="G25" s="142" t="s">
        <v>11623</v>
      </c>
      <c r="H25" s="142" t="s">
        <v>204</v>
      </c>
      <c r="I25" s="142" t="s">
        <v>11624</v>
      </c>
      <c r="J25" s="142"/>
      <c r="K25" s="140" t="s">
        <v>191</v>
      </c>
      <c r="L25" s="143">
        <v>4</v>
      </c>
      <c r="M25" s="148">
        <v>5</v>
      </c>
      <c r="N25" s="148" t="s">
        <v>199</v>
      </c>
      <c r="P25" s="50"/>
    </row>
    <row r="26" spans="1:2025" ht="45">
      <c r="A26" s="140" t="s">
        <v>11625</v>
      </c>
      <c r="B26" s="140" t="s">
        <v>518</v>
      </c>
      <c r="C26" s="140"/>
      <c r="D26" s="140" t="s">
        <v>493</v>
      </c>
      <c r="E26" s="140"/>
      <c r="F26" s="141" t="s">
        <v>2250</v>
      </c>
      <c r="G26" s="142" t="s">
        <v>11626</v>
      </c>
      <c r="H26" s="142" t="s">
        <v>204</v>
      </c>
      <c r="I26" s="142" t="s">
        <v>11627</v>
      </c>
      <c r="J26" s="142"/>
      <c r="K26" s="140" t="s">
        <v>191</v>
      </c>
      <c r="L26" s="143">
        <v>4</v>
      </c>
      <c r="M26" s="148">
        <v>5</v>
      </c>
      <c r="N26" s="148" t="s">
        <v>199</v>
      </c>
      <c r="P26" s="50"/>
    </row>
    <row r="27" spans="1:2025" ht="409.5">
      <c r="A27" s="199" t="s">
        <v>11628</v>
      </c>
      <c r="B27" s="199" t="s">
        <v>496</v>
      </c>
      <c r="C27" s="140"/>
      <c r="D27" s="140" t="s">
        <v>493</v>
      </c>
      <c r="E27" s="140"/>
      <c r="F27" s="141" t="s">
        <v>2250</v>
      </c>
      <c r="G27" s="142" t="s">
        <v>498</v>
      </c>
      <c r="H27" s="142" t="s">
        <v>204</v>
      </c>
      <c r="I27" s="142" t="s">
        <v>11629</v>
      </c>
      <c r="J27" s="142"/>
      <c r="K27" s="140" t="s">
        <v>191</v>
      </c>
      <c r="L27" s="143">
        <v>4</v>
      </c>
      <c r="M27" s="148">
        <v>5</v>
      </c>
      <c r="N27" s="148" t="s">
        <v>199</v>
      </c>
      <c r="P27" s="50"/>
    </row>
    <row r="28" spans="1:2025" ht="33.75">
      <c r="A28" s="140" t="s">
        <v>11630</v>
      </c>
      <c r="B28" s="140" t="s">
        <v>11549</v>
      </c>
      <c r="C28" s="140"/>
      <c r="D28" s="140" t="s">
        <v>242</v>
      </c>
      <c r="E28" s="140"/>
      <c r="F28" s="141" t="s">
        <v>2250</v>
      </c>
      <c r="G28" s="142" t="s">
        <v>11631</v>
      </c>
      <c r="H28" s="142" t="s">
        <v>198</v>
      </c>
      <c r="I28" s="200" t="s">
        <v>11632</v>
      </c>
      <c r="J28" s="200"/>
      <c r="K28" s="140" t="s">
        <v>191</v>
      </c>
      <c r="L28" s="143">
        <v>4</v>
      </c>
      <c r="M28" s="148">
        <v>5</v>
      </c>
      <c r="N28" s="148" t="s">
        <v>199</v>
      </c>
      <c r="P28" s="50"/>
    </row>
    <row r="29" spans="1:2025" s="117" customFormat="1" ht="36" customHeight="1">
      <c r="A29" s="140" t="s">
        <v>11633</v>
      </c>
      <c r="B29" s="140" t="s">
        <v>11634</v>
      </c>
      <c r="C29" s="140"/>
      <c r="D29" s="140" t="s">
        <v>242</v>
      </c>
      <c r="E29" s="140"/>
      <c r="F29" s="141" t="s">
        <v>11635</v>
      </c>
      <c r="G29" s="142" t="s">
        <v>11636</v>
      </c>
      <c r="H29" s="142" t="s">
        <v>198</v>
      </c>
      <c r="I29" s="200" t="s">
        <v>11632</v>
      </c>
      <c r="J29" s="200"/>
      <c r="K29" s="140" t="s">
        <v>191</v>
      </c>
      <c r="L29" s="143">
        <v>4</v>
      </c>
      <c r="M29" s="148">
        <v>5</v>
      </c>
      <c r="N29" s="148" t="s">
        <v>199</v>
      </c>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c r="CS29" s="50"/>
      <c r="CT29" s="50"/>
      <c r="CU29" s="50"/>
      <c r="CV29" s="50"/>
      <c r="CW29" s="50"/>
      <c r="CX29" s="50"/>
      <c r="CY29" s="50"/>
      <c r="CZ29" s="50"/>
      <c r="DA29" s="50"/>
      <c r="DB29" s="50"/>
      <c r="DC29" s="50"/>
      <c r="DD29" s="50"/>
      <c r="DE29" s="50"/>
      <c r="DF29" s="50"/>
      <c r="DG29" s="50"/>
      <c r="DH29" s="50"/>
      <c r="DI29" s="50"/>
      <c r="DJ29" s="50"/>
      <c r="DK29" s="50"/>
      <c r="DL29" s="50"/>
      <c r="DM29" s="50"/>
      <c r="DN29" s="50"/>
      <c r="DO29" s="50"/>
      <c r="DP29" s="50"/>
      <c r="DQ29" s="50"/>
      <c r="DR29" s="50"/>
      <c r="DS29" s="50"/>
      <c r="DT29" s="50"/>
      <c r="DU29" s="50"/>
      <c r="DV29" s="50"/>
      <c r="DW29" s="50"/>
      <c r="DX29" s="50"/>
      <c r="DY29" s="50"/>
      <c r="DZ29" s="50"/>
      <c r="EA29" s="50"/>
      <c r="EB29" s="50"/>
      <c r="EC29" s="50"/>
      <c r="ED29" s="50"/>
      <c r="EE29" s="50"/>
      <c r="EF29" s="50"/>
      <c r="EG29" s="50"/>
      <c r="EH29" s="50"/>
      <c r="EI29" s="50"/>
      <c r="EJ29" s="50"/>
      <c r="EK29" s="50"/>
      <c r="EL29" s="50"/>
      <c r="EM29" s="50"/>
      <c r="EN29" s="50"/>
      <c r="EO29" s="50"/>
      <c r="EP29" s="50"/>
      <c r="EQ29" s="50"/>
      <c r="ER29" s="50"/>
      <c r="ES29" s="50"/>
      <c r="ET29" s="50"/>
      <c r="EU29" s="50"/>
      <c r="EV29" s="50"/>
      <c r="EW29" s="50"/>
      <c r="EX29" s="50"/>
      <c r="EY29" s="50"/>
      <c r="EZ29" s="50"/>
      <c r="FA29" s="50"/>
      <c r="FB29" s="50"/>
      <c r="FC29" s="50"/>
      <c r="FD29" s="50"/>
      <c r="FE29" s="50"/>
      <c r="FF29" s="50"/>
      <c r="FG29" s="50"/>
      <c r="FH29" s="50"/>
      <c r="FI29" s="50"/>
      <c r="FJ29" s="50"/>
      <c r="FK29" s="50"/>
      <c r="FL29" s="50"/>
      <c r="FM29" s="50"/>
      <c r="FN29" s="50"/>
      <c r="FO29" s="50"/>
      <c r="FP29" s="50"/>
      <c r="FQ29" s="50"/>
      <c r="FR29" s="50"/>
      <c r="FS29" s="50"/>
      <c r="FT29" s="50"/>
      <c r="FU29" s="50"/>
      <c r="FV29" s="50"/>
      <c r="FW29" s="50"/>
      <c r="FX29" s="50"/>
      <c r="FY29" s="50"/>
      <c r="FZ29" s="50"/>
      <c r="GA29" s="50"/>
      <c r="GB29" s="50"/>
      <c r="GC29" s="50"/>
      <c r="GD29" s="50"/>
      <c r="GE29" s="50"/>
      <c r="GF29" s="50"/>
      <c r="GG29" s="50"/>
      <c r="GH29" s="50"/>
      <c r="GI29" s="50"/>
      <c r="GJ29" s="50"/>
      <c r="GK29" s="50"/>
      <c r="GL29" s="50"/>
      <c r="GM29" s="50"/>
      <c r="GN29" s="50"/>
      <c r="GO29" s="50"/>
      <c r="GP29" s="50"/>
      <c r="GQ29" s="50"/>
      <c r="GR29" s="50"/>
      <c r="GS29" s="50"/>
      <c r="GT29" s="50"/>
      <c r="GU29" s="50"/>
      <c r="GV29" s="50"/>
      <c r="GW29" s="50"/>
      <c r="GX29" s="50"/>
      <c r="GY29" s="50"/>
      <c r="GZ29" s="50"/>
      <c r="HA29" s="50"/>
      <c r="HB29" s="50"/>
      <c r="HC29" s="50"/>
      <c r="HD29" s="50"/>
      <c r="HE29" s="50"/>
      <c r="HF29" s="50"/>
      <c r="HG29" s="50"/>
      <c r="HH29" s="50"/>
      <c r="HI29" s="50"/>
      <c r="HJ29" s="50"/>
      <c r="HK29" s="50"/>
      <c r="HL29" s="50"/>
      <c r="HM29" s="50"/>
      <c r="HN29" s="50"/>
      <c r="HO29" s="50"/>
      <c r="HP29" s="50"/>
      <c r="HQ29" s="50"/>
      <c r="HR29" s="50"/>
      <c r="HS29" s="50"/>
      <c r="HT29" s="50"/>
      <c r="HU29" s="50"/>
      <c r="HV29" s="50"/>
      <c r="HW29" s="50"/>
      <c r="HX29" s="50"/>
      <c r="HY29" s="50"/>
      <c r="HZ29" s="50"/>
      <c r="IA29" s="50"/>
      <c r="IB29" s="50"/>
      <c r="IC29" s="50"/>
      <c r="ID29" s="50"/>
      <c r="IE29" s="50"/>
      <c r="IF29" s="50"/>
      <c r="IG29" s="50"/>
      <c r="IH29" s="50"/>
      <c r="II29" s="50"/>
      <c r="IJ29" s="50"/>
      <c r="IK29" s="50"/>
      <c r="IL29" s="50"/>
      <c r="IM29" s="50"/>
      <c r="IN29" s="50"/>
      <c r="IO29" s="50"/>
      <c r="IP29" s="50"/>
      <c r="IQ29" s="50"/>
      <c r="IR29" s="50"/>
      <c r="IS29" s="50"/>
      <c r="IT29" s="50"/>
      <c r="IU29" s="50"/>
      <c r="IV29" s="50"/>
      <c r="IW29" s="50"/>
      <c r="IX29" s="50"/>
      <c r="IY29" s="50"/>
      <c r="IZ29" s="50"/>
      <c r="JA29" s="50"/>
      <c r="JB29" s="50"/>
      <c r="JC29" s="50"/>
      <c r="JD29" s="50"/>
      <c r="JE29" s="50"/>
      <c r="JF29" s="50"/>
      <c r="JG29" s="50"/>
      <c r="JH29" s="50"/>
      <c r="JI29" s="50"/>
      <c r="JJ29" s="50"/>
      <c r="JK29" s="50"/>
      <c r="JL29" s="50"/>
      <c r="JM29" s="50"/>
      <c r="JN29" s="50"/>
      <c r="JO29" s="50"/>
      <c r="JP29" s="50"/>
      <c r="JQ29" s="50"/>
      <c r="JR29" s="50"/>
      <c r="JS29" s="50"/>
      <c r="JT29" s="50"/>
      <c r="JU29" s="50"/>
      <c r="JV29" s="50"/>
      <c r="JW29" s="50"/>
      <c r="JX29" s="50"/>
      <c r="JY29" s="50"/>
      <c r="JZ29" s="50"/>
      <c r="KA29" s="50"/>
      <c r="KB29" s="50"/>
      <c r="KC29" s="50"/>
      <c r="KD29" s="50"/>
      <c r="KE29" s="50"/>
      <c r="KF29" s="50"/>
      <c r="KG29" s="50"/>
      <c r="KH29" s="50"/>
      <c r="KI29" s="50"/>
      <c r="KJ29" s="50"/>
      <c r="KK29" s="50"/>
      <c r="KL29" s="50"/>
      <c r="KM29" s="50"/>
      <c r="KN29" s="50"/>
      <c r="KO29" s="50"/>
      <c r="KP29" s="50"/>
      <c r="KQ29" s="50"/>
      <c r="KR29" s="50"/>
      <c r="KS29" s="50"/>
      <c r="KT29" s="50"/>
      <c r="KU29" s="50"/>
      <c r="KV29" s="50"/>
      <c r="KW29" s="50"/>
      <c r="KX29" s="50"/>
      <c r="KY29" s="50"/>
      <c r="KZ29" s="50"/>
      <c r="LA29" s="50"/>
      <c r="LB29" s="50"/>
      <c r="LC29" s="50"/>
      <c r="LD29" s="50"/>
      <c r="LE29" s="50"/>
      <c r="LF29" s="50"/>
      <c r="LG29" s="50"/>
      <c r="LH29" s="50"/>
      <c r="LI29" s="50"/>
      <c r="LJ29" s="50"/>
      <c r="LK29" s="50"/>
      <c r="LL29" s="50"/>
      <c r="LM29" s="50"/>
      <c r="LN29" s="50"/>
      <c r="LO29" s="50"/>
      <c r="LP29" s="50"/>
      <c r="LQ29" s="50"/>
      <c r="LR29" s="50"/>
      <c r="LS29" s="50"/>
      <c r="LT29" s="50"/>
      <c r="LU29" s="50"/>
      <c r="LV29" s="50"/>
      <c r="LW29" s="50"/>
      <c r="LX29" s="50"/>
      <c r="LY29" s="50"/>
      <c r="LZ29" s="50"/>
      <c r="MA29" s="50"/>
      <c r="MB29" s="50"/>
      <c r="MC29" s="50"/>
      <c r="MD29" s="50"/>
      <c r="ME29" s="50"/>
      <c r="MF29" s="50"/>
      <c r="MG29" s="50"/>
      <c r="MH29" s="50"/>
      <c r="MI29" s="50"/>
      <c r="MJ29" s="50"/>
      <c r="MK29" s="50"/>
      <c r="ML29" s="50"/>
      <c r="MM29" s="50"/>
      <c r="MN29" s="50"/>
      <c r="MO29" s="50"/>
      <c r="MP29" s="50"/>
      <c r="MQ29" s="50"/>
      <c r="MR29" s="50"/>
      <c r="MS29" s="50"/>
      <c r="MT29" s="50"/>
      <c r="MU29" s="50"/>
      <c r="MV29" s="50"/>
      <c r="MW29" s="50"/>
      <c r="MX29" s="50"/>
      <c r="MY29" s="50"/>
      <c r="MZ29" s="50"/>
      <c r="NA29" s="50"/>
      <c r="NB29" s="50"/>
      <c r="NC29" s="50"/>
      <c r="ND29" s="50"/>
      <c r="NE29" s="50"/>
      <c r="NF29" s="50"/>
      <c r="NG29" s="50"/>
      <c r="NH29" s="50"/>
      <c r="NI29" s="50"/>
      <c r="NJ29" s="50"/>
      <c r="NK29" s="50"/>
      <c r="NL29" s="50"/>
      <c r="NM29" s="50"/>
      <c r="NN29" s="50"/>
      <c r="NO29" s="50"/>
      <c r="NP29" s="50"/>
      <c r="NQ29" s="50"/>
      <c r="NR29" s="50"/>
      <c r="NS29" s="50"/>
      <c r="NT29" s="50"/>
      <c r="NU29" s="50"/>
      <c r="NV29" s="50"/>
      <c r="NW29" s="50"/>
      <c r="NX29" s="50"/>
      <c r="NY29" s="50"/>
      <c r="NZ29" s="50"/>
      <c r="OA29" s="50"/>
      <c r="OB29" s="50"/>
      <c r="OC29" s="50"/>
      <c r="OD29" s="50"/>
      <c r="OE29" s="50"/>
      <c r="OF29" s="50"/>
      <c r="OG29" s="50"/>
      <c r="OH29" s="50"/>
      <c r="OI29" s="50"/>
      <c r="OJ29" s="50"/>
      <c r="OK29" s="50"/>
      <c r="OL29" s="50"/>
      <c r="OM29" s="50"/>
      <c r="ON29" s="50"/>
      <c r="OO29" s="50"/>
      <c r="OP29" s="50"/>
      <c r="OQ29" s="50"/>
      <c r="OR29" s="50"/>
      <c r="OS29" s="50"/>
      <c r="OT29" s="50"/>
      <c r="OU29" s="50"/>
      <c r="OV29" s="50"/>
      <c r="OW29" s="50"/>
      <c r="OX29" s="50"/>
      <c r="OY29" s="50"/>
      <c r="OZ29" s="50"/>
      <c r="PA29" s="50"/>
      <c r="PB29" s="50"/>
      <c r="PC29" s="50"/>
      <c r="PD29" s="50"/>
      <c r="PE29" s="50"/>
      <c r="PF29" s="50"/>
      <c r="PG29" s="50"/>
      <c r="PH29" s="50"/>
      <c r="PI29" s="50"/>
      <c r="PJ29" s="50"/>
      <c r="PK29" s="50"/>
      <c r="PL29" s="50"/>
      <c r="PM29" s="50"/>
      <c r="PN29" s="50"/>
      <c r="PO29" s="50"/>
      <c r="PP29" s="50"/>
      <c r="PQ29" s="50"/>
      <c r="PR29" s="50"/>
      <c r="PS29" s="50"/>
      <c r="PT29" s="50"/>
      <c r="PU29" s="50"/>
      <c r="PV29" s="50"/>
      <c r="PW29" s="50"/>
      <c r="PX29" s="50"/>
      <c r="PY29" s="50"/>
      <c r="PZ29" s="50"/>
      <c r="QA29" s="50"/>
      <c r="QB29" s="50"/>
      <c r="QC29" s="50"/>
      <c r="QD29" s="50"/>
      <c r="QE29" s="50"/>
      <c r="QF29" s="50"/>
      <c r="QG29" s="50"/>
      <c r="QH29" s="50"/>
      <c r="QI29" s="50"/>
      <c r="QJ29" s="50"/>
      <c r="QK29" s="50"/>
      <c r="QL29" s="50"/>
      <c r="QM29" s="50"/>
      <c r="QN29" s="50"/>
      <c r="QO29" s="50"/>
      <c r="QP29" s="50"/>
      <c r="QQ29" s="50"/>
      <c r="QR29" s="50"/>
      <c r="QS29" s="50"/>
      <c r="QT29" s="50"/>
      <c r="QU29" s="50"/>
      <c r="QV29" s="50"/>
      <c r="QW29" s="50"/>
      <c r="QX29" s="50"/>
      <c r="QY29" s="50"/>
      <c r="QZ29" s="50"/>
      <c r="RA29" s="50"/>
      <c r="RB29" s="50"/>
      <c r="RC29" s="50"/>
      <c r="RD29" s="50"/>
      <c r="RE29" s="50"/>
      <c r="RF29" s="50"/>
      <c r="RG29" s="50"/>
      <c r="RH29" s="50"/>
      <c r="RI29" s="50"/>
      <c r="RJ29" s="50"/>
      <c r="RK29" s="50"/>
      <c r="RL29" s="50"/>
      <c r="RM29" s="50"/>
      <c r="RN29" s="50"/>
      <c r="RO29" s="50"/>
      <c r="RP29" s="50"/>
      <c r="RQ29" s="50"/>
      <c r="RR29" s="50"/>
      <c r="RS29" s="50"/>
      <c r="RT29" s="50"/>
      <c r="RU29" s="50"/>
      <c r="RV29" s="50"/>
      <c r="RW29" s="50"/>
      <c r="RX29" s="50"/>
      <c r="RY29" s="50"/>
      <c r="RZ29" s="50"/>
      <c r="SA29" s="50"/>
      <c r="SB29" s="50"/>
      <c r="SC29" s="50"/>
      <c r="SD29" s="50"/>
      <c r="SE29" s="50"/>
      <c r="SF29" s="50"/>
      <c r="SG29" s="50"/>
      <c r="SH29" s="50"/>
      <c r="SI29" s="50"/>
      <c r="SJ29" s="50"/>
      <c r="SK29" s="50"/>
      <c r="SL29" s="50"/>
      <c r="SM29" s="50"/>
      <c r="SN29" s="50"/>
      <c r="SO29" s="50"/>
      <c r="SP29" s="50"/>
      <c r="SQ29" s="50"/>
      <c r="SR29" s="50"/>
      <c r="SS29" s="50"/>
      <c r="ST29" s="50"/>
      <c r="SU29" s="50"/>
      <c r="SV29" s="50"/>
      <c r="SW29" s="50"/>
      <c r="SX29" s="50"/>
      <c r="SY29" s="50"/>
      <c r="SZ29" s="50"/>
      <c r="TA29" s="50"/>
      <c r="TB29" s="50"/>
      <c r="TC29" s="50"/>
      <c r="TD29" s="50"/>
      <c r="TE29" s="50"/>
      <c r="TF29" s="50"/>
      <c r="TG29" s="50"/>
      <c r="TH29" s="50"/>
      <c r="TI29" s="50"/>
      <c r="TJ29" s="50"/>
      <c r="TK29" s="50"/>
      <c r="TL29" s="50"/>
      <c r="TM29" s="50"/>
      <c r="TN29" s="50"/>
      <c r="TO29" s="50"/>
      <c r="TP29" s="50"/>
      <c r="TQ29" s="50"/>
      <c r="TR29" s="50"/>
      <c r="TS29" s="50"/>
      <c r="TT29" s="50"/>
      <c r="TU29" s="50"/>
      <c r="TV29" s="50"/>
      <c r="TW29" s="50"/>
      <c r="TX29" s="50"/>
      <c r="TY29" s="50"/>
      <c r="TZ29" s="50"/>
      <c r="UA29" s="50"/>
      <c r="UB29" s="50"/>
      <c r="UC29" s="50"/>
      <c r="UD29" s="50"/>
      <c r="UE29" s="50"/>
      <c r="UF29" s="50"/>
      <c r="UG29" s="50"/>
      <c r="UH29" s="50"/>
      <c r="UI29" s="50"/>
      <c r="UJ29" s="50"/>
      <c r="UK29" s="50"/>
      <c r="UL29" s="50"/>
      <c r="UM29" s="50"/>
      <c r="UN29" s="50"/>
      <c r="UO29" s="50"/>
      <c r="UP29" s="50"/>
      <c r="UQ29" s="50"/>
      <c r="UR29" s="50"/>
      <c r="US29" s="50"/>
      <c r="UT29" s="50"/>
      <c r="UU29" s="50"/>
      <c r="UV29" s="50"/>
      <c r="UW29" s="50"/>
      <c r="UX29" s="50"/>
      <c r="UY29" s="50"/>
      <c r="UZ29" s="50"/>
      <c r="VA29" s="50"/>
      <c r="VB29" s="50"/>
      <c r="VC29" s="50"/>
      <c r="VD29" s="50"/>
      <c r="VE29" s="50"/>
      <c r="VF29" s="50"/>
      <c r="VG29" s="50"/>
      <c r="VH29" s="50"/>
      <c r="VI29" s="50"/>
      <c r="VJ29" s="50"/>
      <c r="VK29" s="50"/>
      <c r="VL29" s="50"/>
      <c r="VM29" s="50"/>
      <c r="VN29" s="50"/>
      <c r="VO29" s="50"/>
      <c r="VP29" s="50"/>
      <c r="VQ29" s="50"/>
      <c r="VR29" s="50"/>
      <c r="VS29" s="50"/>
      <c r="VT29" s="50"/>
      <c r="VU29" s="50"/>
      <c r="VV29" s="50"/>
      <c r="VW29" s="50"/>
      <c r="VX29" s="50"/>
      <c r="VY29" s="50"/>
      <c r="VZ29" s="50"/>
      <c r="WA29" s="50"/>
      <c r="WB29" s="50"/>
      <c r="WC29" s="50"/>
      <c r="WD29" s="50"/>
      <c r="WE29" s="50"/>
      <c r="WF29" s="50"/>
      <c r="WG29" s="50"/>
      <c r="WH29" s="50"/>
      <c r="WI29" s="50"/>
      <c r="WJ29" s="50"/>
      <c r="WK29" s="50"/>
      <c r="WL29" s="50"/>
      <c r="WM29" s="50"/>
      <c r="WN29" s="50"/>
      <c r="WO29" s="50"/>
      <c r="WP29" s="50"/>
      <c r="WQ29" s="50"/>
      <c r="WR29" s="50"/>
      <c r="WS29" s="50"/>
      <c r="WT29" s="50"/>
      <c r="WU29" s="50"/>
      <c r="WV29" s="50"/>
      <c r="WW29" s="50"/>
      <c r="WX29" s="50"/>
      <c r="WY29" s="50"/>
      <c r="WZ29" s="50"/>
      <c r="XA29" s="50"/>
      <c r="XB29" s="50"/>
      <c r="XC29" s="50"/>
      <c r="XD29" s="50"/>
      <c r="XE29" s="50"/>
      <c r="XF29" s="50"/>
      <c r="XG29" s="50"/>
      <c r="XH29" s="50"/>
      <c r="XI29" s="50"/>
      <c r="XJ29" s="50"/>
      <c r="XK29" s="50"/>
      <c r="XL29" s="50"/>
      <c r="XM29" s="50"/>
      <c r="XN29" s="50"/>
      <c r="XO29" s="50"/>
      <c r="XP29" s="50"/>
      <c r="XQ29" s="50"/>
      <c r="XR29" s="50"/>
      <c r="XS29" s="50"/>
      <c r="XT29" s="50"/>
      <c r="XU29" s="50"/>
      <c r="XV29" s="50"/>
      <c r="XW29" s="50"/>
      <c r="XX29" s="50"/>
      <c r="XY29" s="50"/>
      <c r="XZ29" s="50"/>
      <c r="YA29" s="50"/>
      <c r="YB29" s="50"/>
      <c r="YC29" s="50"/>
      <c r="YD29" s="50"/>
      <c r="YE29" s="50"/>
      <c r="YF29" s="50"/>
      <c r="YG29" s="50"/>
      <c r="YH29" s="50"/>
      <c r="YI29" s="50"/>
      <c r="YJ29" s="50"/>
      <c r="YK29" s="50"/>
      <c r="YL29" s="50"/>
      <c r="YM29" s="50"/>
      <c r="YN29" s="50"/>
      <c r="YO29" s="50"/>
      <c r="YP29" s="50"/>
      <c r="YQ29" s="50"/>
      <c r="YR29" s="50"/>
      <c r="YS29" s="50"/>
      <c r="YT29" s="50"/>
      <c r="YU29" s="50"/>
      <c r="YV29" s="50"/>
      <c r="YW29" s="50"/>
      <c r="YX29" s="50"/>
      <c r="YY29" s="50"/>
      <c r="YZ29" s="50"/>
      <c r="ZA29" s="50"/>
      <c r="ZB29" s="50"/>
      <c r="ZC29" s="50"/>
      <c r="ZD29" s="50"/>
      <c r="ZE29" s="50"/>
      <c r="ZF29" s="50"/>
      <c r="ZG29" s="50"/>
      <c r="ZH29" s="50"/>
      <c r="ZI29" s="50"/>
      <c r="ZJ29" s="50"/>
      <c r="ZK29" s="50"/>
      <c r="ZL29" s="50"/>
      <c r="ZM29" s="50"/>
      <c r="ZN29" s="50"/>
      <c r="ZO29" s="50"/>
      <c r="ZP29" s="50"/>
      <c r="ZQ29" s="50"/>
      <c r="ZR29" s="50"/>
      <c r="ZS29" s="50"/>
      <c r="ZT29" s="50"/>
      <c r="ZU29" s="50"/>
      <c r="ZV29" s="50"/>
      <c r="ZW29" s="50"/>
      <c r="ZX29" s="50"/>
      <c r="ZY29" s="50"/>
      <c r="ZZ29" s="50"/>
      <c r="AAA29" s="50"/>
      <c r="AAB29" s="50"/>
      <c r="AAC29" s="50"/>
      <c r="AAD29" s="50"/>
      <c r="AAE29" s="50"/>
      <c r="AAF29" s="50"/>
      <c r="AAG29" s="50"/>
      <c r="AAH29" s="50"/>
      <c r="AAI29" s="50"/>
      <c r="AAJ29" s="50"/>
      <c r="AAK29" s="50"/>
      <c r="AAL29" s="50"/>
      <c r="AAM29" s="50"/>
      <c r="AAN29" s="50"/>
      <c r="AAO29" s="50"/>
      <c r="AAP29" s="50"/>
      <c r="AAQ29" s="50"/>
      <c r="AAR29" s="50"/>
      <c r="AAS29" s="50"/>
      <c r="AAT29" s="50"/>
      <c r="AAU29" s="50"/>
      <c r="AAV29" s="50"/>
      <c r="AAW29" s="50"/>
      <c r="AAX29" s="50"/>
      <c r="AAY29" s="50"/>
      <c r="AAZ29" s="50"/>
      <c r="ABA29" s="50"/>
      <c r="ABB29" s="50"/>
      <c r="ABC29" s="50"/>
      <c r="ABD29" s="50"/>
      <c r="ABE29" s="50"/>
      <c r="ABF29" s="50"/>
      <c r="ABG29" s="50"/>
      <c r="ABH29" s="50"/>
      <c r="ABI29" s="50"/>
      <c r="ABJ29" s="50"/>
      <c r="ABK29" s="50"/>
      <c r="ABL29" s="50"/>
      <c r="ABM29" s="50"/>
      <c r="ABN29" s="50"/>
      <c r="ABO29" s="50"/>
      <c r="ABP29" s="50"/>
      <c r="ABQ29" s="50"/>
      <c r="ABR29" s="50"/>
      <c r="ABS29" s="50"/>
      <c r="ABT29" s="50"/>
      <c r="ABU29" s="50"/>
      <c r="ABV29" s="50"/>
      <c r="ABW29" s="50"/>
      <c r="ABX29" s="50"/>
      <c r="ABY29" s="50"/>
      <c r="ABZ29" s="50"/>
      <c r="ACA29" s="50"/>
      <c r="ACB29" s="50"/>
      <c r="ACC29" s="50"/>
      <c r="ACD29" s="50"/>
      <c r="ACE29" s="50"/>
      <c r="ACF29" s="50"/>
      <c r="ACG29" s="50"/>
      <c r="ACH29" s="50"/>
      <c r="ACI29" s="50"/>
      <c r="ACJ29" s="50"/>
      <c r="ACK29" s="50"/>
      <c r="ACL29" s="50"/>
      <c r="ACM29" s="50"/>
      <c r="ACN29" s="50"/>
      <c r="ACO29" s="50"/>
      <c r="ACP29" s="50"/>
      <c r="ACQ29" s="50"/>
      <c r="ACR29" s="50"/>
      <c r="ACS29" s="50"/>
      <c r="ACT29" s="50"/>
      <c r="ACU29" s="50"/>
      <c r="ACV29" s="50"/>
      <c r="ACW29" s="50"/>
      <c r="ACX29" s="50"/>
      <c r="ACY29" s="50"/>
      <c r="ACZ29" s="50"/>
      <c r="ADA29" s="50"/>
      <c r="ADB29" s="50"/>
      <c r="ADC29" s="50"/>
      <c r="ADD29" s="50"/>
      <c r="ADE29" s="50"/>
      <c r="ADF29" s="50"/>
      <c r="ADG29" s="50"/>
      <c r="ADH29" s="50"/>
      <c r="ADI29" s="50"/>
      <c r="ADJ29" s="50"/>
      <c r="ADK29" s="50"/>
      <c r="ADL29" s="50"/>
      <c r="ADM29" s="50"/>
      <c r="ADN29" s="50"/>
      <c r="ADO29" s="50"/>
      <c r="ADP29" s="50"/>
      <c r="ADQ29" s="50"/>
      <c r="ADR29" s="50"/>
      <c r="ADS29" s="50"/>
      <c r="ADT29" s="50"/>
      <c r="ADU29" s="50"/>
      <c r="ADV29" s="50"/>
      <c r="ADW29" s="50"/>
      <c r="ADX29" s="50"/>
      <c r="ADY29" s="50"/>
      <c r="ADZ29" s="50"/>
      <c r="AEA29" s="50"/>
      <c r="AEB29" s="50"/>
      <c r="AEC29" s="50"/>
      <c r="AED29" s="50"/>
      <c r="AEE29" s="50"/>
      <c r="AEF29" s="50"/>
      <c r="AEG29" s="50"/>
      <c r="AEH29" s="50"/>
      <c r="AEI29" s="50"/>
      <c r="AEJ29" s="50"/>
      <c r="AEK29" s="50"/>
      <c r="AEL29" s="50"/>
      <c r="AEM29" s="50"/>
      <c r="AEN29" s="50"/>
      <c r="AEO29" s="50"/>
      <c r="AEP29" s="50"/>
      <c r="AEQ29" s="50"/>
      <c r="AER29" s="50"/>
      <c r="AES29" s="50"/>
      <c r="AET29" s="50"/>
      <c r="AEU29" s="50"/>
      <c r="AEV29" s="50"/>
      <c r="AEW29" s="50"/>
      <c r="AEX29" s="50"/>
      <c r="AEY29" s="50"/>
      <c r="AEZ29" s="50"/>
      <c r="AFA29" s="50"/>
      <c r="AFB29" s="50"/>
      <c r="AFC29" s="50"/>
      <c r="AFD29" s="50"/>
      <c r="AFE29" s="50"/>
      <c r="AFF29" s="50"/>
      <c r="AFG29" s="50"/>
      <c r="AFH29" s="50"/>
      <c r="AFI29" s="50"/>
      <c r="AFJ29" s="50"/>
      <c r="AFK29" s="50"/>
      <c r="AFL29" s="50"/>
      <c r="AFM29" s="50"/>
      <c r="AFN29" s="50"/>
      <c r="AFO29" s="50"/>
      <c r="AFP29" s="50"/>
      <c r="AFQ29" s="50"/>
      <c r="AFR29" s="50"/>
      <c r="AFS29" s="50"/>
      <c r="AFT29" s="50"/>
      <c r="AFU29" s="50"/>
      <c r="AFV29" s="50"/>
      <c r="AFW29" s="50"/>
      <c r="AFX29" s="50"/>
      <c r="AFY29" s="50"/>
      <c r="AFZ29" s="50"/>
      <c r="AGA29" s="50"/>
      <c r="AGB29" s="50"/>
      <c r="AGC29" s="50"/>
      <c r="AGD29" s="50"/>
      <c r="AGE29" s="50"/>
      <c r="AGF29" s="50"/>
      <c r="AGG29" s="50"/>
      <c r="AGH29" s="50"/>
      <c r="AGI29" s="50"/>
      <c r="AGJ29" s="50"/>
      <c r="AGK29" s="50"/>
      <c r="AGL29" s="50"/>
      <c r="AGM29" s="50"/>
      <c r="AGN29" s="50"/>
      <c r="AGO29" s="50"/>
      <c r="AGP29" s="50"/>
      <c r="AGQ29" s="50"/>
      <c r="AGR29" s="50"/>
      <c r="AGS29" s="50"/>
      <c r="AGT29" s="50"/>
      <c r="AGU29" s="50"/>
      <c r="AGV29" s="50"/>
      <c r="AGW29" s="50"/>
      <c r="AGX29" s="50"/>
      <c r="AGY29" s="50"/>
      <c r="AGZ29" s="50"/>
      <c r="AHA29" s="50"/>
      <c r="AHB29" s="50"/>
      <c r="AHC29" s="50"/>
      <c r="AHD29" s="50"/>
      <c r="AHE29" s="50"/>
      <c r="AHF29" s="50"/>
      <c r="AHG29" s="50"/>
      <c r="AHH29" s="50"/>
      <c r="AHI29" s="50"/>
      <c r="AHJ29" s="50"/>
      <c r="AHK29" s="50"/>
      <c r="AHL29" s="50"/>
      <c r="AHM29" s="50"/>
      <c r="AHN29" s="50"/>
      <c r="AHO29" s="50"/>
      <c r="AHP29" s="50"/>
      <c r="AHQ29" s="50"/>
      <c r="AHR29" s="50"/>
      <c r="AHS29" s="50"/>
      <c r="AHT29" s="50"/>
      <c r="AHU29" s="50"/>
      <c r="AHV29" s="50"/>
      <c r="AHW29" s="50"/>
      <c r="AHX29" s="50"/>
      <c r="AHY29" s="50"/>
      <c r="AHZ29" s="50"/>
      <c r="AIA29" s="50"/>
      <c r="AIB29" s="50"/>
      <c r="AIC29" s="50"/>
      <c r="AID29" s="50"/>
      <c r="AIE29" s="50"/>
      <c r="AIF29" s="50"/>
      <c r="AIG29" s="50"/>
      <c r="AIH29" s="50"/>
      <c r="AII29" s="50"/>
      <c r="AIJ29" s="50"/>
      <c r="AIK29" s="50"/>
      <c r="AIL29" s="50"/>
      <c r="AIM29" s="50"/>
      <c r="AIN29" s="50"/>
      <c r="AIO29" s="50"/>
      <c r="AIP29" s="50"/>
      <c r="AIQ29" s="50"/>
      <c r="AIR29" s="50"/>
      <c r="AIS29" s="50"/>
      <c r="AIT29" s="50"/>
      <c r="AIU29" s="50"/>
      <c r="AIV29" s="50"/>
      <c r="AIW29" s="50"/>
      <c r="AIX29" s="50"/>
      <c r="AIY29" s="50"/>
      <c r="AIZ29" s="50"/>
      <c r="AJA29" s="50"/>
      <c r="AJB29" s="50"/>
      <c r="AJC29" s="50"/>
      <c r="AJD29" s="50"/>
      <c r="AJE29" s="50"/>
      <c r="AJF29" s="50"/>
      <c r="AJG29" s="50"/>
      <c r="AJH29" s="50"/>
      <c r="AJI29" s="50"/>
      <c r="AJJ29" s="50"/>
      <c r="AJK29" s="50"/>
      <c r="AJL29" s="50"/>
      <c r="AJM29" s="50"/>
      <c r="AJN29" s="50"/>
      <c r="AJO29" s="50"/>
      <c r="AJP29" s="50"/>
      <c r="AJQ29" s="50"/>
      <c r="AJR29" s="50"/>
      <c r="AJS29" s="50"/>
      <c r="AJT29" s="50"/>
      <c r="AJU29" s="50"/>
      <c r="AJV29" s="50"/>
      <c r="AJW29" s="50"/>
      <c r="AJX29" s="50"/>
      <c r="AJY29" s="50"/>
      <c r="AJZ29" s="50"/>
      <c r="AKA29" s="50"/>
      <c r="AKB29" s="50"/>
      <c r="AKC29" s="50"/>
      <c r="AKD29" s="50"/>
      <c r="AKE29" s="50"/>
      <c r="AKF29" s="50"/>
      <c r="AKG29" s="50"/>
      <c r="AKH29" s="50"/>
      <c r="AKI29" s="50"/>
      <c r="AKJ29" s="50"/>
      <c r="AKK29" s="50"/>
      <c r="AKL29" s="50"/>
      <c r="AKM29" s="50"/>
      <c r="AKN29" s="50"/>
      <c r="AKO29" s="50"/>
      <c r="AKP29" s="50"/>
      <c r="AKQ29" s="50"/>
      <c r="AKR29" s="50"/>
      <c r="AKS29" s="50"/>
      <c r="AKT29" s="50"/>
      <c r="AKU29" s="50"/>
      <c r="AKV29" s="50"/>
      <c r="AKW29" s="50"/>
      <c r="AKX29" s="50"/>
      <c r="AKY29" s="50"/>
      <c r="AKZ29" s="50"/>
      <c r="ALA29" s="50"/>
      <c r="ALB29" s="50"/>
      <c r="ALC29" s="50"/>
      <c r="ALD29" s="50"/>
      <c r="ALE29" s="50"/>
      <c r="ALF29" s="50"/>
      <c r="ALG29" s="50"/>
      <c r="ALH29" s="50"/>
      <c r="ALI29" s="50"/>
      <c r="ALJ29" s="50"/>
      <c r="ALK29" s="50"/>
      <c r="ALL29" s="50"/>
      <c r="ALM29" s="50"/>
      <c r="ALN29" s="50"/>
      <c r="ALO29" s="50"/>
      <c r="ALP29" s="50"/>
      <c r="ALQ29" s="50"/>
      <c r="ALR29" s="50"/>
      <c r="ALS29" s="50"/>
      <c r="ALT29" s="50"/>
      <c r="ALU29" s="50"/>
      <c r="ALV29" s="50"/>
      <c r="ALW29" s="50"/>
      <c r="ALX29" s="50"/>
      <c r="ALY29" s="50"/>
      <c r="ALZ29" s="50"/>
      <c r="AMA29" s="50"/>
      <c r="AMB29" s="50"/>
      <c r="AMC29" s="50"/>
      <c r="AMD29" s="50"/>
      <c r="AME29" s="50"/>
      <c r="AMF29" s="50"/>
      <c r="AMG29" s="50"/>
      <c r="AMH29" s="50"/>
      <c r="AMI29" s="50"/>
      <c r="AMJ29" s="50"/>
      <c r="AMK29" s="50"/>
      <c r="AML29" s="50"/>
      <c r="AMM29" s="50"/>
      <c r="AMN29" s="50"/>
      <c r="AMO29" s="50"/>
      <c r="AMP29" s="50"/>
      <c r="AMQ29" s="50"/>
      <c r="AMR29" s="50"/>
      <c r="AMS29" s="50"/>
      <c r="AMT29" s="50"/>
      <c r="AMU29" s="50"/>
      <c r="AMV29" s="50"/>
      <c r="AMW29" s="50"/>
      <c r="AMX29" s="50"/>
      <c r="AMY29" s="50"/>
      <c r="AMZ29" s="50"/>
      <c r="ANA29" s="50"/>
      <c r="ANB29" s="50"/>
      <c r="ANC29" s="50"/>
      <c r="AND29" s="50"/>
      <c r="ANE29" s="50"/>
      <c r="ANF29" s="50"/>
      <c r="ANG29" s="50"/>
      <c r="ANH29" s="50"/>
      <c r="ANI29" s="50"/>
      <c r="ANJ29" s="50"/>
      <c r="ANK29" s="50"/>
      <c r="ANL29" s="50"/>
      <c r="ANM29" s="50"/>
      <c r="ANN29" s="50"/>
      <c r="ANO29" s="50"/>
      <c r="ANP29" s="50"/>
      <c r="ANQ29" s="50"/>
      <c r="ANR29" s="50"/>
      <c r="ANS29" s="50"/>
      <c r="ANT29" s="50"/>
      <c r="ANU29" s="50"/>
      <c r="ANV29" s="50"/>
      <c r="ANW29" s="50"/>
      <c r="ANX29" s="50"/>
      <c r="ANY29" s="50"/>
      <c r="ANZ29" s="50"/>
      <c r="AOA29" s="50"/>
      <c r="AOB29" s="50"/>
      <c r="AOC29" s="50"/>
      <c r="AOD29" s="50"/>
      <c r="AOE29" s="50"/>
      <c r="AOF29" s="50"/>
      <c r="AOG29" s="50"/>
      <c r="AOH29" s="50"/>
      <c r="AOI29" s="50"/>
      <c r="AOJ29" s="50"/>
      <c r="AOK29" s="50"/>
      <c r="AOL29" s="50"/>
      <c r="AOM29" s="50"/>
      <c r="AON29" s="50"/>
      <c r="AOO29" s="50"/>
      <c r="AOP29" s="50"/>
      <c r="AOQ29" s="50"/>
      <c r="AOR29" s="50"/>
      <c r="AOS29" s="50"/>
      <c r="AOT29" s="50"/>
      <c r="AOU29" s="50"/>
      <c r="AOV29" s="50"/>
      <c r="AOW29" s="50"/>
      <c r="AOX29" s="50"/>
      <c r="AOY29" s="50"/>
      <c r="AOZ29" s="50"/>
      <c r="APA29" s="50"/>
      <c r="APB29" s="50"/>
      <c r="APC29" s="50"/>
      <c r="APD29" s="50"/>
      <c r="APE29" s="50"/>
      <c r="APF29" s="50"/>
      <c r="APG29" s="50"/>
      <c r="APH29" s="50"/>
      <c r="API29" s="50"/>
      <c r="APJ29" s="50"/>
      <c r="APK29" s="50"/>
      <c r="APL29" s="50"/>
      <c r="APM29" s="50"/>
      <c r="APN29" s="50"/>
      <c r="APO29" s="50"/>
      <c r="APP29" s="50"/>
      <c r="APQ29" s="50"/>
      <c r="APR29" s="50"/>
      <c r="APS29" s="50"/>
      <c r="APT29" s="50"/>
      <c r="APU29" s="50"/>
      <c r="APV29" s="50"/>
      <c r="APW29" s="50"/>
      <c r="APX29" s="50"/>
      <c r="APY29" s="50"/>
      <c r="APZ29" s="50"/>
      <c r="AQA29" s="50"/>
      <c r="AQB29" s="50"/>
      <c r="AQC29" s="50"/>
      <c r="AQD29" s="50"/>
      <c r="AQE29" s="50"/>
      <c r="AQF29" s="50"/>
      <c r="AQG29" s="50"/>
      <c r="AQH29" s="50"/>
      <c r="AQI29" s="50"/>
      <c r="AQJ29" s="50"/>
      <c r="AQK29" s="50"/>
      <c r="AQL29" s="50"/>
      <c r="AQM29" s="50"/>
      <c r="AQN29" s="50"/>
      <c r="AQO29" s="50"/>
      <c r="AQP29" s="50"/>
      <c r="AQQ29" s="50"/>
      <c r="AQR29" s="50"/>
      <c r="AQS29" s="50"/>
      <c r="AQT29" s="50"/>
      <c r="AQU29" s="50"/>
      <c r="AQV29" s="50"/>
      <c r="AQW29" s="50"/>
      <c r="AQX29" s="50"/>
      <c r="AQY29" s="50"/>
      <c r="AQZ29" s="50"/>
      <c r="ARA29" s="50"/>
      <c r="ARB29" s="50"/>
      <c r="ARC29" s="50"/>
      <c r="ARD29" s="50"/>
      <c r="ARE29" s="50"/>
      <c r="ARF29" s="50"/>
      <c r="ARG29" s="50"/>
      <c r="ARH29" s="50"/>
      <c r="ARI29" s="50"/>
      <c r="ARJ29" s="50"/>
      <c r="ARK29" s="50"/>
      <c r="ARL29" s="50"/>
      <c r="ARM29" s="50"/>
      <c r="ARN29" s="50"/>
      <c r="ARO29" s="50"/>
      <c r="ARP29" s="50"/>
      <c r="ARQ29" s="50"/>
      <c r="ARR29" s="50"/>
      <c r="ARS29" s="50"/>
      <c r="ART29" s="50"/>
      <c r="ARU29" s="50"/>
      <c r="ARV29" s="50"/>
      <c r="ARW29" s="50"/>
      <c r="ARX29" s="50"/>
      <c r="ARY29" s="50"/>
      <c r="ARZ29" s="50"/>
      <c r="ASA29" s="50"/>
      <c r="ASB29" s="50"/>
      <c r="ASC29" s="50"/>
      <c r="ASD29" s="50"/>
      <c r="ASE29" s="50"/>
      <c r="ASF29" s="50"/>
      <c r="ASG29" s="50"/>
      <c r="ASH29" s="50"/>
      <c r="ASI29" s="50"/>
      <c r="ASJ29" s="50"/>
      <c r="ASK29" s="50"/>
      <c r="ASL29" s="50"/>
      <c r="ASM29" s="50"/>
      <c r="ASN29" s="50"/>
      <c r="ASO29" s="50"/>
      <c r="ASP29" s="50"/>
      <c r="ASQ29" s="50"/>
      <c r="ASR29" s="50"/>
      <c r="ASS29" s="50"/>
      <c r="AST29" s="50"/>
      <c r="ASU29" s="50"/>
      <c r="ASV29" s="50"/>
      <c r="ASW29" s="50"/>
      <c r="ASX29" s="50"/>
      <c r="ASY29" s="50"/>
      <c r="ASZ29" s="50"/>
      <c r="ATA29" s="50"/>
      <c r="ATB29" s="50"/>
      <c r="ATC29" s="50"/>
      <c r="ATD29" s="50"/>
      <c r="ATE29" s="50"/>
      <c r="ATF29" s="50"/>
      <c r="ATG29" s="50"/>
      <c r="ATH29" s="50"/>
      <c r="ATI29" s="50"/>
      <c r="ATJ29" s="50"/>
      <c r="ATK29" s="50"/>
      <c r="ATL29" s="50"/>
      <c r="ATM29" s="50"/>
      <c r="ATN29" s="50"/>
      <c r="ATO29" s="50"/>
      <c r="ATP29" s="50"/>
      <c r="ATQ29" s="50"/>
      <c r="ATR29" s="50"/>
      <c r="ATS29" s="50"/>
      <c r="ATT29" s="50"/>
      <c r="ATU29" s="50"/>
      <c r="ATV29" s="50"/>
      <c r="ATW29" s="50"/>
      <c r="ATX29" s="50"/>
      <c r="ATY29" s="50"/>
      <c r="ATZ29" s="50"/>
      <c r="AUA29" s="50"/>
      <c r="AUB29" s="50"/>
      <c r="AUC29" s="50"/>
      <c r="AUD29" s="50"/>
      <c r="AUE29" s="50"/>
      <c r="AUF29" s="50"/>
      <c r="AUG29" s="50"/>
      <c r="AUH29" s="50"/>
      <c r="AUI29" s="50"/>
      <c r="AUJ29" s="50"/>
      <c r="AUK29" s="50"/>
      <c r="AUL29" s="50"/>
      <c r="AUM29" s="50"/>
      <c r="AUN29" s="50"/>
      <c r="AUO29" s="50"/>
      <c r="AUP29" s="50"/>
      <c r="AUQ29" s="50"/>
      <c r="AUR29" s="50"/>
      <c r="AUS29" s="50"/>
      <c r="AUT29" s="50"/>
      <c r="AUU29" s="50"/>
      <c r="AUV29" s="50"/>
      <c r="AUW29" s="50"/>
      <c r="AUX29" s="50"/>
      <c r="AUY29" s="50"/>
      <c r="AUZ29" s="50"/>
      <c r="AVA29" s="50"/>
      <c r="AVB29" s="50"/>
      <c r="AVC29" s="50"/>
      <c r="AVD29" s="50"/>
      <c r="AVE29" s="50"/>
      <c r="AVF29" s="50"/>
      <c r="AVG29" s="50"/>
      <c r="AVH29" s="50"/>
      <c r="AVI29" s="50"/>
      <c r="AVJ29" s="50"/>
      <c r="AVK29" s="50"/>
      <c r="AVL29" s="50"/>
      <c r="AVM29" s="50"/>
      <c r="AVN29" s="50"/>
      <c r="AVO29" s="50"/>
      <c r="AVP29" s="50"/>
      <c r="AVQ29" s="50"/>
      <c r="AVR29" s="50"/>
      <c r="AVS29" s="50"/>
      <c r="AVT29" s="50"/>
      <c r="AVU29" s="50"/>
      <c r="AVV29" s="50"/>
      <c r="AVW29" s="50"/>
      <c r="AVX29" s="50"/>
      <c r="AVY29" s="50"/>
      <c r="AVZ29" s="50"/>
      <c r="AWA29" s="50"/>
      <c r="AWB29" s="50"/>
      <c r="AWC29" s="50"/>
      <c r="AWD29" s="50"/>
      <c r="AWE29" s="50"/>
      <c r="AWF29" s="50"/>
      <c r="AWG29" s="50"/>
      <c r="AWH29" s="50"/>
      <c r="AWI29" s="50"/>
      <c r="AWJ29" s="50"/>
      <c r="AWK29" s="50"/>
      <c r="AWL29" s="50"/>
      <c r="AWM29" s="50"/>
      <c r="AWN29" s="50"/>
      <c r="AWO29" s="50"/>
      <c r="AWP29" s="50"/>
      <c r="AWQ29" s="50"/>
      <c r="AWR29" s="50"/>
      <c r="AWS29" s="50"/>
      <c r="AWT29" s="50"/>
      <c r="AWU29" s="50"/>
      <c r="AWV29" s="50"/>
      <c r="AWW29" s="50"/>
      <c r="AWX29" s="50"/>
      <c r="AWY29" s="50"/>
      <c r="AWZ29" s="50"/>
      <c r="AXA29" s="50"/>
      <c r="AXB29" s="50"/>
      <c r="AXC29" s="50"/>
      <c r="AXD29" s="50"/>
      <c r="AXE29" s="50"/>
      <c r="AXF29" s="50"/>
      <c r="AXG29" s="50"/>
      <c r="AXH29" s="50"/>
      <c r="AXI29" s="50"/>
      <c r="AXJ29" s="50"/>
      <c r="AXK29" s="50"/>
      <c r="AXL29" s="50"/>
      <c r="AXM29" s="50"/>
      <c r="AXN29" s="50"/>
      <c r="AXO29" s="50"/>
      <c r="AXP29" s="50"/>
      <c r="AXQ29" s="50"/>
      <c r="AXR29" s="50"/>
      <c r="AXS29" s="50"/>
      <c r="AXT29" s="50"/>
      <c r="AXU29" s="50"/>
      <c r="AXV29" s="50"/>
      <c r="AXW29" s="50"/>
      <c r="AXX29" s="50"/>
      <c r="AXY29" s="50"/>
      <c r="AXZ29" s="50"/>
      <c r="AYA29" s="50"/>
      <c r="AYB29" s="50"/>
      <c r="AYC29" s="50"/>
      <c r="AYD29" s="50"/>
      <c r="AYE29" s="50"/>
      <c r="AYF29" s="50"/>
      <c r="AYG29" s="50"/>
      <c r="AYH29" s="50"/>
      <c r="AYI29" s="50"/>
      <c r="AYJ29" s="50"/>
      <c r="AYK29" s="50"/>
      <c r="AYL29" s="50"/>
      <c r="AYM29" s="50"/>
      <c r="AYN29" s="50"/>
      <c r="AYO29" s="50"/>
      <c r="AYP29" s="50"/>
      <c r="AYQ29" s="50"/>
      <c r="AYR29" s="50"/>
      <c r="AYS29" s="50"/>
      <c r="AYT29" s="50"/>
      <c r="AYU29" s="50"/>
      <c r="AYV29" s="50"/>
      <c r="AYW29" s="50"/>
      <c r="AYX29" s="50"/>
      <c r="AYY29" s="50"/>
      <c r="AYZ29" s="50"/>
      <c r="AZA29" s="50"/>
      <c r="AZB29" s="50"/>
      <c r="AZC29" s="50"/>
      <c r="AZD29" s="50"/>
      <c r="AZE29" s="50"/>
      <c r="AZF29" s="50"/>
      <c r="AZG29" s="50"/>
      <c r="AZH29" s="50"/>
      <c r="AZI29" s="50"/>
      <c r="AZJ29" s="50"/>
      <c r="AZK29" s="50"/>
      <c r="AZL29" s="50"/>
      <c r="AZM29" s="50"/>
      <c r="AZN29" s="50"/>
      <c r="AZO29" s="50"/>
      <c r="AZP29" s="50"/>
      <c r="AZQ29" s="50"/>
      <c r="AZR29" s="50"/>
      <c r="AZS29" s="50"/>
      <c r="AZT29" s="50"/>
      <c r="AZU29" s="50"/>
      <c r="AZV29" s="50"/>
      <c r="AZW29" s="50"/>
      <c r="AZX29" s="50"/>
      <c r="AZY29" s="50"/>
      <c r="AZZ29" s="50"/>
      <c r="BAA29" s="50"/>
      <c r="BAB29" s="50"/>
      <c r="BAC29" s="50"/>
      <c r="BAD29" s="50"/>
      <c r="BAE29" s="50"/>
      <c r="BAF29" s="50"/>
      <c r="BAG29" s="50"/>
      <c r="BAH29" s="50"/>
      <c r="BAI29" s="50"/>
      <c r="BAJ29" s="50"/>
      <c r="BAK29" s="50"/>
      <c r="BAL29" s="50"/>
      <c r="BAM29" s="50"/>
      <c r="BAN29" s="50"/>
      <c r="BAO29" s="50"/>
      <c r="BAP29" s="50"/>
      <c r="BAQ29" s="50"/>
      <c r="BAR29" s="50"/>
      <c r="BAS29" s="50"/>
      <c r="BAT29" s="50"/>
      <c r="BAU29" s="50"/>
      <c r="BAV29" s="50"/>
      <c r="BAW29" s="50"/>
      <c r="BAX29" s="50"/>
      <c r="BAY29" s="50"/>
      <c r="BAZ29" s="50"/>
      <c r="BBA29" s="50"/>
      <c r="BBB29" s="50"/>
      <c r="BBC29" s="50"/>
      <c r="BBD29" s="50"/>
      <c r="BBE29" s="50"/>
      <c r="BBF29" s="50"/>
      <c r="BBG29" s="50"/>
      <c r="BBH29" s="50"/>
      <c r="BBI29" s="50"/>
      <c r="BBJ29" s="50"/>
      <c r="BBK29" s="50"/>
      <c r="BBL29" s="50"/>
      <c r="BBM29" s="50"/>
      <c r="BBN29" s="50"/>
      <c r="BBO29" s="50"/>
      <c r="BBP29" s="50"/>
      <c r="BBQ29" s="50"/>
      <c r="BBR29" s="50"/>
      <c r="BBS29" s="50"/>
      <c r="BBT29" s="50"/>
      <c r="BBU29" s="50"/>
      <c r="BBV29" s="50"/>
      <c r="BBW29" s="50"/>
      <c r="BBX29" s="50"/>
      <c r="BBY29" s="50"/>
      <c r="BBZ29" s="50"/>
      <c r="BCA29" s="50"/>
      <c r="BCB29" s="50"/>
      <c r="BCC29" s="50"/>
      <c r="BCD29" s="50"/>
      <c r="BCE29" s="50"/>
      <c r="BCF29" s="50"/>
      <c r="BCG29" s="50"/>
      <c r="BCH29" s="50"/>
      <c r="BCI29" s="50"/>
      <c r="BCJ29" s="50"/>
      <c r="BCK29" s="50"/>
      <c r="BCL29" s="50"/>
      <c r="BCM29" s="50"/>
      <c r="BCN29" s="50"/>
      <c r="BCO29" s="50"/>
      <c r="BCP29" s="50"/>
      <c r="BCQ29" s="50"/>
      <c r="BCR29" s="50"/>
      <c r="BCS29" s="50"/>
      <c r="BCT29" s="50"/>
      <c r="BCU29" s="50"/>
      <c r="BCV29" s="50"/>
      <c r="BCW29" s="50"/>
      <c r="BCX29" s="50"/>
      <c r="BCY29" s="50"/>
      <c r="BCZ29" s="50"/>
      <c r="BDA29" s="50"/>
      <c r="BDB29" s="50"/>
      <c r="BDC29" s="50"/>
      <c r="BDD29" s="50"/>
      <c r="BDE29" s="50"/>
      <c r="BDF29" s="50"/>
      <c r="BDG29" s="50"/>
      <c r="BDH29" s="50"/>
      <c r="BDI29" s="50"/>
      <c r="BDJ29" s="50"/>
      <c r="BDK29" s="50"/>
      <c r="BDL29" s="50"/>
      <c r="BDM29" s="50"/>
      <c r="BDN29" s="50"/>
      <c r="BDO29" s="50"/>
      <c r="BDP29" s="50"/>
      <c r="BDQ29" s="50"/>
      <c r="BDR29" s="50"/>
      <c r="BDS29" s="50"/>
      <c r="BDT29" s="50"/>
      <c r="BDU29" s="50"/>
      <c r="BDV29" s="50"/>
      <c r="BDW29" s="50"/>
      <c r="BDX29" s="50"/>
      <c r="BDY29" s="50"/>
      <c r="BDZ29" s="50"/>
      <c r="BEA29" s="50"/>
      <c r="BEB29" s="50"/>
      <c r="BEC29" s="50"/>
      <c r="BED29" s="50"/>
      <c r="BEE29" s="50"/>
      <c r="BEF29" s="50"/>
      <c r="BEG29" s="50"/>
      <c r="BEH29" s="50"/>
      <c r="BEI29" s="50"/>
      <c r="BEJ29" s="50"/>
      <c r="BEK29" s="50"/>
      <c r="BEL29" s="50"/>
      <c r="BEM29" s="50"/>
      <c r="BEN29" s="50"/>
      <c r="BEO29" s="50"/>
      <c r="BEP29" s="50"/>
      <c r="BEQ29" s="50"/>
      <c r="BER29" s="50"/>
      <c r="BES29" s="50"/>
      <c r="BET29" s="50"/>
      <c r="BEU29" s="50"/>
      <c r="BEV29" s="50"/>
      <c r="BEW29" s="50"/>
      <c r="BEX29" s="50"/>
      <c r="BEY29" s="50"/>
      <c r="BEZ29" s="50"/>
      <c r="BFA29" s="50"/>
      <c r="BFB29" s="50"/>
      <c r="BFC29" s="50"/>
      <c r="BFD29" s="50"/>
      <c r="BFE29" s="50"/>
      <c r="BFF29" s="50"/>
      <c r="BFG29" s="50"/>
      <c r="BFH29" s="50"/>
      <c r="BFI29" s="50"/>
      <c r="BFJ29" s="50"/>
      <c r="BFK29" s="50"/>
      <c r="BFL29" s="50"/>
      <c r="BFM29" s="50"/>
      <c r="BFN29" s="50"/>
      <c r="BFO29" s="50"/>
      <c r="BFP29" s="50"/>
      <c r="BFQ29" s="50"/>
      <c r="BFR29" s="50"/>
      <c r="BFS29" s="50"/>
      <c r="BFT29" s="50"/>
      <c r="BFU29" s="50"/>
      <c r="BFV29" s="50"/>
      <c r="BFW29" s="50"/>
      <c r="BFX29" s="50"/>
      <c r="BFY29" s="50"/>
      <c r="BFZ29" s="50"/>
      <c r="BGA29" s="50"/>
      <c r="BGB29" s="50"/>
      <c r="BGC29" s="50"/>
      <c r="BGD29" s="50"/>
      <c r="BGE29" s="50"/>
      <c r="BGF29" s="50"/>
      <c r="BGG29" s="50"/>
      <c r="BGH29" s="50"/>
      <c r="BGI29" s="50"/>
      <c r="BGJ29" s="50"/>
      <c r="BGK29" s="50"/>
      <c r="BGL29" s="50"/>
      <c r="BGM29" s="50"/>
      <c r="BGN29" s="50"/>
      <c r="BGO29" s="50"/>
      <c r="BGP29" s="50"/>
      <c r="BGQ29" s="50"/>
      <c r="BGR29" s="50"/>
      <c r="BGS29" s="50"/>
      <c r="BGT29" s="50"/>
      <c r="BGU29" s="50"/>
      <c r="BGV29" s="50"/>
      <c r="BGW29" s="50"/>
      <c r="BGX29" s="50"/>
      <c r="BGY29" s="50"/>
      <c r="BGZ29" s="50"/>
      <c r="BHA29" s="50"/>
      <c r="BHB29" s="50"/>
      <c r="BHC29" s="50"/>
      <c r="BHD29" s="50"/>
      <c r="BHE29" s="50"/>
      <c r="BHF29" s="50"/>
      <c r="BHG29" s="50"/>
      <c r="BHH29" s="50"/>
      <c r="BHI29" s="50"/>
      <c r="BHJ29" s="50"/>
      <c r="BHK29" s="50"/>
      <c r="BHL29" s="50"/>
      <c r="BHM29" s="50"/>
      <c r="BHN29" s="50"/>
      <c r="BHO29" s="50"/>
      <c r="BHP29" s="50"/>
      <c r="BHQ29" s="50"/>
      <c r="BHR29" s="50"/>
      <c r="BHS29" s="50"/>
      <c r="BHT29" s="50"/>
      <c r="BHU29" s="50"/>
      <c r="BHV29" s="50"/>
      <c r="BHW29" s="50"/>
      <c r="BHX29" s="50"/>
      <c r="BHY29" s="50"/>
      <c r="BHZ29" s="50"/>
      <c r="BIA29" s="50"/>
      <c r="BIB29" s="50"/>
      <c r="BIC29" s="50"/>
      <c r="BID29" s="50"/>
      <c r="BIE29" s="50"/>
      <c r="BIF29" s="50"/>
      <c r="BIG29" s="50"/>
      <c r="BIH29" s="50"/>
      <c r="BII29" s="50"/>
      <c r="BIJ29" s="50"/>
      <c r="BIK29" s="50"/>
      <c r="BIL29" s="50"/>
      <c r="BIM29" s="50"/>
      <c r="BIN29" s="50"/>
      <c r="BIO29" s="50"/>
      <c r="BIP29" s="50"/>
      <c r="BIQ29" s="50"/>
      <c r="BIR29" s="50"/>
      <c r="BIS29" s="50"/>
      <c r="BIT29" s="50"/>
      <c r="BIU29" s="50"/>
      <c r="BIV29" s="50"/>
      <c r="BIW29" s="50"/>
      <c r="BIX29" s="50"/>
      <c r="BIY29" s="50"/>
      <c r="BIZ29" s="50"/>
      <c r="BJA29" s="50"/>
      <c r="BJB29" s="50"/>
      <c r="BJC29" s="50"/>
      <c r="BJD29" s="50"/>
      <c r="BJE29" s="50"/>
      <c r="BJF29" s="50"/>
      <c r="BJG29" s="50"/>
      <c r="BJH29" s="50"/>
      <c r="BJI29" s="50"/>
      <c r="BJJ29" s="50"/>
      <c r="BJK29" s="50"/>
      <c r="BJL29" s="50"/>
      <c r="BJM29" s="50"/>
      <c r="BJN29" s="50"/>
      <c r="BJO29" s="50"/>
      <c r="BJP29" s="50"/>
      <c r="BJQ29" s="50"/>
      <c r="BJR29" s="50"/>
      <c r="BJS29" s="50"/>
      <c r="BJT29" s="50"/>
      <c r="BJU29" s="50"/>
      <c r="BJV29" s="50"/>
      <c r="BJW29" s="50"/>
      <c r="BJX29" s="50"/>
      <c r="BJY29" s="50"/>
      <c r="BJZ29" s="50"/>
      <c r="BKA29" s="50"/>
      <c r="BKB29" s="50"/>
      <c r="BKC29" s="50"/>
      <c r="BKD29" s="50"/>
      <c r="BKE29" s="50"/>
      <c r="BKF29" s="50"/>
      <c r="BKG29" s="50"/>
      <c r="BKH29" s="50"/>
      <c r="BKI29" s="50"/>
      <c r="BKJ29" s="50"/>
      <c r="BKK29" s="50"/>
      <c r="BKL29" s="50"/>
      <c r="BKM29" s="50"/>
      <c r="BKN29" s="50"/>
      <c r="BKO29" s="50"/>
      <c r="BKP29" s="50"/>
      <c r="BKQ29" s="50"/>
      <c r="BKR29" s="50"/>
      <c r="BKS29" s="50"/>
      <c r="BKT29" s="50"/>
      <c r="BKU29" s="50"/>
      <c r="BKV29" s="50"/>
      <c r="BKW29" s="50"/>
      <c r="BKX29" s="50"/>
      <c r="BKY29" s="50"/>
      <c r="BKZ29" s="50"/>
      <c r="BLA29" s="50"/>
      <c r="BLB29" s="50"/>
      <c r="BLC29" s="50"/>
      <c r="BLD29" s="50"/>
      <c r="BLE29" s="50"/>
      <c r="BLF29" s="50"/>
      <c r="BLG29" s="50"/>
      <c r="BLH29" s="50"/>
      <c r="BLI29" s="50"/>
      <c r="BLJ29" s="50"/>
      <c r="BLK29" s="50"/>
      <c r="BLL29" s="50"/>
      <c r="BLM29" s="50"/>
      <c r="BLN29" s="50"/>
      <c r="BLO29" s="50"/>
      <c r="BLP29" s="50"/>
      <c r="BLQ29" s="50"/>
      <c r="BLR29" s="50"/>
      <c r="BLS29" s="50"/>
      <c r="BLT29" s="50"/>
      <c r="BLU29" s="50"/>
      <c r="BLV29" s="50"/>
      <c r="BLW29" s="50"/>
      <c r="BLX29" s="50"/>
      <c r="BLY29" s="50"/>
      <c r="BLZ29" s="50"/>
      <c r="BMA29" s="50"/>
      <c r="BMB29" s="50"/>
      <c r="BMC29" s="50"/>
      <c r="BMD29" s="50"/>
      <c r="BME29" s="50"/>
      <c r="BMF29" s="50"/>
      <c r="BMG29" s="50"/>
      <c r="BMH29" s="50"/>
      <c r="BMI29" s="50"/>
      <c r="BMJ29" s="50"/>
      <c r="BMK29" s="50"/>
      <c r="BML29" s="50"/>
      <c r="BMM29" s="50"/>
      <c r="BMN29" s="50"/>
      <c r="BMO29" s="50"/>
      <c r="BMP29" s="50"/>
      <c r="BMQ29" s="50"/>
      <c r="BMR29" s="50"/>
      <c r="BMS29" s="50"/>
      <c r="BMT29" s="50"/>
      <c r="BMU29" s="50"/>
      <c r="BMV29" s="50"/>
      <c r="BMW29" s="50"/>
      <c r="BMX29" s="50"/>
      <c r="BMY29" s="50"/>
      <c r="BMZ29" s="50"/>
      <c r="BNA29" s="50"/>
      <c r="BNB29" s="50"/>
      <c r="BNC29" s="50"/>
      <c r="BND29" s="50"/>
      <c r="BNE29" s="50"/>
      <c r="BNF29" s="50"/>
      <c r="BNG29" s="50"/>
      <c r="BNH29" s="50"/>
      <c r="BNI29" s="50"/>
      <c r="BNJ29" s="50"/>
      <c r="BNK29" s="50"/>
      <c r="BNL29" s="50"/>
      <c r="BNM29" s="50"/>
      <c r="BNN29" s="50"/>
      <c r="BNO29" s="50"/>
      <c r="BNP29" s="50"/>
      <c r="BNQ29" s="50"/>
      <c r="BNR29" s="50"/>
      <c r="BNS29" s="50"/>
      <c r="BNT29" s="50"/>
      <c r="BNU29" s="50"/>
      <c r="BNV29" s="50"/>
      <c r="BNW29" s="50"/>
      <c r="BNX29" s="50"/>
      <c r="BNY29" s="50"/>
      <c r="BNZ29" s="50"/>
      <c r="BOA29" s="50"/>
      <c r="BOB29" s="50"/>
      <c r="BOC29" s="50"/>
      <c r="BOD29" s="50"/>
      <c r="BOE29" s="50"/>
      <c r="BOF29" s="50"/>
      <c r="BOG29" s="50"/>
      <c r="BOH29" s="50"/>
      <c r="BOI29" s="50"/>
      <c r="BOJ29" s="50"/>
      <c r="BOK29" s="50"/>
      <c r="BOL29" s="50"/>
      <c r="BOM29" s="50"/>
      <c r="BON29" s="50"/>
      <c r="BOO29" s="50"/>
      <c r="BOP29" s="50"/>
      <c r="BOQ29" s="50"/>
      <c r="BOR29" s="50"/>
      <c r="BOS29" s="50"/>
      <c r="BOT29" s="50"/>
      <c r="BOU29" s="50"/>
      <c r="BOV29" s="50"/>
      <c r="BOW29" s="50"/>
      <c r="BOX29" s="50"/>
      <c r="BOY29" s="50"/>
      <c r="BOZ29" s="50"/>
      <c r="BPA29" s="50"/>
      <c r="BPB29" s="50"/>
      <c r="BPC29" s="50"/>
      <c r="BPD29" s="50"/>
      <c r="BPE29" s="50"/>
      <c r="BPF29" s="50"/>
      <c r="BPG29" s="50"/>
      <c r="BPH29" s="50"/>
      <c r="BPI29" s="50"/>
      <c r="BPJ29" s="50"/>
      <c r="BPK29" s="50"/>
      <c r="BPL29" s="50"/>
      <c r="BPM29" s="50"/>
      <c r="BPN29" s="50"/>
      <c r="BPO29" s="50"/>
      <c r="BPP29" s="50"/>
      <c r="BPQ29" s="50"/>
      <c r="BPR29" s="50"/>
      <c r="BPS29" s="50"/>
      <c r="BPT29" s="50"/>
      <c r="BPU29" s="50"/>
      <c r="BPV29" s="50"/>
      <c r="BPW29" s="50"/>
      <c r="BPX29" s="50"/>
      <c r="BPY29" s="50"/>
      <c r="BPZ29" s="50"/>
      <c r="BQA29" s="50"/>
      <c r="BQB29" s="50"/>
      <c r="BQC29" s="50"/>
      <c r="BQD29" s="50"/>
      <c r="BQE29" s="50"/>
      <c r="BQF29" s="50"/>
      <c r="BQG29" s="50"/>
      <c r="BQH29" s="50"/>
      <c r="BQI29" s="50"/>
      <c r="BQJ29" s="50"/>
      <c r="BQK29" s="50"/>
      <c r="BQL29" s="50"/>
      <c r="BQM29" s="50"/>
      <c r="BQN29" s="50"/>
      <c r="BQO29" s="50"/>
      <c r="BQP29" s="50"/>
      <c r="BQQ29" s="50"/>
      <c r="BQR29" s="50"/>
      <c r="BQS29" s="50"/>
      <c r="BQT29" s="50"/>
      <c r="BQU29" s="50"/>
      <c r="BQV29" s="50"/>
      <c r="BQW29" s="50"/>
      <c r="BQX29" s="50"/>
      <c r="BQY29" s="50"/>
      <c r="BQZ29" s="50"/>
      <c r="BRA29" s="50"/>
      <c r="BRB29" s="50"/>
      <c r="BRC29" s="50"/>
      <c r="BRD29" s="50"/>
      <c r="BRE29" s="50"/>
      <c r="BRF29" s="50"/>
      <c r="BRG29" s="50"/>
      <c r="BRH29" s="50"/>
      <c r="BRI29" s="50"/>
      <c r="BRJ29" s="50"/>
      <c r="BRK29" s="50"/>
      <c r="BRL29" s="50"/>
      <c r="BRM29" s="50"/>
      <c r="BRN29" s="50"/>
      <c r="BRO29" s="50"/>
      <c r="BRP29" s="50"/>
      <c r="BRQ29" s="50"/>
      <c r="BRR29" s="50"/>
      <c r="BRS29" s="50"/>
      <c r="BRT29" s="50"/>
      <c r="BRU29" s="50"/>
      <c r="BRV29" s="50"/>
      <c r="BRW29" s="50"/>
      <c r="BRX29" s="50"/>
      <c r="BRY29" s="50"/>
      <c r="BRZ29" s="50"/>
      <c r="BSA29" s="50"/>
      <c r="BSB29" s="50"/>
      <c r="BSC29" s="50"/>
      <c r="BSD29" s="50"/>
      <c r="BSE29" s="50"/>
      <c r="BSF29" s="50"/>
      <c r="BSG29" s="50"/>
      <c r="BSH29" s="50"/>
      <c r="BSI29" s="50"/>
      <c r="BSJ29" s="50"/>
      <c r="BSK29" s="50"/>
      <c r="BSL29" s="50"/>
      <c r="BSM29" s="50"/>
      <c r="BSN29" s="50"/>
      <c r="BSO29" s="50"/>
      <c r="BSP29" s="50"/>
      <c r="BSQ29" s="50"/>
      <c r="BSR29" s="50"/>
      <c r="BSS29" s="50"/>
      <c r="BST29" s="50"/>
      <c r="BSU29" s="50"/>
      <c r="BSV29" s="50"/>
      <c r="BSW29" s="50"/>
      <c r="BSX29" s="50"/>
      <c r="BSY29" s="50"/>
      <c r="BSZ29" s="50"/>
      <c r="BTA29" s="50"/>
      <c r="BTB29" s="50"/>
      <c r="BTC29" s="50"/>
      <c r="BTD29" s="50"/>
      <c r="BTE29" s="50"/>
      <c r="BTF29" s="50"/>
      <c r="BTG29" s="50"/>
      <c r="BTH29" s="50"/>
      <c r="BTI29" s="50"/>
      <c r="BTJ29" s="50"/>
      <c r="BTK29" s="50"/>
      <c r="BTL29" s="50"/>
      <c r="BTM29" s="50"/>
      <c r="BTN29" s="50"/>
      <c r="BTO29" s="50"/>
      <c r="BTP29" s="50"/>
      <c r="BTQ29" s="50"/>
      <c r="BTR29" s="50"/>
      <c r="BTS29" s="50"/>
      <c r="BTT29" s="50"/>
      <c r="BTU29" s="50"/>
      <c r="BTV29" s="50"/>
      <c r="BTW29" s="50"/>
      <c r="BTX29" s="50"/>
      <c r="BTY29" s="50"/>
      <c r="BTZ29" s="50"/>
      <c r="BUA29" s="50"/>
      <c r="BUB29" s="50"/>
      <c r="BUC29" s="50"/>
      <c r="BUD29" s="50"/>
      <c r="BUE29" s="50"/>
      <c r="BUF29" s="50"/>
      <c r="BUG29" s="50"/>
      <c r="BUH29" s="50"/>
      <c r="BUI29" s="50"/>
      <c r="BUJ29" s="50"/>
      <c r="BUK29" s="50"/>
      <c r="BUL29" s="50"/>
      <c r="BUM29" s="50"/>
      <c r="BUN29" s="50"/>
      <c r="BUO29" s="50"/>
      <c r="BUP29" s="50"/>
      <c r="BUQ29" s="50"/>
      <c r="BUR29" s="50"/>
      <c r="BUS29" s="50"/>
      <c r="BUT29" s="50"/>
      <c r="BUU29" s="50"/>
      <c r="BUV29" s="50"/>
      <c r="BUW29" s="50"/>
      <c r="BUX29" s="50"/>
      <c r="BUY29" s="50"/>
      <c r="BUZ29" s="50"/>
      <c r="BVA29" s="50"/>
      <c r="BVB29" s="50"/>
      <c r="BVC29" s="50"/>
      <c r="BVD29" s="50"/>
      <c r="BVE29" s="50"/>
      <c r="BVF29" s="50"/>
      <c r="BVG29" s="50"/>
      <c r="BVH29" s="50"/>
      <c r="BVI29" s="50"/>
      <c r="BVJ29" s="50"/>
      <c r="BVK29" s="50"/>
      <c r="BVL29" s="50"/>
      <c r="BVM29" s="50"/>
      <c r="BVN29" s="50"/>
      <c r="BVO29" s="50"/>
      <c r="BVP29" s="50"/>
      <c r="BVQ29" s="50"/>
      <c r="BVR29" s="50"/>
      <c r="BVS29" s="50"/>
      <c r="BVT29" s="50"/>
      <c r="BVU29" s="50"/>
      <c r="BVV29" s="50"/>
      <c r="BVW29" s="50"/>
      <c r="BVX29" s="50"/>
      <c r="BVY29" s="50"/>
      <c r="BVZ29" s="50"/>
      <c r="BWA29" s="50"/>
      <c r="BWB29" s="50"/>
      <c r="BWC29" s="50"/>
      <c r="BWD29" s="50"/>
      <c r="BWE29" s="50"/>
      <c r="BWF29" s="50"/>
      <c r="BWG29" s="50"/>
      <c r="BWH29" s="50"/>
      <c r="BWI29" s="50"/>
      <c r="BWJ29" s="50"/>
      <c r="BWK29" s="50"/>
      <c r="BWL29" s="50"/>
      <c r="BWM29" s="50"/>
      <c r="BWN29" s="50"/>
      <c r="BWO29" s="50"/>
      <c r="BWP29" s="50"/>
      <c r="BWQ29" s="50"/>
      <c r="BWR29" s="50"/>
      <c r="BWS29" s="50"/>
      <c r="BWT29" s="50"/>
      <c r="BWU29" s="50"/>
      <c r="BWV29" s="50"/>
      <c r="BWW29" s="50"/>
      <c r="BWX29" s="50"/>
      <c r="BWY29" s="50"/>
      <c r="BWZ29" s="50"/>
      <c r="BXA29" s="50"/>
      <c r="BXB29" s="50"/>
      <c r="BXC29" s="50"/>
      <c r="BXD29" s="50"/>
      <c r="BXE29" s="50"/>
      <c r="BXF29" s="50"/>
      <c r="BXG29" s="50"/>
      <c r="BXH29" s="50"/>
      <c r="BXI29" s="50"/>
      <c r="BXJ29" s="50"/>
      <c r="BXK29" s="50"/>
      <c r="BXL29" s="50"/>
      <c r="BXM29" s="50"/>
      <c r="BXN29" s="50"/>
      <c r="BXO29" s="50"/>
      <c r="BXP29" s="50"/>
      <c r="BXQ29" s="50"/>
      <c r="BXR29" s="50"/>
      <c r="BXS29" s="50"/>
      <c r="BXT29" s="50"/>
      <c r="BXU29" s="50"/>
      <c r="BXV29" s="50"/>
      <c r="BXW29" s="50"/>
      <c r="BXX29" s="50"/>
      <c r="BXY29" s="50"/>
      <c r="BXZ29" s="50"/>
      <c r="BYA29" s="50"/>
      <c r="BYB29" s="50"/>
      <c r="BYC29" s="50"/>
      <c r="BYD29" s="50"/>
      <c r="BYE29" s="50"/>
      <c r="BYF29" s="50"/>
      <c r="BYG29" s="50"/>
      <c r="BYH29" s="50"/>
      <c r="BYI29" s="50"/>
      <c r="BYJ29" s="50"/>
      <c r="BYK29" s="50"/>
      <c r="BYL29" s="50"/>
      <c r="BYM29" s="50"/>
      <c r="BYN29" s="50"/>
      <c r="BYO29" s="50"/>
      <c r="BYP29" s="50"/>
      <c r="BYQ29" s="50"/>
      <c r="BYR29" s="50"/>
      <c r="BYS29" s="50"/>
      <c r="BYT29" s="50"/>
      <c r="BYU29" s="50"/>
      <c r="BYV29" s="50"/>
      <c r="BYW29" s="50"/>
    </row>
    <row r="30" spans="1:2025" ht="33.75">
      <c r="A30" s="140" t="s">
        <v>11637</v>
      </c>
      <c r="B30" s="140" t="s">
        <v>7566</v>
      </c>
      <c r="C30" s="140"/>
      <c r="D30" s="140" t="s">
        <v>242</v>
      </c>
      <c r="E30" s="140"/>
      <c r="F30" s="141" t="s">
        <v>8916</v>
      </c>
      <c r="G30" s="142" t="s">
        <v>11638</v>
      </c>
      <c r="H30" s="225" t="s">
        <v>204</v>
      </c>
      <c r="I30" s="140"/>
      <c r="J30" s="140"/>
      <c r="K30" s="140" t="s">
        <v>191</v>
      </c>
      <c r="L30" s="143">
        <v>4</v>
      </c>
      <c r="M30" s="148">
        <v>5</v>
      </c>
      <c r="N30" s="148" t="s">
        <v>199</v>
      </c>
      <c r="P30" s="50"/>
    </row>
    <row r="31" spans="1:2025" ht="90">
      <c r="A31" s="140" t="s">
        <v>11639</v>
      </c>
      <c r="B31" s="140" t="s">
        <v>11640</v>
      </c>
      <c r="C31" s="140"/>
      <c r="D31" s="140" t="s">
        <v>242</v>
      </c>
      <c r="E31" s="140"/>
      <c r="F31" s="141" t="s">
        <v>1946</v>
      </c>
      <c r="G31" s="142" t="s">
        <v>11641</v>
      </c>
      <c r="H31" s="142" t="s">
        <v>466</v>
      </c>
      <c r="I31" s="142" t="s">
        <v>11642</v>
      </c>
      <c r="J31" s="142"/>
      <c r="K31" s="140" t="s">
        <v>191</v>
      </c>
      <c r="L31" s="143">
        <v>4</v>
      </c>
      <c r="M31" s="148">
        <v>5</v>
      </c>
      <c r="N31" s="148" t="s">
        <v>199</v>
      </c>
      <c r="P31" s="50"/>
    </row>
    <row r="32" spans="1:2025" ht="33.75">
      <c r="A32" s="140" t="s">
        <v>11643</v>
      </c>
      <c r="B32" s="140" t="s">
        <v>11644</v>
      </c>
      <c r="C32" s="140"/>
      <c r="D32" s="140" t="s">
        <v>242</v>
      </c>
      <c r="E32" s="140"/>
      <c r="F32" s="141" t="s">
        <v>11645</v>
      </c>
      <c r="G32" s="142" t="s">
        <v>11646</v>
      </c>
      <c r="H32" s="225" t="s">
        <v>466</v>
      </c>
      <c r="I32" s="140"/>
      <c r="J32" s="140"/>
      <c r="K32" s="140" t="s">
        <v>191</v>
      </c>
      <c r="L32" s="143">
        <v>4</v>
      </c>
      <c r="M32" s="148">
        <v>5</v>
      </c>
      <c r="N32" s="148" t="s">
        <v>199</v>
      </c>
      <c r="P32" s="50"/>
    </row>
    <row r="33" spans="1:16" ht="33.75">
      <c r="A33" s="140" t="s">
        <v>11647</v>
      </c>
      <c r="B33" s="140" t="s">
        <v>11648</v>
      </c>
      <c r="C33" s="140"/>
      <c r="D33" s="140" t="s">
        <v>242</v>
      </c>
      <c r="E33" s="140"/>
      <c r="F33" s="141" t="s">
        <v>1946</v>
      </c>
      <c r="G33" s="142" t="s">
        <v>11649</v>
      </c>
      <c r="H33" s="225" t="s">
        <v>466</v>
      </c>
      <c r="I33" s="140"/>
      <c r="J33" s="140"/>
      <c r="K33" s="140" t="s">
        <v>191</v>
      </c>
      <c r="L33" s="143">
        <v>4</v>
      </c>
      <c r="M33" s="148">
        <v>5</v>
      </c>
      <c r="N33" s="148" t="s">
        <v>199</v>
      </c>
      <c r="P33" s="50"/>
    </row>
    <row r="34" spans="1:16" ht="22.5">
      <c r="A34" s="140" t="s">
        <v>11650</v>
      </c>
      <c r="B34" s="140" t="s">
        <v>11651</v>
      </c>
      <c r="C34" s="140" t="s">
        <v>11652</v>
      </c>
      <c r="D34" s="140" t="s">
        <v>242</v>
      </c>
      <c r="E34" s="140"/>
      <c r="F34" s="141" t="s">
        <v>11645</v>
      </c>
      <c r="G34" s="142" t="s">
        <v>11653</v>
      </c>
      <c r="H34" s="225" t="s">
        <v>204</v>
      </c>
      <c r="I34" s="140"/>
      <c r="J34" s="140"/>
      <c r="K34" s="140" t="s">
        <v>191</v>
      </c>
      <c r="L34" s="143">
        <v>4</v>
      </c>
      <c r="M34" s="148">
        <v>5</v>
      </c>
      <c r="N34" s="148" t="s">
        <v>199</v>
      </c>
      <c r="P34" s="50"/>
    </row>
    <row r="35" spans="1:16" ht="22.5">
      <c r="A35" s="140" t="s">
        <v>11647</v>
      </c>
      <c r="B35" s="140" t="s">
        <v>11654</v>
      </c>
      <c r="C35" s="140" t="s">
        <v>11651</v>
      </c>
      <c r="D35" s="140" t="s">
        <v>242</v>
      </c>
      <c r="E35" s="140"/>
      <c r="F35" s="141" t="s">
        <v>1946</v>
      </c>
      <c r="G35" s="142" t="s">
        <v>11653</v>
      </c>
      <c r="H35" s="225" t="s">
        <v>204</v>
      </c>
      <c r="I35" s="140"/>
      <c r="J35" s="140"/>
      <c r="K35" s="140" t="s">
        <v>191</v>
      </c>
      <c r="L35" s="143">
        <v>4</v>
      </c>
      <c r="M35" s="148">
        <v>5</v>
      </c>
      <c r="N35" s="148" t="s">
        <v>199</v>
      </c>
      <c r="P35" s="50"/>
    </row>
    <row r="36" spans="1:16" ht="33.75">
      <c r="A36" s="140" t="s">
        <v>11655</v>
      </c>
      <c r="B36" s="140" t="s">
        <v>11656</v>
      </c>
      <c r="C36" s="140" t="s">
        <v>11657</v>
      </c>
      <c r="D36" s="140" t="s">
        <v>242</v>
      </c>
      <c r="E36" s="140"/>
      <c r="F36" s="141" t="s">
        <v>11658</v>
      </c>
      <c r="G36" s="142" t="s">
        <v>11659</v>
      </c>
      <c r="H36" s="225" t="s">
        <v>204</v>
      </c>
      <c r="I36" s="140"/>
      <c r="J36" s="140"/>
      <c r="K36" s="140" t="s">
        <v>191</v>
      </c>
      <c r="L36" s="143">
        <v>4</v>
      </c>
      <c r="M36" s="148">
        <v>5</v>
      </c>
      <c r="N36" s="148" t="s">
        <v>199</v>
      </c>
      <c r="P36" s="50"/>
    </row>
    <row r="37" spans="1:16" ht="22.5">
      <c r="A37" s="140" t="s">
        <v>11660</v>
      </c>
      <c r="B37" s="140" t="s">
        <v>11661</v>
      </c>
      <c r="C37" s="140"/>
      <c r="D37" s="140" t="s">
        <v>242</v>
      </c>
      <c r="E37" s="140"/>
      <c r="F37" s="141" t="s">
        <v>2250</v>
      </c>
      <c r="G37" s="142" t="s">
        <v>11662</v>
      </c>
      <c r="H37" s="225" t="s">
        <v>204</v>
      </c>
      <c r="I37" s="140" t="s">
        <v>11663</v>
      </c>
      <c r="J37" s="140"/>
      <c r="K37" s="140" t="s">
        <v>191</v>
      </c>
      <c r="L37" s="143">
        <v>4</v>
      </c>
      <c r="M37" s="148">
        <v>5</v>
      </c>
      <c r="N37" s="148" t="s">
        <v>199</v>
      </c>
      <c r="P37" s="50"/>
    </row>
    <row r="38" spans="1:16" ht="33.75">
      <c r="A38" s="140" t="s">
        <v>11664</v>
      </c>
      <c r="B38" s="140" t="s">
        <v>11665</v>
      </c>
      <c r="C38" s="140" t="s">
        <v>11666</v>
      </c>
      <c r="D38" s="140" t="s">
        <v>242</v>
      </c>
      <c r="E38" s="140"/>
      <c r="F38" s="141" t="s">
        <v>2250</v>
      </c>
      <c r="G38" s="142" t="s">
        <v>11667</v>
      </c>
      <c r="H38" s="142" t="s">
        <v>204</v>
      </c>
      <c r="I38" s="140"/>
      <c r="J38" s="140"/>
      <c r="K38" s="140" t="s">
        <v>191</v>
      </c>
      <c r="L38" s="143">
        <v>4</v>
      </c>
      <c r="M38" s="148">
        <v>5</v>
      </c>
      <c r="N38" s="148" t="s">
        <v>199</v>
      </c>
      <c r="P38" s="50"/>
    </row>
    <row r="39" spans="1:16" ht="33.75">
      <c r="A39" s="140" t="s">
        <v>11668</v>
      </c>
      <c r="B39" s="140" t="s">
        <v>11669</v>
      </c>
      <c r="C39" s="140" t="s">
        <v>11670</v>
      </c>
      <c r="D39" s="140" t="s">
        <v>242</v>
      </c>
      <c r="E39" s="140"/>
      <c r="F39" s="141" t="s">
        <v>2250</v>
      </c>
      <c r="G39" s="142" t="s">
        <v>11671</v>
      </c>
      <c r="H39" s="142" t="s">
        <v>204</v>
      </c>
      <c r="I39" s="140"/>
      <c r="J39" s="140"/>
      <c r="K39" s="140" t="s">
        <v>191</v>
      </c>
      <c r="L39" s="143">
        <v>4</v>
      </c>
      <c r="M39" s="148">
        <v>5</v>
      </c>
      <c r="N39" s="148" t="s">
        <v>199</v>
      </c>
      <c r="P39" s="50"/>
    </row>
    <row r="40" spans="1:16" ht="33.75">
      <c r="A40" s="140" t="s">
        <v>11672</v>
      </c>
      <c r="B40" s="140" t="s">
        <v>11673</v>
      </c>
      <c r="C40" s="140" t="s">
        <v>11674</v>
      </c>
      <c r="D40" s="140" t="s">
        <v>242</v>
      </c>
      <c r="E40" s="140"/>
      <c r="F40" s="141" t="s">
        <v>2250</v>
      </c>
      <c r="G40" s="142" t="s">
        <v>11675</v>
      </c>
      <c r="H40" s="225" t="s">
        <v>204</v>
      </c>
      <c r="I40" s="140"/>
      <c r="J40" s="140"/>
      <c r="K40" s="140" t="s">
        <v>191</v>
      </c>
      <c r="L40" s="143">
        <v>4</v>
      </c>
      <c r="M40" s="148">
        <v>5</v>
      </c>
      <c r="N40" s="148" t="s">
        <v>199</v>
      </c>
      <c r="P40" s="50"/>
    </row>
    <row r="41" spans="1:16" ht="22.5">
      <c r="A41" s="140" t="s">
        <v>11676</v>
      </c>
      <c r="B41" s="140" t="s">
        <v>11677</v>
      </c>
      <c r="C41" s="140"/>
      <c r="D41" s="140" t="s">
        <v>242</v>
      </c>
      <c r="E41" s="140"/>
      <c r="F41" s="141" t="s">
        <v>2250</v>
      </c>
      <c r="G41" s="142" t="s">
        <v>11678</v>
      </c>
      <c r="H41" s="142" t="s">
        <v>198</v>
      </c>
      <c r="I41" s="142"/>
      <c r="J41" s="142"/>
      <c r="K41" s="140" t="s">
        <v>191</v>
      </c>
      <c r="L41" s="143">
        <v>4</v>
      </c>
      <c r="M41" s="148">
        <v>5</v>
      </c>
      <c r="N41" s="148" t="s">
        <v>199</v>
      </c>
      <c r="P41" s="50"/>
    </row>
    <row r="42" spans="1:16" ht="33.75">
      <c r="A42" s="140" t="s">
        <v>11679</v>
      </c>
      <c r="B42" s="140" t="s">
        <v>11680</v>
      </c>
      <c r="C42" s="140"/>
      <c r="D42" s="140" t="s">
        <v>242</v>
      </c>
      <c r="E42" s="140"/>
      <c r="F42" s="141" t="s">
        <v>2250</v>
      </c>
      <c r="G42" s="142" t="s">
        <v>11681</v>
      </c>
      <c r="H42" s="142" t="s">
        <v>198</v>
      </c>
      <c r="I42" s="142"/>
      <c r="J42" s="142"/>
      <c r="K42" s="140" t="s">
        <v>191</v>
      </c>
      <c r="L42" s="143">
        <v>4</v>
      </c>
      <c r="M42" s="148">
        <v>5</v>
      </c>
      <c r="N42" s="148" t="s">
        <v>199</v>
      </c>
      <c r="P42" s="50"/>
    </row>
    <row r="43" spans="1:16" ht="45">
      <c r="A43" s="140" t="s">
        <v>11682</v>
      </c>
      <c r="B43" s="140" t="s">
        <v>11683</v>
      </c>
      <c r="C43" s="140"/>
      <c r="D43" s="140" t="s">
        <v>242</v>
      </c>
      <c r="E43" s="140"/>
      <c r="F43" s="141" t="s">
        <v>2250</v>
      </c>
      <c r="G43" s="142" t="s">
        <v>11684</v>
      </c>
      <c r="H43" s="142" t="s">
        <v>198</v>
      </c>
      <c r="I43" s="140"/>
      <c r="J43" s="140"/>
      <c r="K43" s="140" t="s">
        <v>191</v>
      </c>
      <c r="L43" s="143">
        <v>4</v>
      </c>
      <c r="M43" s="148">
        <v>5</v>
      </c>
      <c r="N43" s="148" t="s">
        <v>199</v>
      </c>
      <c r="P43" s="50"/>
    </row>
    <row r="44" spans="1:16" ht="371.25">
      <c r="A44" s="140" t="s">
        <v>11685</v>
      </c>
      <c r="B44" s="140" t="s">
        <v>11686</v>
      </c>
      <c r="C44" s="140"/>
      <c r="D44" s="140" t="s">
        <v>242</v>
      </c>
      <c r="E44" s="140"/>
      <c r="F44" s="141" t="s">
        <v>11658</v>
      </c>
      <c r="G44" s="142" t="s">
        <v>11687</v>
      </c>
      <c r="H44" s="142" t="s">
        <v>204</v>
      </c>
      <c r="I44" s="142" t="s">
        <v>11688</v>
      </c>
      <c r="J44" s="142"/>
      <c r="K44" s="140" t="s">
        <v>191</v>
      </c>
      <c r="L44" s="143">
        <v>4</v>
      </c>
      <c r="M44" s="148">
        <v>5</v>
      </c>
      <c r="N44" s="148" t="s">
        <v>199</v>
      </c>
      <c r="P44" s="50"/>
    </row>
    <row r="45" spans="1:16" ht="270">
      <c r="A45" s="140" t="s">
        <v>11689</v>
      </c>
      <c r="B45" s="140" t="s">
        <v>11690</v>
      </c>
      <c r="C45" s="140"/>
      <c r="D45" s="140" t="s">
        <v>242</v>
      </c>
      <c r="E45" s="140"/>
      <c r="F45" s="141" t="s">
        <v>2254</v>
      </c>
      <c r="G45" s="142" t="s">
        <v>11691</v>
      </c>
      <c r="H45" s="142" t="s">
        <v>204</v>
      </c>
      <c r="I45" s="142" t="s">
        <v>11692</v>
      </c>
      <c r="J45" s="142"/>
      <c r="K45" s="140" t="s">
        <v>191</v>
      </c>
      <c r="L45" s="143">
        <v>4</v>
      </c>
      <c r="M45" s="148">
        <v>5</v>
      </c>
      <c r="N45" s="148" t="s">
        <v>199</v>
      </c>
      <c r="P45" s="50"/>
    </row>
    <row r="46" spans="1:16" ht="33.75">
      <c r="A46" s="140" t="s">
        <v>11693</v>
      </c>
      <c r="B46" s="140" t="s">
        <v>11694</v>
      </c>
      <c r="C46" s="140"/>
      <c r="D46" s="140" t="s">
        <v>242</v>
      </c>
      <c r="E46" s="140"/>
      <c r="F46" s="141" t="s">
        <v>2869</v>
      </c>
      <c r="G46" s="142" t="s">
        <v>11695</v>
      </c>
      <c r="H46" s="142" t="s">
        <v>204</v>
      </c>
      <c r="I46" s="142" t="s">
        <v>11696</v>
      </c>
      <c r="J46" s="142"/>
      <c r="K46" s="140" t="s">
        <v>191</v>
      </c>
      <c r="L46" s="143">
        <v>4</v>
      </c>
      <c r="M46" s="148">
        <v>5</v>
      </c>
      <c r="N46" s="148" t="s">
        <v>199</v>
      </c>
      <c r="P46" s="50"/>
    </row>
    <row r="47" spans="1:16" ht="45">
      <c r="A47" s="140" t="s">
        <v>11697</v>
      </c>
      <c r="B47" s="140" t="s">
        <v>11698</v>
      </c>
      <c r="C47" s="140"/>
      <c r="D47" s="140" t="s">
        <v>242</v>
      </c>
      <c r="E47" s="140"/>
      <c r="F47" s="141" t="s">
        <v>2869</v>
      </c>
      <c r="G47" s="142" t="s">
        <v>11699</v>
      </c>
      <c r="H47" s="142" t="s">
        <v>204</v>
      </c>
      <c r="I47" s="142"/>
      <c r="J47" s="142"/>
      <c r="K47" s="140" t="s">
        <v>191</v>
      </c>
      <c r="L47" s="143">
        <v>4</v>
      </c>
      <c r="M47" s="148">
        <v>5</v>
      </c>
      <c r="N47" s="148" t="s">
        <v>199</v>
      </c>
      <c r="P47" s="50"/>
    </row>
    <row r="48" spans="1:16" ht="22.5">
      <c r="A48" s="140" t="s">
        <v>11700</v>
      </c>
      <c r="B48" s="140" t="s">
        <v>11701</v>
      </c>
      <c r="C48" s="140"/>
      <c r="D48" s="140" t="s">
        <v>242</v>
      </c>
      <c r="E48" s="140"/>
      <c r="F48" s="141" t="s">
        <v>7582</v>
      </c>
      <c r="G48" s="142" t="s">
        <v>11702</v>
      </c>
      <c r="H48" s="142" t="s">
        <v>188</v>
      </c>
      <c r="I48" s="142" t="s">
        <v>11703</v>
      </c>
      <c r="J48" s="142"/>
      <c r="K48" s="140" t="s">
        <v>191</v>
      </c>
      <c r="L48" s="143">
        <v>4</v>
      </c>
      <c r="M48" s="148">
        <v>5</v>
      </c>
      <c r="N48" s="148" t="s">
        <v>199</v>
      </c>
      <c r="P48" s="50"/>
    </row>
    <row r="49" spans="1:16" ht="225">
      <c r="A49" s="140" t="s">
        <v>11704</v>
      </c>
      <c r="B49" s="140" t="s">
        <v>11705</v>
      </c>
      <c r="C49" s="140"/>
      <c r="D49" s="140" t="s">
        <v>242</v>
      </c>
      <c r="E49" s="140"/>
      <c r="F49" s="141" t="s">
        <v>1890</v>
      </c>
      <c r="G49" s="142" t="s">
        <v>11706</v>
      </c>
      <c r="H49" s="142" t="s">
        <v>204</v>
      </c>
      <c r="I49" s="142" t="s">
        <v>11707</v>
      </c>
      <c r="J49" s="142"/>
      <c r="K49" s="140" t="s">
        <v>191</v>
      </c>
      <c r="L49" s="143">
        <v>4</v>
      </c>
      <c r="M49" s="148">
        <v>5</v>
      </c>
      <c r="N49" s="148" t="s">
        <v>199</v>
      </c>
      <c r="P49" s="50"/>
    </row>
    <row r="50" spans="1:16" ht="56.25">
      <c r="A50" s="140" t="s">
        <v>11708</v>
      </c>
      <c r="B50" s="140" t="s">
        <v>11709</v>
      </c>
      <c r="C50" s="140"/>
      <c r="D50" s="140" t="s">
        <v>242</v>
      </c>
      <c r="E50" s="140"/>
      <c r="F50" s="141" t="s">
        <v>597</v>
      </c>
      <c r="G50" s="142" t="s">
        <v>11710</v>
      </c>
      <c r="H50" s="142"/>
      <c r="I50" s="142" t="s">
        <v>11711</v>
      </c>
      <c r="J50" s="142"/>
      <c r="K50" s="140"/>
      <c r="L50" s="143">
        <v>4</v>
      </c>
      <c r="M50" s="148">
        <v>5</v>
      </c>
      <c r="N50" s="148" t="s">
        <v>199</v>
      </c>
      <c r="P50" s="50"/>
    </row>
    <row r="51" spans="1:16" ht="22.5">
      <c r="A51" s="140" t="s">
        <v>11712</v>
      </c>
      <c r="B51" s="140" t="s">
        <v>11713</v>
      </c>
      <c r="C51" s="140"/>
      <c r="D51" s="140" t="s">
        <v>242</v>
      </c>
      <c r="E51" s="140"/>
      <c r="F51" s="141" t="s">
        <v>1946</v>
      </c>
      <c r="G51" s="142" t="s">
        <v>11714</v>
      </c>
      <c r="H51" s="142" t="s">
        <v>188</v>
      </c>
      <c r="I51" s="142" t="s">
        <v>11703</v>
      </c>
      <c r="J51" s="142"/>
      <c r="K51" s="140" t="s">
        <v>191</v>
      </c>
      <c r="L51" s="143">
        <v>4</v>
      </c>
      <c r="M51" s="148">
        <v>5</v>
      </c>
      <c r="N51" s="148" t="s">
        <v>199</v>
      </c>
      <c r="P51" s="50"/>
    </row>
    <row r="52" spans="1:16">
      <c r="A52" s="140" t="s">
        <v>11715</v>
      </c>
      <c r="B52" s="140" t="s">
        <v>11716</v>
      </c>
      <c r="C52" s="140"/>
      <c r="D52" s="140" t="s">
        <v>242</v>
      </c>
      <c r="E52" s="140"/>
      <c r="F52" s="141" t="s">
        <v>11613</v>
      </c>
      <c r="G52" s="142" t="s">
        <v>11717</v>
      </c>
      <c r="H52" s="142" t="s">
        <v>466</v>
      </c>
      <c r="I52" s="142"/>
      <c r="J52" s="142"/>
      <c r="K52" s="140" t="s">
        <v>191</v>
      </c>
      <c r="L52" s="143">
        <v>4</v>
      </c>
      <c r="M52" s="148">
        <v>5</v>
      </c>
      <c r="N52" s="148" t="s">
        <v>199</v>
      </c>
      <c r="P52" s="50"/>
    </row>
    <row r="53" spans="1:16">
      <c r="A53" s="140" t="s">
        <v>11718</v>
      </c>
      <c r="B53" s="140" t="s">
        <v>11719</v>
      </c>
      <c r="C53" s="140"/>
      <c r="D53" s="140" t="s">
        <v>242</v>
      </c>
      <c r="E53" s="140"/>
      <c r="F53" s="141" t="s">
        <v>4505</v>
      </c>
      <c r="G53" s="142" t="s">
        <v>11720</v>
      </c>
      <c r="H53" s="142" t="s">
        <v>466</v>
      </c>
      <c r="I53" s="142"/>
      <c r="J53" s="142"/>
      <c r="K53" s="140" t="s">
        <v>191</v>
      </c>
      <c r="L53" s="143">
        <v>4</v>
      </c>
      <c r="M53" s="148">
        <v>5</v>
      </c>
      <c r="N53" s="148" t="s">
        <v>199</v>
      </c>
      <c r="P53" s="50"/>
    </row>
    <row r="54" spans="1:16">
      <c r="A54" s="140" t="s">
        <v>11721</v>
      </c>
      <c r="B54" s="140" t="s">
        <v>11652</v>
      </c>
      <c r="C54" s="140"/>
      <c r="D54" s="140" t="s">
        <v>242</v>
      </c>
      <c r="E54" s="140"/>
      <c r="F54" s="141" t="s">
        <v>11613</v>
      </c>
      <c r="G54" s="142" t="s">
        <v>11722</v>
      </c>
      <c r="H54" s="225" t="s">
        <v>204</v>
      </c>
      <c r="I54" s="142"/>
      <c r="J54" s="142"/>
      <c r="K54" s="140" t="s">
        <v>191</v>
      </c>
      <c r="L54" s="143">
        <v>4</v>
      </c>
      <c r="M54" s="148">
        <v>5</v>
      </c>
      <c r="N54" s="148" t="s">
        <v>199</v>
      </c>
      <c r="P54" s="50"/>
    </row>
    <row r="55" spans="1:16">
      <c r="A55" s="140" t="s">
        <v>11723</v>
      </c>
      <c r="B55" s="140" t="s">
        <v>11724</v>
      </c>
      <c r="C55" s="140"/>
      <c r="D55" s="140" t="s">
        <v>242</v>
      </c>
      <c r="E55" s="140"/>
      <c r="F55" s="141" t="s">
        <v>4505</v>
      </c>
      <c r="G55" s="142" t="s">
        <v>11725</v>
      </c>
      <c r="H55" s="225" t="s">
        <v>204</v>
      </c>
      <c r="I55" s="142"/>
      <c r="J55" s="142"/>
      <c r="K55" s="140" t="s">
        <v>191</v>
      </c>
      <c r="L55" s="143">
        <v>4</v>
      </c>
      <c r="M55" s="148">
        <v>5</v>
      </c>
      <c r="N55" s="148" t="s">
        <v>199</v>
      </c>
      <c r="P55" s="50"/>
    </row>
    <row r="56" spans="1:16" ht="33.75">
      <c r="A56" s="140" t="s">
        <v>11726</v>
      </c>
      <c r="B56" s="140" t="s">
        <v>11674</v>
      </c>
      <c r="C56" s="140"/>
      <c r="D56" s="140" t="s">
        <v>242</v>
      </c>
      <c r="E56" s="140"/>
      <c r="F56" s="141" t="s">
        <v>11613</v>
      </c>
      <c r="G56" s="142" t="s">
        <v>11727</v>
      </c>
      <c r="H56" s="142" t="s">
        <v>204</v>
      </c>
      <c r="I56" s="142"/>
      <c r="J56" s="142"/>
      <c r="K56" s="140" t="s">
        <v>191</v>
      </c>
      <c r="L56" s="143">
        <v>4</v>
      </c>
      <c r="M56" s="148">
        <v>5</v>
      </c>
      <c r="N56" s="148" t="s">
        <v>199</v>
      </c>
      <c r="P56" s="50"/>
    </row>
    <row r="57" spans="1:16" ht="33.75">
      <c r="A57" s="140" t="s">
        <v>11728</v>
      </c>
      <c r="B57" s="140" t="s">
        <v>11729</v>
      </c>
      <c r="C57" s="140"/>
      <c r="D57" s="140" t="s">
        <v>242</v>
      </c>
      <c r="E57" s="140"/>
      <c r="F57" s="141" t="s">
        <v>4505</v>
      </c>
      <c r="G57" s="142" t="s">
        <v>11730</v>
      </c>
      <c r="H57" s="142" t="s">
        <v>204</v>
      </c>
      <c r="I57" s="142"/>
      <c r="J57" s="142"/>
      <c r="K57" s="140" t="s">
        <v>191</v>
      </c>
      <c r="L57" s="143">
        <v>4</v>
      </c>
      <c r="M57" s="148">
        <v>5</v>
      </c>
      <c r="N57" s="148" t="s">
        <v>199</v>
      </c>
      <c r="P57" s="50"/>
    </row>
    <row r="58" spans="1:16">
      <c r="A58" s="140" t="s">
        <v>11731</v>
      </c>
      <c r="B58" s="140" t="s">
        <v>11732</v>
      </c>
      <c r="C58" s="140"/>
      <c r="D58" s="140" t="s">
        <v>242</v>
      </c>
      <c r="E58" s="140"/>
      <c r="F58" s="141" t="s">
        <v>11613</v>
      </c>
      <c r="G58" s="142" t="s">
        <v>11733</v>
      </c>
      <c r="H58" s="142" t="s">
        <v>466</v>
      </c>
      <c r="I58" s="142"/>
      <c r="J58" s="142"/>
      <c r="K58" s="140" t="s">
        <v>191</v>
      </c>
      <c r="L58" s="143">
        <v>4</v>
      </c>
      <c r="M58" s="148">
        <v>5</v>
      </c>
      <c r="N58" s="148" t="s">
        <v>199</v>
      </c>
      <c r="P58" s="50"/>
    </row>
    <row r="59" spans="1:16">
      <c r="A59" s="140" t="s">
        <v>11734</v>
      </c>
      <c r="B59" s="140" t="s">
        <v>11735</v>
      </c>
      <c r="C59" s="140"/>
      <c r="D59" s="140" t="s">
        <v>242</v>
      </c>
      <c r="E59" s="140"/>
      <c r="F59" s="141" t="s">
        <v>4505</v>
      </c>
      <c r="G59" s="142" t="s">
        <v>11736</v>
      </c>
      <c r="H59" s="142" t="s">
        <v>466</v>
      </c>
      <c r="I59" s="142"/>
      <c r="J59" s="142"/>
      <c r="K59" s="140" t="s">
        <v>191</v>
      </c>
      <c r="L59" s="143">
        <v>4</v>
      </c>
      <c r="M59" s="148">
        <v>5</v>
      </c>
      <c r="N59" s="148" t="s">
        <v>199</v>
      </c>
      <c r="P59" s="50"/>
    </row>
    <row r="60" spans="1:16" ht="33.75">
      <c r="A60" s="140" t="s">
        <v>11737</v>
      </c>
      <c r="B60" s="140" t="s">
        <v>11738</v>
      </c>
      <c r="C60" s="140"/>
      <c r="D60" s="140" t="s">
        <v>242</v>
      </c>
      <c r="E60" s="140"/>
      <c r="F60" s="141" t="s">
        <v>11613</v>
      </c>
      <c r="G60" s="142" t="s">
        <v>11739</v>
      </c>
      <c r="H60" s="142" t="s">
        <v>204</v>
      </c>
      <c r="I60" s="142" t="s">
        <v>11740</v>
      </c>
      <c r="J60" s="142"/>
      <c r="K60" s="140" t="s">
        <v>191</v>
      </c>
      <c r="L60" s="143">
        <v>4</v>
      </c>
      <c r="M60" s="148">
        <v>5</v>
      </c>
      <c r="N60" s="148" t="s">
        <v>199</v>
      </c>
      <c r="P60" s="50"/>
    </row>
    <row r="61" spans="1:16" ht="33.75">
      <c r="A61" s="140" t="s">
        <v>11741</v>
      </c>
      <c r="B61" s="140" t="s">
        <v>11742</v>
      </c>
      <c r="C61" s="140"/>
      <c r="D61" s="140" t="s">
        <v>242</v>
      </c>
      <c r="E61" s="140"/>
      <c r="F61" s="141" t="s">
        <v>4505</v>
      </c>
      <c r="G61" s="142" t="s">
        <v>11743</v>
      </c>
      <c r="H61" s="142" t="s">
        <v>204</v>
      </c>
      <c r="I61" s="142" t="s">
        <v>11740</v>
      </c>
      <c r="J61" s="142"/>
      <c r="K61" s="140" t="s">
        <v>191</v>
      </c>
      <c r="L61" s="143">
        <v>4</v>
      </c>
      <c r="M61" s="148">
        <v>5</v>
      </c>
      <c r="N61" s="148" t="s">
        <v>199</v>
      </c>
      <c r="P61" s="50"/>
    </row>
    <row r="62" spans="1:16" ht="22.5">
      <c r="A62" s="140" t="s">
        <v>11744</v>
      </c>
      <c r="B62" s="140" t="s">
        <v>11745</v>
      </c>
      <c r="C62" s="140"/>
      <c r="D62" s="140" t="s">
        <v>242</v>
      </c>
      <c r="E62" s="140"/>
      <c r="F62" s="141" t="s">
        <v>11613</v>
      </c>
      <c r="G62" s="142" t="s">
        <v>11746</v>
      </c>
      <c r="H62" s="142" t="s">
        <v>188</v>
      </c>
      <c r="I62" s="142" t="s">
        <v>11747</v>
      </c>
      <c r="J62" s="142"/>
      <c r="K62" s="140" t="s">
        <v>191</v>
      </c>
      <c r="L62" s="143">
        <v>4</v>
      </c>
      <c r="M62" s="148">
        <v>5</v>
      </c>
      <c r="N62" s="148" t="s">
        <v>199</v>
      </c>
      <c r="P62" s="50"/>
    </row>
    <row r="63" spans="1:16" ht="101.25">
      <c r="A63" s="140" t="s">
        <v>11748</v>
      </c>
      <c r="B63" s="140" t="s">
        <v>11749</v>
      </c>
      <c r="C63" s="140"/>
      <c r="D63" s="140" t="s">
        <v>242</v>
      </c>
      <c r="E63" s="140"/>
      <c r="F63" s="141" t="s">
        <v>4505</v>
      </c>
      <c r="G63" s="142" t="s">
        <v>11750</v>
      </c>
      <c r="H63" s="142" t="s">
        <v>204</v>
      </c>
      <c r="I63" s="142" t="s">
        <v>11751</v>
      </c>
      <c r="J63" s="142"/>
      <c r="K63" s="140" t="s">
        <v>191</v>
      </c>
      <c r="L63" s="143">
        <v>4</v>
      </c>
      <c r="M63" s="148">
        <v>5</v>
      </c>
      <c r="N63" s="148" t="s">
        <v>199</v>
      </c>
      <c r="P63" s="50"/>
    </row>
    <row r="64" spans="1:16">
      <c r="A64" s="140" t="s">
        <v>11752</v>
      </c>
      <c r="B64" s="140" t="s">
        <v>11753</v>
      </c>
      <c r="C64" s="140" t="s">
        <v>11754</v>
      </c>
      <c r="D64" s="140" t="s">
        <v>242</v>
      </c>
      <c r="E64" s="140"/>
      <c r="F64" s="141" t="s">
        <v>11613</v>
      </c>
      <c r="G64" s="142" t="s">
        <v>7638</v>
      </c>
      <c r="H64" s="142" t="s">
        <v>204</v>
      </c>
      <c r="I64" s="140"/>
      <c r="J64" s="140"/>
      <c r="K64" s="140" t="s">
        <v>191</v>
      </c>
      <c r="L64" s="143">
        <v>4</v>
      </c>
      <c r="M64" s="148">
        <v>5</v>
      </c>
      <c r="N64" s="148" t="s">
        <v>199</v>
      </c>
      <c r="P64" s="50"/>
    </row>
    <row r="65" spans="1:16" ht="56.25">
      <c r="A65" s="140" t="s">
        <v>11755</v>
      </c>
      <c r="B65" s="140" t="s">
        <v>11756</v>
      </c>
      <c r="C65" s="140"/>
      <c r="D65" s="140" t="s">
        <v>242</v>
      </c>
      <c r="E65" s="140"/>
      <c r="F65" s="141" t="s">
        <v>4505</v>
      </c>
      <c r="G65" s="142" t="s">
        <v>11757</v>
      </c>
      <c r="H65" s="142" t="s">
        <v>204</v>
      </c>
      <c r="I65" s="140"/>
      <c r="J65" s="140"/>
      <c r="K65" s="140" t="s">
        <v>191</v>
      </c>
      <c r="L65" s="143">
        <v>4</v>
      </c>
      <c r="M65" s="148">
        <v>5</v>
      </c>
      <c r="N65" s="148" t="s">
        <v>199</v>
      </c>
      <c r="P65" s="50"/>
    </row>
    <row r="66" spans="1:16" ht="22.5">
      <c r="A66" s="145" t="s">
        <v>11758</v>
      </c>
      <c r="B66" s="145" t="s">
        <v>11759</v>
      </c>
      <c r="C66" s="140"/>
      <c r="D66" s="140" t="s">
        <v>242</v>
      </c>
      <c r="E66" s="140"/>
      <c r="F66" s="141" t="s">
        <v>11613</v>
      </c>
      <c r="G66" s="145" t="s">
        <v>11760</v>
      </c>
      <c r="H66" s="145" t="s">
        <v>466</v>
      </c>
      <c r="I66" s="140"/>
      <c r="J66" s="140"/>
      <c r="K66" s="140" t="s">
        <v>191</v>
      </c>
      <c r="L66" s="143">
        <v>4</v>
      </c>
      <c r="M66" s="148">
        <v>5</v>
      </c>
      <c r="N66" s="148" t="s">
        <v>199</v>
      </c>
      <c r="P66" s="50"/>
    </row>
    <row r="67" spans="1:16" ht="22.5">
      <c r="A67" s="145" t="s">
        <v>11761</v>
      </c>
      <c r="B67" s="145" t="s">
        <v>11762</v>
      </c>
      <c r="C67" s="140"/>
      <c r="D67" s="140" t="s">
        <v>242</v>
      </c>
      <c r="E67" s="140"/>
      <c r="F67" s="141" t="s">
        <v>4505</v>
      </c>
      <c r="G67" s="145" t="s">
        <v>11763</v>
      </c>
      <c r="H67" s="145" t="s">
        <v>466</v>
      </c>
      <c r="I67" s="140"/>
      <c r="J67" s="140"/>
      <c r="K67" s="140" t="s">
        <v>191</v>
      </c>
      <c r="L67" s="143">
        <v>4</v>
      </c>
      <c r="M67" s="148">
        <v>5</v>
      </c>
      <c r="N67" s="148" t="s">
        <v>199</v>
      </c>
      <c r="P67" s="50"/>
    </row>
    <row r="68" spans="1:16" ht="409.5">
      <c r="A68" s="140" t="s">
        <v>11764</v>
      </c>
      <c r="B68" s="140" t="s">
        <v>11765</v>
      </c>
      <c r="C68" s="140"/>
      <c r="D68" s="140" t="s">
        <v>242</v>
      </c>
      <c r="E68" s="140"/>
      <c r="F68" s="141" t="s">
        <v>2250</v>
      </c>
      <c r="G68" s="142" t="s">
        <v>11766</v>
      </c>
      <c r="H68" s="142" t="s">
        <v>204</v>
      </c>
      <c r="I68" s="142" t="s">
        <v>11767</v>
      </c>
      <c r="J68" s="142"/>
      <c r="K68" s="140" t="s">
        <v>191</v>
      </c>
      <c r="L68" s="143">
        <v>4</v>
      </c>
      <c r="M68" s="148">
        <v>5</v>
      </c>
      <c r="N68" s="148" t="s">
        <v>199</v>
      </c>
      <c r="P68" s="50"/>
    </row>
    <row r="69" spans="1:16" ht="22.5">
      <c r="A69" s="140" t="s">
        <v>11764</v>
      </c>
      <c r="B69" s="140" t="s">
        <v>11765</v>
      </c>
      <c r="C69" s="140"/>
      <c r="D69" s="140" t="s">
        <v>242</v>
      </c>
      <c r="E69" s="140"/>
      <c r="F69" s="141" t="s">
        <v>2250</v>
      </c>
      <c r="G69" s="142" t="s">
        <v>11766</v>
      </c>
      <c r="H69" s="142" t="s">
        <v>204</v>
      </c>
      <c r="I69" s="142" t="s">
        <v>11768</v>
      </c>
      <c r="J69" s="142"/>
      <c r="K69" s="140" t="s">
        <v>191</v>
      </c>
      <c r="L69" s="143">
        <v>4</v>
      </c>
      <c r="M69" s="148">
        <v>5</v>
      </c>
      <c r="N69" s="148" t="s">
        <v>199</v>
      </c>
      <c r="P69" s="50"/>
    </row>
    <row r="70" spans="1:16" ht="67.5">
      <c r="A70" s="140" t="s">
        <v>11769</v>
      </c>
      <c r="B70" s="140" t="s">
        <v>11770</v>
      </c>
      <c r="C70" s="140"/>
      <c r="D70" s="140" t="s">
        <v>242</v>
      </c>
      <c r="E70" s="140"/>
      <c r="F70" s="141" t="s">
        <v>11613</v>
      </c>
      <c r="G70" s="142" t="s">
        <v>11771</v>
      </c>
      <c r="H70" s="142" t="s">
        <v>204</v>
      </c>
      <c r="I70" s="142" t="s">
        <v>11772</v>
      </c>
      <c r="J70" s="142"/>
      <c r="K70" s="140" t="s">
        <v>191</v>
      </c>
      <c r="L70" s="143">
        <v>4</v>
      </c>
      <c r="M70" s="148">
        <v>5</v>
      </c>
      <c r="N70" s="148" t="s">
        <v>199</v>
      </c>
      <c r="P70" s="50"/>
    </row>
    <row r="71" spans="1:16" ht="78.75">
      <c r="A71" s="140" t="s">
        <v>11769</v>
      </c>
      <c r="B71" s="140" t="s">
        <v>11770</v>
      </c>
      <c r="C71" s="140"/>
      <c r="D71" s="140" t="s">
        <v>242</v>
      </c>
      <c r="E71" s="140"/>
      <c r="F71" s="141" t="s">
        <v>4505</v>
      </c>
      <c r="G71" s="142" t="s">
        <v>11773</v>
      </c>
      <c r="H71" s="142" t="s">
        <v>204</v>
      </c>
      <c r="I71" s="142" t="s">
        <v>11774</v>
      </c>
      <c r="J71" s="142"/>
      <c r="K71" s="140" t="s">
        <v>191</v>
      </c>
      <c r="L71" s="143">
        <v>4</v>
      </c>
      <c r="M71" s="148">
        <v>5</v>
      </c>
      <c r="N71" s="148" t="s">
        <v>199</v>
      </c>
      <c r="P71" s="50"/>
    </row>
    <row r="72" spans="1:16" ht="33.75">
      <c r="A72" s="157" t="s">
        <v>11775</v>
      </c>
      <c r="B72" s="140" t="s">
        <v>11776</v>
      </c>
      <c r="C72" s="140"/>
      <c r="D72" s="140" t="s">
        <v>242</v>
      </c>
      <c r="E72" s="140"/>
      <c r="F72" s="141" t="s">
        <v>4505</v>
      </c>
      <c r="G72" s="142" t="s">
        <v>11777</v>
      </c>
      <c r="H72" s="142" t="s">
        <v>188</v>
      </c>
      <c r="I72" s="142" t="s">
        <v>11778</v>
      </c>
      <c r="J72" s="142"/>
      <c r="K72" s="140" t="s">
        <v>191</v>
      </c>
      <c r="L72" s="143">
        <v>4</v>
      </c>
      <c r="M72" s="148">
        <v>5</v>
      </c>
      <c r="N72" s="148" t="s">
        <v>199</v>
      </c>
      <c r="P72" s="50"/>
    </row>
    <row r="73" spans="1:16" ht="22.5">
      <c r="A73" s="157" t="s">
        <v>11779</v>
      </c>
      <c r="B73" s="140" t="s">
        <v>11780</v>
      </c>
      <c r="C73" s="140"/>
      <c r="D73" s="140" t="s">
        <v>242</v>
      </c>
      <c r="E73" s="140"/>
      <c r="F73" s="141" t="s">
        <v>4505</v>
      </c>
      <c r="G73" s="142" t="s">
        <v>11781</v>
      </c>
      <c r="H73" s="142" t="s">
        <v>198</v>
      </c>
      <c r="I73" s="142"/>
      <c r="J73" s="142"/>
      <c r="K73" s="140" t="s">
        <v>191</v>
      </c>
      <c r="L73" s="143">
        <v>4</v>
      </c>
      <c r="M73" s="148">
        <v>5</v>
      </c>
      <c r="N73" s="148" t="s">
        <v>199</v>
      </c>
      <c r="P73" s="50"/>
    </row>
    <row r="74" spans="1:16" ht="33.75">
      <c r="A74" s="140" t="s">
        <v>11782</v>
      </c>
      <c r="B74" s="140" t="s">
        <v>11783</v>
      </c>
      <c r="C74" s="140"/>
      <c r="D74" s="140" t="s">
        <v>493</v>
      </c>
      <c r="E74" s="140"/>
      <c r="F74" s="141" t="s">
        <v>2250</v>
      </c>
      <c r="G74" s="142" t="s">
        <v>1332</v>
      </c>
      <c r="H74" s="142" t="s">
        <v>188</v>
      </c>
      <c r="I74" s="142" t="s">
        <v>11784</v>
      </c>
      <c r="J74" s="142"/>
      <c r="K74" s="140" t="s">
        <v>191</v>
      </c>
      <c r="L74" s="143">
        <v>4</v>
      </c>
      <c r="M74" s="148">
        <v>5</v>
      </c>
      <c r="N74" s="148" t="s">
        <v>199</v>
      </c>
      <c r="P74" s="50"/>
    </row>
    <row r="75" spans="1:16">
      <c r="P75" s="50"/>
    </row>
    <row r="76" spans="1:16">
      <c r="P76" s="50"/>
    </row>
    <row r="77" spans="1:16">
      <c r="P77" s="50"/>
    </row>
    <row r="78" spans="1:16">
      <c r="P78" s="50"/>
    </row>
    <row r="79" spans="1:16">
      <c r="P79" s="50"/>
    </row>
    <row r="80" spans="1:16">
      <c r="P80" s="50"/>
    </row>
    <row r="81" spans="16:16">
      <c r="P81" s="50"/>
    </row>
    <row r="82" spans="16:16">
      <c r="P82" s="50"/>
    </row>
    <row r="83" spans="16:16">
      <c r="P83" s="50"/>
    </row>
  </sheetData>
  <autoFilter ref="A5:P15" xr:uid="{00000000-0009-0000-0000-000013000000}"/>
  <phoneticPr fontId="39" type="noConversion"/>
  <conditionalFormatting sqref="O6:O15">
    <cfRule type="containsText" dxfId="58" priority="1" operator="containsText" text="Yes">
      <formula>NOT(ISERROR(SEARCH("Yes",O6)))</formula>
    </cfRule>
  </conditionalFormatting>
  <dataValidations count="1">
    <dataValidation type="list" allowBlank="1" showInputMessage="1" showErrorMessage="1" sqref="O6:O15" xr:uid="{00000000-0002-0000-1300-000000000000}">
      <formula1>"No,Yes"</formula1>
    </dataValidation>
  </dataValidations>
  <pageMargins left="0.15748031496063003" right="0.15748031496063003" top="0.47244094488189015" bottom="0.511811023622047" header="0.15748031496063003" footer="0.15748031496063003"/>
  <pageSetup paperSize="0" scale="70" fitToWidth="0" fitToHeight="0" orientation="landscape" horizontalDpi="0" verticalDpi="0" copies="0"/>
  <headerFooter alignWithMargins="0">
    <oddHeader>&amp;C&amp;F</oddHeader>
    <oddFooter>&amp;L&amp;A&amp;CPage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9" tint="0.39997558519241921"/>
  </sheetPr>
  <dimension ref="A1:O46"/>
  <sheetViews>
    <sheetView showGridLines="0" zoomScaleNormal="100" workbookViewId="0">
      <pane xSplit="1" ySplit="5" topLeftCell="B30" activePane="bottomRight" state="frozen"/>
      <selection pane="bottomRight" activeCell="O6" sqref="O6"/>
      <selection pane="bottomLeft" activeCell="A42" sqref="A42"/>
      <selection pane="topRight" activeCell="A42" sqref="A42"/>
    </sheetView>
  </sheetViews>
  <sheetFormatPr defaultColWidth="9" defaultRowHeight="12.75"/>
  <cols>
    <col min="1" max="1" width="33" style="39" customWidth="1"/>
    <col min="2" max="2" width="27" style="39" customWidth="1"/>
    <col min="3" max="3" width="27" style="39" hidden="1" customWidth="1"/>
    <col min="4" max="4" width="13" style="39" hidden="1" customWidth="1"/>
    <col min="5" max="5" width="17" style="40" customWidth="1"/>
    <col min="6" max="6" width="39.5703125" style="39" customWidth="1"/>
    <col min="7" max="7" width="15.28515625" style="39" hidden="1" customWidth="1"/>
    <col min="8" max="8" width="30" style="39" customWidth="1"/>
    <col min="9" max="9" width="10.28515625" style="39" hidden="1" customWidth="1"/>
    <col min="10" max="10" width="7.85546875" style="39" hidden="1" customWidth="1"/>
    <col min="11" max="11" width="5.85546875" style="39" customWidth="1"/>
    <col min="12" max="12" width="8" style="72" customWidth="1"/>
    <col min="13" max="13" width="6.85546875" style="72" customWidth="1"/>
    <col min="14" max="14" width="14.140625" style="50" bestFit="1" customWidth="1"/>
    <col min="15" max="15" width="18.42578125" style="50" bestFit="1" customWidth="1"/>
    <col min="16" max="16384" width="9" style="50"/>
  </cols>
  <sheetData>
    <row r="1" spans="1:15">
      <c r="A1" s="40" t="s">
        <v>11785</v>
      </c>
      <c r="B1" s="54"/>
      <c r="C1" s="54"/>
      <c r="D1" s="86"/>
      <c r="E1" s="54"/>
      <c r="F1" s="54"/>
      <c r="G1" s="54"/>
      <c r="H1" s="54"/>
      <c r="I1" s="54"/>
      <c r="K1" s="72"/>
      <c r="M1" s="50"/>
    </row>
    <row r="2" spans="1:15">
      <c r="A2" s="40"/>
      <c r="B2" s="54"/>
      <c r="C2" s="54"/>
      <c r="D2" s="86"/>
      <c r="E2" s="54"/>
      <c r="F2" s="54"/>
      <c r="G2" s="54"/>
      <c r="H2" s="54"/>
      <c r="I2" s="54"/>
      <c r="K2" s="72"/>
      <c r="M2" s="50"/>
    </row>
    <row r="3" spans="1:15">
      <c r="A3" s="139" t="s">
        <v>159</v>
      </c>
      <c r="B3" s="54"/>
      <c r="C3" s="54"/>
      <c r="D3" s="86"/>
      <c r="E3" s="54"/>
      <c r="F3" s="54"/>
      <c r="G3" s="54"/>
      <c r="H3" s="54"/>
      <c r="I3" s="54"/>
      <c r="K3" s="72"/>
      <c r="M3" s="50"/>
    </row>
    <row r="4" spans="1:15">
      <c r="A4" s="129"/>
      <c r="B4" s="54"/>
      <c r="C4" s="54"/>
      <c r="D4" s="86"/>
      <c r="E4" s="54"/>
      <c r="F4" s="54"/>
      <c r="G4" s="54"/>
      <c r="H4" s="54"/>
      <c r="I4" s="54"/>
      <c r="J4" s="50"/>
      <c r="K4" s="72"/>
      <c r="M4" s="50"/>
    </row>
    <row r="5" spans="1:15" ht="56.25">
      <c r="A5" s="79" t="s">
        <v>11098</v>
      </c>
      <c r="B5" s="79" t="s">
        <v>11099</v>
      </c>
      <c r="C5" s="58" t="s">
        <v>168</v>
      </c>
      <c r="D5" s="58" t="s">
        <v>169</v>
      </c>
      <c r="E5" s="114" t="s">
        <v>170</v>
      </c>
      <c r="F5" s="81" t="s">
        <v>20</v>
      </c>
      <c r="G5" s="58" t="s">
        <v>171</v>
      </c>
      <c r="H5" s="81" t="s">
        <v>11101</v>
      </c>
      <c r="I5" s="58" t="s">
        <v>174</v>
      </c>
      <c r="J5" s="58" t="s">
        <v>175</v>
      </c>
      <c r="K5" s="59" t="s">
        <v>176</v>
      </c>
      <c r="L5" s="60" t="s">
        <v>655</v>
      </c>
      <c r="M5" s="60" t="s">
        <v>179</v>
      </c>
      <c r="N5" s="291" t="s">
        <v>180</v>
      </c>
      <c r="O5" s="379" t="s">
        <v>181</v>
      </c>
    </row>
    <row r="6" spans="1:15" ht="112.5">
      <c r="A6" s="61" t="s">
        <v>11786</v>
      </c>
      <c r="B6" s="43" t="s">
        <v>183</v>
      </c>
      <c r="C6" s="43" t="s">
        <v>185</v>
      </c>
      <c r="D6" s="43"/>
      <c r="E6" s="88" t="s">
        <v>11787</v>
      </c>
      <c r="F6" s="63" t="s">
        <v>187</v>
      </c>
      <c r="G6" s="43" t="s">
        <v>740</v>
      </c>
      <c r="H6" s="43" t="s">
        <v>11788</v>
      </c>
      <c r="I6" s="43"/>
      <c r="J6" s="61" t="s">
        <v>191</v>
      </c>
      <c r="K6" s="64">
        <v>4</v>
      </c>
      <c r="L6" s="73">
        <v>5</v>
      </c>
      <c r="M6" s="73" t="s">
        <v>192</v>
      </c>
      <c r="N6" s="279"/>
      <c r="O6" s="258"/>
    </row>
    <row r="7" spans="1:15" ht="236.25">
      <c r="A7" s="61" t="s">
        <v>11789</v>
      </c>
      <c r="B7" s="87" t="s">
        <v>11790</v>
      </c>
      <c r="C7" s="87" t="s">
        <v>185</v>
      </c>
      <c r="D7" s="87"/>
      <c r="E7" s="88" t="s">
        <v>11787</v>
      </c>
      <c r="F7" s="43" t="s">
        <v>11791</v>
      </c>
      <c r="G7" s="43" t="s">
        <v>740</v>
      </c>
      <c r="H7" s="43" t="s">
        <v>11792</v>
      </c>
      <c r="I7" s="43"/>
      <c r="J7" s="43" t="s">
        <v>191</v>
      </c>
      <c r="K7" s="64">
        <v>2</v>
      </c>
      <c r="L7" s="73">
        <v>4</v>
      </c>
      <c r="M7" s="75" t="s">
        <v>222</v>
      </c>
      <c r="N7" s="279"/>
      <c r="O7" s="258"/>
    </row>
    <row r="8" spans="1:15">
      <c r="A8" s="61" t="s">
        <v>11793</v>
      </c>
      <c r="B8" s="87" t="s">
        <v>11794</v>
      </c>
      <c r="C8" s="87" t="s">
        <v>185</v>
      </c>
      <c r="D8" s="87"/>
      <c r="E8" s="88" t="s">
        <v>11795</v>
      </c>
      <c r="F8" s="43" t="s">
        <v>11796</v>
      </c>
      <c r="G8" s="43" t="s">
        <v>188</v>
      </c>
      <c r="H8" s="43" t="s">
        <v>11797</v>
      </c>
      <c r="I8" s="43"/>
      <c r="J8" s="43" t="s">
        <v>191</v>
      </c>
      <c r="K8" s="64">
        <v>2</v>
      </c>
      <c r="L8" s="73">
        <v>5</v>
      </c>
      <c r="M8" s="75" t="s">
        <v>222</v>
      </c>
      <c r="N8" s="279"/>
      <c r="O8" s="258"/>
    </row>
    <row r="9" spans="1:15" ht="33.75">
      <c r="A9" s="61" t="s">
        <v>11798</v>
      </c>
      <c r="B9" s="87" t="s">
        <v>11799</v>
      </c>
      <c r="C9" s="87" t="s">
        <v>185</v>
      </c>
      <c r="D9" s="87"/>
      <c r="E9" s="88" t="s">
        <v>11800</v>
      </c>
      <c r="F9" s="43" t="s">
        <v>11801</v>
      </c>
      <c r="G9" s="43" t="s">
        <v>188</v>
      </c>
      <c r="H9" s="43" t="s">
        <v>11802</v>
      </c>
      <c r="I9" s="43"/>
      <c r="J9" s="43" t="s">
        <v>191</v>
      </c>
      <c r="K9" s="64">
        <v>1</v>
      </c>
      <c r="L9" s="73">
        <v>5</v>
      </c>
      <c r="M9" s="75" t="s">
        <v>199</v>
      </c>
      <c r="N9" s="279"/>
      <c r="O9" s="258"/>
    </row>
    <row r="10" spans="1:15" ht="56.25">
      <c r="A10" s="61" t="s">
        <v>11803</v>
      </c>
      <c r="B10" s="87" t="s">
        <v>11804</v>
      </c>
      <c r="C10" s="87" t="s">
        <v>185</v>
      </c>
      <c r="D10" s="87"/>
      <c r="E10" s="88" t="s">
        <v>11787</v>
      </c>
      <c r="F10" s="43" t="s">
        <v>11805</v>
      </c>
      <c r="G10" s="43" t="s">
        <v>740</v>
      </c>
      <c r="H10" s="43"/>
      <c r="I10" s="43"/>
      <c r="J10" s="43" t="s">
        <v>191</v>
      </c>
      <c r="K10" s="64">
        <v>1</v>
      </c>
      <c r="L10" s="73">
        <v>5</v>
      </c>
      <c r="M10" s="75" t="s">
        <v>199</v>
      </c>
      <c r="N10" s="279"/>
      <c r="O10" s="258"/>
    </row>
    <row r="11" spans="1:15" ht="56.25">
      <c r="A11" s="61" t="s">
        <v>11806</v>
      </c>
      <c r="B11" s="87" t="s">
        <v>11807</v>
      </c>
      <c r="C11" s="87" t="s">
        <v>185</v>
      </c>
      <c r="D11" s="87"/>
      <c r="E11" s="88" t="s">
        <v>11787</v>
      </c>
      <c r="F11" s="43" t="s">
        <v>11808</v>
      </c>
      <c r="G11" s="43" t="s">
        <v>740</v>
      </c>
      <c r="H11" s="43"/>
      <c r="I11" s="43"/>
      <c r="J11" s="43" t="s">
        <v>191</v>
      </c>
      <c r="K11" s="64">
        <v>1</v>
      </c>
      <c r="L11" s="73">
        <v>5</v>
      </c>
      <c r="M11" s="75" t="s">
        <v>199</v>
      </c>
      <c r="N11" s="279"/>
      <c r="O11" s="258"/>
    </row>
    <row r="12" spans="1:15" ht="56.25">
      <c r="A12" s="61" t="s">
        <v>11809</v>
      </c>
      <c r="B12" s="87" t="s">
        <v>11810</v>
      </c>
      <c r="C12" s="87" t="s">
        <v>185</v>
      </c>
      <c r="D12" s="87"/>
      <c r="E12" s="88" t="s">
        <v>11795</v>
      </c>
      <c r="F12" s="43" t="s">
        <v>11811</v>
      </c>
      <c r="G12" s="43" t="s">
        <v>740</v>
      </c>
      <c r="H12" s="43"/>
      <c r="I12" s="43"/>
      <c r="J12" s="43" t="s">
        <v>191</v>
      </c>
      <c r="K12" s="64">
        <v>1</v>
      </c>
      <c r="L12" s="73">
        <v>5</v>
      </c>
      <c r="M12" s="75" t="s">
        <v>199</v>
      </c>
      <c r="N12" s="279"/>
      <c r="O12" s="258"/>
    </row>
    <row r="13" spans="1:15" ht="56.25">
      <c r="A13" s="61" t="s">
        <v>11812</v>
      </c>
      <c r="B13" s="87" t="s">
        <v>11813</v>
      </c>
      <c r="C13" s="87" t="s">
        <v>185</v>
      </c>
      <c r="D13" s="87"/>
      <c r="E13" s="88" t="s">
        <v>11787</v>
      </c>
      <c r="F13" s="43" t="s">
        <v>11814</v>
      </c>
      <c r="G13" s="43" t="s">
        <v>740</v>
      </c>
      <c r="H13" s="43"/>
      <c r="I13" s="43"/>
      <c r="J13" s="43" t="s">
        <v>191</v>
      </c>
      <c r="K13" s="64">
        <v>1</v>
      </c>
      <c r="L13" s="73">
        <v>5</v>
      </c>
      <c r="M13" s="75" t="s">
        <v>199</v>
      </c>
      <c r="N13" s="279"/>
      <c r="O13" s="258"/>
    </row>
    <row r="14" spans="1:15" ht="56.25">
      <c r="A14" s="61" t="s">
        <v>11815</v>
      </c>
      <c r="B14" s="87" t="s">
        <v>11816</v>
      </c>
      <c r="C14" s="87" t="s">
        <v>185</v>
      </c>
      <c r="D14" s="87"/>
      <c r="E14" s="88" t="s">
        <v>11787</v>
      </c>
      <c r="F14" s="43" t="s">
        <v>11817</v>
      </c>
      <c r="G14" s="43" t="s">
        <v>740</v>
      </c>
      <c r="H14" s="43"/>
      <c r="I14" s="43"/>
      <c r="J14" s="43" t="s">
        <v>191</v>
      </c>
      <c r="K14" s="64">
        <v>1</v>
      </c>
      <c r="L14" s="73">
        <v>4</v>
      </c>
      <c r="M14" s="75" t="s">
        <v>199</v>
      </c>
      <c r="N14" s="279"/>
      <c r="O14" s="258"/>
    </row>
    <row r="15" spans="1:15" ht="56.25">
      <c r="A15" s="61" t="s">
        <v>11818</v>
      </c>
      <c r="B15" s="87" t="s">
        <v>11819</v>
      </c>
      <c r="C15" s="87" t="s">
        <v>185</v>
      </c>
      <c r="D15" s="87"/>
      <c r="E15" s="88" t="s">
        <v>11795</v>
      </c>
      <c r="F15" s="43" t="s">
        <v>11820</v>
      </c>
      <c r="G15" s="43" t="s">
        <v>740</v>
      </c>
      <c r="H15" s="43"/>
      <c r="I15" s="43"/>
      <c r="J15" s="43" t="s">
        <v>191</v>
      </c>
      <c r="K15" s="64">
        <v>1</v>
      </c>
      <c r="L15" s="73">
        <v>5</v>
      </c>
      <c r="M15" s="75" t="s">
        <v>199</v>
      </c>
      <c r="N15" s="279"/>
      <c r="O15" s="258"/>
    </row>
    <row r="16" spans="1:15" ht="56.25">
      <c r="A16" s="61" t="s">
        <v>11821</v>
      </c>
      <c r="B16" s="87" t="s">
        <v>11822</v>
      </c>
      <c r="C16" s="87" t="s">
        <v>185</v>
      </c>
      <c r="D16" s="87"/>
      <c r="E16" s="88" t="s">
        <v>11795</v>
      </c>
      <c r="F16" s="43" t="s">
        <v>11823</v>
      </c>
      <c r="G16" s="43" t="s">
        <v>740</v>
      </c>
      <c r="H16" s="43"/>
      <c r="I16" s="43"/>
      <c r="J16" s="43" t="s">
        <v>191</v>
      </c>
      <c r="K16" s="64">
        <v>1</v>
      </c>
      <c r="L16" s="73">
        <v>5</v>
      </c>
      <c r="M16" s="75" t="s">
        <v>199</v>
      </c>
      <c r="N16" s="279"/>
      <c r="O16" s="258"/>
    </row>
    <row r="17" spans="1:15">
      <c r="A17" s="85"/>
      <c r="B17" s="121"/>
      <c r="C17" s="121"/>
      <c r="D17" s="121"/>
      <c r="E17" s="122"/>
      <c r="F17" s="44"/>
      <c r="G17" s="44"/>
      <c r="H17" s="44"/>
      <c r="I17" s="44"/>
      <c r="J17" s="44"/>
      <c r="K17" s="101"/>
      <c r="N17" s="49"/>
      <c r="O17" s="49"/>
    </row>
    <row r="19" spans="1:15">
      <c r="A19" s="40" t="s">
        <v>11785</v>
      </c>
      <c r="B19" s="54"/>
      <c r="C19" s="54"/>
      <c r="D19" s="54"/>
      <c r="E19" s="86"/>
      <c r="F19" s="54"/>
      <c r="G19" s="54"/>
      <c r="H19" s="54"/>
      <c r="I19" s="54"/>
      <c r="J19" s="54"/>
    </row>
    <row r="20" spans="1:15">
      <c r="A20" s="40"/>
      <c r="B20" s="54"/>
      <c r="C20" s="54"/>
      <c r="D20" s="54"/>
      <c r="E20" s="86"/>
      <c r="F20" s="54"/>
      <c r="G20" s="54"/>
      <c r="H20" s="54"/>
      <c r="I20" s="54"/>
      <c r="J20" s="54"/>
    </row>
    <row r="21" spans="1:15">
      <c r="A21" s="40" t="s">
        <v>488</v>
      </c>
      <c r="B21" s="54"/>
      <c r="C21" s="54"/>
      <c r="D21" s="54"/>
      <c r="E21" s="86"/>
      <c r="F21" s="54"/>
      <c r="G21" s="54"/>
      <c r="H21" s="54"/>
      <c r="I21" s="54"/>
      <c r="J21" s="54"/>
    </row>
    <row r="22" spans="1:15">
      <c r="A22" s="46" t="s">
        <v>489</v>
      </c>
      <c r="B22" s="54"/>
      <c r="C22" s="54"/>
      <c r="D22" s="54"/>
      <c r="E22" s="86"/>
      <c r="F22" s="54"/>
      <c r="G22" s="54"/>
      <c r="H22" s="54"/>
      <c r="I22" s="54"/>
      <c r="J22" s="54"/>
      <c r="K22" s="50"/>
    </row>
    <row r="23" spans="1:15">
      <c r="A23" s="129"/>
      <c r="B23" s="54"/>
      <c r="C23" s="54"/>
      <c r="D23" s="54"/>
      <c r="E23" s="86"/>
      <c r="F23" s="54"/>
      <c r="G23" s="54"/>
      <c r="H23" s="54"/>
      <c r="I23" s="54"/>
      <c r="J23" s="54"/>
      <c r="K23" s="50"/>
    </row>
    <row r="24" spans="1:15" ht="56.25">
      <c r="A24" s="79" t="s">
        <v>11098</v>
      </c>
      <c r="B24" s="79" t="s">
        <v>11099</v>
      </c>
      <c r="C24" s="79" t="s">
        <v>168</v>
      </c>
      <c r="D24" s="79" t="s">
        <v>169</v>
      </c>
      <c r="E24" s="114" t="s">
        <v>170</v>
      </c>
      <c r="F24" s="81" t="s">
        <v>20</v>
      </c>
      <c r="G24" s="81" t="s">
        <v>171</v>
      </c>
      <c r="H24" s="81" t="s">
        <v>11101</v>
      </c>
      <c r="I24" s="81" t="s">
        <v>174</v>
      </c>
      <c r="J24" s="81" t="s">
        <v>175</v>
      </c>
      <c r="K24" s="59" t="s">
        <v>176</v>
      </c>
      <c r="L24" s="60" t="s">
        <v>655</v>
      </c>
      <c r="M24" s="130" t="s">
        <v>179</v>
      </c>
    </row>
    <row r="25" spans="1:15">
      <c r="A25" s="140" t="s">
        <v>11824</v>
      </c>
      <c r="B25" s="140" t="s">
        <v>770</v>
      </c>
      <c r="C25" s="140" t="s">
        <v>493</v>
      </c>
      <c r="D25" s="140"/>
      <c r="E25" s="153" t="s">
        <v>11787</v>
      </c>
      <c r="F25" s="140" t="s">
        <v>11825</v>
      </c>
      <c r="G25" s="140" t="s">
        <v>198</v>
      </c>
      <c r="H25" s="140"/>
      <c r="I25" s="140"/>
      <c r="J25" s="140" t="s">
        <v>191</v>
      </c>
      <c r="K25" s="143">
        <v>4</v>
      </c>
      <c r="L25" s="148">
        <v>5</v>
      </c>
      <c r="M25" s="149" t="s">
        <v>199</v>
      </c>
    </row>
    <row r="26" spans="1:15">
      <c r="A26" s="140" t="s">
        <v>11826</v>
      </c>
      <c r="B26" s="140" t="s">
        <v>491</v>
      </c>
      <c r="C26" s="140" t="s">
        <v>493</v>
      </c>
      <c r="D26" s="140"/>
      <c r="E26" s="153" t="s">
        <v>11787</v>
      </c>
      <c r="F26" s="140" t="s">
        <v>494</v>
      </c>
      <c r="G26" s="140" t="s">
        <v>466</v>
      </c>
      <c r="H26" s="140"/>
      <c r="I26" s="140"/>
      <c r="J26" s="140" t="s">
        <v>191</v>
      </c>
      <c r="K26" s="143">
        <v>4</v>
      </c>
      <c r="L26" s="148">
        <v>3</v>
      </c>
      <c r="M26" s="148" t="s">
        <v>199</v>
      </c>
    </row>
    <row r="27" spans="1:15" ht="146.25">
      <c r="A27" s="140" t="s">
        <v>11827</v>
      </c>
      <c r="B27" s="152" t="s">
        <v>11828</v>
      </c>
      <c r="C27" s="152" t="s">
        <v>242</v>
      </c>
      <c r="D27" s="152"/>
      <c r="E27" s="153" t="s">
        <v>11795</v>
      </c>
      <c r="F27" s="145" t="s">
        <v>11829</v>
      </c>
      <c r="G27" s="145" t="s">
        <v>740</v>
      </c>
      <c r="H27" s="145" t="s">
        <v>11830</v>
      </c>
      <c r="I27" s="145"/>
      <c r="J27" s="140" t="s">
        <v>191</v>
      </c>
      <c r="K27" s="143">
        <v>4</v>
      </c>
      <c r="L27" s="148"/>
      <c r="M27" s="148"/>
    </row>
    <row r="28" spans="1:15">
      <c r="A28" s="140" t="s">
        <v>11831</v>
      </c>
      <c r="B28" s="152" t="s">
        <v>11832</v>
      </c>
      <c r="C28" s="152" t="s">
        <v>242</v>
      </c>
      <c r="D28" s="152"/>
      <c r="E28" s="153" t="s">
        <v>11795</v>
      </c>
      <c r="F28" s="145" t="s">
        <v>11833</v>
      </c>
      <c r="G28" s="145" t="s">
        <v>740</v>
      </c>
      <c r="H28" s="145"/>
      <c r="I28" s="145"/>
      <c r="J28" s="140" t="s">
        <v>191</v>
      </c>
      <c r="K28" s="143">
        <v>4</v>
      </c>
      <c r="L28" s="148">
        <v>5</v>
      </c>
      <c r="M28" s="148" t="s">
        <v>199</v>
      </c>
    </row>
    <row r="29" spans="1:15">
      <c r="A29" s="140" t="s">
        <v>11834</v>
      </c>
      <c r="B29" s="152" t="s">
        <v>11835</v>
      </c>
      <c r="C29" s="152" t="s">
        <v>242</v>
      </c>
      <c r="D29" s="152"/>
      <c r="E29" s="153" t="s">
        <v>1398</v>
      </c>
      <c r="F29" s="145" t="s">
        <v>11836</v>
      </c>
      <c r="G29" s="145" t="s">
        <v>198</v>
      </c>
      <c r="H29" s="145"/>
      <c r="I29" s="145"/>
      <c r="J29" s="140" t="s">
        <v>191</v>
      </c>
      <c r="K29" s="143">
        <v>4</v>
      </c>
      <c r="L29" s="148">
        <v>5</v>
      </c>
      <c r="M29" s="148" t="s">
        <v>199</v>
      </c>
    </row>
    <row r="30" spans="1:15" ht="409.5">
      <c r="A30" s="140" t="s">
        <v>11837</v>
      </c>
      <c r="B30" s="152" t="s">
        <v>11838</v>
      </c>
      <c r="C30" s="152" t="s">
        <v>242</v>
      </c>
      <c r="D30" s="152"/>
      <c r="E30" s="153" t="s">
        <v>11787</v>
      </c>
      <c r="F30" s="145" t="s">
        <v>11839</v>
      </c>
      <c r="G30" s="145" t="s">
        <v>740</v>
      </c>
      <c r="H30" s="145" t="s">
        <v>11840</v>
      </c>
      <c r="I30" s="145"/>
      <c r="J30" s="140" t="s">
        <v>191</v>
      </c>
      <c r="K30" s="143">
        <v>4</v>
      </c>
      <c r="L30" s="148">
        <v>5</v>
      </c>
      <c r="M30" s="148" t="s">
        <v>199</v>
      </c>
    </row>
    <row r="31" spans="1:15">
      <c r="A31" s="140" t="s">
        <v>11841</v>
      </c>
      <c r="B31" s="152" t="s">
        <v>11842</v>
      </c>
      <c r="C31" s="152" t="s">
        <v>242</v>
      </c>
      <c r="D31" s="152"/>
      <c r="E31" s="153" t="s">
        <v>11787</v>
      </c>
      <c r="F31" s="145" t="s">
        <v>11843</v>
      </c>
      <c r="G31" s="145" t="s">
        <v>198</v>
      </c>
      <c r="H31" s="145"/>
      <c r="I31" s="145"/>
      <c r="J31" s="140" t="s">
        <v>191</v>
      </c>
      <c r="K31" s="143">
        <v>4</v>
      </c>
      <c r="L31" s="148">
        <v>5</v>
      </c>
      <c r="M31" s="148" t="s">
        <v>199</v>
      </c>
    </row>
    <row r="32" spans="1:15">
      <c r="A32" s="140" t="s">
        <v>11844</v>
      </c>
      <c r="B32" s="152" t="s">
        <v>11845</v>
      </c>
      <c r="C32" s="152" t="s">
        <v>242</v>
      </c>
      <c r="D32" s="152"/>
      <c r="E32" s="153" t="s">
        <v>11787</v>
      </c>
      <c r="F32" s="145" t="s">
        <v>11846</v>
      </c>
      <c r="G32" s="145" t="s">
        <v>198</v>
      </c>
      <c r="H32" s="145"/>
      <c r="I32" s="145"/>
      <c r="J32" s="140" t="s">
        <v>191</v>
      </c>
      <c r="K32" s="143">
        <v>4</v>
      </c>
      <c r="L32" s="148">
        <v>5</v>
      </c>
      <c r="M32" s="148" t="s">
        <v>199</v>
      </c>
    </row>
    <row r="33" spans="1:13">
      <c r="A33" s="140" t="s">
        <v>11847</v>
      </c>
      <c r="B33" s="152" t="s">
        <v>11848</v>
      </c>
      <c r="C33" s="152" t="s">
        <v>242</v>
      </c>
      <c r="D33" s="152"/>
      <c r="E33" s="153" t="s">
        <v>11787</v>
      </c>
      <c r="F33" s="145" t="s">
        <v>11849</v>
      </c>
      <c r="G33" s="145" t="s">
        <v>198</v>
      </c>
      <c r="H33" s="145"/>
      <c r="I33" s="145"/>
      <c r="J33" s="140" t="s">
        <v>191</v>
      </c>
      <c r="K33" s="143">
        <v>4</v>
      </c>
      <c r="L33" s="148">
        <v>5</v>
      </c>
      <c r="M33" s="148" t="s">
        <v>199</v>
      </c>
    </row>
    <row r="34" spans="1:13">
      <c r="A34" s="140" t="s">
        <v>11850</v>
      </c>
      <c r="B34" s="152" t="s">
        <v>11851</v>
      </c>
      <c r="C34" s="152" t="s">
        <v>242</v>
      </c>
      <c r="D34" s="152"/>
      <c r="E34" s="153" t="s">
        <v>11787</v>
      </c>
      <c r="F34" s="145" t="s">
        <v>11852</v>
      </c>
      <c r="G34" s="145" t="s">
        <v>198</v>
      </c>
      <c r="H34" s="145"/>
      <c r="I34" s="145"/>
      <c r="J34" s="140" t="s">
        <v>191</v>
      </c>
      <c r="K34" s="143">
        <v>4</v>
      </c>
      <c r="L34" s="148">
        <v>5</v>
      </c>
      <c r="M34" s="148" t="s">
        <v>199</v>
      </c>
    </row>
    <row r="35" spans="1:13" ht="22.5">
      <c r="A35" s="140" t="s">
        <v>11853</v>
      </c>
      <c r="B35" s="152" t="s">
        <v>11854</v>
      </c>
      <c r="C35" s="152" t="s">
        <v>242</v>
      </c>
      <c r="D35" s="152"/>
      <c r="E35" s="153" t="s">
        <v>11787</v>
      </c>
      <c r="F35" s="145" t="s">
        <v>11855</v>
      </c>
      <c r="G35" s="145" t="s">
        <v>198</v>
      </c>
      <c r="H35" s="145"/>
      <c r="I35" s="145"/>
      <c r="J35" s="140" t="s">
        <v>191</v>
      </c>
      <c r="K35" s="143">
        <v>4</v>
      </c>
      <c r="L35" s="148">
        <v>5</v>
      </c>
      <c r="M35" s="148" t="s">
        <v>199</v>
      </c>
    </row>
    <row r="36" spans="1:13" ht="247.5">
      <c r="A36" s="140" t="s">
        <v>11856</v>
      </c>
      <c r="B36" s="142" t="s">
        <v>11857</v>
      </c>
      <c r="C36" s="152" t="s">
        <v>242</v>
      </c>
      <c r="D36" s="142"/>
      <c r="E36" s="153" t="s">
        <v>11787</v>
      </c>
      <c r="F36" s="142" t="s">
        <v>11858</v>
      </c>
      <c r="G36" s="142" t="s">
        <v>740</v>
      </c>
      <c r="H36" s="191" t="s">
        <v>11859</v>
      </c>
      <c r="I36" s="191"/>
      <c r="J36" s="140" t="s">
        <v>191</v>
      </c>
      <c r="K36" s="143">
        <v>4</v>
      </c>
      <c r="L36" s="148">
        <v>5</v>
      </c>
      <c r="M36" s="148" t="s">
        <v>199</v>
      </c>
    </row>
    <row r="37" spans="1:13" ht="236.25">
      <c r="A37" s="140" t="s">
        <v>11860</v>
      </c>
      <c r="B37" s="142" t="s">
        <v>11861</v>
      </c>
      <c r="C37" s="152" t="s">
        <v>242</v>
      </c>
      <c r="D37" s="142"/>
      <c r="E37" s="153" t="s">
        <v>11800</v>
      </c>
      <c r="F37" s="142" t="s">
        <v>11862</v>
      </c>
      <c r="G37" s="142" t="s">
        <v>740</v>
      </c>
      <c r="H37" s="142" t="s">
        <v>11863</v>
      </c>
      <c r="I37" s="142"/>
      <c r="J37" s="140" t="s">
        <v>191</v>
      </c>
      <c r="K37" s="143">
        <v>4</v>
      </c>
      <c r="L37" s="148">
        <v>5</v>
      </c>
      <c r="M37" s="148" t="s">
        <v>199</v>
      </c>
    </row>
    <row r="38" spans="1:13" ht="281.25">
      <c r="A38" s="140" t="s">
        <v>11864</v>
      </c>
      <c r="B38" s="142" t="s">
        <v>11865</v>
      </c>
      <c r="C38" s="152" t="s">
        <v>242</v>
      </c>
      <c r="D38" s="142"/>
      <c r="E38" s="153" t="s">
        <v>11800</v>
      </c>
      <c r="F38" s="142" t="s">
        <v>11866</v>
      </c>
      <c r="G38" s="142" t="s">
        <v>740</v>
      </c>
      <c r="H38" s="142" t="s">
        <v>11867</v>
      </c>
      <c r="I38" s="142"/>
      <c r="J38" s="140" t="s">
        <v>191</v>
      </c>
      <c r="K38" s="143">
        <v>4</v>
      </c>
      <c r="L38" s="148">
        <v>5</v>
      </c>
      <c r="M38" s="148" t="s">
        <v>199</v>
      </c>
    </row>
    <row r="39" spans="1:13" ht="281.25">
      <c r="A39" s="140" t="s">
        <v>11868</v>
      </c>
      <c r="B39" s="142" t="s">
        <v>11869</v>
      </c>
      <c r="C39" s="152" t="s">
        <v>242</v>
      </c>
      <c r="D39" s="142"/>
      <c r="E39" s="153" t="s">
        <v>11795</v>
      </c>
      <c r="F39" s="142" t="s">
        <v>11870</v>
      </c>
      <c r="G39" s="142" t="s">
        <v>740</v>
      </c>
      <c r="H39" s="142" t="s">
        <v>11867</v>
      </c>
      <c r="I39" s="142"/>
      <c r="J39" s="140" t="s">
        <v>191</v>
      </c>
      <c r="K39" s="143">
        <v>4</v>
      </c>
      <c r="L39" s="148">
        <v>5</v>
      </c>
      <c r="M39" s="148" t="s">
        <v>199</v>
      </c>
    </row>
    <row r="40" spans="1:13" ht="281.25">
      <c r="A40" s="140" t="s">
        <v>11871</v>
      </c>
      <c r="B40" s="142" t="s">
        <v>11872</v>
      </c>
      <c r="C40" s="152" t="s">
        <v>242</v>
      </c>
      <c r="D40" s="142"/>
      <c r="E40" s="153" t="s">
        <v>11795</v>
      </c>
      <c r="F40" s="142" t="s">
        <v>11873</v>
      </c>
      <c r="G40" s="142" t="s">
        <v>740</v>
      </c>
      <c r="H40" s="142" t="s">
        <v>11867</v>
      </c>
      <c r="I40" s="142"/>
      <c r="J40" s="140" t="s">
        <v>191</v>
      </c>
      <c r="K40" s="143">
        <v>4</v>
      </c>
      <c r="L40" s="148">
        <v>5</v>
      </c>
      <c r="M40" s="148" t="s">
        <v>199</v>
      </c>
    </row>
    <row r="41" spans="1:13">
      <c r="A41" s="140" t="s">
        <v>11874</v>
      </c>
      <c r="B41" s="191" t="s">
        <v>11875</v>
      </c>
      <c r="C41" s="152" t="s">
        <v>242</v>
      </c>
      <c r="D41" s="191"/>
      <c r="E41" s="153" t="s">
        <v>11787</v>
      </c>
      <c r="F41" s="191" t="s">
        <v>11876</v>
      </c>
      <c r="G41" s="191" t="s">
        <v>740</v>
      </c>
      <c r="H41" s="191" t="s">
        <v>11877</v>
      </c>
      <c r="I41" s="191"/>
      <c r="J41" s="140" t="s">
        <v>191</v>
      </c>
      <c r="K41" s="143">
        <v>4</v>
      </c>
      <c r="L41" s="148">
        <v>5</v>
      </c>
      <c r="M41" s="148" t="s">
        <v>199</v>
      </c>
    </row>
    <row r="42" spans="1:13">
      <c r="A42" s="140" t="s">
        <v>11878</v>
      </c>
      <c r="B42" s="191" t="s">
        <v>11879</v>
      </c>
      <c r="C42" s="152" t="s">
        <v>242</v>
      </c>
      <c r="D42" s="191"/>
      <c r="E42" s="153" t="s">
        <v>11880</v>
      </c>
      <c r="F42" s="191" t="s">
        <v>11881</v>
      </c>
      <c r="G42" s="226" t="s">
        <v>740</v>
      </c>
      <c r="H42" s="191"/>
      <c r="I42" s="191"/>
      <c r="J42" s="140" t="s">
        <v>191</v>
      </c>
      <c r="K42" s="143">
        <v>4</v>
      </c>
      <c r="L42" s="148">
        <v>5</v>
      </c>
      <c r="M42" s="148" t="s">
        <v>199</v>
      </c>
    </row>
    <row r="43" spans="1:13">
      <c r="A43" s="140" t="s">
        <v>11882</v>
      </c>
      <c r="B43" s="191" t="s">
        <v>11883</v>
      </c>
      <c r="C43" s="152" t="s">
        <v>242</v>
      </c>
      <c r="D43" s="191"/>
      <c r="E43" s="153" t="s">
        <v>11880</v>
      </c>
      <c r="F43" s="191" t="s">
        <v>11884</v>
      </c>
      <c r="G43" s="191" t="s">
        <v>198</v>
      </c>
      <c r="H43" s="191"/>
      <c r="I43" s="191"/>
      <c r="J43" s="140" t="s">
        <v>191</v>
      </c>
      <c r="K43" s="143">
        <v>4</v>
      </c>
      <c r="L43" s="148">
        <v>5</v>
      </c>
      <c r="M43" s="148" t="s">
        <v>199</v>
      </c>
    </row>
    <row r="44" spans="1:13">
      <c r="A44" s="140" t="s">
        <v>11885</v>
      </c>
      <c r="B44" s="191" t="s">
        <v>11886</v>
      </c>
      <c r="C44" s="152" t="s">
        <v>242</v>
      </c>
      <c r="D44" s="191"/>
      <c r="E44" s="153" t="s">
        <v>11887</v>
      </c>
      <c r="F44" s="191" t="s">
        <v>11888</v>
      </c>
      <c r="G44" s="191" t="s">
        <v>198</v>
      </c>
      <c r="H44" s="191"/>
      <c r="I44" s="191"/>
      <c r="J44" s="140" t="s">
        <v>191</v>
      </c>
      <c r="K44" s="143">
        <v>4</v>
      </c>
      <c r="L44" s="148">
        <v>5</v>
      </c>
      <c r="M44" s="148" t="s">
        <v>199</v>
      </c>
    </row>
    <row r="45" spans="1:13">
      <c r="A45" s="140" t="s">
        <v>11885</v>
      </c>
      <c r="B45" s="191" t="s">
        <v>11889</v>
      </c>
      <c r="C45" s="152" t="s">
        <v>242</v>
      </c>
      <c r="D45" s="191"/>
      <c r="E45" s="153" t="s">
        <v>11795</v>
      </c>
      <c r="F45" s="191" t="s">
        <v>11888</v>
      </c>
      <c r="G45" s="191" t="s">
        <v>198</v>
      </c>
      <c r="H45" s="191"/>
      <c r="I45" s="191"/>
      <c r="J45" s="140" t="s">
        <v>191</v>
      </c>
      <c r="K45" s="143">
        <v>4</v>
      </c>
      <c r="L45" s="148">
        <v>5</v>
      </c>
      <c r="M45" s="148" t="s">
        <v>199</v>
      </c>
    </row>
    <row r="46" spans="1:13">
      <c r="A46" s="140" t="s">
        <v>11890</v>
      </c>
      <c r="B46" s="191" t="s">
        <v>11891</v>
      </c>
      <c r="C46" s="152" t="s">
        <v>242</v>
      </c>
      <c r="D46" s="191"/>
      <c r="E46" s="153" t="s">
        <v>11892</v>
      </c>
      <c r="F46" s="191" t="s">
        <v>11893</v>
      </c>
      <c r="G46" s="226" t="s">
        <v>740</v>
      </c>
      <c r="H46" s="191"/>
      <c r="I46" s="191"/>
      <c r="J46" s="140" t="s">
        <v>191</v>
      </c>
      <c r="K46" s="143">
        <v>4</v>
      </c>
      <c r="L46" s="148">
        <v>5</v>
      </c>
      <c r="M46" s="148" t="s">
        <v>199</v>
      </c>
    </row>
  </sheetData>
  <autoFilter ref="A5:O16" xr:uid="{00000000-0009-0000-0000-000014000000}"/>
  <phoneticPr fontId="39" type="noConversion"/>
  <conditionalFormatting sqref="N6:N17">
    <cfRule type="containsText" dxfId="57" priority="2" operator="containsText" text="Yes">
      <formula>NOT(ISERROR(SEARCH("Yes",N6)))</formula>
    </cfRule>
  </conditionalFormatting>
  <dataValidations count="1">
    <dataValidation type="list" allowBlank="1" showInputMessage="1" showErrorMessage="1" sqref="N6:N17" xr:uid="{00000000-0002-0000-1400-000000000000}">
      <formula1>"No,Yes"</formula1>
    </dataValidation>
  </dataValidations>
  <pageMargins left="0.70000000000000007" right="0.70000000000000007" top="0.75" bottom="0.75" header="0.30000000000000004" footer="0.30000000000000004"/>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9" tint="0.39997558519241921"/>
  </sheetPr>
  <dimension ref="A1:O277"/>
  <sheetViews>
    <sheetView zoomScale="90" zoomScaleNormal="90" workbookViewId="0">
      <pane xSplit="1" ySplit="6" topLeftCell="B60" activePane="bottomRight" state="frozen"/>
      <selection pane="bottomRight" activeCell="N15" sqref="N15"/>
      <selection pane="bottomLeft" activeCell="A101" sqref="A101"/>
      <selection pane="topRight" activeCell="A101" sqref="A101"/>
    </sheetView>
  </sheetViews>
  <sheetFormatPr defaultColWidth="9" defaultRowHeight="11.25"/>
  <cols>
    <col min="1" max="1" width="35" style="121" customWidth="1"/>
    <col min="2" max="2" width="23" style="121" customWidth="1"/>
    <col min="3" max="4" width="10.85546875" style="121" hidden="1" customWidth="1"/>
    <col min="5" max="5" width="13" style="121" customWidth="1"/>
    <col min="6" max="6" width="36.5703125" style="44" customWidth="1"/>
    <col min="7" max="7" width="10.5703125" style="44" hidden="1" customWidth="1"/>
    <col min="8" max="8" width="29" style="121" customWidth="1"/>
    <col min="9" max="9" width="12" style="121" hidden="1" customWidth="1"/>
    <col min="10" max="10" width="11" style="121" hidden="1" customWidth="1"/>
    <col min="11" max="11" width="11.5703125" style="101" customWidth="1"/>
    <col min="12" max="12" width="13" style="121" bestFit="1" customWidth="1"/>
    <col min="13" max="13" width="12" style="121" bestFit="1" customWidth="1"/>
    <col min="14" max="14" width="18.42578125" style="119" bestFit="1" customWidth="1"/>
    <col min="15" max="15" width="19.140625" style="119" bestFit="1" customWidth="1"/>
    <col min="16" max="23" width="9" style="119"/>
    <col min="24" max="24" width="25.28515625" style="119" customWidth="1"/>
    <col min="25" max="16384" width="9" style="119"/>
  </cols>
  <sheetData>
    <row r="1" spans="1:15" ht="12.75">
      <c r="A1" s="120" t="s">
        <v>11894</v>
      </c>
      <c r="E1" s="122"/>
    </row>
    <row r="2" spans="1:15" ht="12.75">
      <c r="A2" s="120"/>
      <c r="D2" s="122"/>
      <c r="E2" s="44"/>
      <c r="G2" s="121"/>
      <c r="J2" s="101"/>
      <c r="K2" s="121"/>
      <c r="M2" s="119"/>
    </row>
    <row r="3" spans="1:15" ht="12.75">
      <c r="A3" s="120"/>
      <c r="D3" s="122"/>
      <c r="E3" s="44"/>
      <c r="G3" s="121"/>
      <c r="J3" s="101"/>
      <c r="K3" s="121"/>
      <c r="M3" s="119"/>
    </row>
    <row r="4" spans="1:15" ht="12.75">
      <c r="A4" s="139" t="s">
        <v>159</v>
      </c>
      <c r="D4" s="122"/>
      <c r="E4" s="44"/>
      <c r="G4" s="121"/>
      <c r="J4" s="101"/>
      <c r="K4" s="121"/>
      <c r="M4" s="119"/>
    </row>
    <row r="5" spans="1:15" ht="12.75">
      <c r="A5" s="129"/>
      <c r="D5" s="122"/>
      <c r="E5" s="44"/>
      <c r="G5" s="121"/>
      <c r="J5" s="101"/>
      <c r="K5" s="121"/>
      <c r="M5" s="119"/>
    </row>
    <row r="6" spans="1:15" ht="22.5">
      <c r="A6" s="80" t="s">
        <v>11098</v>
      </c>
      <c r="B6" s="80" t="s">
        <v>11099</v>
      </c>
      <c r="C6" s="58" t="s">
        <v>168</v>
      </c>
      <c r="D6" s="58" t="s">
        <v>169</v>
      </c>
      <c r="E6" s="80" t="s">
        <v>170</v>
      </c>
      <c r="F6" s="82" t="s">
        <v>20</v>
      </c>
      <c r="G6" s="58" t="s">
        <v>171</v>
      </c>
      <c r="H6" s="82" t="s">
        <v>11101</v>
      </c>
      <c r="I6" s="58" t="s">
        <v>174</v>
      </c>
      <c r="J6" s="58" t="s">
        <v>175</v>
      </c>
      <c r="K6" s="60" t="s">
        <v>176</v>
      </c>
      <c r="L6" s="60" t="s">
        <v>655</v>
      </c>
      <c r="M6" s="60" t="s">
        <v>179</v>
      </c>
      <c r="N6" s="291" t="s">
        <v>180</v>
      </c>
      <c r="O6" s="379" t="s">
        <v>181</v>
      </c>
    </row>
    <row r="7" spans="1:15">
      <c r="A7" s="123" t="s">
        <v>11895</v>
      </c>
      <c r="B7" s="87"/>
      <c r="C7" s="221"/>
      <c r="D7" s="221"/>
      <c r="E7" s="272"/>
      <c r="F7" s="43"/>
      <c r="G7" s="219"/>
      <c r="H7" s="87"/>
      <c r="I7" s="221"/>
      <c r="J7" s="221"/>
      <c r="K7" s="64"/>
      <c r="O7" s="369"/>
    </row>
    <row r="8" spans="1:15" ht="59.45" customHeight="1">
      <c r="A8" s="87" t="s">
        <v>11896</v>
      </c>
      <c r="B8" s="89" t="s">
        <v>11897</v>
      </c>
      <c r="C8" s="221" t="s">
        <v>185</v>
      </c>
      <c r="D8" s="221"/>
      <c r="E8" s="273" t="s">
        <v>11898</v>
      </c>
      <c r="F8" s="124" t="s">
        <v>11899</v>
      </c>
      <c r="G8" s="219" t="s">
        <v>740</v>
      </c>
      <c r="H8" s="128"/>
      <c r="I8" s="232"/>
      <c r="J8" s="219" t="s">
        <v>191</v>
      </c>
      <c r="K8" s="126">
        <v>1</v>
      </c>
      <c r="L8" s="65">
        <v>4</v>
      </c>
      <c r="M8" s="65" t="s">
        <v>199</v>
      </c>
      <c r="N8" s="279"/>
      <c r="O8" s="371"/>
    </row>
    <row r="9" spans="1:15" ht="22.5">
      <c r="A9" s="87" t="str">
        <f t="shared" ref="A9:A21" si="0">CONCATENATE("YPMAD_",B9)</f>
        <v>YPMAD_EthnicityPLASCage15</v>
      </c>
      <c r="B9" s="89" t="s">
        <v>11900</v>
      </c>
      <c r="C9" s="221" t="s">
        <v>185</v>
      </c>
      <c r="D9" s="221"/>
      <c r="E9" s="273" t="s">
        <v>125</v>
      </c>
      <c r="F9" s="124" t="s">
        <v>11901</v>
      </c>
      <c r="G9" s="219" t="s">
        <v>740</v>
      </c>
      <c r="H9" s="127"/>
      <c r="I9" s="231"/>
      <c r="J9" s="219" t="s">
        <v>191</v>
      </c>
      <c r="K9" s="126">
        <v>1</v>
      </c>
      <c r="L9" s="65">
        <v>4</v>
      </c>
      <c r="M9" s="65" t="s">
        <v>222</v>
      </c>
      <c r="N9" s="279"/>
      <c r="O9" s="371"/>
    </row>
    <row r="10" spans="1:15" ht="45">
      <c r="A10" s="87" t="str">
        <f t="shared" si="0"/>
        <v>YPMAD_FSMEligibilityage15</v>
      </c>
      <c r="B10" s="89" t="s">
        <v>11902</v>
      </c>
      <c r="C10" s="221" t="s">
        <v>185</v>
      </c>
      <c r="D10" s="221"/>
      <c r="E10" s="273" t="s">
        <v>125</v>
      </c>
      <c r="F10" s="124" t="s">
        <v>11903</v>
      </c>
      <c r="G10" s="219" t="s">
        <v>740</v>
      </c>
      <c r="H10" s="128"/>
      <c r="I10" s="232"/>
      <c r="J10" s="219" t="s">
        <v>191</v>
      </c>
      <c r="K10" s="126">
        <v>2</v>
      </c>
      <c r="L10" s="65">
        <v>5</v>
      </c>
      <c r="M10" s="65" t="s">
        <v>192</v>
      </c>
      <c r="N10" s="279"/>
      <c r="O10" s="371"/>
    </row>
    <row r="11" spans="1:15" ht="22.5">
      <c r="A11" s="87" t="str">
        <f t="shared" si="0"/>
        <v>YPMAD_Disadvantage</v>
      </c>
      <c r="B11" s="89" t="s">
        <v>11904</v>
      </c>
      <c r="C11" s="221"/>
      <c r="D11" s="221"/>
      <c r="E11" s="273" t="s">
        <v>125</v>
      </c>
      <c r="F11" s="124" t="s">
        <v>11905</v>
      </c>
      <c r="G11" s="219"/>
      <c r="H11" s="125" t="s">
        <v>11906</v>
      </c>
      <c r="I11" s="232"/>
      <c r="J11" s="219"/>
      <c r="K11" s="126" t="s">
        <v>758</v>
      </c>
      <c r="L11" s="65">
        <v>5</v>
      </c>
      <c r="M11" s="65" t="s">
        <v>1899</v>
      </c>
      <c r="N11" s="279"/>
      <c r="O11" s="371"/>
    </row>
    <row r="12" spans="1:15" ht="33.75">
      <c r="A12" s="87" t="str">
        <f t="shared" si="0"/>
        <v>YPMAD_EthnicGroupPLASC15</v>
      </c>
      <c r="B12" s="89" t="s">
        <v>11907</v>
      </c>
      <c r="C12" s="221" t="s">
        <v>185</v>
      </c>
      <c r="D12" s="221"/>
      <c r="E12" s="273" t="s">
        <v>125</v>
      </c>
      <c r="F12" s="124" t="s">
        <v>11908</v>
      </c>
      <c r="G12" s="219" t="s">
        <v>740</v>
      </c>
      <c r="H12" s="128"/>
      <c r="I12" s="232"/>
      <c r="J12" s="219" t="s">
        <v>191</v>
      </c>
      <c r="K12" s="126">
        <v>2</v>
      </c>
      <c r="L12" s="65">
        <v>4</v>
      </c>
      <c r="M12" s="65" t="s">
        <v>222</v>
      </c>
      <c r="N12" s="279"/>
      <c r="O12" s="371"/>
    </row>
    <row r="13" spans="1:15" ht="33.75">
      <c r="A13" s="87" t="str">
        <f t="shared" si="0"/>
        <v>YPMAD_IDACIscoreage15</v>
      </c>
      <c r="B13" s="89" t="s">
        <v>11909</v>
      </c>
      <c r="C13" s="221" t="s">
        <v>185</v>
      </c>
      <c r="D13" s="221"/>
      <c r="E13" s="273" t="s">
        <v>125</v>
      </c>
      <c r="F13" s="124" t="s">
        <v>11910</v>
      </c>
      <c r="G13" s="219" t="s">
        <v>198</v>
      </c>
      <c r="H13" s="128"/>
      <c r="I13" s="232"/>
      <c r="J13" s="219" t="s">
        <v>191</v>
      </c>
      <c r="K13" s="126">
        <v>2</v>
      </c>
      <c r="L13" s="65">
        <v>4</v>
      </c>
      <c r="M13" s="65" t="s">
        <v>199</v>
      </c>
      <c r="N13" s="279"/>
      <c r="O13" s="371"/>
    </row>
    <row r="14" spans="1:15" ht="22.5">
      <c r="A14" s="87" t="str">
        <f t="shared" si="0"/>
        <v>YPMAD_SENStatusage15</v>
      </c>
      <c r="B14" s="89" t="s">
        <v>11911</v>
      </c>
      <c r="C14" s="221" t="s">
        <v>185</v>
      </c>
      <c r="D14" s="221"/>
      <c r="E14" s="273" t="s">
        <v>125</v>
      </c>
      <c r="F14" s="124" t="s">
        <v>11912</v>
      </c>
      <c r="G14" s="219" t="s">
        <v>740</v>
      </c>
      <c r="H14" s="128"/>
      <c r="I14" s="232"/>
      <c r="J14" s="219" t="s">
        <v>191</v>
      </c>
      <c r="K14" s="126">
        <v>2</v>
      </c>
      <c r="L14" s="65">
        <v>5</v>
      </c>
      <c r="M14" s="65" t="s">
        <v>222</v>
      </c>
      <c r="N14" s="279"/>
      <c r="O14" s="371"/>
    </row>
    <row r="15" spans="1:15" ht="22.5">
      <c r="A15" s="87" t="str">
        <f t="shared" si="0"/>
        <v>YPMAD_PrimarySENtypeage15</v>
      </c>
      <c r="B15" s="89" t="s">
        <v>11913</v>
      </c>
      <c r="C15" s="221" t="s">
        <v>185</v>
      </c>
      <c r="D15" s="221"/>
      <c r="E15" s="273" t="s">
        <v>125</v>
      </c>
      <c r="F15" s="124" t="s">
        <v>11914</v>
      </c>
      <c r="G15" s="219" t="s">
        <v>740</v>
      </c>
      <c r="H15" s="128"/>
      <c r="I15" s="232"/>
      <c r="J15" s="219" t="s">
        <v>191</v>
      </c>
      <c r="K15" s="126">
        <v>1</v>
      </c>
      <c r="L15" s="65">
        <v>5</v>
      </c>
      <c r="M15" s="65" t="s">
        <v>222</v>
      </c>
      <c r="N15" s="279"/>
      <c r="O15" s="371"/>
    </row>
    <row r="16" spans="1:15" ht="22.5">
      <c r="A16" s="87" t="str">
        <f t="shared" si="0"/>
        <v>YPMAD_SecondarySENtypeage15</v>
      </c>
      <c r="B16" s="89" t="s">
        <v>11915</v>
      </c>
      <c r="C16" s="221" t="s">
        <v>185</v>
      </c>
      <c r="D16" s="221"/>
      <c r="E16" s="273" t="s">
        <v>125</v>
      </c>
      <c r="F16" s="124" t="s">
        <v>11916</v>
      </c>
      <c r="G16" s="219" t="s">
        <v>740</v>
      </c>
      <c r="H16" s="128"/>
      <c r="I16" s="232"/>
      <c r="J16" s="219" t="s">
        <v>191</v>
      </c>
      <c r="K16" s="126">
        <v>1</v>
      </c>
      <c r="L16" s="65">
        <v>5</v>
      </c>
      <c r="M16" s="65" t="s">
        <v>222</v>
      </c>
      <c r="N16" s="279"/>
      <c r="O16" s="371"/>
    </row>
    <row r="17" spans="1:15" ht="33.75">
      <c r="A17" s="87" t="str">
        <f t="shared" si="0"/>
        <v>YPMAD_RankofIDACIage15</v>
      </c>
      <c r="B17" s="89" t="s">
        <v>11917</v>
      </c>
      <c r="C17" s="221" t="s">
        <v>185</v>
      </c>
      <c r="D17" s="221"/>
      <c r="E17" s="273" t="s">
        <v>125</v>
      </c>
      <c r="F17" s="124" t="s">
        <v>11918</v>
      </c>
      <c r="G17" s="219" t="s">
        <v>740</v>
      </c>
      <c r="H17" s="128"/>
      <c r="I17" s="232"/>
      <c r="J17" s="219" t="s">
        <v>191</v>
      </c>
      <c r="K17" s="126">
        <v>2</v>
      </c>
      <c r="L17" s="65">
        <v>4</v>
      </c>
      <c r="M17" s="65" t="s">
        <v>199</v>
      </c>
      <c r="N17" s="279"/>
      <c r="O17" s="371"/>
    </row>
    <row r="18" spans="1:15" ht="33.75">
      <c r="A18" s="87" t="str">
        <f t="shared" si="0"/>
        <v>YPMAD_EverFSMage10to15</v>
      </c>
      <c r="B18" s="89" t="s">
        <v>11919</v>
      </c>
      <c r="C18" s="221" t="s">
        <v>185</v>
      </c>
      <c r="D18" s="221"/>
      <c r="E18" s="273" t="s">
        <v>125</v>
      </c>
      <c r="F18" s="124" t="s">
        <v>11920</v>
      </c>
      <c r="G18" s="219" t="s">
        <v>188</v>
      </c>
      <c r="H18" s="127" t="s">
        <v>11921</v>
      </c>
      <c r="I18" s="231"/>
      <c r="J18" s="219" t="s">
        <v>191</v>
      </c>
      <c r="K18" s="126">
        <v>2</v>
      </c>
      <c r="L18" s="65">
        <v>5</v>
      </c>
      <c r="M18" s="65" t="s">
        <v>192</v>
      </c>
      <c r="N18" s="279"/>
      <c r="O18" s="371"/>
    </row>
    <row r="19" spans="1:15" hidden="1">
      <c r="A19" s="87" t="str">
        <f t="shared" si="0"/>
        <v>YPMAD_Surname</v>
      </c>
      <c r="B19" s="89" t="s">
        <v>11922</v>
      </c>
      <c r="C19" s="221" t="s">
        <v>10392</v>
      </c>
      <c r="D19" s="221"/>
      <c r="E19" s="273"/>
      <c r="F19" s="124" t="s">
        <v>11922</v>
      </c>
      <c r="G19" s="219" t="s">
        <v>466</v>
      </c>
      <c r="H19" s="125"/>
      <c r="I19" s="69"/>
      <c r="J19" s="219" t="s">
        <v>191</v>
      </c>
      <c r="K19" s="126">
        <v>1</v>
      </c>
      <c r="L19" s="73">
        <v>1</v>
      </c>
      <c r="M19" s="75" t="s">
        <v>199</v>
      </c>
      <c r="N19" s="279"/>
      <c r="O19" s="371"/>
    </row>
    <row r="20" spans="1:15" hidden="1">
      <c r="A20" s="87" t="str">
        <f t="shared" si="0"/>
        <v>YPMAD_Forenames</v>
      </c>
      <c r="B20" s="89" t="s">
        <v>11923</v>
      </c>
      <c r="C20" s="221" t="s">
        <v>10392</v>
      </c>
      <c r="D20" s="221"/>
      <c r="E20" s="273"/>
      <c r="F20" s="124" t="s">
        <v>11923</v>
      </c>
      <c r="G20" s="219" t="s">
        <v>466</v>
      </c>
      <c r="H20" s="125"/>
      <c r="I20" s="69"/>
      <c r="J20" s="219" t="s">
        <v>191</v>
      </c>
      <c r="K20" s="126">
        <v>1</v>
      </c>
      <c r="L20" s="73">
        <v>1</v>
      </c>
      <c r="M20" s="75" t="s">
        <v>199</v>
      </c>
      <c r="N20" s="279"/>
      <c r="O20" s="371"/>
    </row>
    <row r="21" spans="1:15" ht="22.5" hidden="1">
      <c r="A21" s="87" t="str">
        <f t="shared" si="0"/>
        <v>YPMAD_NameSource</v>
      </c>
      <c r="B21" s="89" t="s">
        <v>11924</v>
      </c>
      <c r="C21" s="221" t="s">
        <v>185</v>
      </c>
      <c r="D21" s="221"/>
      <c r="E21" s="273"/>
      <c r="F21" s="124" t="s">
        <v>11925</v>
      </c>
      <c r="G21" s="219" t="s">
        <v>466</v>
      </c>
      <c r="H21" s="125"/>
      <c r="I21" s="69"/>
      <c r="J21" s="219" t="s">
        <v>191</v>
      </c>
      <c r="K21" s="126">
        <v>1</v>
      </c>
      <c r="L21" s="73">
        <v>5</v>
      </c>
      <c r="M21" s="75" t="s">
        <v>199</v>
      </c>
      <c r="N21" s="279"/>
      <c r="O21" s="371"/>
    </row>
    <row r="22" spans="1:15">
      <c r="A22" s="89" t="s">
        <v>11926</v>
      </c>
      <c r="B22" s="221" t="s">
        <v>11927</v>
      </c>
      <c r="C22" s="221" t="s">
        <v>185</v>
      </c>
      <c r="D22" s="221"/>
      <c r="E22" s="273" t="s">
        <v>125</v>
      </c>
      <c r="F22" s="252" t="s">
        <v>183</v>
      </c>
      <c r="G22" s="219" t="s">
        <v>740</v>
      </c>
      <c r="H22" s="69"/>
      <c r="I22" s="125"/>
      <c r="J22" s="87" t="s">
        <v>191</v>
      </c>
      <c r="K22" s="126">
        <v>4</v>
      </c>
      <c r="L22" s="65">
        <v>5</v>
      </c>
      <c r="M22" s="215" t="s">
        <v>192</v>
      </c>
      <c r="N22" s="392"/>
      <c r="O22" s="371"/>
    </row>
    <row r="23" spans="1:15" ht="123.75">
      <c r="A23" s="89" t="s">
        <v>11928</v>
      </c>
      <c r="B23" s="221" t="s">
        <v>11929</v>
      </c>
      <c r="C23" s="221" t="s">
        <v>185</v>
      </c>
      <c r="D23" s="221"/>
      <c r="E23" s="273" t="s">
        <v>125</v>
      </c>
      <c r="F23" s="253" t="s">
        <v>187</v>
      </c>
      <c r="G23" s="219" t="s">
        <v>740</v>
      </c>
      <c r="H23" s="69"/>
      <c r="I23" s="125"/>
      <c r="J23" s="87" t="s">
        <v>191</v>
      </c>
      <c r="K23" s="126">
        <v>4</v>
      </c>
      <c r="L23" s="73">
        <v>5</v>
      </c>
      <c r="M23" s="73" t="s">
        <v>192</v>
      </c>
      <c r="N23" s="385"/>
      <c r="O23" s="371"/>
    </row>
    <row r="24" spans="1:15" ht="22.5" hidden="1">
      <c r="A24" s="87" t="str">
        <f>CONCATENATE("YPMAD_",B24)</f>
        <v>YPMAD_DOB</v>
      </c>
      <c r="B24" s="89" t="s">
        <v>11930</v>
      </c>
      <c r="C24" s="221" t="s">
        <v>185</v>
      </c>
      <c r="D24" s="221"/>
      <c r="E24" s="273"/>
      <c r="F24" s="124" t="s">
        <v>11931</v>
      </c>
      <c r="G24" s="219" t="s">
        <v>198</v>
      </c>
      <c r="H24" s="125"/>
      <c r="I24" s="69"/>
      <c r="J24" s="219" t="s">
        <v>191</v>
      </c>
      <c r="K24" s="126">
        <v>1</v>
      </c>
      <c r="L24" s="73">
        <v>4</v>
      </c>
      <c r="M24" s="75" t="s">
        <v>199</v>
      </c>
      <c r="N24" s="279"/>
      <c r="O24" s="371"/>
    </row>
    <row r="25" spans="1:15">
      <c r="A25" s="87" t="str">
        <f>CONCATENATE("YPMAD_",B25)</f>
        <v>YPMAD_AgeSource</v>
      </c>
      <c r="B25" s="89" t="s">
        <v>11932</v>
      </c>
      <c r="C25" s="221" t="s">
        <v>185</v>
      </c>
      <c r="D25" s="221"/>
      <c r="E25" s="273" t="s">
        <v>125</v>
      </c>
      <c r="F25" s="124" t="s">
        <v>11933</v>
      </c>
      <c r="G25" s="219" t="s">
        <v>198</v>
      </c>
      <c r="H25" s="125"/>
      <c r="I25" s="69"/>
      <c r="J25" s="219" t="s">
        <v>191</v>
      </c>
      <c r="K25" s="126">
        <v>1</v>
      </c>
      <c r="L25" s="73">
        <v>5</v>
      </c>
      <c r="M25" s="75" t="s">
        <v>199</v>
      </c>
      <c r="N25" s="279"/>
      <c r="O25" s="371"/>
    </row>
    <row r="26" spans="1:15" ht="225">
      <c r="A26" s="87" t="str">
        <f>CONCATENATE("YPMAD_",B26)</f>
        <v>YPMAD_ILR_LearningDiff</v>
      </c>
      <c r="B26" s="89" t="s">
        <v>11934</v>
      </c>
      <c r="C26" s="221" t="s">
        <v>185</v>
      </c>
      <c r="D26" s="221"/>
      <c r="E26" s="273" t="s">
        <v>125</v>
      </c>
      <c r="F26" s="124" t="s">
        <v>11935</v>
      </c>
      <c r="G26" s="219" t="s">
        <v>740</v>
      </c>
      <c r="H26" s="125" t="s">
        <v>11936</v>
      </c>
      <c r="I26" s="69"/>
      <c r="J26" s="219" t="s">
        <v>191</v>
      </c>
      <c r="K26" s="126">
        <v>2</v>
      </c>
      <c r="L26" s="65">
        <v>5</v>
      </c>
      <c r="M26" s="65" t="s">
        <v>222</v>
      </c>
      <c r="N26" s="279"/>
      <c r="O26" s="371"/>
    </row>
    <row r="27" spans="1:15" ht="22.5">
      <c r="A27" s="87" t="str">
        <f>CONCATENATE("YPMAD_",B27)</f>
        <v>YPMAD_ILR_LearningDiffSource</v>
      </c>
      <c r="B27" s="89" t="s">
        <v>11937</v>
      </c>
      <c r="C27" s="221" t="s">
        <v>185</v>
      </c>
      <c r="D27" s="221"/>
      <c r="E27" s="273" t="s">
        <v>125</v>
      </c>
      <c r="F27" s="124"/>
      <c r="G27" s="219" t="s">
        <v>740</v>
      </c>
      <c r="H27" s="125" t="s">
        <v>11938</v>
      </c>
      <c r="I27" s="69"/>
      <c r="J27" s="219" t="s">
        <v>191</v>
      </c>
      <c r="K27" s="126">
        <v>2</v>
      </c>
      <c r="L27" s="73">
        <v>5</v>
      </c>
      <c r="M27" s="75" t="s">
        <v>199</v>
      </c>
      <c r="N27" s="279"/>
      <c r="O27" s="371"/>
    </row>
    <row r="28" spans="1:15" ht="67.5">
      <c r="A28" s="87" t="s">
        <v>11939</v>
      </c>
      <c r="B28" s="89" t="s">
        <v>11940</v>
      </c>
      <c r="C28" s="221" t="s">
        <v>185</v>
      </c>
      <c r="D28" s="221"/>
      <c r="E28" s="273" t="s">
        <v>125</v>
      </c>
      <c r="F28" s="124" t="s">
        <v>11941</v>
      </c>
      <c r="G28" s="219" t="s">
        <v>740</v>
      </c>
      <c r="H28" s="125"/>
      <c r="I28" s="69"/>
      <c r="J28" s="219" t="s">
        <v>191</v>
      </c>
      <c r="K28" s="126">
        <v>1</v>
      </c>
      <c r="L28" s="65">
        <v>5</v>
      </c>
      <c r="M28" s="65" t="s">
        <v>199</v>
      </c>
      <c r="N28" s="279"/>
      <c r="O28" s="371"/>
    </row>
    <row r="29" spans="1:15" ht="67.5">
      <c r="A29" s="87" t="s">
        <v>11942</v>
      </c>
      <c r="B29" s="89" t="s">
        <v>11943</v>
      </c>
      <c r="C29" s="221" t="s">
        <v>185</v>
      </c>
      <c r="D29" s="221"/>
      <c r="E29" s="273" t="s">
        <v>125</v>
      </c>
      <c r="F29" s="124" t="s">
        <v>11944</v>
      </c>
      <c r="G29" s="219" t="s">
        <v>740</v>
      </c>
      <c r="H29" s="125"/>
      <c r="I29" s="69"/>
      <c r="J29" s="219" t="s">
        <v>191</v>
      </c>
      <c r="K29" s="126">
        <v>1</v>
      </c>
      <c r="L29" s="65">
        <v>5</v>
      </c>
      <c r="M29" s="65" t="s">
        <v>199</v>
      </c>
      <c r="N29" s="279"/>
      <c r="O29" s="371"/>
    </row>
    <row r="30" spans="1:15" ht="12.75">
      <c r="H30" s="13"/>
      <c r="I30" s="13"/>
      <c r="J30" s="44"/>
      <c r="L30" s="72"/>
      <c r="M30" s="72"/>
      <c r="N30" s="49"/>
      <c r="O30" s="49"/>
    </row>
    <row r="31" spans="1:15" ht="12.75">
      <c r="A31" s="120" t="s">
        <v>11894</v>
      </c>
      <c r="E31" s="122"/>
    </row>
    <row r="32" spans="1:15" ht="12.75">
      <c r="A32" s="120"/>
      <c r="E32" s="122"/>
    </row>
    <row r="33" spans="1:13" ht="12.75">
      <c r="A33" s="40" t="s">
        <v>488</v>
      </c>
      <c r="E33" s="122"/>
    </row>
    <row r="34" spans="1:13" ht="12.75">
      <c r="A34" s="46" t="s">
        <v>489</v>
      </c>
      <c r="E34" s="122"/>
    </row>
    <row r="35" spans="1:13" ht="12.75">
      <c r="A35" s="129"/>
      <c r="E35" s="122"/>
    </row>
    <row r="36" spans="1:13" ht="22.5">
      <c r="A36" s="80" t="s">
        <v>11098</v>
      </c>
      <c r="B36" s="80" t="s">
        <v>11099</v>
      </c>
      <c r="C36" s="80" t="s">
        <v>168</v>
      </c>
      <c r="D36" s="80" t="s">
        <v>169</v>
      </c>
      <c r="E36" s="80" t="s">
        <v>170</v>
      </c>
      <c r="F36" s="82" t="s">
        <v>20</v>
      </c>
      <c r="G36" s="82"/>
      <c r="H36" s="82" t="s">
        <v>11101</v>
      </c>
      <c r="I36" s="82" t="s">
        <v>174</v>
      </c>
      <c r="J36" s="82" t="s">
        <v>175</v>
      </c>
      <c r="K36" s="60" t="s">
        <v>4202</v>
      </c>
      <c r="L36" s="393" t="s">
        <v>655</v>
      </c>
      <c r="M36" s="389" t="s">
        <v>179</v>
      </c>
    </row>
    <row r="37" spans="1:13">
      <c r="A37" s="201" t="s">
        <v>11895</v>
      </c>
      <c r="B37" s="152"/>
      <c r="C37" s="152"/>
      <c r="D37" s="152"/>
      <c r="E37" s="510"/>
      <c r="F37" s="145"/>
      <c r="G37" s="145"/>
      <c r="H37" s="152"/>
      <c r="I37" s="152"/>
      <c r="J37" s="152"/>
      <c r="K37" s="250"/>
      <c r="L37" s="370"/>
      <c r="M37" s="247"/>
    </row>
    <row r="38" spans="1:13" ht="22.5">
      <c r="A38" s="152" t="s">
        <v>11945</v>
      </c>
      <c r="B38" s="152" t="s">
        <v>706</v>
      </c>
      <c r="C38" s="152" t="s">
        <v>493</v>
      </c>
      <c r="D38" s="154"/>
      <c r="E38" s="470" t="s">
        <v>11898</v>
      </c>
      <c r="F38" s="336" t="s">
        <v>11946</v>
      </c>
      <c r="G38" s="145" t="s">
        <v>466</v>
      </c>
      <c r="H38" s="152"/>
      <c r="I38" s="152"/>
      <c r="J38" s="152" t="s">
        <v>191</v>
      </c>
      <c r="K38" s="143">
        <v>4</v>
      </c>
      <c r="L38" s="368">
        <v>3</v>
      </c>
      <c r="M38" s="148" t="s">
        <v>199</v>
      </c>
    </row>
    <row r="39" spans="1:13" ht="22.5">
      <c r="A39" s="152" t="s">
        <v>11947</v>
      </c>
      <c r="B39" s="152" t="s">
        <v>11948</v>
      </c>
      <c r="C39" s="152" t="s">
        <v>242</v>
      </c>
      <c r="D39" s="154"/>
      <c r="E39" s="470" t="s">
        <v>11898</v>
      </c>
      <c r="F39" s="336" t="s">
        <v>11949</v>
      </c>
      <c r="G39" s="145" t="s">
        <v>198</v>
      </c>
      <c r="H39" s="145"/>
      <c r="I39" s="145"/>
      <c r="J39" s="152" t="s">
        <v>191</v>
      </c>
      <c r="K39" s="143">
        <v>4</v>
      </c>
      <c r="L39" s="368">
        <v>5</v>
      </c>
      <c r="M39" s="148" t="s">
        <v>199</v>
      </c>
    </row>
    <row r="40" spans="1:13" ht="22.5">
      <c r="A40" s="152" t="s">
        <v>11950</v>
      </c>
      <c r="B40" s="152" t="s">
        <v>11951</v>
      </c>
      <c r="C40" s="152" t="s">
        <v>493</v>
      </c>
      <c r="D40" s="154"/>
      <c r="E40" s="470" t="s">
        <v>11898</v>
      </c>
      <c r="F40" s="336" t="s">
        <v>11952</v>
      </c>
      <c r="G40" s="145" t="s">
        <v>198</v>
      </c>
      <c r="H40" s="145"/>
      <c r="I40" s="145"/>
      <c r="J40" s="152" t="s">
        <v>191</v>
      </c>
      <c r="K40" s="143">
        <v>4</v>
      </c>
      <c r="L40" s="368">
        <v>5</v>
      </c>
      <c r="M40" s="148" t="s">
        <v>199</v>
      </c>
    </row>
    <row r="41" spans="1:13" ht="22.5">
      <c r="A41" s="152" t="s">
        <v>11953</v>
      </c>
      <c r="B41" s="152" t="s">
        <v>11954</v>
      </c>
      <c r="C41" s="152" t="s">
        <v>242</v>
      </c>
      <c r="D41" s="154"/>
      <c r="E41" s="470" t="s">
        <v>11898</v>
      </c>
      <c r="F41" s="336" t="s">
        <v>11955</v>
      </c>
      <c r="G41" s="145" t="s">
        <v>198</v>
      </c>
      <c r="H41" s="145"/>
      <c r="I41" s="145"/>
      <c r="J41" s="152" t="s">
        <v>191</v>
      </c>
      <c r="K41" s="143">
        <v>4</v>
      </c>
      <c r="L41" s="368">
        <v>5</v>
      </c>
      <c r="M41" s="148" t="s">
        <v>199</v>
      </c>
    </row>
    <row r="42" spans="1:13" ht="101.25">
      <c r="A42" s="152" t="s">
        <v>11956</v>
      </c>
      <c r="B42" s="152" t="s">
        <v>11957</v>
      </c>
      <c r="C42" s="152" t="s">
        <v>242</v>
      </c>
      <c r="D42" s="154"/>
      <c r="E42" s="470" t="s">
        <v>11898</v>
      </c>
      <c r="F42" s="336" t="s">
        <v>11958</v>
      </c>
      <c r="G42" s="145" t="s">
        <v>198</v>
      </c>
      <c r="H42" s="145"/>
      <c r="I42" s="145"/>
      <c r="J42" s="152" t="s">
        <v>191</v>
      </c>
      <c r="K42" s="143">
        <v>4</v>
      </c>
      <c r="L42" s="368">
        <v>5</v>
      </c>
      <c r="M42" s="148" t="s">
        <v>199</v>
      </c>
    </row>
    <row r="43" spans="1:13" ht="33.75">
      <c r="A43" s="152" t="s">
        <v>11959</v>
      </c>
      <c r="B43" s="152" t="s">
        <v>11960</v>
      </c>
      <c r="C43" s="152" t="s">
        <v>242</v>
      </c>
      <c r="D43" s="154"/>
      <c r="E43" s="470" t="s">
        <v>11898</v>
      </c>
      <c r="F43" s="336" t="s">
        <v>11961</v>
      </c>
      <c r="G43" s="145" t="s">
        <v>198</v>
      </c>
      <c r="H43" s="145"/>
      <c r="I43" s="145"/>
      <c r="J43" s="152" t="s">
        <v>191</v>
      </c>
      <c r="K43" s="143">
        <v>4</v>
      </c>
      <c r="L43" s="368">
        <v>5</v>
      </c>
      <c r="M43" s="148" t="s">
        <v>199</v>
      </c>
    </row>
    <row r="44" spans="1:13" ht="56.25">
      <c r="A44" s="152" t="s">
        <v>11962</v>
      </c>
      <c r="B44" s="152" t="s">
        <v>11963</v>
      </c>
      <c r="C44" s="152" t="s">
        <v>242</v>
      </c>
      <c r="D44" s="154"/>
      <c r="E44" s="470" t="s">
        <v>11898</v>
      </c>
      <c r="F44" s="336" t="s">
        <v>11964</v>
      </c>
      <c r="G44" s="145" t="s">
        <v>198</v>
      </c>
      <c r="H44" s="145"/>
      <c r="I44" s="145"/>
      <c r="J44" s="152" t="s">
        <v>191</v>
      </c>
      <c r="K44" s="143">
        <v>4</v>
      </c>
      <c r="L44" s="368">
        <v>5</v>
      </c>
      <c r="M44" s="148" t="s">
        <v>199</v>
      </c>
    </row>
    <row r="45" spans="1:13" ht="45">
      <c r="A45" s="152" t="s">
        <v>11965</v>
      </c>
      <c r="B45" s="152" t="s">
        <v>11966</v>
      </c>
      <c r="C45" s="152" t="s">
        <v>242</v>
      </c>
      <c r="D45" s="154"/>
      <c r="E45" s="470" t="s">
        <v>11898</v>
      </c>
      <c r="F45" s="336" t="s">
        <v>11967</v>
      </c>
      <c r="G45" s="145" t="s">
        <v>198</v>
      </c>
      <c r="H45" s="145"/>
      <c r="I45" s="145"/>
      <c r="J45" s="152" t="s">
        <v>191</v>
      </c>
      <c r="K45" s="143">
        <v>4</v>
      </c>
      <c r="L45" s="368">
        <v>5</v>
      </c>
      <c r="M45" s="148" t="s">
        <v>199</v>
      </c>
    </row>
    <row r="46" spans="1:13" ht="22.5">
      <c r="A46" s="152" t="s">
        <v>11968</v>
      </c>
      <c r="B46" s="152" t="s">
        <v>11969</v>
      </c>
      <c r="C46" s="152" t="s">
        <v>242</v>
      </c>
      <c r="D46" s="154"/>
      <c r="E46" s="470" t="s">
        <v>11898</v>
      </c>
      <c r="F46" s="336" t="s">
        <v>11970</v>
      </c>
      <c r="G46" s="145" t="s">
        <v>198</v>
      </c>
      <c r="H46" s="145"/>
      <c r="I46" s="145"/>
      <c r="J46" s="152" t="s">
        <v>191</v>
      </c>
      <c r="K46" s="143">
        <v>4</v>
      </c>
      <c r="L46" s="368">
        <v>5</v>
      </c>
      <c r="M46" s="148" t="s">
        <v>199</v>
      </c>
    </row>
    <row r="47" spans="1:13" ht="45">
      <c r="A47" s="152" t="s">
        <v>11971</v>
      </c>
      <c r="B47" s="152" t="s">
        <v>11972</v>
      </c>
      <c r="C47" s="152" t="s">
        <v>242</v>
      </c>
      <c r="D47" s="154"/>
      <c r="E47" s="470" t="s">
        <v>11898</v>
      </c>
      <c r="F47" s="336" t="s">
        <v>11973</v>
      </c>
      <c r="G47" s="145" t="s">
        <v>198</v>
      </c>
      <c r="H47" s="145"/>
      <c r="I47" s="145"/>
      <c r="J47" s="152" t="s">
        <v>191</v>
      </c>
      <c r="K47" s="143">
        <v>4</v>
      </c>
      <c r="L47" s="368">
        <v>5</v>
      </c>
      <c r="M47" s="148" t="s">
        <v>199</v>
      </c>
    </row>
    <row r="48" spans="1:13" ht="45">
      <c r="A48" s="152" t="s">
        <v>11974</v>
      </c>
      <c r="B48" s="152" t="s">
        <v>11975</v>
      </c>
      <c r="C48" s="152" t="s">
        <v>242</v>
      </c>
      <c r="D48" s="154"/>
      <c r="E48" s="470" t="s">
        <v>11898</v>
      </c>
      <c r="F48" s="336" t="s">
        <v>11976</v>
      </c>
      <c r="G48" s="145" t="s">
        <v>198</v>
      </c>
      <c r="H48" s="145"/>
      <c r="I48" s="145"/>
      <c r="J48" s="152" t="s">
        <v>191</v>
      </c>
      <c r="K48" s="143">
        <v>4</v>
      </c>
      <c r="L48" s="368">
        <v>5</v>
      </c>
      <c r="M48" s="148" t="s">
        <v>199</v>
      </c>
    </row>
    <row r="49" spans="1:13" ht="33.75">
      <c r="A49" s="152" t="s">
        <v>11977</v>
      </c>
      <c r="B49" s="152" t="s">
        <v>11978</v>
      </c>
      <c r="C49" s="152" t="s">
        <v>242</v>
      </c>
      <c r="D49" s="154"/>
      <c r="E49" s="470" t="s">
        <v>11898</v>
      </c>
      <c r="F49" s="336" t="s">
        <v>11979</v>
      </c>
      <c r="G49" s="145" t="s">
        <v>198</v>
      </c>
      <c r="H49" s="145"/>
      <c r="I49" s="145"/>
      <c r="J49" s="152" t="s">
        <v>191</v>
      </c>
      <c r="K49" s="143">
        <v>4</v>
      </c>
      <c r="L49" s="368">
        <v>5</v>
      </c>
      <c r="M49" s="148" t="s">
        <v>199</v>
      </c>
    </row>
    <row r="50" spans="1:13" ht="22.5">
      <c r="A50" s="152" t="s">
        <v>11980</v>
      </c>
      <c r="B50" s="152" t="s">
        <v>11981</v>
      </c>
      <c r="C50" s="152" t="s">
        <v>242</v>
      </c>
      <c r="D50" s="154"/>
      <c r="E50" s="470" t="s">
        <v>11898</v>
      </c>
      <c r="F50" s="336" t="s">
        <v>11982</v>
      </c>
      <c r="G50" s="145" t="s">
        <v>198</v>
      </c>
      <c r="H50" s="145"/>
      <c r="I50" s="145"/>
      <c r="J50" s="152" t="s">
        <v>191</v>
      </c>
      <c r="K50" s="143">
        <v>4</v>
      </c>
      <c r="L50" s="368">
        <v>5</v>
      </c>
      <c r="M50" s="148" t="s">
        <v>199</v>
      </c>
    </row>
    <row r="51" spans="1:13" ht="22.5">
      <c r="A51" s="152" t="s">
        <v>11983</v>
      </c>
      <c r="B51" s="152" t="s">
        <v>11984</v>
      </c>
      <c r="C51" s="152" t="s">
        <v>242</v>
      </c>
      <c r="D51" s="154"/>
      <c r="E51" s="470" t="s">
        <v>11898</v>
      </c>
      <c r="F51" s="336" t="s">
        <v>11985</v>
      </c>
      <c r="G51" s="145" t="s">
        <v>198</v>
      </c>
      <c r="H51" s="145"/>
      <c r="I51" s="145"/>
      <c r="J51" s="152" t="s">
        <v>191</v>
      </c>
      <c r="K51" s="143">
        <v>4</v>
      </c>
      <c r="L51" s="368">
        <v>5</v>
      </c>
      <c r="M51" s="148" t="s">
        <v>199</v>
      </c>
    </row>
    <row r="52" spans="1:13" ht="22.5">
      <c r="A52" s="152" t="s">
        <v>11986</v>
      </c>
      <c r="B52" s="152" t="s">
        <v>11987</v>
      </c>
      <c r="C52" s="152" t="s">
        <v>242</v>
      </c>
      <c r="D52" s="154"/>
      <c r="E52" s="470" t="s">
        <v>11898</v>
      </c>
      <c r="F52" s="336" t="s">
        <v>11988</v>
      </c>
      <c r="G52" s="145" t="s">
        <v>198</v>
      </c>
      <c r="H52" s="145"/>
      <c r="I52" s="145"/>
      <c r="J52" s="152" t="s">
        <v>191</v>
      </c>
      <c r="K52" s="143">
        <v>4</v>
      </c>
      <c r="L52" s="368">
        <v>5</v>
      </c>
      <c r="M52" s="148" t="s">
        <v>199</v>
      </c>
    </row>
    <row r="53" spans="1:13" ht="22.5">
      <c r="A53" s="152" t="s">
        <v>11989</v>
      </c>
      <c r="B53" s="152" t="s">
        <v>11990</v>
      </c>
      <c r="C53" s="152" t="s">
        <v>242</v>
      </c>
      <c r="D53" s="154"/>
      <c r="E53" s="470" t="s">
        <v>11898</v>
      </c>
      <c r="F53" s="336" t="s">
        <v>11991</v>
      </c>
      <c r="G53" s="145" t="s">
        <v>198</v>
      </c>
      <c r="H53" s="145"/>
      <c r="I53" s="145"/>
      <c r="J53" s="152" t="s">
        <v>191</v>
      </c>
      <c r="K53" s="143">
        <v>4</v>
      </c>
      <c r="L53" s="368">
        <v>5</v>
      </c>
      <c r="M53" s="148" t="s">
        <v>199</v>
      </c>
    </row>
    <row r="54" spans="1:13" ht="22.5">
      <c r="A54" s="152" t="s">
        <v>11992</v>
      </c>
      <c r="B54" s="152" t="s">
        <v>11993</v>
      </c>
      <c r="C54" s="152" t="s">
        <v>242</v>
      </c>
      <c r="D54" s="154"/>
      <c r="E54" s="470" t="s">
        <v>11898</v>
      </c>
      <c r="F54" s="336" t="s">
        <v>11994</v>
      </c>
      <c r="G54" s="145" t="s">
        <v>198</v>
      </c>
      <c r="H54" s="145"/>
      <c r="I54" s="145"/>
      <c r="J54" s="152" t="s">
        <v>191</v>
      </c>
      <c r="K54" s="143">
        <v>4</v>
      </c>
      <c r="L54" s="368">
        <v>5</v>
      </c>
      <c r="M54" s="148" t="s">
        <v>199</v>
      </c>
    </row>
    <row r="55" spans="1:13" ht="22.5">
      <c r="A55" s="152" t="s">
        <v>11995</v>
      </c>
      <c r="B55" s="152" t="s">
        <v>11996</v>
      </c>
      <c r="C55" s="152" t="s">
        <v>242</v>
      </c>
      <c r="D55" s="154"/>
      <c r="E55" s="470" t="s">
        <v>11898</v>
      </c>
      <c r="F55" s="336" t="s">
        <v>11997</v>
      </c>
      <c r="G55" s="145" t="s">
        <v>198</v>
      </c>
      <c r="H55" s="145"/>
      <c r="I55" s="145"/>
      <c r="J55" s="152" t="s">
        <v>191</v>
      </c>
      <c r="K55" s="143">
        <v>4</v>
      </c>
      <c r="L55" s="368">
        <v>5</v>
      </c>
      <c r="M55" s="148" t="s">
        <v>199</v>
      </c>
    </row>
    <row r="56" spans="1:13" ht="45">
      <c r="A56" s="152" t="s">
        <v>11998</v>
      </c>
      <c r="B56" s="152" t="s">
        <v>11999</v>
      </c>
      <c r="C56" s="152" t="s">
        <v>242</v>
      </c>
      <c r="D56" s="154"/>
      <c r="E56" s="470" t="s">
        <v>11898</v>
      </c>
      <c r="F56" s="336" t="s">
        <v>12000</v>
      </c>
      <c r="G56" s="145" t="s">
        <v>198</v>
      </c>
      <c r="H56" s="145"/>
      <c r="I56" s="145"/>
      <c r="J56" s="152" t="s">
        <v>191</v>
      </c>
      <c r="K56" s="143">
        <v>4</v>
      </c>
      <c r="L56" s="368">
        <v>5</v>
      </c>
      <c r="M56" s="148" t="s">
        <v>199</v>
      </c>
    </row>
    <row r="57" spans="1:13" ht="22.5">
      <c r="A57" s="152" t="s">
        <v>12001</v>
      </c>
      <c r="B57" s="152" t="s">
        <v>12002</v>
      </c>
      <c r="C57" s="152" t="s">
        <v>242</v>
      </c>
      <c r="D57" s="154"/>
      <c r="E57" s="470" t="s">
        <v>11898</v>
      </c>
      <c r="F57" s="336" t="s">
        <v>12003</v>
      </c>
      <c r="G57" s="145" t="s">
        <v>198</v>
      </c>
      <c r="H57" s="145"/>
      <c r="I57" s="145"/>
      <c r="J57" s="152" t="s">
        <v>191</v>
      </c>
      <c r="K57" s="143">
        <v>4</v>
      </c>
      <c r="L57" s="368">
        <v>5</v>
      </c>
      <c r="M57" s="148" t="s">
        <v>199</v>
      </c>
    </row>
    <row r="58" spans="1:13" ht="22.5">
      <c r="A58" s="152" t="s">
        <v>12004</v>
      </c>
      <c r="B58" s="152" t="s">
        <v>12005</v>
      </c>
      <c r="C58" s="152" t="s">
        <v>242</v>
      </c>
      <c r="D58" s="154"/>
      <c r="E58" s="470" t="s">
        <v>11898</v>
      </c>
      <c r="F58" s="336" t="s">
        <v>12006</v>
      </c>
      <c r="G58" s="145" t="s">
        <v>198</v>
      </c>
      <c r="H58" s="145"/>
      <c r="I58" s="145"/>
      <c r="J58" s="152" t="s">
        <v>191</v>
      </c>
      <c r="K58" s="143">
        <v>4</v>
      </c>
      <c r="L58" s="368">
        <v>5</v>
      </c>
      <c r="M58" s="148" t="s">
        <v>199</v>
      </c>
    </row>
    <row r="59" spans="1:13" ht="45">
      <c r="A59" s="152" t="s">
        <v>12007</v>
      </c>
      <c r="B59" s="152" t="s">
        <v>12008</v>
      </c>
      <c r="C59" s="152" t="s">
        <v>242</v>
      </c>
      <c r="D59" s="154"/>
      <c r="E59" s="470" t="s">
        <v>11898</v>
      </c>
      <c r="F59" s="336" t="s">
        <v>12009</v>
      </c>
      <c r="G59" s="243" t="s">
        <v>198</v>
      </c>
      <c r="H59" s="145"/>
      <c r="I59" s="145"/>
      <c r="J59" s="152" t="s">
        <v>191</v>
      </c>
      <c r="K59" s="143">
        <v>4</v>
      </c>
      <c r="L59" s="368">
        <v>5</v>
      </c>
      <c r="M59" s="148" t="s">
        <v>199</v>
      </c>
    </row>
    <row r="60" spans="1:13" ht="33.75">
      <c r="A60" s="152" t="s">
        <v>12010</v>
      </c>
      <c r="B60" s="152" t="s">
        <v>12011</v>
      </c>
      <c r="C60" s="152" t="s">
        <v>242</v>
      </c>
      <c r="D60" s="154"/>
      <c r="E60" s="470" t="s">
        <v>11898</v>
      </c>
      <c r="F60" s="336" t="s">
        <v>12012</v>
      </c>
      <c r="G60" s="243" t="s">
        <v>198</v>
      </c>
      <c r="H60" s="145"/>
      <c r="I60" s="145"/>
      <c r="J60" s="152" t="s">
        <v>191</v>
      </c>
      <c r="K60" s="143">
        <v>4</v>
      </c>
      <c r="L60" s="368">
        <v>5</v>
      </c>
      <c r="M60" s="148" t="s">
        <v>199</v>
      </c>
    </row>
    <row r="61" spans="1:13" ht="22.5">
      <c r="A61" s="152" t="s">
        <v>12013</v>
      </c>
      <c r="B61" s="152" t="s">
        <v>12014</v>
      </c>
      <c r="C61" s="152" t="s">
        <v>242</v>
      </c>
      <c r="D61" s="154"/>
      <c r="E61" s="470" t="s">
        <v>11898</v>
      </c>
      <c r="F61" s="336" t="s">
        <v>12015</v>
      </c>
      <c r="G61" s="243" t="s">
        <v>198</v>
      </c>
      <c r="H61" s="145"/>
      <c r="I61" s="145"/>
      <c r="J61" s="152" t="s">
        <v>191</v>
      </c>
      <c r="K61" s="143">
        <v>4</v>
      </c>
      <c r="L61" s="368">
        <v>5</v>
      </c>
      <c r="M61" s="148" t="s">
        <v>199</v>
      </c>
    </row>
    <row r="62" spans="1:13" ht="22.5">
      <c r="A62" s="152" t="s">
        <v>12016</v>
      </c>
      <c r="B62" s="152" t="s">
        <v>12017</v>
      </c>
      <c r="C62" s="152" t="s">
        <v>242</v>
      </c>
      <c r="D62" s="154"/>
      <c r="E62" s="470" t="s">
        <v>11898</v>
      </c>
      <c r="F62" s="336" t="s">
        <v>12018</v>
      </c>
      <c r="G62" s="243" t="s">
        <v>198</v>
      </c>
      <c r="H62" s="145"/>
      <c r="I62" s="145"/>
      <c r="J62" s="152" t="s">
        <v>191</v>
      </c>
      <c r="K62" s="143">
        <v>4</v>
      </c>
      <c r="L62" s="368">
        <v>5</v>
      </c>
      <c r="M62" s="148" t="s">
        <v>199</v>
      </c>
    </row>
    <row r="63" spans="1:13" ht="22.5">
      <c r="A63" s="152" t="s">
        <v>12019</v>
      </c>
      <c r="B63" s="152" t="s">
        <v>12020</v>
      </c>
      <c r="C63" s="152" t="s">
        <v>242</v>
      </c>
      <c r="D63" s="154"/>
      <c r="E63" s="470" t="s">
        <v>11898</v>
      </c>
      <c r="F63" s="336" t="s">
        <v>12021</v>
      </c>
      <c r="G63" s="243" t="s">
        <v>198</v>
      </c>
      <c r="H63" s="145"/>
      <c r="I63" s="145"/>
      <c r="J63" s="152" t="s">
        <v>191</v>
      </c>
      <c r="K63" s="143">
        <v>4</v>
      </c>
      <c r="L63" s="368">
        <v>5</v>
      </c>
      <c r="M63" s="148" t="s">
        <v>199</v>
      </c>
    </row>
    <row r="64" spans="1:13" ht="22.5">
      <c r="A64" s="152" t="s">
        <v>12022</v>
      </c>
      <c r="B64" s="152" t="s">
        <v>12023</v>
      </c>
      <c r="C64" s="152" t="s">
        <v>242</v>
      </c>
      <c r="D64" s="154"/>
      <c r="E64" s="470" t="s">
        <v>11898</v>
      </c>
      <c r="F64" s="336" t="s">
        <v>12024</v>
      </c>
      <c r="G64" s="243" t="s">
        <v>198</v>
      </c>
      <c r="H64" s="145"/>
      <c r="I64" s="145"/>
      <c r="J64" s="152" t="s">
        <v>191</v>
      </c>
      <c r="K64" s="143">
        <v>4</v>
      </c>
      <c r="L64" s="368">
        <v>5</v>
      </c>
      <c r="M64" s="148" t="s">
        <v>199</v>
      </c>
    </row>
    <row r="65" spans="1:13" ht="22.5">
      <c r="A65" s="152" t="s">
        <v>12025</v>
      </c>
      <c r="B65" s="152" t="s">
        <v>12026</v>
      </c>
      <c r="C65" s="152" t="s">
        <v>242</v>
      </c>
      <c r="D65" s="154"/>
      <c r="E65" s="470" t="s">
        <v>11898</v>
      </c>
      <c r="F65" s="336" t="s">
        <v>12027</v>
      </c>
      <c r="G65" s="243" t="s">
        <v>198</v>
      </c>
      <c r="H65" s="145"/>
      <c r="I65" s="145"/>
      <c r="J65" s="152" t="s">
        <v>191</v>
      </c>
      <c r="K65" s="143">
        <v>4</v>
      </c>
      <c r="L65" s="368">
        <v>5</v>
      </c>
      <c r="M65" s="148" t="s">
        <v>199</v>
      </c>
    </row>
    <row r="66" spans="1:13" ht="22.5">
      <c r="A66" s="152" t="s">
        <v>12028</v>
      </c>
      <c r="B66" s="152" t="s">
        <v>12029</v>
      </c>
      <c r="C66" s="152" t="s">
        <v>242</v>
      </c>
      <c r="D66" s="154"/>
      <c r="E66" s="470" t="s">
        <v>11898</v>
      </c>
      <c r="F66" s="336" t="s">
        <v>12030</v>
      </c>
      <c r="G66" s="243" t="s">
        <v>198</v>
      </c>
      <c r="H66" s="145"/>
      <c r="I66" s="145"/>
      <c r="J66" s="152" t="s">
        <v>191</v>
      </c>
      <c r="K66" s="143">
        <v>4</v>
      </c>
      <c r="L66" s="368">
        <v>5</v>
      </c>
      <c r="M66" s="148" t="s">
        <v>199</v>
      </c>
    </row>
    <row r="67" spans="1:13" ht="22.5">
      <c r="A67" s="152" t="s">
        <v>12031</v>
      </c>
      <c r="B67" s="152" t="s">
        <v>12032</v>
      </c>
      <c r="C67" s="152" t="s">
        <v>242</v>
      </c>
      <c r="D67" s="154"/>
      <c r="E67" s="470" t="s">
        <v>11898</v>
      </c>
      <c r="F67" s="336" t="s">
        <v>12033</v>
      </c>
      <c r="G67" s="243" t="s">
        <v>198</v>
      </c>
      <c r="H67" s="145"/>
      <c r="I67" s="145"/>
      <c r="J67" s="152" t="s">
        <v>191</v>
      </c>
      <c r="K67" s="143">
        <v>4</v>
      </c>
      <c r="L67" s="368">
        <v>5</v>
      </c>
      <c r="M67" s="148" t="s">
        <v>199</v>
      </c>
    </row>
    <row r="68" spans="1:13" ht="22.5">
      <c r="A68" s="152" t="s">
        <v>12034</v>
      </c>
      <c r="B68" s="152" t="s">
        <v>12035</v>
      </c>
      <c r="C68" s="152" t="s">
        <v>242</v>
      </c>
      <c r="D68" s="154"/>
      <c r="E68" s="470" t="s">
        <v>11898</v>
      </c>
      <c r="F68" s="336" t="s">
        <v>12036</v>
      </c>
      <c r="G68" s="243" t="s">
        <v>198</v>
      </c>
      <c r="H68" s="145"/>
      <c r="I68" s="145"/>
      <c r="J68" s="152" t="s">
        <v>191</v>
      </c>
      <c r="K68" s="143">
        <v>4</v>
      </c>
      <c r="L68" s="368">
        <v>5</v>
      </c>
      <c r="M68" s="148" t="s">
        <v>199</v>
      </c>
    </row>
    <row r="69" spans="1:13" ht="22.5">
      <c r="A69" s="152" t="s">
        <v>12037</v>
      </c>
      <c r="B69" s="152" t="s">
        <v>12038</v>
      </c>
      <c r="C69" s="152" t="s">
        <v>242</v>
      </c>
      <c r="D69" s="154"/>
      <c r="E69" s="470" t="s">
        <v>11898</v>
      </c>
      <c r="F69" s="336" t="s">
        <v>12039</v>
      </c>
      <c r="G69" s="243" t="s">
        <v>198</v>
      </c>
      <c r="H69" s="145"/>
      <c r="I69" s="145"/>
      <c r="J69" s="152" t="s">
        <v>191</v>
      </c>
      <c r="K69" s="143">
        <v>4</v>
      </c>
      <c r="L69" s="368">
        <v>5</v>
      </c>
      <c r="M69" s="148" t="s">
        <v>199</v>
      </c>
    </row>
    <row r="70" spans="1:13" ht="22.5">
      <c r="A70" s="152" t="s">
        <v>12040</v>
      </c>
      <c r="B70" s="152" t="s">
        <v>12041</v>
      </c>
      <c r="C70" s="152" t="s">
        <v>242</v>
      </c>
      <c r="D70" s="154"/>
      <c r="E70" s="470" t="s">
        <v>11898</v>
      </c>
      <c r="F70" s="336" t="s">
        <v>12042</v>
      </c>
      <c r="G70" s="145" t="s">
        <v>198</v>
      </c>
      <c r="H70" s="145" t="s">
        <v>12043</v>
      </c>
      <c r="I70" s="145"/>
      <c r="J70" s="152" t="s">
        <v>191</v>
      </c>
      <c r="K70" s="143">
        <v>4</v>
      </c>
      <c r="L70" s="368">
        <v>5</v>
      </c>
      <c r="M70" s="148" t="s">
        <v>199</v>
      </c>
    </row>
    <row r="71" spans="1:13" ht="22.5">
      <c r="A71" s="152" t="s">
        <v>12044</v>
      </c>
      <c r="B71" s="152" t="s">
        <v>12045</v>
      </c>
      <c r="C71" s="152" t="s">
        <v>242</v>
      </c>
      <c r="D71" s="154"/>
      <c r="E71" s="470" t="s">
        <v>11898</v>
      </c>
      <c r="F71" s="336" t="s">
        <v>12046</v>
      </c>
      <c r="G71" s="145" t="s">
        <v>188</v>
      </c>
      <c r="H71" s="145" t="s">
        <v>11921</v>
      </c>
      <c r="I71" s="145"/>
      <c r="J71" s="152" t="s">
        <v>191</v>
      </c>
      <c r="K71" s="143">
        <v>4</v>
      </c>
      <c r="L71" s="368">
        <v>5</v>
      </c>
      <c r="M71" s="148" t="s">
        <v>199</v>
      </c>
    </row>
    <row r="72" spans="1:13" ht="22.5">
      <c r="A72" s="152" t="s">
        <v>12047</v>
      </c>
      <c r="B72" s="152" t="s">
        <v>12048</v>
      </c>
      <c r="C72" s="152" t="s">
        <v>242</v>
      </c>
      <c r="D72" s="154"/>
      <c r="E72" s="470" t="s">
        <v>11898</v>
      </c>
      <c r="F72" s="336" t="s">
        <v>12049</v>
      </c>
      <c r="G72" s="145" t="s">
        <v>188</v>
      </c>
      <c r="H72" s="145" t="s">
        <v>11921</v>
      </c>
      <c r="I72" s="145"/>
      <c r="J72" s="152" t="s">
        <v>191</v>
      </c>
      <c r="K72" s="143">
        <v>4</v>
      </c>
      <c r="L72" s="368">
        <v>5</v>
      </c>
      <c r="M72" s="148" t="s">
        <v>199</v>
      </c>
    </row>
    <row r="73" spans="1:13" ht="22.5">
      <c r="A73" s="152" t="s">
        <v>12050</v>
      </c>
      <c r="B73" s="152" t="s">
        <v>12051</v>
      </c>
      <c r="C73" s="152" t="s">
        <v>242</v>
      </c>
      <c r="D73" s="154"/>
      <c r="E73" s="470" t="s">
        <v>11898</v>
      </c>
      <c r="F73" s="336" t="s">
        <v>12052</v>
      </c>
      <c r="G73" s="145" t="s">
        <v>188</v>
      </c>
      <c r="H73" s="145" t="s">
        <v>11921</v>
      </c>
      <c r="I73" s="145"/>
      <c r="J73" s="152" t="s">
        <v>191</v>
      </c>
      <c r="K73" s="143">
        <v>4</v>
      </c>
      <c r="L73" s="368">
        <v>5</v>
      </c>
      <c r="M73" s="148" t="s">
        <v>199</v>
      </c>
    </row>
    <row r="74" spans="1:13" ht="22.5">
      <c r="A74" s="152" t="s">
        <v>12053</v>
      </c>
      <c r="B74" s="152" t="s">
        <v>12054</v>
      </c>
      <c r="C74" s="152" t="s">
        <v>242</v>
      </c>
      <c r="D74" s="154"/>
      <c r="E74" s="470" t="s">
        <v>11898</v>
      </c>
      <c r="F74" s="336" t="s">
        <v>12055</v>
      </c>
      <c r="G74" s="145" t="s">
        <v>198</v>
      </c>
      <c r="H74" s="145"/>
      <c r="I74" s="145"/>
      <c r="J74" s="152" t="s">
        <v>191</v>
      </c>
      <c r="K74" s="143">
        <v>4</v>
      </c>
      <c r="L74" s="368">
        <v>5</v>
      </c>
      <c r="M74" s="148" t="s">
        <v>199</v>
      </c>
    </row>
    <row r="75" spans="1:13" ht="22.5">
      <c r="A75" s="152" t="s">
        <v>12056</v>
      </c>
      <c r="B75" s="152" t="s">
        <v>12057</v>
      </c>
      <c r="C75" s="152" t="s">
        <v>242</v>
      </c>
      <c r="D75" s="154"/>
      <c r="E75" s="470" t="s">
        <v>11898</v>
      </c>
      <c r="F75" s="336" t="s">
        <v>12058</v>
      </c>
      <c r="G75" s="243" t="s">
        <v>740</v>
      </c>
      <c r="H75" s="145"/>
      <c r="I75" s="145"/>
      <c r="J75" s="152" t="s">
        <v>191</v>
      </c>
      <c r="K75" s="143">
        <v>4</v>
      </c>
      <c r="L75" s="368">
        <v>5</v>
      </c>
      <c r="M75" s="148" t="s">
        <v>199</v>
      </c>
    </row>
    <row r="76" spans="1:13" ht="22.5">
      <c r="A76" s="152" t="s">
        <v>12059</v>
      </c>
      <c r="B76" s="152" t="s">
        <v>12060</v>
      </c>
      <c r="C76" s="152" t="s">
        <v>242</v>
      </c>
      <c r="D76" s="154"/>
      <c r="E76" s="470" t="s">
        <v>11898</v>
      </c>
      <c r="F76" s="336" t="s">
        <v>12061</v>
      </c>
      <c r="G76" s="243" t="s">
        <v>740</v>
      </c>
      <c r="H76" s="145"/>
      <c r="I76" s="145"/>
      <c r="J76" s="152" t="s">
        <v>191</v>
      </c>
      <c r="K76" s="143">
        <v>4</v>
      </c>
      <c r="L76" s="368">
        <v>5</v>
      </c>
      <c r="M76" s="148" t="s">
        <v>199</v>
      </c>
    </row>
    <row r="77" spans="1:13" ht="22.5">
      <c r="A77" s="152" t="s">
        <v>12062</v>
      </c>
      <c r="B77" s="152" t="s">
        <v>12063</v>
      </c>
      <c r="C77" s="152" t="s">
        <v>242</v>
      </c>
      <c r="D77" s="154"/>
      <c r="E77" s="470" t="s">
        <v>11898</v>
      </c>
      <c r="F77" s="336" t="s">
        <v>12064</v>
      </c>
      <c r="G77" s="145" t="s">
        <v>188</v>
      </c>
      <c r="H77" s="145" t="s">
        <v>11921</v>
      </c>
      <c r="I77" s="145"/>
      <c r="J77" s="152" t="s">
        <v>191</v>
      </c>
      <c r="K77" s="143">
        <v>4</v>
      </c>
      <c r="L77" s="368">
        <v>5</v>
      </c>
      <c r="M77" s="148" t="s">
        <v>199</v>
      </c>
    </row>
    <row r="78" spans="1:13" ht="22.5">
      <c r="A78" s="152" t="s">
        <v>12065</v>
      </c>
      <c r="B78" s="152" t="s">
        <v>12066</v>
      </c>
      <c r="C78" s="152" t="s">
        <v>242</v>
      </c>
      <c r="D78" s="154"/>
      <c r="E78" s="470" t="s">
        <v>11898</v>
      </c>
      <c r="F78" s="336" t="s">
        <v>12067</v>
      </c>
      <c r="G78" s="145" t="s">
        <v>198</v>
      </c>
      <c r="H78" s="145"/>
      <c r="I78" s="145"/>
      <c r="J78" s="152" t="s">
        <v>191</v>
      </c>
      <c r="K78" s="143">
        <v>4</v>
      </c>
      <c r="L78" s="368">
        <v>5</v>
      </c>
      <c r="M78" s="148" t="s">
        <v>199</v>
      </c>
    </row>
    <row r="79" spans="1:13" ht="22.5">
      <c r="A79" s="152" t="s">
        <v>12068</v>
      </c>
      <c r="B79" s="152" t="s">
        <v>12069</v>
      </c>
      <c r="C79" s="152" t="s">
        <v>242</v>
      </c>
      <c r="D79" s="154"/>
      <c r="E79" s="470" t="s">
        <v>11898</v>
      </c>
      <c r="F79" s="336" t="s">
        <v>12070</v>
      </c>
      <c r="G79" s="145" t="s">
        <v>198</v>
      </c>
      <c r="H79" s="145"/>
      <c r="I79" s="145"/>
      <c r="J79" s="152" t="s">
        <v>191</v>
      </c>
      <c r="K79" s="143">
        <v>4</v>
      </c>
      <c r="L79" s="368">
        <v>5</v>
      </c>
      <c r="M79" s="148" t="s">
        <v>199</v>
      </c>
    </row>
    <row r="80" spans="1:13" ht="22.5">
      <c r="A80" s="152" t="s">
        <v>12071</v>
      </c>
      <c r="B80" s="152" t="s">
        <v>12072</v>
      </c>
      <c r="C80" s="152" t="s">
        <v>242</v>
      </c>
      <c r="D80" s="154"/>
      <c r="E80" s="470" t="s">
        <v>11898</v>
      </c>
      <c r="F80" s="336" t="s">
        <v>12073</v>
      </c>
      <c r="G80" s="145" t="s">
        <v>198</v>
      </c>
      <c r="H80" s="145"/>
      <c r="I80" s="145"/>
      <c r="J80" s="152" t="s">
        <v>191</v>
      </c>
      <c r="K80" s="143">
        <v>4</v>
      </c>
      <c r="L80" s="368">
        <v>5</v>
      </c>
      <c r="M80" s="148" t="s">
        <v>199</v>
      </c>
    </row>
    <row r="81" spans="1:13" ht="22.5">
      <c r="A81" s="152" t="s">
        <v>12074</v>
      </c>
      <c r="B81" s="152" t="s">
        <v>12075</v>
      </c>
      <c r="C81" s="152" t="s">
        <v>242</v>
      </c>
      <c r="D81" s="154"/>
      <c r="E81" s="470" t="s">
        <v>11898</v>
      </c>
      <c r="F81" s="336" t="s">
        <v>12076</v>
      </c>
      <c r="G81" s="145" t="s">
        <v>198</v>
      </c>
      <c r="H81" s="145"/>
      <c r="I81" s="145"/>
      <c r="J81" s="152" t="s">
        <v>191</v>
      </c>
      <c r="K81" s="143">
        <v>4</v>
      </c>
      <c r="L81" s="368">
        <v>5</v>
      </c>
      <c r="M81" s="148" t="s">
        <v>199</v>
      </c>
    </row>
    <row r="82" spans="1:13" ht="22.5">
      <c r="A82" s="152" t="s">
        <v>12077</v>
      </c>
      <c r="B82" s="152" t="s">
        <v>12078</v>
      </c>
      <c r="C82" s="152" t="s">
        <v>242</v>
      </c>
      <c r="D82" s="154"/>
      <c r="E82" s="470" t="s">
        <v>11898</v>
      </c>
      <c r="F82" s="336" t="s">
        <v>12079</v>
      </c>
      <c r="G82" s="145" t="s">
        <v>198</v>
      </c>
      <c r="H82" s="145"/>
      <c r="I82" s="145"/>
      <c r="J82" s="152" t="s">
        <v>191</v>
      </c>
      <c r="K82" s="143">
        <v>4</v>
      </c>
      <c r="L82" s="368">
        <v>5</v>
      </c>
      <c r="M82" s="148" t="s">
        <v>199</v>
      </c>
    </row>
    <row r="83" spans="1:13" ht="56.25">
      <c r="A83" s="152" t="s">
        <v>12080</v>
      </c>
      <c r="B83" s="152" t="s">
        <v>12081</v>
      </c>
      <c r="C83" s="152" t="s">
        <v>242</v>
      </c>
      <c r="D83" s="154"/>
      <c r="E83" s="470" t="s">
        <v>11898</v>
      </c>
      <c r="F83" s="336" t="s">
        <v>12082</v>
      </c>
      <c r="G83" s="145" t="s">
        <v>740</v>
      </c>
      <c r="H83" s="145" t="s">
        <v>12083</v>
      </c>
      <c r="I83" s="145"/>
      <c r="J83" s="152" t="s">
        <v>191</v>
      </c>
      <c r="K83" s="143">
        <v>4</v>
      </c>
      <c r="L83" s="368">
        <v>5</v>
      </c>
      <c r="M83" s="148" t="s">
        <v>199</v>
      </c>
    </row>
    <row r="84" spans="1:13" ht="45">
      <c r="A84" s="152" t="s">
        <v>12084</v>
      </c>
      <c r="B84" s="152" t="s">
        <v>12085</v>
      </c>
      <c r="C84" s="152" t="s">
        <v>242</v>
      </c>
      <c r="D84" s="154"/>
      <c r="E84" s="470" t="s">
        <v>11898</v>
      </c>
      <c r="F84" s="336" t="s">
        <v>12086</v>
      </c>
      <c r="G84" s="145" t="s">
        <v>740</v>
      </c>
      <c r="H84" s="145" t="s">
        <v>12083</v>
      </c>
      <c r="I84" s="145"/>
      <c r="J84" s="152" t="s">
        <v>191</v>
      </c>
      <c r="K84" s="143">
        <v>4</v>
      </c>
      <c r="L84" s="368">
        <v>5</v>
      </c>
      <c r="M84" s="148" t="s">
        <v>199</v>
      </c>
    </row>
    <row r="85" spans="1:13" ht="22.5">
      <c r="A85" s="152" t="s">
        <v>12087</v>
      </c>
      <c r="B85" s="152" t="s">
        <v>12088</v>
      </c>
      <c r="C85" s="152" t="s">
        <v>242</v>
      </c>
      <c r="D85" s="154"/>
      <c r="E85" s="470" t="s">
        <v>11898</v>
      </c>
      <c r="F85" s="336" t="s">
        <v>12089</v>
      </c>
      <c r="G85" s="145" t="s">
        <v>198</v>
      </c>
      <c r="H85" s="145"/>
      <c r="I85" s="145"/>
      <c r="J85" s="152" t="s">
        <v>191</v>
      </c>
      <c r="K85" s="143">
        <v>4</v>
      </c>
      <c r="L85" s="368">
        <v>5</v>
      </c>
      <c r="M85" s="148" t="s">
        <v>199</v>
      </c>
    </row>
    <row r="86" spans="1:13" ht="22.5">
      <c r="A86" s="152" t="s">
        <v>12090</v>
      </c>
      <c r="B86" s="152" t="s">
        <v>12091</v>
      </c>
      <c r="C86" s="152" t="s">
        <v>242</v>
      </c>
      <c r="D86" s="154"/>
      <c r="E86" s="470" t="s">
        <v>11898</v>
      </c>
      <c r="F86" s="336" t="s">
        <v>12092</v>
      </c>
      <c r="G86" s="145" t="s">
        <v>198</v>
      </c>
      <c r="H86" s="145"/>
      <c r="I86" s="145"/>
      <c r="J86" s="152" t="s">
        <v>191</v>
      </c>
      <c r="K86" s="143">
        <v>4</v>
      </c>
      <c r="L86" s="368">
        <v>5</v>
      </c>
      <c r="M86" s="148" t="s">
        <v>199</v>
      </c>
    </row>
    <row r="87" spans="1:13" ht="22.5">
      <c r="A87" s="152" t="s">
        <v>12093</v>
      </c>
      <c r="B87" s="152" t="s">
        <v>12094</v>
      </c>
      <c r="C87" s="152" t="s">
        <v>242</v>
      </c>
      <c r="D87" s="154"/>
      <c r="E87" s="470" t="s">
        <v>11898</v>
      </c>
      <c r="F87" s="336" t="s">
        <v>12095</v>
      </c>
      <c r="G87" s="145" t="s">
        <v>198</v>
      </c>
      <c r="H87" s="145"/>
      <c r="I87" s="145"/>
      <c r="J87" s="152" t="s">
        <v>191</v>
      </c>
      <c r="K87" s="143">
        <v>4</v>
      </c>
      <c r="L87" s="368">
        <v>5</v>
      </c>
      <c r="M87" s="148" t="s">
        <v>199</v>
      </c>
    </row>
    <row r="88" spans="1:13" ht="22.5">
      <c r="A88" s="152" t="s">
        <v>12096</v>
      </c>
      <c r="B88" s="152" t="s">
        <v>12097</v>
      </c>
      <c r="C88" s="152" t="s">
        <v>242</v>
      </c>
      <c r="D88" s="154"/>
      <c r="E88" s="470" t="s">
        <v>11898</v>
      </c>
      <c r="F88" s="336" t="s">
        <v>12098</v>
      </c>
      <c r="G88" s="145" t="s">
        <v>198</v>
      </c>
      <c r="H88" s="145"/>
      <c r="I88" s="145"/>
      <c r="J88" s="152" t="s">
        <v>191</v>
      </c>
      <c r="K88" s="143">
        <v>4</v>
      </c>
      <c r="L88" s="368">
        <v>5</v>
      </c>
      <c r="M88" s="148" t="s">
        <v>199</v>
      </c>
    </row>
    <row r="89" spans="1:13" ht="22.5">
      <c r="A89" s="152" t="s">
        <v>12099</v>
      </c>
      <c r="B89" s="152" t="s">
        <v>12100</v>
      </c>
      <c r="C89" s="152" t="s">
        <v>242</v>
      </c>
      <c r="D89" s="154"/>
      <c r="E89" s="470" t="s">
        <v>11898</v>
      </c>
      <c r="F89" s="336" t="s">
        <v>12101</v>
      </c>
      <c r="G89" s="145" t="s">
        <v>198</v>
      </c>
      <c r="H89" s="145"/>
      <c r="I89" s="145"/>
      <c r="J89" s="152" t="s">
        <v>191</v>
      </c>
      <c r="K89" s="143">
        <v>4</v>
      </c>
      <c r="L89" s="368">
        <v>5</v>
      </c>
      <c r="M89" s="148" t="s">
        <v>199</v>
      </c>
    </row>
    <row r="90" spans="1:13" ht="22.5">
      <c r="A90" s="152" t="s">
        <v>12102</v>
      </c>
      <c r="B90" s="152" t="s">
        <v>12103</v>
      </c>
      <c r="C90" s="152" t="s">
        <v>242</v>
      </c>
      <c r="D90" s="154"/>
      <c r="E90" s="470" t="s">
        <v>11898</v>
      </c>
      <c r="F90" s="336" t="s">
        <v>12104</v>
      </c>
      <c r="G90" s="145" t="s">
        <v>198</v>
      </c>
      <c r="H90" s="145"/>
      <c r="I90" s="145"/>
      <c r="J90" s="152" t="s">
        <v>191</v>
      </c>
      <c r="K90" s="143">
        <v>4</v>
      </c>
      <c r="L90" s="368">
        <v>5</v>
      </c>
      <c r="M90" s="148" t="s">
        <v>199</v>
      </c>
    </row>
    <row r="91" spans="1:13" ht="22.5">
      <c r="A91" s="152" t="s">
        <v>12105</v>
      </c>
      <c r="B91" s="152" t="s">
        <v>12106</v>
      </c>
      <c r="C91" s="152" t="s">
        <v>242</v>
      </c>
      <c r="D91" s="154"/>
      <c r="E91" s="470" t="s">
        <v>11898</v>
      </c>
      <c r="F91" s="336" t="s">
        <v>12107</v>
      </c>
      <c r="G91" s="145" t="s">
        <v>198</v>
      </c>
      <c r="H91" s="145"/>
      <c r="I91" s="145"/>
      <c r="J91" s="152" t="s">
        <v>191</v>
      </c>
      <c r="K91" s="143">
        <v>4</v>
      </c>
      <c r="L91" s="368">
        <v>5</v>
      </c>
      <c r="M91" s="148" t="s">
        <v>199</v>
      </c>
    </row>
    <row r="92" spans="1:13" ht="22.5">
      <c r="A92" s="152" t="s">
        <v>12108</v>
      </c>
      <c r="B92" s="152" t="s">
        <v>12109</v>
      </c>
      <c r="C92" s="152" t="s">
        <v>242</v>
      </c>
      <c r="D92" s="154"/>
      <c r="E92" s="470" t="s">
        <v>11898</v>
      </c>
      <c r="F92" s="336" t="s">
        <v>12110</v>
      </c>
      <c r="G92" s="145" t="s">
        <v>198</v>
      </c>
      <c r="H92" s="145"/>
      <c r="I92" s="145"/>
      <c r="J92" s="152" t="s">
        <v>191</v>
      </c>
      <c r="K92" s="143">
        <v>4</v>
      </c>
      <c r="L92" s="368">
        <v>5</v>
      </c>
      <c r="M92" s="148" t="s">
        <v>199</v>
      </c>
    </row>
    <row r="93" spans="1:13" ht="22.5">
      <c r="A93" s="152" t="s">
        <v>12111</v>
      </c>
      <c r="B93" s="152" t="s">
        <v>12112</v>
      </c>
      <c r="C93" s="152" t="s">
        <v>242</v>
      </c>
      <c r="D93" s="154"/>
      <c r="E93" s="470" t="s">
        <v>11898</v>
      </c>
      <c r="F93" s="336" t="s">
        <v>12113</v>
      </c>
      <c r="G93" s="145" t="s">
        <v>198</v>
      </c>
      <c r="H93" s="145"/>
      <c r="I93" s="145"/>
      <c r="J93" s="152" t="s">
        <v>191</v>
      </c>
      <c r="K93" s="143">
        <v>4</v>
      </c>
      <c r="L93" s="368">
        <v>5</v>
      </c>
      <c r="M93" s="148" t="s">
        <v>199</v>
      </c>
    </row>
    <row r="94" spans="1:13" ht="22.5">
      <c r="A94" s="152" t="s">
        <v>12114</v>
      </c>
      <c r="B94" s="152" t="s">
        <v>12115</v>
      </c>
      <c r="C94" s="152" t="s">
        <v>242</v>
      </c>
      <c r="D94" s="154"/>
      <c r="E94" s="470" t="s">
        <v>11898</v>
      </c>
      <c r="F94" s="336" t="s">
        <v>12116</v>
      </c>
      <c r="G94" s="145" t="s">
        <v>188</v>
      </c>
      <c r="H94" s="145" t="s">
        <v>11921</v>
      </c>
      <c r="I94" s="145"/>
      <c r="J94" s="152" t="s">
        <v>191</v>
      </c>
      <c r="K94" s="143">
        <v>4</v>
      </c>
      <c r="L94" s="368">
        <v>5</v>
      </c>
      <c r="M94" s="148" t="s">
        <v>199</v>
      </c>
    </row>
    <row r="95" spans="1:13" ht="22.5">
      <c r="A95" s="152" t="s">
        <v>12117</v>
      </c>
      <c r="B95" s="152" t="s">
        <v>12118</v>
      </c>
      <c r="C95" s="152" t="s">
        <v>242</v>
      </c>
      <c r="D95" s="154"/>
      <c r="E95" s="470" t="s">
        <v>11898</v>
      </c>
      <c r="F95" s="336" t="s">
        <v>12119</v>
      </c>
      <c r="G95" s="145" t="s">
        <v>188</v>
      </c>
      <c r="H95" s="145" t="s">
        <v>11921</v>
      </c>
      <c r="I95" s="145"/>
      <c r="J95" s="152" t="s">
        <v>191</v>
      </c>
      <c r="K95" s="143">
        <v>4</v>
      </c>
      <c r="L95" s="368">
        <v>5</v>
      </c>
      <c r="M95" s="148" t="s">
        <v>199</v>
      </c>
    </row>
    <row r="96" spans="1:13" ht="22.5">
      <c r="A96" s="152" t="s">
        <v>12120</v>
      </c>
      <c r="B96" s="152" t="s">
        <v>12121</v>
      </c>
      <c r="C96" s="152" t="s">
        <v>242</v>
      </c>
      <c r="D96" s="154"/>
      <c r="E96" s="470" t="s">
        <v>11898</v>
      </c>
      <c r="F96" s="336" t="s">
        <v>12122</v>
      </c>
      <c r="G96" s="145" t="s">
        <v>188</v>
      </c>
      <c r="H96" s="145" t="s">
        <v>11921</v>
      </c>
      <c r="I96" s="145"/>
      <c r="J96" s="152" t="s">
        <v>191</v>
      </c>
      <c r="K96" s="143">
        <v>4</v>
      </c>
      <c r="L96" s="368">
        <v>5</v>
      </c>
      <c r="M96" s="148" t="s">
        <v>199</v>
      </c>
    </row>
    <row r="97" spans="1:13" ht="22.5">
      <c r="A97" s="152" t="s">
        <v>12123</v>
      </c>
      <c r="B97" s="152" t="s">
        <v>12124</v>
      </c>
      <c r="C97" s="152" t="s">
        <v>242</v>
      </c>
      <c r="D97" s="154"/>
      <c r="E97" s="470" t="s">
        <v>11898</v>
      </c>
      <c r="F97" s="336" t="s">
        <v>12125</v>
      </c>
      <c r="G97" s="145" t="s">
        <v>188</v>
      </c>
      <c r="H97" s="145" t="s">
        <v>11921</v>
      </c>
      <c r="I97" s="145"/>
      <c r="J97" s="152" t="s">
        <v>191</v>
      </c>
      <c r="K97" s="143">
        <v>4</v>
      </c>
      <c r="L97" s="368">
        <v>5</v>
      </c>
      <c r="M97" s="148" t="s">
        <v>199</v>
      </c>
    </row>
    <row r="98" spans="1:13" ht="22.5">
      <c r="A98" s="152" t="s">
        <v>12126</v>
      </c>
      <c r="B98" s="152" t="s">
        <v>12127</v>
      </c>
      <c r="C98" s="152" t="s">
        <v>242</v>
      </c>
      <c r="D98" s="154"/>
      <c r="E98" s="470" t="s">
        <v>11898</v>
      </c>
      <c r="F98" s="336" t="s">
        <v>12128</v>
      </c>
      <c r="G98" s="145" t="s">
        <v>188</v>
      </c>
      <c r="H98" s="145" t="s">
        <v>11921</v>
      </c>
      <c r="I98" s="145"/>
      <c r="J98" s="152" t="s">
        <v>191</v>
      </c>
      <c r="K98" s="143">
        <v>4</v>
      </c>
      <c r="L98" s="368">
        <v>5</v>
      </c>
      <c r="M98" s="148" t="s">
        <v>199</v>
      </c>
    </row>
    <row r="99" spans="1:13" ht="22.5">
      <c r="A99" s="152" t="s">
        <v>12129</v>
      </c>
      <c r="B99" s="152" t="s">
        <v>12130</v>
      </c>
      <c r="C99" s="152" t="s">
        <v>242</v>
      </c>
      <c r="D99" s="154"/>
      <c r="E99" s="470" t="s">
        <v>11898</v>
      </c>
      <c r="F99" s="336" t="s">
        <v>12131</v>
      </c>
      <c r="G99" s="145" t="s">
        <v>188</v>
      </c>
      <c r="H99" s="145" t="s">
        <v>11921</v>
      </c>
      <c r="I99" s="145"/>
      <c r="J99" s="152" t="s">
        <v>191</v>
      </c>
      <c r="K99" s="143">
        <v>4</v>
      </c>
      <c r="L99" s="368">
        <v>5</v>
      </c>
      <c r="M99" s="148" t="s">
        <v>199</v>
      </c>
    </row>
    <row r="100" spans="1:13" ht="22.5">
      <c r="A100" s="152" t="s">
        <v>12132</v>
      </c>
      <c r="B100" s="152" t="s">
        <v>12133</v>
      </c>
      <c r="C100" s="152" t="s">
        <v>242</v>
      </c>
      <c r="D100" s="154"/>
      <c r="E100" s="470" t="s">
        <v>11898</v>
      </c>
      <c r="F100" s="336" t="s">
        <v>12134</v>
      </c>
      <c r="G100" s="145" t="s">
        <v>188</v>
      </c>
      <c r="H100" s="145" t="s">
        <v>11921</v>
      </c>
      <c r="I100" s="145"/>
      <c r="J100" s="152" t="s">
        <v>191</v>
      </c>
      <c r="K100" s="143">
        <v>4</v>
      </c>
      <c r="L100" s="368">
        <v>5</v>
      </c>
      <c r="M100" s="148" t="s">
        <v>199</v>
      </c>
    </row>
    <row r="101" spans="1:13" ht="22.5">
      <c r="A101" s="152" t="s">
        <v>12135</v>
      </c>
      <c r="B101" s="152" t="s">
        <v>12136</v>
      </c>
      <c r="C101" s="152" t="s">
        <v>242</v>
      </c>
      <c r="D101" s="154"/>
      <c r="E101" s="470" t="s">
        <v>11898</v>
      </c>
      <c r="F101" s="336" t="s">
        <v>12137</v>
      </c>
      <c r="G101" s="145" t="s">
        <v>198</v>
      </c>
      <c r="H101" s="145"/>
      <c r="I101" s="145"/>
      <c r="J101" s="152" t="s">
        <v>191</v>
      </c>
      <c r="K101" s="143">
        <v>4</v>
      </c>
      <c r="L101" s="368">
        <v>5</v>
      </c>
      <c r="M101" s="148" t="s">
        <v>199</v>
      </c>
    </row>
    <row r="102" spans="1:13" ht="22.5">
      <c r="A102" s="152" t="s">
        <v>12138</v>
      </c>
      <c r="B102" s="152" t="s">
        <v>12139</v>
      </c>
      <c r="C102" s="152" t="s">
        <v>242</v>
      </c>
      <c r="D102" s="154"/>
      <c r="E102" s="470" t="s">
        <v>11898</v>
      </c>
      <c r="F102" s="336" t="s">
        <v>12140</v>
      </c>
      <c r="G102" s="145" t="s">
        <v>198</v>
      </c>
      <c r="H102" s="145"/>
      <c r="I102" s="145"/>
      <c r="J102" s="152" t="s">
        <v>191</v>
      </c>
      <c r="K102" s="143">
        <v>4</v>
      </c>
      <c r="L102" s="368">
        <v>5</v>
      </c>
      <c r="M102" s="148" t="s">
        <v>199</v>
      </c>
    </row>
    <row r="103" spans="1:13" ht="22.5">
      <c r="A103" s="152" t="s">
        <v>12141</v>
      </c>
      <c r="B103" s="152" t="s">
        <v>12142</v>
      </c>
      <c r="C103" s="152" t="s">
        <v>242</v>
      </c>
      <c r="D103" s="154"/>
      <c r="E103" s="470" t="s">
        <v>11898</v>
      </c>
      <c r="F103" s="336" t="s">
        <v>12143</v>
      </c>
      <c r="G103" s="145" t="s">
        <v>198</v>
      </c>
      <c r="H103" s="145"/>
      <c r="I103" s="145"/>
      <c r="J103" s="152" t="s">
        <v>191</v>
      </c>
      <c r="K103" s="143">
        <v>4</v>
      </c>
      <c r="L103" s="368">
        <v>5</v>
      </c>
      <c r="M103" s="148" t="s">
        <v>199</v>
      </c>
    </row>
    <row r="104" spans="1:13" ht="22.5">
      <c r="A104" s="152" t="s">
        <v>12144</v>
      </c>
      <c r="B104" s="152" t="s">
        <v>12145</v>
      </c>
      <c r="C104" s="152" t="s">
        <v>242</v>
      </c>
      <c r="D104" s="154"/>
      <c r="E104" s="470" t="s">
        <v>11898</v>
      </c>
      <c r="F104" s="336" t="s">
        <v>12146</v>
      </c>
      <c r="G104" s="145" t="s">
        <v>198</v>
      </c>
      <c r="H104" s="145"/>
      <c r="I104" s="145"/>
      <c r="J104" s="152" t="s">
        <v>191</v>
      </c>
      <c r="K104" s="143">
        <v>4</v>
      </c>
      <c r="L104" s="368">
        <v>5</v>
      </c>
      <c r="M104" s="148" t="s">
        <v>199</v>
      </c>
    </row>
    <row r="105" spans="1:13" ht="22.5">
      <c r="A105" s="152" t="s">
        <v>12147</v>
      </c>
      <c r="B105" s="152" t="s">
        <v>12148</v>
      </c>
      <c r="C105" s="152" t="s">
        <v>242</v>
      </c>
      <c r="D105" s="154"/>
      <c r="E105" s="470" t="s">
        <v>11898</v>
      </c>
      <c r="F105" s="336" t="s">
        <v>12149</v>
      </c>
      <c r="G105" s="145" t="s">
        <v>198</v>
      </c>
      <c r="H105" s="145"/>
      <c r="I105" s="145"/>
      <c r="J105" s="152" t="s">
        <v>191</v>
      </c>
      <c r="K105" s="143">
        <v>4</v>
      </c>
      <c r="L105" s="368">
        <v>5</v>
      </c>
      <c r="M105" s="148" t="s">
        <v>199</v>
      </c>
    </row>
    <row r="106" spans="1:13" ht="22.5">
      <c r="A106" s="152" t="s">
        <v>12150</v>
      </c>
      <c r="B106" s="152" t="s">
        <v>12151</v>
      </c>
      <c r="C106" s="152" t="s">
        <v>242</v>
      </c>
      <c r="D106" s="154"/>
      <c r="E106" s="470" t="s">
        <v>11898</v>
      </c>
      <c r="F106" s="336" t="s">
        <v>12152</v>
      </c>
      <c r="G106" s="145" t="s">
        <v>198</v>
      </c>
      <c r="H106" s="145"/>
      <c r="I106" s="145"/>
      <c r="J106" s="152" t="s">
        <v>191</v>
      </c>
      <c r="K106" s="143">
        <v>4</v>
      </c>
      <c r="L106" s="368">
        <v>5</v>
      </c>
      <c r="M106" s="148" t="s">
        <v>199</v>
      </c>
    </row>
    <row r="107" spans="1:13" ht="22.5">
      <c r="A107" s="152" t="s">
        <v>12153</v>
      </c>
      <c r="B107" s="152" t="s">
        <v>12154</v>
      </c>
      <c r="C107" s="152" t="s">
        <v>242</v>
      </c>
      <c r="D107" s="154"/>
      <c r="E107" s="470" t="s">
        <v>11898</v>
      </c>
      <c r="F107" s="336" t="s">
        <v>12155</v>
      </c>
      <c r="G107" s="145" t="s">
        <v>198</v>
      </c>
      <c r="H107" s="145"/>
      <c r="I107" s="145"/>
      <c r="J107" s="152" t="s">
        <v>191</v>
      </c>
      <c r="K107" s="143">
        <v>4</v>
      </c>
      <c r="L107" s="368">
        <v>5</v>
      </c>
      <c r="M107" s="148" t="s">
        <v>199</v>
      </c>
    </row>
    <row r="108" spans="1:13" ht="22.5">
      <c r="A108" s="152" t="s">
        <v>12156</v>
      </c>
      <c r="B108" s="152" t="s">
        <v>12157</v>
      </c>
      <c r="C108" s="152" t="s">
        <v>242</v>
      </c>
      <c r="D108" s="154"/>
      <c r="E108" s="470" t="s">
        <v>11898</v>
      </c>
      <c r="F108" s="336" t="s">
        <v>12158</v>
      </c>
      <c r="G108" s="145" t="s">
        <v>198</v>
      </c>
      <c r="H108" s="145"/>
      <c r="I108" s="145"/>
      <c r="J108" s="152" t="s">
        <v>191</v>
      </c>
      <c r="K108" s="143">
        <v>4</v>
      </c>
      <c r="L108" s="368">
        <v>5</v>
      </c>
      <c r="M108" s="148" t="s">
        <v>199</v>
      </c>
    </row>
    <row r="109" spans="1:13" ht="22.5">
      <c r="A109" s="152" t="s">
        <v>12159</v>
      </c>
      <c r="B109" s="152" t="s">
        <v>12160</v>
      </c>
      <c r="C109" s="152" t="s">
        <v>242</v>
      </c>
      <c r="D109" s="154"/>
      <c r="E109" s="470" t="s">
        <v>11898</v>
      </c>
      <c r="F109" s="336" t="s">
        <v>12161</v>
      </c>
      <c r="G109" s="145" t="s">
        <v>198</v>
      </c>
      <c r="H109" s="145"/>
      <c r="I109" s="145"/>
      <c r="J109" s="152" t="s">
        <v>191</v>
      </c>
      <c r="K109" s="143">
        <v>4</v>
      </c>
      <c r="L109" s="368">
        <v>5</v>
      </c>
      <c r="M109" s="148" t="s">
        <v>199</v>
      </c>
    </row>
    <row r="110" spans="1:13" ht="22.5">
      <c r="A110" s="152" t="s">
        <v>12162</v>
      </c>
      <c r="B110" s="152" t="s">
        <v>12163</v>
      </c>
      <c r="C110" s="152" t="s">
        <v>242</v>
      </c>
      <c r="D110" s="154"/>
      <c r="E110" s="470" t="s">
        <v>11898</v>
      </c>
      <c r="F110" s="336" t="s">
        <v>12164</v>
      </c>
      <c r="G110" s="145" t="s">
        <v>198</v>
      </c>
      <c r="H110" s="145"/>
      <c r="I110" s="145"/>
      <c r="J110" s="152" t="s">
        <v>191</v>
      </c>
      <c r="K110" s="143">
        <v>4</v>
      </c>
      <c r="L110" s="368">
        <v>5</v>
      </c>
      <c r="M110" s="148" t="s">
        <v>199</v>
      </c>
    </row>
    <row r="111" spans="1:13" ht="22.5">
      <c r="A111" s="152" t="s">
        <v>12165</v>
      </c>
      <c r="B111" s="152" t="s">
        <v>12166</v>
      </c>
      <c r="C111" s="152" t="s">
        <v>242</v>
      </c>
      <c r="D111" s="154"/>
      <c r="E111" s="470" t="s">
        <v>11898</v>
      </c>
      <c r="F111" s="336" t="s">
        <v>12167</v>
      </c>
      <c r="G111" s="145" t="s">
        <v>198</v>
      </c>
      <c r="H111" s="145"/>
      <c r="I111" s="145"/>
      <c r="J111" s="152" t="s">
        <v>191</v>
      </c>
      <c r="K111" s="143">
        <v>4</v>
      </c>
      <c r="L111" s="368">
        <v>5</v>
      </c>
      <c r="M111" s="148" t="s">
        <v>199</v>
      </c>
    </row>
    <row r="112" spans="1:13" ht="22.5">
      <c r="A112" s="152" t="s">
        <v>12168</v>
      </c>
      <c r="B112" s="152" t="s">
        <v>12169</v>
      </c>
      <c r="C112" s="152" t="s">
        <v>242</v>
      </c>
      <c r="D112" s="154"/>
      <c r="E112" s="470" t="s">
        <v>11898</v>
      </c>
      <c r="F112" s="336" t="s">
        <v>12170</v>
      </c>
      <c r="G112" s="145" t="s">
        <v>198</v>
      </c>
      <c r="H112" s="145"/>
      <c r="I112" s="145"/>
      <c r="J112" s="152" t="s">
        <v>191</v>
      </c>
      <c r="K112" s="143">
        <v>4</v>
      </c>
      <c r="L112" s="368">
        <v>5</v>
      </c>
      <c r="M112" s="148" t="s">
        <v>199</v>
      </c>
    </row>
    <row r="113" spans="1:13" ht="22.5">
      <c r="A113" s="152" t="s">
        <v>12171</v>
      </c>
      <c r="B113" s="152" t="s">
        <v>12172</v>
      </c>
      <c r="C113" s="152" t="s">
        <v>242</v>
      </c>
      <c r="D113" s="154"/>
      <c r="E113" s="470" t="s">
        <v>11898</v>
      </c>
      <c r="F113" s="336" t="s">
        <v>12173</v>
      </c>
      <c r="G113" s="145" t="s">
        <v>198</v>
      </c>
      <c r="H113" s="145"/>
      <c r="I113" s="145"/>
      <c r="J113" s="152" t="s">
        <v>191</v>
      </c>
      <c r="K113" s="143">
        <v>4</v>
      </c>
      <c r="L113" s="368">
        <v>5</v>
      </c>
      <c r="M113" s="148" t="s">
        <v>199</v>
      </c>
    </row>
    <row r="114" spans="1:13" ht="22.5">
      <c r="A114" s="152" t="s">
        <v>12174</v>
      </c>
      <c r="B114" s="152" t="s">
        <v>12175</v>
      </c>
      <c r="C114" s="152" t="s">
        <v>242</v>
      </c>
      <c r="D114" s="154"/>
      <c r="E114" s="470" t="s">
        <v>11898</v>
      </c>
      <c r="F114" s="336" t="s">
        <v>12176</v>
      </c>
      <c r="G114" s="145" t="s">
        <v>198</v>
      </c>
      <c r="H114" s="145"/>
      <c r="I114" s="145"/>
      <c r="J114" s="152" t="s">
        <v>191</v>
      </c>
      <c r="K114" s="143">
        <v>4</v>
      </c>
      <c r="L114" s="368">
        <v>5</v>
      </c>
      <c r="M114" s="148" t="s">
        <v>199</v>
      </c>
    </row>
    <row r="115" spans="1:13" ht="22.5">
      <c r="A115" s="152" t="s">
        <v>12177</v>
      </c>
      <c r="B115" s="152" t="s">
        <v>12178</v>
      </c>
      <c r="C115" s="152" t="s">
        <v>242</v>
      </c>
      <c r="D115" s="154"/>
      <c r="E115" s="470" t="s">
        <v>11898</v>
      </c>
      <c r="F115" s="336" t="s">
        <v>12179</v>
      </c>
      <c r="G115" s="145" t="s">
        <v>198</v>
      </c>
      <c r="H115" s="145"/>
      <c r="I115" s="145"/>
      <c r="J115" s="152" t="s">
        <v>191</v>
      </c>
      <c r="K115" s="143">
        <v>4</v>
      </c>
      <c r="L115" s="368">
        <v>5</v>
      </c>
      <c r="M115" s="148" t="s">
        <v>199</v>
      </c>
    </row>
    <row r="116" spans="1:13" ht="22.5">
      <c r="A116" s="152" t="s">
        <v>12180</v>
      </c>
      <c r="B116" s="152" t="s">
        <v>12181</v>
      </c>
      <c r="C116" s="152" t="s">
        <v>242</v>
      </c>
      <c r="D116" s="154"/>
      <c r="E116" s="470" t="s">
        <v>11898</v>
      </c>
      <c r="F116" s="336" t="s">
        <v>12182</v>
      </c>
      <c r="G116" s="145" t="s">
        <v>198</v>
      </c>
      <c r="H116" s="145"/>
      <c r="I116" s="145"/>
      <c r="J116" s="152" t="s">
        <v>191</v>
      </c>
      <c r="K116" s="143">
        <v>4</v>
      </c>
      <c r="L116" s="368">
        <v>5</v>
      </c>
      <c r="M116" s="148" t="s">
        <v>199</v>
      </c>
    </row>
    <row r="117" spans="1:13" ht="22.5">
      <c r="A117" s="152" t="s">
        <v>12183</v>
      </c>
      <c r="B117" s="152" t="s">
        <v>12184</v>
      </c>
      <c r="C117" s="152" t="s">
        <v>242</v>
      </c>
      <c r="D117" s="154"/>
      <c r="E117" s="470" t="s">
        <v>11898</v>
      </c>
      <c r="F117" s="336" t="s">
        <v>12185</v>
      </c>
      <c r="G117" s="145" t="s">
        <v>198</v>
      </c>
      <c r="H117" s="145"/>
      <c r="I117" s="145"/>
      <c r="J117" s="152" t="s">
        <v>191</v>
      </c>
      <c r="K117" s="143">
        <v>4</v>
      </c>
      <c r="L117" s="368">
        <v>5</v>
      </c>
      <c r="M117" s="148" t="s">
        <v>199</v>
      </c>
    </row>
    <row r="118" spans="1:13" ht="22.5">
      <c r="A118" s="152" t="s">
        <v>12186</v>
      </c>
      <c r="B118" s="152" t="s">
        <v>12187</v>
      </c>
      <c r="C118" s="152" t="s">
        <v>242</v>
      </c>
      <c r="D118" s="154"/>
      <c r="E118" s="470" t="s">
        <v>11898</v>
      </c>
      <c r="F118" s="336" t="s">
        <v>12188</v>
      </c>
      <c r="G118" s="145" t="s">
        <v>198</v>
      </c>
      <c r="H118" s="145"/>
      <c r="I118" s="145"/>
      <c r="J118" s="152" t="s">
        <v>191</v>
      </c>
      <c r="K118" s="143">
        <v>4</v>
      </c>
      <c r="L118" s="368">
        <v>5</v>
      </c>
      <c r="M118" s="148" t="s">
        <v>199</v>
      </c>
    </row>
    <row r="119" spans="1:13" ht="22.5">
      <c r="A119" s="152" t="s">
        <v>12189</v>
      </c>
      <c r="B119" s="152" t="s">
        <v>12190</v>
      </c>
      <c r="C119" s="152" t="s">
        <v>242</v>
      </c>
      <c r="D119" s="154"/>
      <c r="E119" s="470" t="s">
        <v>11898</v>
      </c>
      <c r="F119" s="336" t="s">
        <v>12191</v>
      </c>
      <c r="G119" s="145" t="s">
        <v>198</v>
      </c>
      <c r="H119" s="145"/>
      <c r="I119" s="145"/>
      <c r="J119" s="152" t="s">
        <v>191</v>
      </c>
      <c r="K119" s="143">
        <v>4</v>
      </c>
      <c r="L119" s="368">
        <v>5</v>
      </c>
      <c r="M119" s="148" t="s">
        <v>199</v>
      </c>
    </row>
    <row r="120" spans="1:13" ht="22.5">
      <c r="A120" s="152" t="s">
        <v>12192</v>
      </c>
      <c r="B120" s="152" t="s">
        <v>12193</v>
      </c>
      <c r="C120" s="152" t="s">
        <v>242</v>
      </c>
      <c r="D120" s="154"/>
      <c r="E120" s="470" t="s">
        <v>11898</v>
      </c>
      <c r="F120" s="336" t="s">
        <v>12194</v>
      </c>
      <c r="G120" s="145" t="s">
        <v>198</v>
      </c>
      <c r="H120" s="145"/>
      <c r="I120" s="145"/>
      <c r="J120" s="152" t="s">
        <v>191</v>
      </c>
      <c r="K120" s="143">
        <v>4</v>
      </c>
      <c r="L120" s="368">
        <v>5</v>
      </c>
      <c r="M120" s="148" t="s">
        <v>199</v>
      </c>
    </row>
    <row r="121" spans="1:13" ht="22.5">
      <c r="A121" s="152" t="s">
        <v>12195</v>
      </c>
      <c r="B121" s="152" t="s">
        <v>12196</v>
      </c>
      <c r="C121" s="152" t="s">
        <v>242</v>
      </c>
      <c r="D121" s="154"/>
      <c r="E121" s="470" t="s">
        <v>11898</v>
      </c>
      <c r="F121" s="336" t="s">
        <v>12197</v>
      </c>
      <c r="G121" s="145" t="s">
        <v>198</v>
      </c>
      <c r="H121" s="145"/>
      <c r="I121" s="145"/>
      <c r="J121" s="152" t="s">
        <v>191</v>
      </c>
      <c r="K121" s="143">
        <v>4</v>
      </c>
      <c r="L121" s="368">
        <v>5</v>
      </c>
      <c r="M121" s="148" t="s">
        <v>199</v>
      </c>
    </row>
    <row r="122" spans="1:13" ht="22.5">
      <c r="A122" s="152" t="s">
        <v>12198</v>
      </c>
      <c r="B122" s="152" t="s">
        <v>12199</v>
      </c>
      <c r="C122" s="152" t="s">
        <v>242</v>
      </c>
      <c r="D122" s="154"/>
      <c r="E122" s="470" t="s">
        <v>11898</v>
      </c>
      <c r="F122" s="336" t="s">
        <v>12200</v>
      </c>
      <c r="G122" s="145" t="s">
        <v>198</v>
      </c>
      <c r="H122" s="145"/>
      <c r="I122" s="145"/>
      <c r="J122" s="152" t="s">
        <v>191</v>
      </c>
      <c r="K122" s="143">
        <v>4</v>
      </c>
      <c r="L122" s="368">
        <v>5</v>
      </c>
      <c r="M122" s="148" t="s">
        <v>199</v>
      </c>
    </row>
    <row r="123" spans="1:13" ht="22.5">
      <c r="A123" s="152" t="s">
        <v>12201</v>
      </c>
      <c r="B123" s="152" t="s">
        <v>12202</v>
      </c>
      <c r="C123" s="152" t="s">
        <v>242</v>
      </c>
      <c r="D123" s="154"/>
      <c r="E123" s="470" t="s">
        <v>11898</v>
      </c>
      <c r="F123" s="336" t="s">
        <v>12203</v>
      </c>
      <c r="G123" s="145" t="s">
        <v>188</v>
      </c>
      <c r="H123" s="145" t="s">
        <v>11921</v>
      </c>
      <c r="I123" s="145"/>
      <c r="J123" s="152" t="s">
        <v>191</v>
      </c>
      <c r="K123" s="143">
        <v>4</v>
      </c>
      <c r="L123" s="368">
        <v>5</v>
      </c>
      <c r="M123" s="148" t="s">
        <v>199</v>
      </c>
    </row>
    <row r="124" spans="1:13" ht="22.5">
      <c r="A124" s="152" t="s">
        <v>12204</v>
      </c>
      <c r="B124" s="152" t="s">
        <v>12205</v>
      </c>
      <c r="C124" s="152" t="s">
        <v>242</v>
      </c>
      <c r="D124" s="154"/>
      <c r="E124" s="470" t="s">
        <v>11898</v>
      </c>
      <c r="F124" s="336" t="s">
        <v>12206</v>
      </c>
      <c r="G124" s="145" t="s">
        <v>188</v>
      </c>
      <c r="H124" s="145" t="s">
        <v>11921</v>
      </c>
      <c r="I124" s="145"/>
      <c r="J124" s="152" t="s">
        <v>191</v>
      </c>
      <c r="K124" s="143">
        <v>4</v>
      </c>
      <c r="L124" s="368">
        <v>5</v>
      </c>
      <c r="M124" s="148" t="s">
        <v>199</v>
      </c>
    </row>
    <row r="125" spans="1:13" ht="22.5">
      <c r="A125" s="152" t="s">
        <v>12207</v>
      </c>
      <c r="B125" s="152" t="s">
        <v>12208</v>
      </c>
      <c r="C125" s="152" t="s">
        <v>242</v>
      </c>
      <c r="D125" s="154"/>
      <c r="E125" s="470" t="s">
        <v>11898</v>
      </c>
      <c r="F125" s="336" t="s">
        <v>12209</v>
      </c>
      <c r="G125" s="145" t="s">
        <v>188</v>
      </c>
      <c r="H125" s="145" t="s">
        <v>11921</v>
      </c>
      <c r="I125" s="145"/>
      <c r="J125" s="152" t="s">
        <v>191</v>
      </c>
      <c r="K125" s="143">
        <v>4</v>
      </c>
      <c r="L125" s="368">
        <v>5</v>
      </c>
      <c r="M125" s="148" t="s">
        <v>199</v>
      </c>
    </row>
    <row r="126" spans="1:13" ht="22.5">
      <c r="A126" s="152" t="s">
        <v>12210</v>
      </c>
      <c r="B126" s="152" t="s">
        <v>12211</v>
      </c>
      <c r="C126" s="152" t="s">
        <v>242</v>
      </c>
      <c r="D126" s="154"/>
      <c r="E126" s="470" t="s">
        <v>11898</v>
      </c>
      <c r="F126" s="336" t="s">
        <v>12212</v>
      </c>
      <c r="G126" s="145" t="s">
        <v>188</v>
      </c>
      <c r="H126" s="145" t="s">
        <v>11921</v>
      </c>
      <c r="I126" s="145"/>
      <c r="J126" s="152" t="s">
        <v>191</v>
      </c>
      <c r="K126" s="143">
        <v>4</v>
      </c>
      <c r="L126" s="368">
        <v>5</v>
      </c>
      <c r="M126" s="148" t="s">
        <v>199</v>
      </c>
    </row>
    <row r="127" spans="1:13" ht="22.5">
      <c r="A127" s="152" t="s">
        <v>12213</v>
      </c>
      <c r="B127" s="152" t="s">
        <v>12214</v>
      </c>
      <c r="C127" s="152" t="s">
        <v>242</v>
      </c>
      <c r="D127" s="154"/>
      <c r="E127" s="470" t="s">
        <v>11898</v>
      </c>
      <c r="F127" s="336" t="s">
        <v>12215</v>
      </c>
      <c r="G127" s="145" t="s">
        <v>188</v>
      </c>
      <c r="H127" s="145" t="s">
        <v>11921</v>
      </c>
      <c r="I127" s="145"/>
      <c r="J127" s="152" t="s">
        <v>191</v>
      </c>
      <c r="K127" s="143">
        <v>4</v>
      </c>
      <c r="L127" s="368">
        <v>5</v>
      </c>
      <c r="M127" s="148" t="s">
        <v>199</v>
      </c>
    </row>
    <row r="128" spans="1:13" ht="22.5">
      <c r="A128" s="152" t="s">
        <v>12216</v>
      </c>
      <c r="B128" s="152" t="s">
        <v>12217</v>
      </c>
      <c r="C128" s="152" t="s">
        <v>242</v>
      </c>
      <c r="D128" s="154"/>
      <c r="E128" s="470" t="s">
        <v>11898</v>
      </c>
      <c r="F128" s="336" t="s">
        <v>12218</v>
      </c>
      <c r="G128" s="145" t="s">
        <v>188</v>
      </c>
      <c r="H128" s="145" t="s">
        <v>11921</v>
      </c>
      <c r="I128" s="145"/>
      <c r="J128" s="152" t="s">
        <v>191</v>
      </c>
      <c r="K128" s="143">
        <v>4</v>
      </c>
      <c r="L128" s="368">
        <v>5</v>
      </c>
      <c r="M128" s="148" t="s">
        <v>199</v>
      </c>
    </row>
    <row r="129" spans="1:13" ht="22.5">
      <c r="A129" s="152" t="s">
        <v>12219</v>
      </c>
      <c r="B129" s="152" t="s">
        <v>12220</v>
      </c>
      <c r="C129" s="152" t="s">
        <v>242</v>
      </c>
      <c r="D129" s="154"/>
      <c r="E129" s="470" t="s">
        <v>11898</v>
      </c>
      <c r="F129" s="336" t="s">
        <v>12221</v>
      </c>
      <c r="G129" s="145" t="s">
        <v>188</v>
      </c>
      <c r="H129" s="145" t="s">
        <v>11921</v>
      </c>
      <c r="I129" s="145"/>
      <c r="J129" s="152" t="s">
        <v>191</v>
      </c>
      <c r="K129" s="143">
        <v>4</v>
      </c>
      <c r="L129" s="368">
        <v>5</v>
      </c>
      <c r="M129" s="148" t="s">
        <v>199</v>
      </c>
    </row>
    <row r="130" spans="1:13" ht="22.5">
      <c r="A130" s="152" t="s">
        <v>12222</v>
      </c>
      <c r="B130" s="152" t="s">
        <v>12223</v>
      </c>
      <c r="C130" s="152" t="s">
        <v>242</v>
      </c>
      <c r="D130" s="154"/>
      <c r="E130" s="470" t="s">
        <v>11898</v>
      </c>
      <c r="F130" s="336" t="s">
        <v>12224</v>
      </c>
      <c r="G130" s="145" t="s">
        <v>188</v>
      </c>
      <c r="H130" s="145" t="s">
        <v>11921</v>
      </c>
      <c r="I130" s="145"/>
      <c r="J130" s="152" t="s">
        <v>191</v>
      </c>
      <c r="K130" s="143">
        <v>4</v>
      </c>
      <c r="L130" s="368">
        <v>5</v>
      </c>
      <c r="M130" s="148" t="s">
        <v>199</v>
      </c>
    </row>
    <row r="131" spans="1:13" ht="22.5">
      <c r="A131" s="152" t="s">
        <v>12225</v>
      </c>
      <c r="B131" s="152" t="s">
        <v>12226</v>
      </c>
      <c r="C131" s="152" t="s">
        <v>242</v>
      </c>
      <c r="D131" s="154"/>
      <c r="E131" s="470" t="s">
        <v>11898</v>
      </c>
      <c r="F131" s="336" t="s">
        <v>12227</v>
      </c>
      <c r="G131" s="145" t="s">
        <v>188</v>
      </c>
      <c r="H131" s="145" t="s">
        <v>12228</v>
      </c>
      <c r="I131" s="145"/>
      <c r="J131" s="152" t="s">
        <v>191</v>
      </c>
      <c r="K131" s="143">
        <v>4</v>
      </c>
      <c r="L131" s="368">
        <v>5</v>
      </c>
      <c r="M131" s="148" t="s">
        <v>199</v>
      </c>
    </row>
    <row r="132" spans="1:13" ht="22.5">
      <c r="A132" s="152" t="s">
        <v>12229</v>
      </c>
      <c r="B132" s="152" t="s">
        <v>12230</v>
      </c>
      <c r="C132" s="152" t="s">
        <v>242</v>
      </c>
      <c r="D132" s="154"/>
      <c r="E132" s="470" t="s">
        <v>11898</v>
      </c>
      <c r="F132" s="336" t="s">
        <v>12231</v>
      </c>
      <c r="G132" s="145" t="s">
        <v>188</v>
      </c>
      <c r="H132" s="145" t="s">
        <v>12228</v>
      </c>
      <c r="I132" s="145"/>
      <c r="J132" s="152" t="s">
        <v>191</v>
      </c>
      <c r="K132" s="143">
        <v>4</v>
      </c>
      <c r="L132" s="368">
        <v>5</v>
      </c>
      <c r="M132" s="148" t="s">
        <v>199</v>
      </c>
    </row>
    <row r="133" spans="1:13" ht="22.5">
      <c r="A133" s="152" t="s">
        <v>12232</v>
      </c>
      <c r="B133" s="152" t="s">
        <v>12233</v>
      </c>
      <c r="C133" s="152" t="s">
        <v>242</v>
      </c>
      <c r="D133" s="154"/>
      <c r="E133" s="470" t="s">
        <v>11898</v>
      </c>
      <c r="F133" s="336" t="s">
        <v>12234</v>
      </c>
      <c r="G133" s="145" t="s">
        <v>188</v>
      </c>
      <c r="H133" s="145" t="s">
        <v>12228</v>
      </c>
      <c r="I133" s="145"/>
      <c r="J133" s="152" t="s">
        <v>191</v>
      </c>
      <c r="K133" s="143">
        <v>4</v>
      </c>
      <c r="L133" s="368">
        <v>5</v>
      </c>
      <c r="M133" s="148" t="s">
        <v>199</v>
      </c>
    </row>
    <row r="134" spans="1:13" ht="22.5">
      <c r="A134" s="152" t="s">
        <v>12235</v>
      </c>
      <c r="B134" s="152" t="s">
        <v>12236</v>
      </c>
      <c r="C134" s="152" t="s">
        <v>242</v>
      </c>
      <c r="D134" s="154"/>
      <c r="E134" s="470" t="s">
        <v>11898</v>
      </c>
      <c r="F134" s="336" t="s">
        <v>12237</v>
      </c>
      <c r="G134" s="145" t="s">
        <v>188</v>
      </c>
      <c r="H134" s="145" t="s">
        <v>12228</v>
      </c>
      <c r="I134" s="145"/>
      <c r="J134" s="152" t="s">
        <v>191</v>
      </c>
      <c r="K134" s="143">
        <v>4</v>
      </c>
      <c r="L134" s="368">
        <v>5</v>
      </c>
      <c r="M134" s="148" t="s">
        <v>199</v>
      </c>
    </row>
    <row r="135" spans="1:13" ht="22.5">
      <c r="A135" s="152" t="s">
        <v>12238</v>
      </c>
      <c r="B135" s="152" t="s">
        <v>12239</v>
      </c>
      <c r="C135" s="152" t="s">
        <v>242</v>
      </c>
      <c r="D135" s="154"/>
      <c r="E135" s="470" t="s">
        <v>11898</v>
      </c>
      <c r="F135" s="336" t="s">
        <v>12240</v>
      </c>
      <c r="G135" s="243" t="s">
        <v>740</v>
      </c>
      <c r="H135" s="145"/>
      <c r="I135" s="145"/>
      <c r="J135" s="152" t="s">
        <v>191</v>
      </c>
      <c r="K135" s="143">
        <v>4</v>
      </c>
      <c r="L135" s="368">
        <v>5</v>
      </c>
      <c r="M135" s="148" t="s">
        <v>199</v>
      </c>
    </row>
    <row r="136" spans="1:13" ht="22.5">
      <c r="A136" s="152" t="s">
        <v>12241</v>
      </c>
      <c r="B136" s="152" t="s">
        <v>12242</v>
      </c>
      <c r="C136" s="152" t="s">
        <v>242</v>
      </c>
      <c r="D136" s="154"/>
      <c r="E136" s="470" t="s">
        <v>11898</v>
      </c>
      <c r="F136" s="336" t="s">
        <v>12243</v>
      </c>
      <c r="G136" s="243" t="s">
        <v>740</v>
      </c>
      <c r="H136" s="145"/>
      <c r="I136" s="145"/>
      <c r="J136" s="152" t="s">
        <v>191</v>
      </c>
      <c r="K136" s="143">
        <v>4</v>
      </c>
      <c r="L136" s="368">
        <v>5</v>
      </c>
      <c r="M136" s="148" t="s">
        <v>199</v>
      </c>
    </row>
    <row r="137" spans="1:13" ht="22.5">
      <c r="A137" s="152" t="s">
        <v>12244</v>
      </c>
      <c r="B137" s="152" t="s">
        <v>12245</v>
      </c>
      <c r="C137" s="152" t="s">
        <v>242</v>
      </c>
      <c r="D137" s="154"/>
      <c r="E137" s="470" t="s">
        <v>11898</v>
      </c>
      <c r="F137" s="336" t="s">
        <v>12246</v>
      </c>
      <c r="G137" s="243" t="s">
        <v>740</v>
      </c>
      <c r="H137" s="145"/>
      <c r="I137" s="145"/>
      <c r="J137" s="152" t="s">
        <v>191</v>
      </c>
      <c r="K137" s="143">
        <v>4</v>
      </c>
      <c r="L137" s="368">
        <v>5</v>
      </c>
      <c r="M137" s="148" t="s">
        <v>199</v>
      </c>
    </row>
    <row r="138" spans="1:13" ht="22.5">
      <c r="A138" s="152" t="s">
        <v>12247</v>
      </c>
      <c r="B138" s="152" t="s">
        <v>12248</v>
      </c>
      <c r="C138" s="152" t="s">
        <v>242</v>
      </c>
      <c r="D138" s="154"/>
      <c r="E138" s="470" t="s">
        <v>11898</v>
      </c>
      <c r="F138" s="336" t="s">
        <v>12249</v>
      </c>
      <c r="G138" s="243" t="s">
        <v>740</v>
      </c>
      <c r="H138" s="145"/>
      <c r="I138" s="145"/>
      <c r="J138" s="152" t="s">
        <v>191</v>
      </c>
      <c r="K138" s="143">
        <v>4</v>
      </c>
      <c r="L138" s="368">
        <v>5</v>
      </c>
      <c r="M138" s="148" t="s">
        <v>199</v>
      </c>
    </row>
    <row r="139" spans="1:13" ht="22.5">
      <c r="A139" s="152" t="s">
        <v>12250</v>
      </c>
      <c r="B139" s="152" t="s">
        <v>12251</v>
      </c>
      <c r="C139" s="152" t="s">
        <v>242</v>
      </c>
      <c r="D139" s="154"/>
      <c r="E139" s="470" t="s">
        <v>11898</v>
      </c>
      <c r="F139" s="336" t="s">
        <v>12252</v>
      </c>
      <c r="G139" s="243" t="s">
        <v>740</v>
      </c>
      <c r="H139" s="145"/>
      <c r="I139" s="145"/>
      <c r="J139" s="152" t="s">
        <v>191</v>
      </c>
      <c r="K139" s="143">
        <v>4</v>
      </c>
      <c r="L139" s="368">
        <v>5</v>
      </c>
      <c r="M139" s="148" t="s">
        <v>199</v>
      </c>
    </row>
    <row r="140" spans="1:13" ht="22.5">
      <c r="A140" s="152" t="s">
        <v>12253</v>
      </c>
      <c r="B140" s="152" t="s">
        <v>12254</v>
      </c>
      <c r="C140" s="152" t="s">
        <v>242</v>
      </c>
      <c r="D140" s="154"/>
      <c r="E140" s="470" t="s">
        <v>11898</v>
      </c>
      <c r="F140" s="336" t="s">
        <v>12255</v>
      </c>
      <c r="G140" s="243" t="s">
        <v>740</v>
      </c>
      <c r="H140" s="145"/>
      <c r="I140" s="145"/>
      <c r="J140" s="152" t="s">
        <v>191</v>
      </c>
      <c r="K140" s="143">
        <v>4</v>
      </c>
      <c r="L140" s="368">
        <v>5</v>
      </c>
      <c r="M140" s="148" t="s">
        <v>199</v>
      </c>
    </row>
    <row r="141" spans="1:13" ht="22.5">
      <c r="A141" s="152" t="s">
        <v>12256</v>
      </c>
      <c r="B141" s="152" t="s">
        <v>12257</v>
      </c>
      <c r="C141" s="152" t="s">
        <v>242</v>
      </c>
      <c r="D141" s="154"/>
      <c r="E141" s="470" t="s">
        <v>11898</v>
      </c>
      <c r="F141" s="336" t="s">
        <v>12258</v>
      </c>
      <c r="G141" s="145" t="s">
        <v>188</v>
      </c>
      <c r="H141" s="145" t="s">
        <v>12228</v>
      </c>
      <c r="I141" s="145"/>
      <c r="J141" s="152" t="s">
        <v>191</v>
      </c>
      <c r="K141" s="143">
        <v>4</v>
      </c>
      <c r="L141" s="368">
        <v>5</v>
      </c>
      <c r="M141" s="148" t="s">
        <v>199</v>
      </c>
    </row>
    <row r="142" spans="1:13" ht="22.5">
      <c r="A142" s="152" t="s">
        <v>12259</v>
      </c>
      <c r="B142" s="152" t="s">
        <v>12260</v>
      </c>
      <c r="C142" s="152" t="s">
        <v>242</v>
      </c>
      <c r="D142" s="154"/>
      <c r="E142" s="470" t="s">
        <v>11898</v>
      </c>
      <c r="F142" s="336" t="s">
        <v>12261</v>
      </c>
      <c r="G142" s="145" t="s">
        <v>198</v>
      </c>
      <c r="H142" s="145"/>
      <c r="I142" s="145"/>
      <c r="J142" s="152" t="s">
        <v>191</v>
      </c>
      <c r="K142" s="143">
        <v>4</v>
      </c>
      <c r="L142" s="368">
        <v>5</v>
      </c>
      <c r="M142" s="148" t="s">
        <v>199</v>
      </c>
    </row>
    <row r="143" spans="1:13" ht="22.5">
      <c r="A143" s="152" t="s">
        <v>12262</v>
      </c>
      <c r="B143" s="152" t="s">
        <v>12263</v>
      </c>
      <c r="C143" s="152" t="s">
        <v>242</v>
      </c>
      <c r="D143" s="154"/>
      <c r="E143" s="470" t="s">
        <v>11898</v>
      </c>
      <c r="F143" s="336" t="s">
        <v>12264</v>
      </c>
      <c r="G143" s="243" t="s">
        <v>740</v>
      </c>
      <c r="H143" s="145"/>
      <c r="I143" s="145"/>
      <c r="J143" s="152" t="s">
        <v>191</v>
      </c>
      <c r="K143" s="143">
        <v>4</v>
      </c>
      <c r="L143" s="368">
        <v>5</v>
      </c>
      <c r="M143" s="148" t="s">
        <v>199</v>
      </c>
    </row>
    <row r="144" spans="1:13" ht="22.5">
      <c r="A144" s="152" t="s">
        <v>12265</v>
      </c>
      <c r="B144" s="152" t="s">
        <v>12266</v>
      </c>
      <c r="C144" s="152" t="s">
        <v>242</v>
      </c>
      <c r="D144" s="154"/>
      <c r="E144" s="470" t="s">
        <v>11898</v>
      </c>
      <c r="F144" s="336" t="s">
        <v>12267</v>
      </c>
      <c r="G144" s="243" t="s">
        <v>740</v>
      </c>
      <c r="H144" s="145"/>
      <c r="I144" s="145"/>
      <c r="J144" s="152" t="s">
        <v>191</v>
      </c>
      <c r="K144" s="143">
        <v>4</v>
      </c>
      <c r="L144" s="368">
        <v>5</v>
      </c>
      <c r="M144" s="148" t="s">
        <v>199</v>
      </c>
    </row>
    <row r="145" spans="1:13" ht="22.5">
      <c r="A145" s="152" t="s">
        <v>12268</v>
      </c>
      <c r="B145" s="152" t="s">
        <v>12269</v>
      </c>
      <c r="C145" s="152" t="s">
        <v>242</v>
      </c>
      <c r="D145" s="154"/>
      <c r="E145" s="470" t="s">
        <v>11898</v>
      </c>
      <c r="F145" s="336" t="s">
        <v>12270</v>
      </c>
      <c r="G145" s="243" t="s">
        <v>740</v>
      </c>
      <c r="H145" s="145"/>
      <c r="I145" s="145"/>
      <c r="J145" s="152" t="s">
        <v>191</v>
      </c>
      <c r="K145" s="143">
        <v>4</v>
      </c>
      <c r="L145" s="368">
        <v>5</v>
      </c>
      <c r="M145" s="148" t="s">
        <v>199</v>
      </c>
    </row>
    <row r="146" spans="1:13" ht="22.5">
      <c r="A146" s="152" t="s">
        <v>12271</v>
      </c>
      <c r="B146" s="152" t="s">
        <v>12272</v>
      </c>
      <c r="C146" s="152" t="s">
        <v>242</v>
      </c>
      <c r="D146" s="154"/>
      <c r="E146" s="470" t="s">
        <v>11898</v>
      </c>
      <c r="F146" s="336" t="s">
        <v>12273</v>
      </c>
      <c r="G146" s="243" t="s">
        <v>740</v>
      </c>
      <c r="H146" s="145"/>
      <c r="I146" s="145"/>
      <c r="J146" s="152" t="s">
        <v>191</v>
      </c>
      <c r="K146" s="143">
        <v>4</v>
      </c>
      <c r="L146" s="368">
        <v>5</v>
      </c>
      <c r="M146" s="148" t="s">
        <v>199</v>
      </c>
    </row>
    <row r="147" spans="1:13" ht="22.5">
      <c r="A147" s="152" t="s">
        <v>12274</v>
      </c>
      <c r="B147" s="152" t="s">
        <v>12275</v>
      </c>
      <c r="C147" s="152" t="s">
        <v>242</v>
      </c>
      <c r="D147" s="154"/>
      <c r="E147" s="470" t="s">
        <v>11898</v>
      </c>
      <c r="F147" s="336" t="s">
        <v>12276</v>
      </c>
      <c r="G147" s="243" t="s">
        <v>740</v>
      </c>
      <c r="H147" s="145"/>
      <c r="I147" s="145"/>
      <c r="J147" s="152" t="s">
        <v>191</v>
      </c>
      <c r="K147" s="143">
        <v>4</v>
      </c>
      <c r="L147" s="368">
        <v>5</v>
      </c>
      <c r="M147" s="148" t="s">
        <v>199</v>
      </c>
    </row>
    <row r="148" spans="1:13" ht="22.5">
      <c r="A148" s="152" t="s">
        <v>12277</v>
      </c>
      <c r="B148" s="152" t="s">
        <v>12278</v>
      </c>
      <c r="C148" s="152" t="s">
        <v>242</v>
      </c>
      <c r="D148" s="154"/>
      <c r="E148" s="470" t="s">
        <v>11898</v>
      </c>
      <c r="F148" s="336" t="s">
        <v>12279</v>
      </c>
      <c r="G148" s="145" t="s">
        <v>740</v>
      </c>
      <c r="H148" s="145"/>
      <c r="I148" s="145"/>
      <c r="J148" s="152" t="s">
        <v>191</v>
      </c>
      <c r="K148" s="143">
        <v>4</v>
      </c>
      <c r="L148" s="368">
        <v>5</v>
      </c>
      <c r="M148" s="148" t="s">
        <v>199</v>
      </c>
    </row>
    <row r="149" spans="1:13" ht="22.5">
      <c r="A149" s="152" t="s">
        <v>12280</v>
      </c>
      <c r="B149" s="152" t="s">
        <v>12281</v>
      </c>
      <c r="C149" s="152" t="s">
        <v>242</v>
      </c>
      <c r="D149" s="154"/>
      <c r="E149" s="470" t="s">
        <v>11898</v>
      </c>
      <c r="F149" s="336" t="s">
        <v>12282</v>
      </c>
      <c r="G149" s="145" t="s">
        <v>740</v>
      </c>
      <c r="H149" s="145"/>
      <c r="I149" s="145"/>
      <c r="J149" s="152" t="s">
        <v>191</v>
      </c>
      <c r="K149" s="143">
        <v>4</v>
      </c>
      <c r="L149" s="368">
        <v>5</v>
      </c>
      <c r="M149" s="148" t="s">
        <v>199</v>
      </c>
    </row>
    <row r="150" spans="1:13" ht="22.5">
      <c r="A150" s="152" t="s">
        <v>12283</v>
      </c>
      <c r="B150" s="152" t="s">
        <v>12284</v>
      </c>
      <c r="C150" s="152" t="s">
        <v>242</v>
      </c>
      <c r="D150" s="154"/>
      <c r="E150" s="470" t="s">
        <v>11898</v>
      </c>
      <c r="F150" s="336" t="s">
        <v>12285</v>
      </c>
      <c r="G150" s="145" t="s">
        <v>740</v>
      </c>
      <c r="H150" s="145"/>
      <c r="I150" s="145"/>
      <c r="J150" s="152" t="s">
        <v>191</v>
      </c>
      <c r="K150" s="143">
        <v>4</v>
      </c>
      <c r="L150" s="368">
        <v>5</v>
      </c>
      <c r="M150" s="148" t="s">
        <v>199</v>
      </c>
    </row>
    <row r="151" spans="1:13" ht="22.5">
      <c r="A151" s="152" t="s">
        <v>12286</v>
      </c>
      <c r="B151" s="152" t="s">
        <v>12287</v>
      </c>
      <c r="C151" s="152" t="s">
        <v>242</v>
      </c>
      <c r="D151" s="154"/>
      <c r="E151" s="470" t="s">
        <v>11898</v>
      </c>
      <c r="F151" s="336" t="s">
        <v>12288</v>
      </c>
      <c r="G151" s="145" t="s">
        <v>740</v>
      </c>
      <c r="H151" s="145"/>
      <c r="I151" s="145"/>
      <c r="J151" s="152" t="s">
        <v>191</v>
      </c>
      <c r="K151" s="143">
        <v>4</v>
      </c>
      <c r="L151" s="368">
        <v>5</v>
      </c>
      <c r="M151" s="148" t="s">
        <v>199</v>
      </c>
    </row>
    <row r="152" spans="1:13" ht="22.5">
      <c r="A152" s="152" t="s">
        <v>12289</v>
      </c>
      <c r="B152" s="152" t="s">
        <v>12290</v>
      </c>
      <c r="C152" s="152" t="s">
        <v>242</v>
      </c>
      <c r="D152" s="154"/>
      <c r="E152" s="470" t="s">
        <v>11898</v>
      </c>
      <c r="F152" s="336" t="s">
        <v>12291</v>
      </c>
      <c r="G152" s="145" t="s">
        <v>740</v>
      </c>
      <c r="H152" s="145" t="s">
        <v>11551</v>
      </c>
      <c r="I152" s="145"/>
      <c r="J152" s="152" t="s">
        <v>191</v>
      </c>
      <c r="K152" s="143">
        <v>4</v>
      </c>
      <c r="L152" s="368">
        <v>5</v>
      </c>
      <c r="M152" s="148" t="s">
        <v>199</v>
      </c>
    </row>
    <row r="153" spans="1:13" ht="33.75">
      <c r="A153" s="152" t="s">
        <v>12292</v>
      </c>
      <c r="B153" s="152" t="s">
        <v>12293</v>
      </c>
      <c r="C153" s="152" t="s">
        <v>242</v>
      </c>
      <c r="D153" s="154"/>
      <c r="E153" s="470" t="s">
        <v>11898</v>
      </c>
      <c r="F153" s="336" t="s">
        <v>12294</v>
      </c>
      <c r="G153" s="145" t="s">
        <v>740</v>
      </c>
      <c r="H153" s="145"/>
      <c r="I153" s="145"/>
      <c r="J153" s="152" t="s">
        <v>191</v>
      </c>
      <c r="K153" s="143">
        <v>4</v>
      </c>
      <c r="L153" s="368">
        <v>5</v>
      </c>
      <c r="M153" s="148" t="s">
        <v>199</v>
      </c>
    </row>
    <row r="154" spans="1:13" ht="22.5">
      <c r="A154" s="152" t="s">
        <v>12295</v>
      </c>
      <c r="B154" s="152" t="s">
        <v>12296</v>
      </c>
      <c r="C154" s="152" t="s">
        <v>242</v>
      </c>
      <c r="D154" s="154"/>
      <c r="E154" s="470" t="s">
        <v>11898</v>
      </c>
      <c r="F154" s="336" t="s">
        <v>12297</v>
      </c>
      <c r="G154" s="145" t="s">
        <v>740</v>
      </c>
      <c r="H154" s="145" t="s">
        <v>12298</v>
      </c>
      <c r="I154" s="145"/>
      <c r="J154" s="152" t="s">
        <v>191</v>
      </c>
      <c r="K154" s="143">
        <v>4</v>
      </c>
      <c r="L154" s="368">
        <v>5</v>
      </c>
      <c r="M154" s="148" t="s">
        <v>199</v>
      </c>
    </row>
    <row r="155" spans="1:13" ht="90">
      <c r="A155" s="152" t="s">
        <v>12299</v>
      </c>
      <c r="B155" s="152" t="s">
        <v>12300</v>
      </c>
      <c r="C155" s="152" t="s">
        <v>242</v>
      </c>
      <c r="D155" s="154"/>
      <c r="E155" s="470" t="s">
        <v>11898</v>
      </c>
      <c r="F155" s="336" t="s">
        <v>12301</v>
      </c>
      <c r="G155" s="145" t="s">
        <v>740</v>
      </c>
      <c r="H155" s="145"/>
      <c r="I155" s="145"/>
      <c r="J155" s="152" t="s">
        <v>191</v>
      </c>
      <c r="K155" s="143">
        <v>4</v>
      </c>
      <c r="L155" s="368">
        <v>5</v>
      </c>
      <c r="M155" s="148" t="s">
        <v>199</v>
      </c>
    </row>
    <row r="156" spans="1:13" ht="22.5">
      <c r="A156" s="152" t="s">
        <v>12302</v>
      </c>
      <c r="B156" s="152" t="s">
        <v>12303</v>
      </c>
      <c r="C156" s="152" t="s">
        <v>242</v>
      </c>
      <c r="D156" s="154"/>
      <c r="E156" s="511" t="s">
        <v>11898</v>
      </c>
      <c r="F156" s="336" t="s">
        <v>12304</v>
      </c>
      <c r="G156" s="145" t="s">
        <v>740</v>
      </c>
      <c r="H156" s="145"/>
      <c r="I156" s="145"/>
      <c r="J156" s="152" t="s">
        <v>191</v>
      </c>
      <c r="K156" s="143">
        <v>4</v>
      </c>
      <c r="L156" s="368">
        <v>5</v>
      </c>
      <c r="M156" s="148" t="s">
        <v>199</v>
      </c>
    </row>
    <row r="157" spans="1:13" ht="22.5">
      <c r="A157" s="152" t="s">
        <v>12305</v>
      </c>
      <c r="B157" s="152" t="s">
        <v>12306</v>
      </c>
      <c r="C157" s="152" t="s">
        <v>242</v>
      </c>
      <c r="D157" s="154"/>
      <c r="E157" s="511" t="s">
        <v>11898</v>
      </c>
      <c r="F157" s="336" t="s">
        <v>12307</v>
      </c>
      <c r="G157" s="145" t="s">
        <v>740</v>
      </c>
      <c r="H157" s="145"/>
      <c r="I157" s="145"/>
      <c r="J157" s="152" t="s">
        <v>191</v>
      </c>
      <c r="K157" s="143">
        <v>4</v>
      </c>
      <c r="L157" s="368">
        <v>5</v>
      </c>
      <c r="M157" s="148" t="s">
        <v>199</v>
      </c>
    </row>
    <row r="158" spans="1:13" ht="15" customHeight="1">
      <c r="A158" s="152" t="s">
        <v>12308</v>
      </c>
      <c r="B158" s="152" t="s">
        <v>12309</v>
      </c>
      <c r="C158" s="152" t="s">
        <v>242</v>
      </c>
      <c r="D158" s="154"/>
      <c r="E158" s="511" t="s">
        <v>11898</v>
      </c>
      <c r="F158" s="336" t="s">
        <v>12310</v>
      </c>
      <c r="G158" s="145" t="s">
        <v>740</v>
      </c>
      <c r="H158" s="145"/>
      <c r="I158" s="145"/>
      <c r="J158" s="152" t="s">
        <v>191</v>
      </c>
      <c r="K158" s="143">
        <v>4</v>
      </c>
      <c r="L158" s="368">
        <v>5</v>
      </c>
      <c r="M158" s="148" t="s">
        <v>199</v>
      </c>
    </row>
    <row r="159" spans="1:13" ht="16.899999999999999" customHeight="1">
      <c r="A159" s="152" t="s">
        <v>12311</v>
      </c>
      <c r="B159" s="152" t="s">
        <v>12312</v>
      </c>
      <c r="C159" s="152" t="s">
        <v>242</v>
      </c>
      <c r="D159" s="154"/>
      <c r="E159" s="511" t="s">
        <v>11898</v>
      </c>
      <c r="F159" s="336" t="s">
        <v>12313</v>
      </c>
      <c r="G159" s="145" t="s">
        <v>740</v>
      </c>
      <c r="H159" s="145"/>
      <c r="I159" s="145"/>
      <c r="J159" s="152" t="s">
        <v>191</v>
      </c>
      <c r="K159" s="143">
        <v>4</v>
      </c>
      <c r="L159" s="368">
        <v>5</v>
      </c>
      <c r="M159" s="148" t="s">
        <v>199</v>
      </c>
    </row>
    <row r="160" spans="1:13" ht="22.5">
      <c r="A160" s="152" t="s">
        <v>12314</v>
      </c>
      <c r="B160" s="152" t="s">
        <v>12315</v>
      </c>
      <c r="C160" s="152" t="s">
        <v>242</v>
      </c>
      <c r="D160" s="154"/>
      <c r="E160" s="511" t="s">
        <v>11898</v>
      </c>
      <c r="F160" s="336" t="s">
        <v>12316</v>
      </c>
      <c r="G160" s="145" t="s">
        <v>188</v>
      </c>
      <c r="H160" s="145" t="s">
        <v>12317</v>
      </c>
      <c r="I160" s="145"/>
      <c r="J160" s="152" t="s">
        <v>191</v>
      </c>
      <c r="K160" s="143">
        <v>4</v>
      </c>
      <c r="L160" s="368">
        <v>5</v>
      </c>
      <c r="M160" s="148" t="s">
        <v>199</v>
      </c>
    </row>
    <row r="161" spans="1:13" ht="22.5">
      <c r="A161" s="152" t="s">
        <v>12318</v>
      </c>
      <c r="B161" s="152" t="s">
        <v>12319</v>
      </c>
      <c r="C161" s="152" t="s">
        <v>242</v>
      </c>
      <c r="D161" s="154"/>
      <c r="E161" s="511" t="s">
        <v>11898</v>
      </c>
      <c r="F161" s="336" t="s">
        <v>12320</v>
      </c>
      <c r="G161" s="145" t="s">
        <v>740</v>
      </c>
      <c r="H161" s="145" t="s">
        <v>12321</v>
      </c>
      <c r="I161" s="145"/>
      <c r="J161" s="152" t="s">
        <v>191</v>
      </c>
      <c r="K161" s="143">
        <v>4</v>
      </c>
      <c r="L161" s="368">
        <v>5</v>
      </c>
      <c r="M161" s="148" t="s">
        <v>199</v>
      </c>
    </row>
    <row r="162" spans="1:13" ht="22.5">
      <c r="A162" s="152" t="s">
        <v>12322</v>
      </c>
      <c r="B162" s="152" t="s">
        <v>12323</v>
      </c>
      <c r="C162" s="152" t="s">
        <v>242</v>
      </c>
      <c r="D162" s="154"/>
      <c r="E162" s="511" t="s">
        <v>11898</v>
      </c>
      <c r="F162" s="336" t="s">
        <v>12324</v>
      </c>
      <c r="G162" s="243" t="s">
        <v>740</v>
      </c>
      <c r="H162" s="145"/>
      <c r="I162" s="145"/>
      <c r="J162" s="152" t="s">
        <v>191</v>
      </c>
      <c r="K162" s="143">
        <v>4</v>
      </c>
      <c r="L162" s="368">
        <v>5</v>
      </c>
      <c r="M162" s="148" t="s">
        <v>199</v>
      </c>
    </row>
    <row r="163" spans="1:13" ht="22.5">
      <c r="A163" s="152" t="s">
        <v>12325</v>
      </c>
      <c r="B163" s="152" t="s">
        <v>12326</v>
      </c>
      <c r="C163" s="152" t="s">
        <v>242</v>
      </c>
      <c r="D163" s="154"/>
      <c r="E163" s="511" t="s">
        <v>11898</v>
      </c>
      <c r="F163" s="336" t="s">
        <v>12327</v>
      </c>
      <c r="G163" s="243" t="s">
        <v>740</v>
      </c>
      <c r="H163" s="145"/>
      <c r="I163" s="145"/>
      <c r="J163" s="152" t="s">
        <v>191</v>
      </c>
      <c r="K163" s="143">
        <v>4</v>
      </c>
      <c r="L163" s="368">
        <v>5</v>
      </c>
      <c r="M163" s="148" t="s">
        <v>199</v>
      </c>
    </row>
    <row r="164" spans="1:13" ht="22.5">
      <c r="A164" s="152" t="s">
        <v>12328</v>
      </c>
      <c r="B164" s="152" t="s">
        <v>12329</v>
      </c>
      <c r="C164" s="152" t="s">
        <v>242</v>
      </c>
      <c r="D164" s="154"/>
      <c r="E164" s="511" t="s">
        <v>11898</v>
      </c>
      <c r="F164" s="336" t="s">
        <v>12330</v>
      </c>
      <c r="G164" s="243" t="s">
        <v>740</v>
      </c>
      <c r="H164" s="145"/>
      <c r="I164" s="145"/>
      <c r="J164" s="152" t="s">
        <v>191</v>
      </c>
      <c r="K164" s="143">
        <v>4</v>
      </c>
      <c r="L164" s="368">
        <v>5</v>
      </c>
      <c r="M164" s="148" t="s">
        <v>199</v>
      </c>
    </row>
    <row r="165" spans="1:13">
      <c r="A165" s="152" t="s">
        <v>12331</v>
      </c>
      <c r="B165" s="152" t="s">
        <v>12332</v>
      </c>
      <c r="C165" s="152" t="s">
        <v>242</v>
      </c>
      <c r="D165" s="154"/>
      <c r="E165" s="511" t="s">
        <v>11898</v>
      </c>
      <c r="F165" s="336" t="s">
        <v>12333</v>
      </c>
      <c r="G165" s="243" t="s">
        <v>740</v>
      </c>
      <c r="H165" s="145"/>
      <c r="I165" s="145"/>
      <c r="J165" s="152" t="s">
        <v>191</v>
      </c>
      <c r="K165" s="143">
        <v>4</v>
      </c>
      <c r="L165" s="368">
        <v>5</v>
      </c>
      <c r="M165" s="148" t="s">
        <v>199</v>
      </c>
    </row>
    <row r="166" spans="1:13">
      <c r="A166" s="152" t="s">
        <v>12334</v>
      </c>
      <c r="B166" s="152" t="s">
        <v>12335</v>
      </c>
      <c r="C166" s="152" t="s">
        <v>242</v>
      </c>
      <c r="D166" s="154"/>
      <c r="E166" s="511" t="s">
        <v>11898</v>
      </c>
      <c r="F166" s="336" t="s">
        <v>12333</v>
      </c>
      <c r="G166" s="243" t="s">
        <v>740</v>
      </c>
      <c r="H166" s="145"/>
      <c r="I166" s="145"/>
      <c r="J166" s="152" t="s">
        <v>191</v>
      </c>
      <c r="K166" s="143">
        <v>4</v>
      </c>
      <c r="L166" s="368">
        <v>5</v>
      </c>
      <c r="M166" s="148" t="s">
        <v>199</v>
      </c>
    </row>
    <row r="167" spans="1:13">
      <c r="A167" s="152" t="s">
        <v>12336</v>
      </c>
      <c r="B167" s="152" t="s">
        <v>12337</v>
      </c>
      <c r="C167" s="152" t="s">
        <v>242</v>
      </c>
      <c r="D167" s="154"/>
      <c r="E167" s="511" t="s">
        <v>11898</v>
      </c>
      <c r="F167" s="336" t="s">
        <v>12338</v>
      </c>
      <c r="G167" s="243" t="s">
        <v>740</v>
      </c>
      <c r="H167" s="145"/>
      <c r="I167" s="145"/>
      <c r="J167" s="152" t="s">
        <v>191</v>
      </c>
      <c r="K167" s="143">
        <v>4</v>
      </c>
      <c r="L167" s="368">
        <v>5</v>
      </c>
      <c r="M167" s="148" t="s">
        <v>199</v>
      </c>
    </row>
    <row r="168" spans="1:13" ht="33.75">
      <c r="A168" s="152" t="s">
        <v>12339</v>
      </c>
      <c r="B168" s="152" t="s">
        <v>12340</v>
      </c>
      <c r="C168" s="152" t="s">
        <v>242</v>
      </c>
      <c r="D168" s="154"/>
      <c r="E168" s="511" t="s">
        <v>11898</v>
      </c>
      <c r="F168" s="336" t="s">
        <v>12341</v>
      </c>
      <c r="G168" s="243" t="s">
        <v>740</v>
      </c>
      <c r="H168" s="145"/>
      <c r="I168" s="145"/>
      <c r="J168" s="152" t="s">
        <v>191</v>
      </c>
      <c r="K168" s="143">
        <v>4</v>
      </c>
      <c r="L168" s="368">
        <v>5</v>
      </c>
      <c r="M168" s="148" t="s">
        <v>199</v>
      </c>
    </row>
    <row r="169" spans="1:13" ht="22.5">
      <c r="A169" s="152" t="s">
        <v>12342</v>
      </c>
      <c r="B169" s="152" t="s">
        <v>12343</v>
      </c>
      <c r="C169" s="152" t="s">
        <v>242</v>
      </c>
      <c r="D169" s="154"/>
      <c r="E169" s="511" t="s">
        <v>11898</v>
      </c>
      <c r="F169" s="336" t="s">
        <v>12344</v>
      </c>
      <c r="G169" s="145" t="s">
        <v>740</v>
      </c>
      <c r="H169" s="145" t="s">
        <v>12345</v>
      </c>
      <c r="I169" s="145"/>
      <c r="J169" s="152" t="s">
        <v>191</v>
      </c>
      <c r="K169" s="143">
        <v>4</v>
      </c>
      <c r="L169" s="368">
        <v>5</v>
      </c>
      <c r="M169" s="148" t="s">
        <v>199</v>
      </c>
    </row>
    <row r="170" spans="1:13" ht="22.5">
      <c r="A170" s="152" t="s">
        <v>12346</v>
      </c>
      <c r="B170" s="152" t="s">
        <v>12347</v>
      </c>
      <c r="C170" s="152" t="s">
        <v>242</v>
      </c>
      <c r="D170" s="154"/>
      <c r="E170" s="511" t="s">
        <v>11898</v>
      </c>
      <c r="F170" s="336" t="s">
        <v>12348</v>
      </c>
      <c r="G170" s="145" t="s">
        <v>740</v>
      </c>
      <c r="H170" s="145" t="s">
        <v>12345</v>
      </c>
      <c r="I170" s="145"/>
      <c r="J170" s="152" t="s">
        <v>191</v>
      </c>
      <c r="K170" s="143">
        <v>4</v>
      </c>
      <c r="L170" s="368">
        <v>5</v>
      </c>
      <c r="M170" s="148" t="s">
        <v>199</v>
      </c>
    </row>
    <row r="171" spans="1:13" ht="22.5">
      <c r="A171" s="152" t="s">
        <v>12349</v>
      </c>
      <c r="B171" s="152" t="s">
        <v>12350</v>
      </c>
      <c r="C171" s="152" t="s">
        <v>242</v>
      </c>
      <c r="D171" s="154"/>
      <c r="E171" s="511" t="s">
        <v>11898</v>
      </c>
      <c r="F171" s="336" t="s">
        <v>12351</v>
      </c>
      <c r="G171" s="145" t="s">
        <v>740</v>
      </c>
      <c r="H171" s="145" t="s">
        <v>12352</v>
      </c>
      <c r="I171" s="145"/>
      <c r="J171" s="152" t="s">
        <v>191</v>
      </c>
      <c r="K171" s="143">
        <v>4</v>
      </c>
      <c r="L171" s="368">
        <v>5</v>
      </c>
      <c r="M171" s="148" t="s">
        <v>199</v>
      </c>
    </row>
    <row r="172" spans="1:13" ht="202.5">
      <c r="A172" s="152" t="s">
        <v>12353</v>
      </c>
      <c r="B172" s="152" t="s">
        <v>12354</v>
      </c>
      <c r="C172" s="152" t="s">
        <v>242</v>
      </c>
      <c r="D172" s="154"/>
      <c r="E172" s="511" t="s">
        <v>11898</v>
      </c>
      <c r="F172" s="336" t="s">
        <v>12355</v>
      </c>
      <c r="G172" s="145" t="s">
        <v>740</v>
      </c>
      <c r="H172" s="145" t="s">
        <v>12356</v>
      </c>
      <c r="I172" s="145"/>
      <c r="J172" s="152" t="s">
        <v>191</v>
      </c>
      <c r="K172" s="143">
        <v>4</v>
      </c>
      <c r="L172" s="368">
        <v>5</v>
      </c>
      <c r="M172" s="148" t="s">
        <v>199</v>
      </c>
    </row>
    <row r="173" spans="1:13" ht="258.75">
      <c r="A173" s="152" t="s">
        <v>12357</v>
      </c>
      <c r="B173" s="152" t="s">
        <v>12358</v>
      </c>
      <c r="C173" s="152" t="s">
        <v>242</v>
      </c>
      <c r="D173" s="154"/>
      <c r="E173" s="511" t="s">
        <v>11898</v>
      </c>
      <c r="F173" s="336" t="s">
        <v>12359</v>
      </c>
      <c r="G173" s="145" t="s">
        <v>740</v>
      </c>
      <c r="H173" s="145" t="s">
        <v>12360</v>
      </c>
      <c r="I173" s="145"/>
      <c r="J173" s="152" t="s">
        <v>191</v>
      </c>
      <c r="K173" s="143">
        <v>4</v>
      </c>
      <c r="L173" s="368">
        <v>5</v>
      </c>
      <c r="M173" s="148" t="s">
        <v>199</v>
      </c>
    </row>
    <row r="174" spans="1:13" ht="157.5">
      <c r="A174" s="152" t="s">
        <v>12361</v>
      </c>
      <c r="B174" s="152" t="s">
        <v>12362</v>
      </c>
      <c r="C174" s="152" t="s">
        <v>242</v>
      </c>
      <c r="D174" s="154"/>
      <c r="E174" s="511" t="s">
        <v>12363</v>
      </c>
      <c r="F174" s="336" t="s">
        <v>12364</v>
      </c>
      <c r="G174" s="145" t="s">
        <v>740</v>
      </c>
      <c r="H174" s="145" t="s">
        <v>12365</v>
      </c>
      <c r="I174" s="145"/>
      <c r="J174" s="152" t="s">
        <v>191</v>
      </c>
      <c r="K174" s="143">
        <v>4</v>
      </c>
      <c r="L174" s="368">
        <v>5</v>
      </c>
      <c r="M174" s="148" t="s">
        <v>199</v>
      </c>
    </row>
    <row r="175" spans="1:13" ht="213.75">
      <c r="A175" s="152" t="s">
        <v>12366</v>
      </c>
      <c r="B175" s="152" t="s">
        <v>12367</v>
      </c>
      <c r="C175" s="152" t="s">
        <v>242</v>
      </c>
      <c r="D175" s="154"/>
      <c r="E175" s="470" t="s">
        <v>11898</v>
      </c>
      <c r="F175" s="336" t="s">
        <v>12368</v>
      </c>
      <c r="G175" s="145" t="s">
        <v>740</v>
      </c>
      <c r="H175" s="145" t="s">
        <v>12365</v>
      </c>
      <c r="I175" s="145"/>
      <c r="J175" s="152" t="s">
        <v>191</v>
      </c>
      <c r="K175" s="143">
        <v>4</v>
      </c>
      <c r="L175" s="368">
        <v>5</v>
      </c>
      <c r="M175" s="148" t="s">
        <v>199</v>
      </c>
    </row>
    <row r="176" spans="1:13" ht="22.5">
      <c r="A176" s="152" t="s">
        <v>12369</v>
      </c>
      <c r="B176" s="152" t="s">
        <v>12370</v>
      </c>
      <c r="C176" s="152" t="s">
        <v>242</v>
      </c>
      <c r="D176" s="154"/>
      <c r="E176" s="470" t="s">
        <v>11898</v>
      </c>
      <c r="F176" s="336" t="s">
        <v>12371</v>
      </c>
      <c r="G176" s="145" t="s">
        <v>740</v>
      </c>
      <c r="H176" s="145" t="s">
        <v>12345</v>
      </c>
      <c r="I176" s="145"/>
      <c r="J176" s="152" t="s">
        <v>191</v>
      </c>
      <c r="K176" s="143">
        <v>4</v>
      </c>
      <c r="L176" s="368">
        <v>5</v>
      </c>
      <c r="M176" s="148" t="s">
        <v>199</v>
      </c>
    </row>
    <row r="177" spans="1:13" ht="22.5">
      <c r="A177" s="152" t="s">
        <v>12372</v>
      </c>
      <c r="B177" s="152" t="s">
        <v>12373</v>
      </c>
      <c r="C177" s="152" t="s">
        <v>242</v>
      </c>
      <c r="D177" s="154"/>
      <c r="E177" s="470" t="s">
        <v>11898</v>
      </c>
      <c r="F177" s="336" t="s">
        <v>12374</v>
      </c>
      <c r="G177" s="145" t="s">
        <v>198</v>
      </c>
      <c r="H177" s="145" t="s">
        <v>12375</v>
      </c>
      <c r="I177" s="145"/>
      <c r="J177" s="152" t="s">
        <v>191</v>
      </c>
      <c r="K177" s="143">
        <v>4</v>
      </c>
      <c r="L177" s="368">
        <v>5</v>
      </c>
      <c r="M177" s="148" t="s">
        <v>199</v>
      </c>
    </row>
    <row r="178" spans="1:13" ht="22.5">
      <c r="A178" s="152" t="s">
        <v>12376</v>
      </c>
      <c r="B178" s="152" t="s">
        <v>12377</v>
      </c>
      <c r="C178" s="152" t="s">
        <v>242</v>
      </c>
      <c r="D178" s="154"/>
      <c r="E178" s="470" t="s">
        <v>11898</v>
      </c>
      <c r="F178" s="336" t="s">
        <v>12378</v>
      </c>
      <c r="G178" s="243" t="s">
        <v>740</v>
      </c>
      <c r="H178" s="145"/>
      <c r="I178" s="145"/>
      <c r="J178" s="152" t="s">
        <v>191</v>
      </c>
      <c r="K178" s="143">
        <v>4</v>
      </c>
      <c r="L178" s="368">
        <v>5</v>
      </c>
      <c r="M178" s="148" t="s">
        <v>199</v>
      </c>
    </row>
    <row r="179" spans="1:13" ht="22.5">
      <c r="A179" s="152" t="s">
        <v>12379</v>
      </c>
      <c r="B179" s="152" t="s">
        <v>12380</v>
      </c>
      <c r="C179" s="152" t="s">
        <v>242</v>
      </c>
      <c r="D179" s="154"/>
      <c r="E179" s="470" t="s">
        <v>11898</v>
      </c>
      <c r="F179" s="336" t="s">
        <v>12381</v>
      </c>
      <c r="G179" s="145" t="s">
        <v>740</v>
      </c>
      <c r="H179" s="145" t="s">
        <v>12345</v>
      </c>
      <c r="I179" s="145"/>
      <c r="J179" s="152" t="s">
        <v>191</v>
      </c>
      <c r="K179" s="143">
        <v>4</v>
      </c>
      <c r="L179" s="368">
        <v>5</v>
      </c>
      <c r="M179" s="148" t="s">
        <v>199</v>
      </c>
    </row>
    <row r="180" spans="1:13" ht="22.5">
      <c r="A180" s="152" t="s">
        <v>12382</v>
      </c>
      <c r="B180" s="152" t="s">
        <v>12383</v>
      </c>
      <c r="C180" s="152" t="s">
        <v>242</v>
      </c>
      <c r="D180" s="154"/>
      <c r="E180" s="470" t="s">
        <v>11898</v>
      </c>
      <c r="F180" s="336" t="s">
        <v>12384</v>
      </c>
      <c r="G180" s="145" t="s">
        <v>198</v>
      </c>
      <c r="H180" s="145" t="s">
        <v>12375</v>
      </c>
      <c r="I180" s="145"/>
      <c r="J180" s="152" t="s">
        <v>191</v>
      </c>
      <c r="K180" s="143">
        <v>4</v>
      </c>
      <c r="L180" s="368">
        <v>5</v>
      </c>
      <c r="M180" s="148" t="s">
        <v>199</v>
      </c>
    </row>
    <row r="181" spans="1:13" ht="22.5">
      <c r="A181" s="152" t="s">
        <v>12385</v>
      </c>
      <c r="B181" s="152" t="s">
        <v>12386</v>
      </c>
      <c r="C181" s="152" t="s">
        <v>242</v>
      </c>
      <c r="D181" s="154"/>
      <c r="E181" s="470" t="s">
        <v>11898</v>
      </c>
      <c r="F181" s="336" t="s">
        <v>12387</v>
      </c>
      <c r="G181" s="243" t="s">
        <v>740</v>
      </c>
      <c r="H181" s="145"/>
      <c r="I181" s="145"/>
      <c r="J181" s="152" t="s">
        <v>191</v>
      </c>
      <c r="K181" s="143">
        <v>4</v>
      </c>
      <c r="L181" s="368">
        <v>5</v>
      </c>
      <c r="M181" s="148" t="s">
        <v>199</v>
      </c>
    </row>
    <row r="182" spans="1:13" ht="22.5">
      <c r="A182" s="152" t="s">
        <v>12388</v>
      </c>
      <c r="B182" s="152" t="s">
        <v>12389</v>
      </c>
      <c r="C182" s="152" t="s">
        <v>242</v>
      </c>
      <c r="D182" s="154"/>
      <c r="E182" s="470" t="s">
        <v>11898</v>
      </c>
      <c r="F182" s="336" t="s">
        <v>12390</v>
      </c>
      <c r="G182" s="145" t="s">
        <v>188</v>
      </c>
      <c r="H182" s="145" t="s">
        <v>12345</v>
      </c>
      <c r="I182" s="145"/>
      <c r="J182" s="152" t="s">
        <v>191</v>
      </c>
      <c r="K182" s="143">
        <v>4</v>
      </c>
      <c r="L182" s="368">
        <v>5</v>
      </c>
      <c r="M182" s="148" t="s">
        <v>199</v>
      </c>
    </row>
    <row r="183" spans="1:13" ht="22.5">
      <c r="A183" s="152" t="s">
        <v>12391</v>
      </c>
      <c r="B183" s="152" t="s">
        <v>12392</v>
      </c>
      <c r="C183" s="152" t="s">
        <v>242</v>
      </c>
      <c r="D183" s="154"/>
      <c r="E183" s="470" t="s">
        <v>11898</v>
      </c>
      <c r="F183" s="336" t="s">
        <v>12393</v>
      </c>
      <c r="G183" s="145" t="s">
        <v>198</v>
      </c>
      <c r="H183" s="145" t="s">
        <v>12375</v>
      </c>
      <c r="I183" s="145"/>
      <c r="J183" s="152" t="s">
        <v>191</v>
      </c>
      <c r="K183" s="143">
        <v>4</v>
      </c>
      <c r="L183" s="368">
        <v>5</v>
      </c>
      <c r="M183" s="148" t="s">
        <v>199</v>
      </c>
    </row>
    <row r="184" spans="1:13" ht="22.5">
      <c r="A184" s="152" t="s">
        <v>12394</v>
      </c>
      <c r="B184" s="152" t="s">
        <v>12395</v>
      </c>
      <c r="C184" s="152" t="s">
        <v>242</v>
      </c>
      <c r="D184" s="154"/>
      <c r="E184" s="470" t="s">
        <v>11898</v>
      </c>
      <c r="F184" s="336" t="s">
        <v>12396</v>
      </c>
      <c r="G184" s="145" t="s">
        <v>188</v>
      </c>
      <c r="H184" s="145" t="s">
        <v>11921</v>
      </c>
      <c r="I184" s="145"/>
      <c r="J184" s="152" t="s">
        <v>191</v>
      </c>
      <c r="K184" s="143">
        <v>4</v>
      </c>
      <c r="L184" s="368">
        <v>5</v>
      </c>
      <c r="M184" s="148" t="s">
        <v>199</v>
      </c>
    </row>
    <row r="185" spans="1:13" ht="22.5">
      <c r="A185" s="152" t="s">
        <v>12397</v>
      </c>
      <c r="B185" s="152" t="s">
        <v>12398</v>
      </c>
      <c r="C185" s="152" t="s">
        <v>242</v>
      </c>
      <c r="D185" s="154"/>
      <c r="E185" s="470" t="s">
        <v>11898</v>
      </c>
      <c r="F185" s="336" t="s">
        <v>12399</v>
      </c>
      <c r="G185" s="145" t="s">
        <v>198</v>
      </c>
      <c r="H185" s="145" t="s">
        <v>12375</v>
      </c>
      <c r="I185" s="145"/>
      <c r="J185" s="152" t="s">
        <v>191</v>
      </c>
      <c r="K185" s="143">
        <v>4</v>
      </c>
      <c r="L185" s="368">
        <v>5</v>
      </c>
      <c r="M185" s="148" t="s">
        <v>199</v>
      </c>
    </row>
    <row r="186" spans="1:13" ht="22.5">
      <c r="A186" s="152" t="s">
        <v>12400</v>
      </c>
      <c r="B186" s="152" t="s">
        <v>12401</v>
      </c>
      <c r="C186" s="152" t="s">
        <v>242</v>
      </c>
      <c r="D186" s="154"/>
      <c r="E186" s="470" t="s">
        <v>11898</v>
      </c>
      <c r="F186" s="336" t="s">
        <v>12402</v>
      </c>
      <c r="G186" s="145" t="s">
        <v>198</v>
      </c>
      <c r="H186" s="145" t="s">
        <v>12403</v>
      </c>
      <c r="I186" s="145"/>
      <c r="J186" s="152" t="s">
        <v>191</v>
      </c>
      <c r="K186" s="143">
        <v>4</v>
      </c>
      <c r="L186" s="368">
        <v>5</v>
      </c>
      <c r="M186" s="148" t="s">
        <v>199</v>
      </c>
    </row>
    <row r="187" spans="1:13" ht="22.5">
      <c r="A187" s="152" t="s">
        <v>12404</v>
      </c>
      <c r="B187" s="152" t="s">
        <v>12405</v>
      </c>
      <c r="C187" s="152" t="s">
        <v>242</v>
      </c>
      <c r="D187" s="154"/>
      <c r="E187" s="470" t="s">
        <v>11898</v>
      </c>
      <c r="F187" s="336" t="s">
        <v>12406</v>
      </c>
      <c r="G187" s="145" t="s">
        <v>198</v>
      </c>
      <c r="H187" s="145" t="s">
        <v>12375</v>
      </c>
      <c r="I187" s="145"/>
      <c r="J187" s="152" t="s">
        <v>191</v>
      </c>
      <c r="K187" s="143">
        <v>4</v>
      </c>
      <c r="L187" s="368">
        <v>5</v>
      </c>
      <c r="M187" s="148" t="s">
        <v>199</v>
      </c>
    </row>
    <row r="188" spans="1:13" ht="22.5">
      <c r="A188" s="152" t="s">
        <v>12407</v>
      </c>
      <c r="B188" s="152" t="s">
        <v>12408</v>
      </c>
      <c r="C188" s="152" t="s">
        <v>242</v>
      </c>
      <c r="D188" s="154"/>
      <c r="E188" s="470" t="s">
        <v>11898</v>
      </c>
      <c r="F188" s="336" t="s">
        <v>12409</v>
      </c>
      <c r="G188" s="145" t="s">
        <v>198</v>
      </c>
      <c r="H188" s="145" t="s">
        <v>12375</v>
      </c>
      <c r="I188" s="145"/>
      <c r="J188" s="152" t="s">
        <v>191</v>
      </c>
      <c r="K188" s="143">
        <v>4</v>
      </c>
      <c r="L188" s="368">
        <v>5</v>
      </c>
      <c r="M188" s="148" t="s">
        <v>199</v>
      </c>
    </row>
    <row r="189" spans="1:13" ht="22.5">
      <c r="A189" s="152" t="s">
        <v>12410</v>
      </c>
      <c r="B189" s="152" t="s">
        <v>12411</v>
      </c>
      <c r="C189" s="152" t="s">
        <v>242</v>
      </c>
      <c r="D189" s="154"/>
      <c r="E189" s="470" t="s">
        <v>11898</v>
      </c>
      <c r="F189" s="336" t="s">
        <v>12412</v>
      </c>
      <c r="G189" s="145" t="s">
        <v>198</v>
      </c>
      <c r="H189" s="145" t="s">
        <v>12375</v>
      </c>
      <c r="I189" s="145"/>
      <c r="J189" s="152" t="s">
        <v>191</v>
      </c>
      <c r="K189" s="143">
        <v>4</v>
      </c>
      <c r="L189" s="368">
        <v>5</v>
      </c>
      <c r="M189" s="148" t="s">
        <v>199</v>
      </c>
    </row>
    <row r="190" spans="1:13" ht="22.5">
      <c r="A190" s="152" t="s">
        <v>12413</v>
      </c>
      <c r="B190" s="152" t="s">
        <v>12414</v>
      </c>
      <c r="C190" s="152" t="s">
        <v>242</v>
      </c>
      <c r="D190" s="154"/>
      <c r="E190" s="470" t="s">
        <v>11898</v>
      </c>
      <c r="F190" s="336" t="s">
        <v>12415</v>
      </c>
      <c r="G190" s="145" t="s">
        <v>198</v>
      </c>
      <c r="H190" s="145" t="s">
        <v>12375</v>
      </c>
      <c r="I190" s="145"/>
      <c r="J190" s="152" t="s">
        <v>191</v>
      </c>
      <c r="K190" s="143">
        <v>4</v>
      </c>
      <c r="L190" s="368">
        <v>5</v>
      </c>
      <c r="M190" s="148" t="s">
        <v>199</v>
      </c>
    </row>
    <row r="191" spans="1:13" ht="22.5">
      <c r="A191" s="152" t="s">
        <v>12416</v>
      </c>
      <c r="B191" s="152" t="s">
        <v>12417</v>
      </c>
      <c r="C191" s="152" t="s">
        <v>242</v>
      </c>
      <c r="D191" s="154"/>
      <c r="E191" s="470" t="s">
        <v>11898</v>
      </c>
      <c r="F191" s="336" t="s">
        <v>12418</v>
      </c>
      <c r="G191" s="145" t="s">
        <v>198</v>
      </c>
      <c r="H191" s="145" t="s">
        <v>12375</v>
      </c>
      <c r="I191" s="145"/>
      <c r="J191" s="152" t="s">
        <v>191</v>
      </c>
      <c r="K191" s="143">
        <v>4</v>
      </c>
      <c r="L191" s="368">
        <v>5</v>
      </c>
      <c r="M191" s="148" t="s">
        <v>199</v>
      </c>
    </row>
    <row r="192" spans="1:13" ht="22.5">
      <c r="A192" s="152" t="s">
        <v>12419</v>
      </c>
      <c r="B192" s="152" t="s">
        <v>12420</v>
      </c>
      <c r="C192" s="152" t="s">
        <v>242</v>
      </c>
      <c r="D192" s="154"/>
      <c r="E192" s="470" t="s">
        <v>11898</v>
      </c>
      <c r="F192" s="336" t="s">
        <v>12421</v>
      </c>
      <c r="G192" s="145" t="s">
        <v>198</v>
      </c>
      <c r="H192" s="145" t="s">
        <v>12375</v>
      </c>
      <c r="I192" s="145"/>
      <c r="J192" s="152" t="s">
        <v>191</v>
      </c>
      <c r="K192" s="143">
        <v>4</v>
      </c>
      <c r="L192" s="368">
        <v>5</v>
      </c>
      <c r="M192" s="148" t="s">
        <v>199</v>
      </c>
    </row>
    <row r="193" spans="1:13" ht="168.75">
      <c r="A193" s="152" t="s">
        <v>12422</v>
      </c>
      <c r="B193" s="152" t="s">
        <v>12423</v>
      </c>
      <c r="C193" s="152" t="s">
        <v>242</v>
      </c>
      <c r="D193" s="154"/>
      <c r="E193" s="470" t="s">
        <v>11898</v>
      </c>
      <c r="F193" s="336" t="s">
        <v>12424</v>
      </c>
      <c r="G193" s="145" t="s">
        <v>740</v>
      </c>
      <c r="H193" s="145" t="s">
        <v>12425</v>
      </c>
      <c r="I193" s="145"/>
      <c r="J193" s="152" t="s">
        <v>191</v>
      </c>
      <c r="K193" s="143">
        <v>4</v>
      </c>
      <c r="L193" s="368">
        <v>5</v>
      </c>
      <c r="M193" s="148" t="s">
        <v>199</v>
      </c>
    </row>
    <row r="194" spans="1:13" ht="168.75">
      <c r="A194" s="152" t="s">
        <v>12426</v>
      </c>
      <c r="B194" s="152" t="s">
        <v>12427</v>
      </c>
      <c r="C194" s="152" t="s">
        <v>242</v>
      </c>
      <c r="D194" s="154"/>
      <c r="E194" s="470" t="s">
        <v>11898</v>
      </c>
      <c r="F194" s="336" t="s">
        <v>12428</v>
      </c>
      <c r="G194" s="145" t="s">
        <v>740</v>
      </c>
      <c r="H194" s="145" t="s">
        <v>12425</v>
      </c>
      <c r="I194" s="145"/>
      <c r="J194" s="152" t="s">
        <v>191</v>
      </c>
      <c r="K194" s="143">
        <v>4</v>
      </c>
      <c r="L194" s="368">
        <v>5</v>
      </c>
      <c r="M194" s="148" t="s">
        <v>199</v>
      </c>
    </row>
    <row r="195" spans="1:13" ht="202.5">
      <c r="A195" s="152" t="s">
        <v>12429</v>
      </c>
      <c r="B195" s="152" t="s">
        <v>12430</v>
      </c>
      <c r="C195" s="152" t="s">
        <v>242</v>
      </c>
      <c r="D195" s="154"/>
      <c r="E195" s="470" t="s">
        <v>11898</v>
      </c>
      <c r="F195" s="336" t="s">
        <v>12431</v>
      </c>
      <c r="G195" s="145" t="s">
        <v>740</v>
      </c>
      <c r="H195" s="145" t="s">
        <v>12432</v>
      </c>
      <c r="I195" s="145"/>
      <c r="J195" s="152" t="s">
        <v>191</v>
      </c>
      <c r="K195" s="143">
        <v>4</v>
      </c>
      <c r="L195" s="368">
        <v>5</v>
      </c>
      <c r="M195" s="148" t="s">
        <v>199</v>
      </c>
    </row>
    <row r="196" spans="1:13" ht="202.5">
      <c r="A196" s="152" t="s">
        <v>12433</v>
      </c>
      <c r="B196" s="152" t="s">
        <v>12434</v>
      </c>
      <c r="C196" s="152" t="s">
        <v>242</v>
      </c>
      <c r="D196" s="154"/>
      <c r="E196" s="470" t="s">
        <v>11898</v>
      </c>
      <c r="F196" s="336" t="s">
        <v>12435</v>
      </c>
      <c r="G196" s="145" t="s">
        <v>740</v>
      </c>
      <c r="H196" s="145" t="s">
        <v>12432</v>
      </c>
      <c r="I196" s="145"/>
      <c r="J196" s="152" t="s">
        <v>191</v>
      </c>
      <c r="K196" s="143">
        <v>4</v>
      </c>
      <c r="L196" s="368">
        <v>5</v>
      </c>
      <c r="M196" s="148" t="s">
        <v>199</v>
      </c>
    </row>
    <row r="197" spans="1:13" ht="56.25">
      <c r="A197" s="152" t="s">
        <v>12436</v>
      </c>
      <c r="B197" s="152" t="s">
        <v>12437</v>
      </c>
      <c r="C197" s="152" t="s">
        <v>242</v>
      </c>
      <c r="D197" s="154"/>
      <c r="E197" s="470" t="s">
        <v>11898</v>
      </c>
      <c r="F197" s="336" t="s">
        <v>12438</v>
      </c>
      <c r="G197" s="145" t="s">
        <v>740</v>
      </c>
      <c r="H197" s="145" t="s">
        <v>12439</v>
      </c>
      <c r="I197" s="145"/>
      <c r="J197" s="152" t="s">
        <v>191</v>
      </c>
      <c r="K197" s="143">
        <v>4</v>
      </c>
      <c r="L197" s="368">
        <v>5</v>
      </c>
      <c r="M197" s="148" t="s">
        <v>199</v>
      </c>
    </row>
    <row r="198" spans="1:13" ht="56.25">
      <c r="A198" s="152" t="s">
        <v>12440</v>
      </c>
      <c r="B198" s="152" t="s">
        <v>12441</v>
      </c>
      <c r="C198" s="152" t="s">
        <v>242</v>
      </c>
      <c r="D198" s="154"/>
      <c r="E198" s="470" t="s">
        <v>11898</v>
      </c>
      <c r="F198" s="336" t="s">
        <v>12442</v>
      </c>
      <c r="G198" s="145" t="s">
        <v>740</v>
      </c>
      <c r="H198" s="145" t="s">
        <v>12439</v>
      </c>
      <c r="I198" s="145"/>
      <c r="J198" s="152" t="s">
        <v>191</v>
      </c>
      <c r="K198" s="143">
        <v>4</v>
      </c>
      <c r="L198" s="368">
        <v>5</v>
      </c>
      <c r="M198" s="148" t="s">
        <v>199</v>
      </c>
    </row>
    <row r="199" spans="1:13">
      <c r="A199" s="202"/>
      <c r="B199" s="202"/>
      <c r="C199" s="202"/>
      <c r="D199" s="202"/>
      <c r="E199" s="470"/>
      <c r="F199" s="164"/>
      <c r="G199" s="164"/>
      <c r="H199" s="202"/>
      <c r="I199" s="202"/>
      <c r="J199" s="202"/>
      <c r="K199" s="184"/>
      <c r="L199" s="202"/>
      <c r="M199" s="247"/>
    </row>
    <row r="200" spans="1:13">
      <c r="A200" s="203" t="s">
        <v>12443</v>
      </c>
      <c r="B200" s="202"/>
      <c r="C200" s="202"/>
      <c r="D200" s="202"/>
      <c r="E200" s="470"/>
      <c r="F200" s="164"/>
      <c r="G200" s="164"/>
      <c r="H200" s="202"/>
      <c r="I200" s="202"/>
      <c r="J200" s="202"/>
      <c r="K200" s="184"/>
      <c r="L200" s="202"/>
      <c r="M200" s="247"/>
    </row>
    <row r="201" spans="1:13">
      <c r="A201" s="154" t="s">
        <v>11945</v>
      </c>
      <c r="B201" s="247" t="s">
        <v>706</v>
      </c>
      <c r="C201" s="247" t="s">
        <v>493</v>
      </c>
      <c r="D201" s="370"/>
      <c r="E201" s="470" t="s">
        <v>125</v>
      </c>
      <c r="F201" s="509" t="s">
        <v>11946</v>
      </c>
      <c r="G201" s="227" t="s">
        <v>466</v>
      </c>
      <c r="H201" s="247"/>
      <c r="I201" s="246"/>
      <c r="J201" s="152" t="s">
        <v>191</v>
      </c>
      <c r="K201" s="143">
        <v>4</v>
      </c>
      <c r="L201" s="368">
        <v>3</v>
      </c>
      <c r="M201" s="148" t="s">
        <v>199</v>
      </c>
    </row>
    <row r="202" spans="1:13">
      <c r="A202" s="154" t="s">
        <v>12444</v>
      </c>
      <c r="B202" s="247" t="s">
        <v>12445</v>
      </c>
      <c r="C202" s="152" t="s">
        <v>242</v>
      </c>
      <c r="D202" s="370"/>
      <c r="E202" s="470" t="s">
        <v>125</v>
      </c>
      <c r="F202" s="509" t="s">
        <v>11949</v>
      </c>
      <c r="G202" s="227" t="s">
        <v>198</v>
      </c>
      <c r="H202" s="146"/>
      <c r="I202" s="204"/>
      <c r="J202" s="152" t="s">
        <v>191</v>
      </c>
      <c r="K202" s="205">
        <v>4</v>
      </c>
      <c r="L202" s="368">
        <v>5</v>
      </c>
      <c r="M202" s="148" t="s">
        <v>199</v>
      </c>
    </row>
    <row r="203" spans="1:13" ht="22.5">
      <c r="A203" s="154" t="s">
        <v>12446</v>
      </c>
      <c r="B203" s="247" t="s">
        <v>12447</v>
      </c>
      <c r="C203" s="152" t="s">
        <v>242</v>
      </c>
      <c r="D203" s="370"/>
      <c r="E203" s="470" t="s">
        <v>125</v>
      </c>
      <c r="F203" s="509" t="s">
        <v>12448</v>
      </c>
      <c r="G203" s="245" t="s">
        <v>198</v>
      </c>
      <c r="H203" s="248"/>
      <c r="I203" s="206"/>
      <c r="J203" s="152" t="s">
        <v>191</v>
      </c>
      <c r="K203" s="205">
        <v>4</v>
      </c>
      <c r="L203" s="368">
        <v>5</v>
      </c>
      <c r="M203" s="148" t="s">
        <v>199</v>
      </c>
    </row>
    <row r="204" spans="1:13" ht="56.25">
      <c r="A204" s="154" t="s">
        <v>12449</v>
      </c>
      <c r="B204" s="247" t="s">
        <v>12450</v>
      </c>
      <c r="C204" s="152" t="s">
        <v>242</v>
      </c>
      <c r="D204" s="370"/>
      <c r="E204" s="470" t="s">
        <v>125</v>
      </c>
      <c r="F204" s="509" t="s">
        <v>12451</v>
      </c>
      <c r="G204" s="227" t="s">
        <v>188</v>
      </c>
      <c r="H204" s="146" t="s">
        <v>11921</v>
      </c>
      <c r="I204" s="204"/>
      <c r="J204" s="152" t="s">
        <v>191</v>
      </c>
      <c r="K204" s="205">
        <v>4</v>
      </c>
      <c r="L204" s="368">
        <v>5</v>
      </c>
      <c r="M204" s="148" t="s">
        <v>199</v>
      </c>
    </row>
    <row r="205" spans="1:13" ht="56.25">
      <c r="A205" s="154" t="s">
        <v>12452</v>
      </c>
      <c r="B205" s="247" t="s">
        <v>12453</v>
      </c>
      <c r="C205" s="152" t="s">
        <v>242</v>
      </c>
      <c r="D205" s="370"/>
      <c r="E205" s="470" t="s">
        <v>125</v>
      </c>
      <c r="F205" s="509" t="s">
        <v>12454</v>
      </c>
      <c r="G205" s="227" t="s">
        <v>188</v>
      </c>
      <c r="H205" s="146" t="s">
        <v>11921</v>
      </c>
      <c r="I205" s="204"/>
      <c r="J205" s="152" t="s">
        <v>191</v>
      </c>
      <c r="K205" s="205">
        <v>4</v>
      </c>
      <c r="L205" s="368">
        <v>5</v>
      </c>
      <c r="M205" s="148" t="s">
        <v>199</v>
      </c>
    </row>
    <row r="206" spans="1:13" ht="56.25">
      <c r="A206" s="154" t="s">
        <v>12455</v>
      </c>
      <c r="B206" s="247" t="s">
        <v>12456</v>
      </c>
      <c r="C206" s="152" t="s">
        <v>242</v>
      </c>
      <c r="D206" s="370"/>
      <c r="E206" s="470" t="s">
        <v>125</v>
      </c>
      <c r="F206" s="509" t="s">
        <v>12457</v>
      </c>
      <c r="G206" s="227" t="s">
        <v>188</v>
      </c>
      <c r="H206" s="146" t="s">
        <v>11921</v>
      </c>
      <c r="I206" s="204"/>
      <c r="J206" s="152" t="s">
        <v>191</v>
      </c>
      <c r="K206" s="205">
        <v>4</v>
      </c>
      <c r="L206" s="368">
        <v>5</v>
      </c>
      <c r="M206" s="148" t="s">
        <v>199</v>
      </c>
    </row>
    <row r="207" spans="1:13" ht="56.25">
      <c r="A207" s="154" t="s">
        <v>12458</v>
      </c>
      <c r="B207" s="247" t="s">
        <v>12459</v>
      </c>
      <c r="C207" s="152" t="s">
        <v>242</v>
      </c>
      <c r="D207" s="370"/>
      <c r="E207" s="470" t="s">
        <v>125</v>
      </c>
      <c r="F207" s="509" t="s">
        <v>12460</v>
      </c>
      <c r="G207" s="227" t="s">
        <v>188</v>
      </c>
      <c r="H207" s="146" t="s">
        <v>11921</v>
      </c>
      <c r="I207" s="204"/>
      <c r="J207" s="152" t="s">
        <v>191</v>
      </c>
      <c r="K207" s="205">
        <v>4</v>
      </c>
      <c r="L207" s="368">
        <v>5</v>
      </c>
      <c r="M207" s="148" t="s">
        <v>199</v>
      </c>
    </row>
    <row r="208" spans="1:13" ht="56.25">
      <c r="A208" s="154" t="s">
        <v>12461</v>
      </c>
      <c r="B208" s="247" t="s">
        <v>12462</v>
      </c>
      <c r="C208" s="152" t="s">
        <v>242</v>
      </c>
      <c r="D208" s="370"/>
      <c r="E208" s="470" t="s">
        <v>125</v>
      </c>
      <c r="F208" s="509" t="s">
        <v>12463</v>
      </c>
      <c r="G208" s="227" t="s">
        <v>188</v>
      </c>
      <c r="H208" s="146" t="s">
        <v>11921</v>
      </c>
      <c r="I208" s="204"/>
      <c r="J208" s="152" t="s">
        <v>191</v>
      </c>
      <c r="K208" s="205">
        <v>4</v>
      </c>
      <c r="L208" s="368">
        <v>5</v>
      </c>
      <c r="M208" s="148" t="s">
        <v>199</v>
      </c>
    </row>
    <row r="209" spans="1:13" ht="56.25">
      <c r="A209" s="154" t="s">
        <v>12464</v>
      </c>
      <c r="B209" s="247" t="s">
        <v>12465</v>
      </c>
      <c r="C209" s="152" t="s">
        <v>242</v>
      </c>
      <c r="D209" s="370"/>
      <c r="E209" s="470" t="s">
        <v>125</v>
      </c>
      <c r="F209" s="509" t="s">
        <v>12466</v>
      </c>
      <c r="G209" s="227" t="s">
        <v>188</v>
      </c>
      <c r="H209" s="146" t="s">
        <v>11921</v>
      </c>
      <c r="I209" s="204"/>
      <c r="J209" s="152" t="s">
        <v>191</v>
      </c>
      <c r="K209" s="205">
        <v>4</v>
      </c>
      <c r="L209" s="368">
        <v>5</v>
      </c>
      <c r="M209" s="148" t="s">
        <v>199</v>
      </c>
    </row>
    <row r="210" spans="1:13" ht="56.25">
      <c r="A210" s="154" t="s">
        <v>12467</v>
      </c>
      <c r="B210" s="247" t="s">
        <v>12468</v>
      </c>
      <c r="C210" s="152" t="s">
        <v>242</v>
      </c>
      <c r="D210" s="370"/>
      <c r="E210" s="470" t="s">
        <v>125</v>
      </c>
      <c r="F210" s="509" t="s">
        <v>12469</v>
      </c>
      <c r="G210" s="227" t="s">
        <v>188</v>
      </c>
      <c r="H210" s="146" t="s">
        <v>11921</v>
      </c>
      <c r="I210" s="204"/>
      <c r="J210" s="152" t="s">
        <v>191</v>
      </c>
      <c r="K210" s="205">
        <v>4</v>
      </c>
      <c r="L210" s="368">
        <v>5</v>
      </c>
      <c r="M210" s="148" t="s">
        <v>199</v>
      </c>
    </row>
    <row r="211" spans="1:13" ht="22.5">
      <c r="A211" s="154" t="s">
        <v>12470</v>
      </c>
      <c r="B211" s="247" t="s">
        <v>12471</v>
      </c>
      <c r="C211" s="152" t="s">
        <v>242</v>
      </c>
      <c r="D211" s="370"/>
      <c r="E211" s="470" t="s">
        <v>125</v>
      </c>
      <c r="F211" s="509" t="s">
        <v>12472</v>
      </c>
      <c r="G211" s="227" t="s">
        <v>198</v>
      </c>
      <c r="H211" s="146"/>
      <c r="I211" s="204"/>
      <c r="J211" s="152" t="s">
        <v>191</v>
      </c>
      <c r="K211" s="205">
        <v>4</v>
      </c>
      <c r="L211" s="368">
        <v>5</v>
      </c>
      <c r="M211" s="148" t="s">
        <v>199</v>
      </c>
    </row>
    <row r="212" spans="1:13" ht="22.5">
      <c r="A212" s="154" t="s">
        <v>12473</v>
      </c>
      <c r="B212" s="247" t="s">
        <v>12474</v>
      </c>
      <c r="C212" s="152" t="s">
        <v>242</v>
      </c>
      <c r="D212" s="370"/>
      <c r="E212" s="470" t="s">
        <v>125</v>
      </c>
      <c r="F212" s="509" t="s">
        <v>12475</v>
      </c>
      <c r="G212" s="227" t="s">
        <v>198</v>
      </c>
      <c r="H212" s="146"/>
      <c r="I212" s="204"/>
      <c r="J212" s="152" t="s">
        <v>191</v>
      </c>
      <c r="K212" s="205">
        <v>4</v>
      </c>
      <c r="L212" s="368">
        <v>5</v>
      </c>
      <c r="M212" s="148" t="s">
        <v>199</v>
      </c>
    </row>
    <row r="213" spans="1:13" ht="22.5">
      <c r="A213" s="154" t="s">
        <v>12476</v>
      </c>
      <c r="B213" s="247" t="s">
        <v>12477</v>
      </c>
      <c r="C213" s="152" t="s">
        <v>242</v>
      </c>
      <c r="D213" s="370"/>
      <c r="E213" s="470" t="s">
        <v>125</v>
      </c>
      <c r="F213" s="509" t="s">
        <v>12478</v>
      </c>
      <c r="G213" s="227" t="s">
        <v>198</v>
      </c>
      <c r="H213" s="146"/>
      <c r="I213" s="204"/>
      <c r="J213" s="152" t="s">
        <v>191</v>
      </c>
      <c r="K213" s="205">
        <v>4</v>
      </c>
      <c r="L213" s="368">
        <v>5</v>
      </c>
      <c r="M213" s="148" t="s">
        <v>199</v>
      </c>
    </row>
    <row r="214" spans="1:13" ht="22.5">
      <c r="A214" s="154" t="s">
        <v>12479</v>
      </c>
      <c r="B214" s="247" t="s">
        <v>12480</v>
      </c>
      <c r="C214" s="152" t="s">
        <v>242</v>
      </c>
      <c r="D214" s="370"/>
      <c r="E214" s="470" t="s">
        <v>125</v>
      </c>
      <c r="F214" s="509" t="s">
        <v>12481</v>
      </c>
      <c r="G214" s="227" t="s">
        <v>198</v>
      </c>
      <c r="H214" s="146"/>
      <c r="I214" s="204"/>
      <c r="J214" s="152" t="s">
        <v>191</v>
      </c>
      <c r="K214" s="205">
        <v>4</v>
      </c>
      <c r="L214" s="368">
        <v>5</v>
      </c>
      <c r="M214" s="148" t="s">
        <v>199</v>
      </c>
    </row>
    <row r="215" spans="1:13" ht="22.5">
      <c r="A215" s="154" t="s">
        <v>12482</v>
      </c>
      <c r="B215" s="247" t="s">
        <v>12483</v>
      </c>
      <c r="C215" s="152" t="s">
        <v>242</v>
      </c>
      <c r="D215" s="370"/>
      <c r="E215" s="470" t="s">
        <v>125</v>
      </c>
      <c r="F215" s="509" t="s">
        <v>12484</v>
      </c>
      <c r="G215" s="227" t="s">
        <v>198</v>
      </c>
      <c r="H215" s="146"/>
      <c r="I215" s="204"/>
      <c r="J215" s="152" t="s">
        <v>191</v>
      </c>
      <c r="K215" s="205">
        <v>4</v>
      </c>
      <c r="L215" s="368">
        <v>5</v>
      </c>
      <c r="M215" s="148" t="s">
        <v>199</v>
      </c>
    </row>
    <row r="216" spans="1:13" ht="33.75">
      <c r="A216" s="154" t="s">
        <v>12485</v>
      </c>
      <c r="B216" s="247" t="s">
        <v>12486</v>
      </c>
      <c r="C216" s="152" t="s">
        <v>242</v>
      </c>
      <c r="D216" s="370"/>
      <c r="E216" s="470" t="s">
        <v>125</v>
      </c>
      <c r="F216" s="509" t="s">
        <v>12487</v>
      </c>
      <c r="G216" s="245" t="s">
        <v>740</v>
      </c>
      <c r="H216" s="146"/>
      <c r="I216" s="204"/>
      <c r="J216" s="152" t="s">
        <v>191</v>
      </c>
      <c r="K216" s="205">
        <v>4</v>
      </c>
      <c r="L216" s="368">
        <v>5</v>
      </c>
      <c r="M216" s="148" t="s">
        <v>199</v>
      </c>
    </row>
    <row r="217" spans="1:13" ht="33.75">
      <c r="A217" s="154" t="s">
        <v>12488</v>
      </c>
      <c r="B217" s="247" t="s">
        <v>12489</v>
      </c>
      <c r="C217" s="152" t="s">
        <v>242</v>
      </c>
      <c r="D217" s="370"/>
      <c r="E217" s="470" t="s">
        <v>125</v>
      </c>
      <c r="F217" s="509" t="s">
        <v>12490</v>
      </c>
      <c r="G217" s="227" t="s">
        <v>188</v>
      </c>
      <c r="H217" s="146" t="s">
        <v>11921</v>
      </c>
      <c r="I217" s="204"/>
      <c r="J217" s="152" t="s">
        <v>191</v>
      </c>
      <c r="K217" s="205">
        <v>4</v>
      </c>
      <c r="L217" s="368">
        <v>5</v>
      </c>
      <c r="M217" s="148" t="s">
        <v>199</v>
      </c>
    </row>
    <row r="218" spans="1:13" ht="33.75">
      <c r="A218" s="154" t="s">
        <v>12491</v>
      </c>
      <c r="B218" s="247" t="s">
        <v>12492</v>
      </c>
      <c r="C218" s="152" t="s">
        <v>242</v>
      </c>
      <c r="D218" s="370"/>
      <c r="E218" s="470" t="s">
        <v>125</v>
      </c>
      <c r="F218" s="509" t="s">
        <v>12493</v>
      </c>
      <c r="G218" s="227" t="s">
        <v>188</v>
      </c>
      <c r="H218" s="146" t="s">
        <v>11921</v>
      </c>
      <c r="I218" s="204"/>
      <c r="J218" s="152" t="s">
        <v>191</v>
      </c>
      <c r="K218" s="205">
        <v>4</v>
      </c>
      <c r="L218" s="368">
        <v>5</v>
      </c>
      <c r="M218" s="148" t="s">
        <v>199</v>
      </c>
    </row>
    <row r="219" spans="1:13" ht="33.75">
      <c r="A219" s="154" t="s">
        <v>12494</v>
      </c>
      <c r="B219" s="247" t="s">
        <v>12495</v>
      </c>
      <c r="C219" s="152" t="s">
        <v>242</v>
      </c>
      <c r="D219" s="370"/>
      <c r="E219" s="470" t="s">
        <v>125</v>
      </c>
      <c r="F219" s="509" t="s">
        <v>12496</v>
      </c>
      <c r="G219" s="227" t="s">
        <v>188</v>
      </c>
      <c r="H219" s="146" t="s">
        <v>11921</v>
      </c>
      <c r="I219" s="204"/>
      <c r="J219" s="152" t="s">
        <v>191</v>
      </c>
      <c r="K219" s="205">
        <v>4</v>
      </c>
      <c r="L219" s="368">
        <v>5</v>
      </c>
      <c r="M219" s="148" t="s">
        <v>199</v>
      </c>
    </row>
    <row r="220" spans="1:13" ht="33.75">
      <c r="A220" s="154" t="s">
        <v>12497</v>
      </c>
      <c r="B220" s="247" t="s">
        <v>12498</v>
      </c>
      <c r="C220" s="152" t="s">
        <v>242</v>
      </c>
      <c r="D220" s="370"/>
      <c r="E220" s="470" t="s">
        <v>125</v>
      </c>
      <c r="F220" s="509" t="s">
        <v>12499</v>
      </c>
      <c r="G220" s="227" t="s">
        <v>188</v>
      </c>
      <c r="H220" s="146" t="s">
        <v>11921</v>
      </c>
      <c r="I220" s="204"/>
      <c r="J220" s="152" t="s">
        <v>191</v>
      </c>
      <c r="K220" s="205">
        <v>4</v>
      </c>
      <c r="L220" s="368">
        <v>5</v>
      </c>
      <c r="M220" s="148" t="s">
        <v>199</v>
      </c>
    </row>
    <row r="221" spans="1:13" ht="33.75">
      <c r="A221" s="154" t="s">
        <v>12500</v>
      </c>
      <c r="B221" s="247" t="s">
        <v>12501</v>
      </c>
      <c r="C221" s="152" t="s">
        <v>242</v>
      </c>
      <c r="D221" s="370"/>
      <c r="E221" s="470" t="s">
        <v>125</v>
      </c>
      <c r="F221" s="509" t="s">
        <v>12502</v>
      </c>
      <c r="G221" s="227" t="s">
        <v>188</v>
      </c>
      <c r="H221" s="146" t="s">
        <v>11921</v>
      </c>
      <c r="I221" s="204"/>
      <c r="J221" s="152" t="s">
        <v>191</v>
      </c>
      <c r="K221" s="205">
        <v>4</v>
      </c>
      <c r="L221" s="368">
        <v>5</v>
      </c>
      <c r="M221" s="148" t="s">
        <v>199</v>
      </c>
    </row>
    <row r="222" spans="1:13" ht="33.75">
      <c r="A222" s="154" t="s">
        <v>12503</v>
      </c>
      <c r="B222" s="247" t="s">
        <v>12504</v>
      </c>
      <c r="C222" s="152" t="s">
        <v>242</v>
      </c>
      <c r="D222" s="370"/>
      <c r="E222" s="470" t="s">
        <v>125</v>
      </c>
      <c r="F222" s="509" t="s">
        <v>12505</v>
      </c>
      <c r="G222" s="227" t="s">
        <v>188</v>
      </c>
      <c r="H222" s="146" t="s">
        <v>11921</v>
      </c>
      <c r="I222" s="204"/>
      <c r="J222" s="152" t="s">
        <v>191</v>
      </c>
      <c r="K222" s="205">
        <v>4</v>
      </c>
      <c r="L222" s="368">
        <v>5</v>
      </c>
      <c r="M222" s="148" t="s">
        <v>199</v>
      </c>
    </row>
    <row r="223" spans="1:13" ht="33.75">
      <c r="A223" s="154" t="s">
        <v>12506</v>
      </c>
      <c r="B223" s="247" t="s">
        <v>12507</v>
      </c>
      <c r="C223" s="152" t="s">
        <v>242</v>
      </c>
      <c r="D223" s="370"/>
      <c r="E223" s="470" t="s">
        <v>125</v>
      </c>
      <c r="F223" s="509" t="s">
        <v>12508</v>
      </c>
      <c r="G223" s="227" t="s">
        <v>188</v>
      </c>
      <c r="H223" s="146" t="s">
        <v>11921</v>
      </c>
      <c r="I223" s="204"/>
      <c r="J223" s="152" t="s">
        <v>191</v>
      </c>
      <c r="K223" s="205">
        <v>4</v>
      </c>
      <c r="L223" s="368">
        <v>5</v>
      </c>
      <c r="M223" s="148" t="s">
        <v>199</v>
      </c>
    </row>
    <row r="224" spans="1:13" ht="33.75">
      <c r="A224" s="154" t="s">
        <v>12509</v>
      </c>
      <c r="B224" s="247" t="s">
        <v>12510</v>
      </c>
      <c r="C224" s="152" t="s">
        <v>242</v>
      </c>
      <c r="D224" s="370"/>
      <c r="E224" s="470" t="s">
        <v>125</v>
      </c>
      <c r="F224" s="509" t="s">
        <v>12511</v>
      </c>
      <c r="G224" s="227" t="s">
        <v>188</v>
      </c>
      <c r="H224" s="146" t="s">
        <v>11921</v>
      </c>
      <c r="I224" s="204"/>
      <c r="J224" s="152" t="s">
        <v>191</v>
      </c>
      <c r="K224" s="205">
        <v>4</v>
      </c>
      <c r="L224" s="368">
        <v>5</v>
      </c>
      <c r="M224" s="148" t="s">
        <v>199</v>
      </c>
    </row>
    <row r="225" spans="1:13" ht="33.75">
      <c r="A225" s="154" t="s">
        <v>12512</v>
      </c>
      <c r="B225" s="247" t="s">
        <v>12513</v>
      </c>
      <c r="C225" s="152" t="s">
        <v>242</v>
      </c>
      <c r="D225" s="370"/>
      <c r="E225" s="470" t="s">
        <v>125</v>
      </c>
      <c r="F225" s="509" t="s">
        <v>12514</v>
      </c>
      <c r="G225" s="227" t="s">
        <v>188</v>
      </c>
      <c r="H225" s="146" t="s">
        <v>11921</v>
      </c>
      <c r="I225" s="204"/>
      <c r="J225" s="152" t="s">
        <v>191</v>
      </c>
      <c r="K225" s="205">
        <v>4</v>
      </c>
      <c r="L225" s="368">
        <v>5</v>
      </c>
      <c r="M225" s="148" t="s">
        <v>199</v>
      </c>
    </row>
    <row r="226" spans="1:13" ht="33.75">
      <c r="A226" s="154" t="s">
        <v>12515</v>
      </c>
      <c r="B226" s="247" t="s">
        <v>12516</v>
      </c>
      <c r="C226" s="152" t="s">
        <v>242</v>
      </c>
      <c r="D226" s="370"/>
      <c r="E226" s="470" t="s">
        <v>125</v>
      </c>
      <c r="F226" s="509" t="s">
        <v>12517</v>
      </c>
      <c r="G226" s="227" t="s">
        <v>188</v>
      </c>
      <c r="H226" s="146" t="s">
        <v>11921</v>
      </c>
      <c r="I226" s="204"/>
      <c r="J226" s="152" t="s">
        <v>191</v>
      </c>
      <c r="K226" s="205">
        <v>4</v>
      </c>
      <c r="L226" s="368">
        <v>5</v>
      </c>
      <c r="M226" s="148" t="s">
        <v>199</v>
      </c>
    </row>
    <row r="227" spans="1:13" ht="33.75">
      <c r="A227" s="154" t="s">
        <v>12518</v>
      </c>
      <c r="B227" s="247" t="s">
        <v>12519</v>
      </c>
      <c r="C227" s="152" t="s">
        <v>242</v>
      </c>
      <c r="D227" s="370"/>
      <c r="E227" s="470" t="s">
        <v>125</v>
      </c>
      <c r="F227" s="509" t="s">
        <v>12520</v>
      </c>
      <c r="G227" s="227" t="s">
        <v>188</v>
      </c>
      <c r="H227" s="146" t="s">
        <v>11921</v>
      </c>
      <c r="I227" s="204"/>
      <c r="J227" s="152" t="s">
        <v>191</v>
      </c>
      <c r="K227" s="205">
        <v>4</v>
      </c>
      <c r="L227" s="368">
        <v>5</v>
      </c>
      <c r="M227" s="148" t="s">
        <v>199</v>
      </c>
    </row>
    <row r="228" spans="1:13" ht="33.75">
      <c r="A228" s="154" t="s">
        <v>12521</v>
      </c>
      <c r="B228" s="247" t="s">
        <v>12522</v>
      </c>
      <c r="C228" s="152" t="s">
        <v>242</v>
      </c>
      <c r="D228" s="370"/>
      <c r="E228" s="470" t="s">
        <v>125</v>
      </c>
      <c r="F228" s="509" t="s">
        <v>12523</v>
      </c>
      <c r="G228" s="227" t="s">
        <v>188</v>
      </c>
      <c r="H228" s="146" t="s">
        <v>11921</v>
      </c>
      <c r="I228" s="204"/>
      <c r="J228" s="152" t="s">
        <v>191</v>
      </c>
      <c r="K228" s="205">
        <v>4</v>
      </c>
      <c r="L228" s="368">
        <v>5</v>
      </c>
      <c r="M228" s="148" t="s">
        <v>199</v>
      </c>
    </row>
    <row r="229" spans="1:13" ht="33.75">
      <c r="A229" s="154" t="s">
        <v>12524</v>
      </c>
      <c r="B229" s="247" t="s">
        <v>12525</v>
      </c>
      <c r="C229" s="152" t="s">
        <v>242</v>
      </c>
      <c r="D229" s="370"/>
      <c r="E229" s="470" t="s">
        <v>125</v>
      </c>
      <c r="F229" s="509" t="s">
        <v>12526</v>
      </c>
      <c r="G229" s="227" t="s">
        <v>188</v>
      </c>
      <c r="H229" s="146" t="s">
        <v>11921</v>
      </c>
      <c r="I229" s="204"/>
      <c r="J229" s="152" t="s">
        <v>191</v>
      </c>
      <c r="K229" s="205">
        <v>4</v>
      </c>
      <c r="L229" s="368">
        <v>5</v>
      </c>
      <c r="M229" s="148" t="s">
        <v>199</v>
      </c>
    </row>
    <row r="230" spans="1:13" ht="33.75">
      <c r="A230" s="154" t="s">
        <v>12527</v>
      </c>
      <c r="B230" s="247" t="s">
        <v>12528</v>
      </c>
      <c r="C230" s="152" t="s">
        <v>242</v>
      </c>
      <c r="D230" s="370"/>
      <c r="E230" s="470" t="s">
        <v>125</v>
      </c>
      <c r="F230" s="509" t="s">
        <v>12529</v>
      </c>
      <c r="G230" s="227" t="s">
        <v>188</v>
      </c>
      <c r="H230" s="146" t="s">
        <v>11921</v>
      </c>
      <c r="I230" s="204"/>
      <c r="J230" s="152" t="s">
        <v>191</v>
      </c>
      <c r="K230" s="205">
        <v>4</v>
      </c>
      <c r="L230" s="368">
        <v>5</v>
      </c>
      <c r="M230" s="148" t="s">
        <v>199</v>
      </c>
    </row>
    <row r="231" spans="1:13" ht="33.75">
      <c r="A231" s="154" t="s">
        <v>12530</v>
      </c>
      <c r="B231" s="247" t="s">
        <v>12531</v>
      </c>
      <c r="C231" s="152" t="s">
        <v>242</v>
      </c>
      <c r="D231" s="370"/>
      <c r="E231" s="470" t="s">
        <v>125</v>
      </c>
      <c r="F231" s="509" t="s">
        <v>12532</v>
      </c>
      <c r="G231" s="227" t="s">
        <v>188</v>
      </c>
      <c r="H231" s="146" t="s">
        <v>11921</v>
      </c>
      <c r="I231" s="204"/>
      <c r="J231" s="152" t="s">
        <v>191</v>
      </c>
      <c r="K231" s="205">
        <v>4</v>
      </c>
      <c r="L231" s="368">
        <v>5</v>
      </c>
      <c r="M231" s="148" t="s">
        <v>199</v>
      </c>
    </row>
    <row r="232" spans="1:13" ht="33.75">
      <c r="A232" s="154" t="s">
        <v>12533</v>
      </c>
      <c r="B232" s="247" t="s">
        <v>12534</v>
      </c>
      <c r="C232" s="152" t="s">
        <v>242</v>
      </c>
      <c r="D232" s="370"/>
      <c r="E232" s="470" t="s">
        <v>125</v>
      </c>
      <c r="F232" s="509" t="s">
        <v>12535</v>
      </c>
      <c r="G232" s="227" t="s">
        <v>188</v>
      </c>
      <c r="H232" s="146" t="s">
        <v>11921</v>
      </c>
      <c r="I232" s="204"/>
      <c r="J232" s="152" t="s">
        <v>191</v>
      </c>
      <c r="K232" s="205">
        <v>4</v>
      </c>
      <c r="L232" s="368">
        <v>5</v>
      </c>
      <c r="M232" s="148" t="s">
        <v>199</v>
      </c>
    </row>
    <row r="233" spans="1:13" ht="33.75">
      <c r="A233" s="154" t="s">
        <v>12536</v>
      </c>
      <c r="B233" s="247" t="s">
        <v>12537</v>
      </c>
      <c r="C233" s="152" t="s">
        <v>242</v>
      </c>
      <c r="D233" s="370"/>
      <c r="E233" s="470" t="s">
        <v>125</v>
      </c>
      <c r="F233" s="509" t="s">
        <v>12538</v>
      </c>
      <c r="G233" s="227" t="s">
        <v>188</v>
      </c>
      <c r="H233" s="146" t="s">
        <v>11921</v>
      </c>
      <c r="I233" s="204"/>
      <c r="J233" s="152" t="s">
        <v>191</v>
      </c>
      <c r="K233" s="205">
        <v>4</v>
      </c>
      <c r="L233" s="368">
        <v>5</v>
      </c>
      <c r="M233" s="148" t="s">
        <v>199</v>
      </c>
    </row>
    <row r="234" spans="1:13" ht="33.75">
      <c r="A234" s="154" t="s">
        <v>12539</v>
      </c>
      <c r="B234" s="247" t="s">
        <v>12540</v>
      </c>
      <c r="C234" s="152" t="s">
        <v>242</v>
      </c>
      <c r="D234" s="370"/>
      <c r="E234" s="470" t="s">
        <v>125</v>
      </c>
      <c r="F234" s="509" t="s">
        <v>12541</v>
      </c>
      <c r="G234" s="227" t="s">
        <v>188</v>
      </c>
      <c r="H234" s="146" t="s">
        <v>11921</v>
      </c>
      <c r="I234" s="204"/>
      <c r="J234" s="152" t="s">
        <v>191</v>
      </c>
      <c r="K234" s="205">
        <v>4</v>
      </c>
      <c r="L234" s="368">
        <v>5</v>
      </c>
      <c r="M234" s="148" t="s">
        <v>199</v>
      </c>
    </row>
    <row r="235" spans="1:13">
      <c r="A235" s="154" t="s">
        <v>12542</v>
      </c>
      <c r="B235" s="247" t="s">
        <v>12543</v>
      </c>
      <c r="C235" s="152" t="s">
        <v>242</v>
      </c>
      <c r="D235" s="370"/>
      <c r="E235" s="470" t="s">
        <v>125</v>
      </c>
      <c r="F235" s="509" t="s">
        <v>12544</v>
      </c>
      <c r="G235" s="227" t="s">
        <v>198</v>
      </c>
      <c r="H235" s="146"/>
      <c r="I235" s="204"/>
      <c r="J235" s="152" t="s">
        <v>191</v>
      </c>
      <c r="K235" s="205">
        <v>4</v>
      </c>
      <c r="L235" s="368">
        <v>5</v>
      </c>
      <c r="M235" s="148" t="s">
        <v>199</v>
      </c>
    </row>
    <row r="236" spans="1:13">
      <c r="A236" s="154" t="s">
        <v>12545</v>
      </c>
      <c r="B236" s="247" t="s">
        <v>12546</v>
      </c>
      <c r="C236" s="152" t="s">
        <v>242</v>
      </c>
      <c r="D236" s="370"/>
      <c r="E236" s="470" t="s">
        <v>125</v>
      </c>
      <c r="F236" s="509" t="s">
        <v>12547</v>
      </c>
      <c r="G236" s="245" t="s">
        <v>198</v>
      </c>
      <c r="H236" s="146"/>
      <c r="I236" s="204"/>
      <c r="J236" s="152" t="s">
        <v>191</v>
      </c>
      <c r="K236" s="205">
        <v>4</v>
      </c>
      <c r="L236" s="368">
        <v>5</v>
      </c>
      <c r="M236" s="148" t="s">
        <v>199</v>
      </c>
    </row>
    <row r="237" spans="1:13">
      <c r="A237" s="154" t="s">
        <v>12548</v>
      </c>
      <c r="B237" s="247" t="s">
        <v>12549</v>
      </c>
      <c r="C237" s="152" t="s">
        <v>242</v>
      </c>
      <c r="D237" s="370"/>
      <c r="E237" s="470" t="s">
        <v>125</v>
      </c>
      <c r="F237" s="509" t="s">
        <v>12550</v>
      </c>
      <c r="G237" s="245" t="s">
        <v>198</v>
      </c>
      <c r="H237" s="146"/>
      <c r="I237" s="204"/>
      <c r="J237" s="152" t="s">
        <v>191</v>
      </c>
      <c r="K237" s="205">
        <v>4</v>
      </c>
      <c r="L237" s="368">
        <v>5</v>
      </c>
      <c r="M237" s="148" t="s">
        <v>199</v>
      </c>
    </row>
    <row r="238" spans="1:13">
      <c r="A238" s="154" t="s">
        <v>12551</v>
      </c>
      <c r="B238" s="247" t="s">
        <v>12552</v>
      </c>
      <c r="C238" s="152" t="s">
        <v>242</v>
      </c>
      <c r="D238" s="370"/>
      <c r="E238" s="470" t="s">
        <v>125</v>
      </c>
      <c r="F238" s="509" t="s">
        <v>12553</v>
      </c>
      <c r="G238" s="245" t="s">
        <v>198</v>
      </c>
      <c r="H238" s="146"/>
      <c r="I238" s="204"/>
      <c r="J238" s="152" t="s">
        <v>191</v>
      </c>
      <c r="K238" s="205">
        <v>4</v>
      </c>
      <c r="L238" s="368">
        <v>5</v>
      </c>
      <c r="M238" s="148" t="s">
        <v>199</v>
      </c>
    </row>
    <row r="239" spans="1:13" ht="22.5">
      <c r="A239" s="154" t="s">
        <v>12554</v>
      </c>
      <c r="B239" s="247" t="s">
        <v>12555</v>
      </c>
      <c r="C239" s="152" t="s">
        <v>242</v>
      </c>
      <c r="D239" s="370"/>
      <c r="E239" s="470" t="s">
        <v>125</v>
      </c>
      <c r="F239" s="509" t="s">
        <v>12556</v>
      </c>
      <c r="G239" s="227" t="s">
        <v>198</v>
      </c>
      <c r="H239" s="146"/>
      <c r="I239" s="204"/>
      <c r="J239" s="152" t="s">
        <v>191</v>
      </c>
      <c r="K239" s="205">
        <v>4</v>
      </c>
      <c r="L239" s="368">
        <v>5</v>
      </c>
      <c r="M239" s="148" t="s">
        <v>199</v>
      </c>
    </row>
    <row r="240" spans="1:13">
      <c r="A240" s="154" t="s">
        <v>12557</v>
      </c>
      <c r="B240" s="247" t="s">
        <v>12558</v>
      </c>
      <c r="C240" s="152" t="s">
        <v>242</v>
      </c>
      <c r="D240" s="370"/>
      <c r="E240" s="470" t="s">
        <v>125</v>
      </c>
      <c r="F240" s="509" t="s">
        <v>12559</v>
      </c>
      <c r="G240" s="227" t="s">
        <v>740</v>
      </c>
      <c r="H240" s="146"/>
      <c r="I240" s="204"/>
      <c r="J240" s="152" t="s">
        <v>191</v>
      </c>
      <c r="K240" s="205">
        <v>4</v>
      </c>
      <c r="L240" s="368">
        <v>5</v>
      </c>
      <c r="M240" s="148" t="s">
        <v>199</v>
      </c>
    </row>
    <row r="241" spans="1:13">
      <c r="A241" s="154" t="s">
        <v>12560</v>
      </c>
      <c r="B241" s="247" t="s">
        <v>12561</v>
      </c>
      <c r="C241" s="152" t="s">
        <v>242</v>
      </c>
      <c r="D241" s="370"/>
      <c r="E241" s="470" t="s">
        <v>125</v>
      </c>
      <c r="F241" s="509" t="s">
        <v>12562</v>
      </c>
      <c r="G241" s="227" t="s">
        <v>740</v>
      </c>
      <c r="H241" s="146"/>
      <c r="I241" s="204"/>
      <c r="J241" s="152" t="s">
        <v>191</v>
      </c>
      <c r="K241" s="205">
        <v>4</v>
      </c>
      <c r="L241" s="368">
        <v>5</v>
      </c>
      <c r="M241" s="148" t="s">
        <v>199</v>
      </c>
    </row>
    <row r="242" spans="1:13" ht="22.5">
      <c r="A242" s="154" t="s">
        <v>12563</v>
      </c>
      <c r="B242" s="247" t="s">
        <v>12564</v>
      </c>
      <c r="C242" s="152" t="s">
        <v>242</v>
      </c>
      <c r="D242" s="370"/>
      <c r="E242" s="470" t="s">
        <v>125</v>
      </c>
      <c r="F242" s="509" t="s">
        <v>12565</v>
      </c>
      <c r="G242" s="227" t="s">
        <v>740</v>
      </c>
      <c r="H242" s="146"/>
      <c r="I242" s="204"/>
      <c r="J242" s="152" t="s">
        <v>191</v>
      </c>
      <c r="K242" s="205">
        <v>4</v>
      </c>
      <c r="L242" s="368">
        <v>5</v>
      </c>
      <c r="M242" s="148" t="s">
        <v>199</v>
      </c>
    </row>
    <row r="243" spans="1:13" ht="22.5">
      <c r="A243" s="154" t="s">
        <v>12566</v>
      </c>
      <c r="B243" s="247" t="s">
        <v>12567</v>
      </c>
      <c r="C243" s="152" t="s">
        <v>242</v>
      </c>
      <c r="D243" s="370"/>
      <c r="E243" s="470" t="s">
        <v>125</v>
      </c>
      <c r="F243" s="509" t="s">
        <v>12568</v>
      </c>
      <c r="G243" s="227" t="s">
        <v>740</v>
      </c>
      <c r="H243" s="146"/>
      <c r="I243" s="204"/>
      <c r="J243" s="152" t="s">
        <v>191</v>
      </c>
      <c r="K243" s="205">
        <v>4</v>
      </c>
      <c r="L243" s="368">
        <v>5</v>
      </c>
      <c r="M243" s="148" t="s">
        <v>199</v>
      </c>
    </row>
    <row r="244" spans="1:13" ht="22.5">
      <c r="A244" s="154" t="s">
        <v>12569</v>
      </c>
      <c r="B244" s="247" t="s">
        <v>12570</v>
      </c>
      <c r="C244" s="152" t="s">
        <v>242</v>
      </c>
      <c r="D244" s="370"/>
      <c r="E244" s="470" t="s">
        <v>125</v>
      </c>
      <c r="F244" s="509" t="s">
        <v>12571</v>
      </c>
      <c r="G244" s="227" t="s">
        <v>188</v>
      </c>
      <c r="H244" s="146" t="s">
        <v>12572</v>
      </c>
      <c r="I244" s="204"/>
      <c r="J244" s="152" t="s">
        <v>191</v>
      </c>
      <c r="K244" s="205">
        <v>4</v>
      </c>
      <c r="L244" s="368">
        <v>5</v>
      </c>
      <c r="M244" s="148" t="s">
        <v>199</v>
      </c>
    </row>
    <row r="245" spans="1:13" ht="56.25">
      <c r="A245" s="154" t="s">
        <v>12573</v>
      </c>
      <c r="B245" s="247" t="s">
        <v>12574</v>
      </c>
      <c r="C245" s="152" t="s">
        <v>242</v>
      </c>
      <c r="D245" s="370"/>
      <c r="E245" s="470" t="s">
        <v>125</v>
      </c>
      <c r="F245" s="509" t="s">
        <v>12575</v>
      </c>
      <c r="G245" s="227" t="s">
        <v>740</v>
      </c>
      <c r="H245" s="146" t="s">
        <v>12576</v>
      </c>
      <c r="I245" s="204"/>
      <c r="J245" s="152" t="s">
        <v>191</v>
      </c>
      <c r="K245" s="205">
        <v>4</v>
      </c>
      <c r="L245" s="368">
        <v>5</v>
      </c>
      <c r="M245" s="148" t="s">
        <v>199</v>
      </c>
    </row>
    <row r="246" spans="1:13" ht="90">
      <c r="A246" s="154" t="s">
        <v>12577</v>
      </c>
      <c r="B246" s="247" t="s">
        <v>12578</v>
      </c>
      <c r="C246" s="152" t="s">
        <v>242</v>
      </c>
      <c r="D246" s="370"/>
      <c r="E246" s="470" t="s">
        <v>125</v>
      </c>
      <c r="F246" s="509" t="s">
        <v>12579</v>
      </c>
      <c r="G246" s="227" t="s">
        <v>740</v>
      </c>
      <c r="H246" s="146" t="s">
        <v>12580</v>
      </c>
      <c r="I246" s="204"/>
      <c r="J246" s="152" t="s">
        <v>191</v>
      </c>
      <c r="K246" s="205">
        <v>4</v>
      </c>
      <c r="L246" s="368">
        <v>5</v>
      </c>
      <c r="M246" s="148" t="s">
        <v>199</v>
      </c>
    </row>
    <row r="247" spans="1:13" ht="78.75">
      <c r="A247" s="154" t="s">
        <v>12581</v>
      </c>
      <c r="B247" s="247" t="s">
        <v>12582</v>
      </c>
      <c r="C247" s="152" t="s">
        <v>242</v>
      </c>
      <c r="D247" s="370"/>
      <c r="E247" s="470" t="s">
        <v>125</v>
      </c>
      <c r="F247" s="509" t="s">
        <v>12583</v>
      </c>
      <c r="G247" s="227" t="s">
        <v>740</v>
      </c>
      <c r="H247" s="146" t="s">
        <v>12584</v>
      </c>
      <c r="I247" s="204"/>
      <c r="J247" s="152" t="s">
        <v>191</v>
      </c>
      <c r="K247" s="205">
        <v>4</v>
      </c>
      <c r="L247" s="368">
        <v>5</v>
      </c>
      <c r="M247" s="148" t="s">
        <v>199</v>
      </c>
    </row>
    <row r="248" spans="1:13" ht="56.25">
      <c r="A248" s="154" t="s">
        <v>12585</v>
      </c>
      <c r="B248" s="247" t="s">
        <v>12586</v>
      </c>
      <c r="C248" s="152" t="s">
        <v>242</v>
      </c>
      <c r="D248" s="370"/>
      <c r="E248" s="470" t="s">
        <v>125</v>
      </c>
      <c r="F248" s="509" t="s">
        <v>12587</v>
      </c>
      <c r="G248" s="227" t="s">
        <v>740</v>
      </c>
      <c r="H248" s="146" t="s">
        <v>12576</v>
      </c>
      <c r="I248" s="204"/>
      <c r="J248" s="152" t="s">
        <v>191</v>
      </c>
      <c r="K248" s="205">
        <v>4</v>
      </c>
      <c r="L248" s="368">
        <v>5</v>
      </c>
      <c r="M248" s="148" t="s">
        <v>199</v>
      </c>
    </row>
    <row r="249" spans="1:13" ht="90">
      <c r="A249" s="154" t="s">
        <v>12588</v>
      </c>
      <c r="B249" s="247" t="s">
        <v>12589</v>
      </c>
      <c r="C249" s="152" t="s">
        <v>242</v>
      </c>
      <c r="D249" s="370"/>
      <c r="E249" s="470" t="s">
        <v>125</v>
      </c>
      <c r="F249" s="509" t="s">
        <v>12579</v>
      </c>
      <c r="G249" s="227" t="s">
        <v>740</v>
      </c>
      <c r="H249" s="146" t="s">
        <v>12580</v>
      </c>
      <c r="I249" s="204"/>
      <c r="J249" s="152" t="s">
        <v>191</v>
      </c>
      <c r="K249" s="205">
        <v>4</v>
      </c>
      <c r="L249" s="368">
        <v>5</v>
      </c>
      <c r="M249" s="148" t="s">
        <v>199</v>
      </c>
    </row>
    <row r="250" spans="1:13" ht="78.75">
      <c r="A250" s="154" t="s">
        <v>12590</v>
      </c>
      <c r="B250" s="247" t="s">
        <v>12591</v>
      </c>
      <c r="C250" s="152" t="s">
        <v>242</v>
      </c>
      <c r="D250" s="370"/>
      <c r="E250" s="470" t="s">
        <v>125</v>
      </c>
      <c r="F250" s="509" t="s">
        <v>12583</v>
      </c>
      <c r="G250" s="227" t="s">
        <v>740</v>
      </c>
      <c r="H250" s="146" t="s">
        <v>12592</v>
      </c>
      <c r="I250" s="204"/>
      <c r="J250" s="152" t="s">
        <v>191</v>
      </c>
      <c r="K250" s="205">
        <v>4</v>
      </c>
      <c r="L250" s="368">
        <v>5</v>
      </c>
      <c r="M250" s="148" t="s">
        <v>199</v>
      </c>
    </row>
    <row r="251" spans="1:13" ht="56.25">
      <c r="A251" s="154" t="s">
        <v>12593</v>
      </c>
      <c r="B251" s="247" t="s">
        <v>12594</v>
      </c>
      <c r="C251" s="152" t="s">
        <v>242</v>
      </c>
      <c r="D251" s="370"/>
      <c r="E251" s="470" t="s">
        <v>125</v>
      </c>
      <c r="F251" s="509" t="s">
        <v>12587</v>
      </c>
      <c r="G251" s="227" t="s">
        <v>740</v>
      </c>
      <c r="H251" s="146" t="s">
        <v>12576</v>
      </c>
      <c r="I251" s="204"/>
      <c r="J251" s="152" t="s">
        <v>191</v>
      </c>
      <c r="K251" s="205">
        <v>4</v>
      </c>
      <c r="L251" s="368">
        <v>5</v>
      </c>
      <c r="M251" s="148" t="s">
        <v>199</v>
      </c>
    </row>
    <row r="252" spans="1:13" ht="90">
      <c r="A252" s="154" t="s">
        <v>12595</v>
      </c>
      <c r="B252" s="247" t="s">
        <v>12596</v>
      </c>
      <c r="C252" s="152" t="s">
        <v>242</v>
      </c>
      <c r="D252" s="370"/>
      <c r="E252" s="470" t="s">
        <v>125</v>
      </c>
      <c r="F252" s="509" t="s">
        <v>12579</v>
      </c>
      <c r="G252" s="227" t="s">
        <v>740</v>
      </c>
      <c r="H252" s="146" t="s">
        <v>12580</v>
      </c>
      <c r="I252" s="204"/>
      <c r="J252" s="152" t="s">
        <v>191</v>
      </c>
      <c r="K252" s="205">
        <v>4</v>
      </c>
      <c r="L252" s="368">
        <v>5</v>
      </c>
      <c r="M252" s="148" t="s">
        <v>199</v>
      </c>
    </row>
    <row r="253" spans="1:13" ht="78.75">
      <c r="A253" s="154" t="s">
        <v>12597</v>
      </c>
      <c r="B253" s="247" t="s">
        <v>12598</v>
      </c>
      <c r="C253" s="152" t="s">
        <v>242</v>
      </c>
      <c r="D253" s="370"/>
      <c r="E253" s="470" t="s">
        <v>125</v>
      </c>
      <c r="F253" s="509" t="s">
        <v>12583</v>
      </c>
      <c r="G253" s="227" t="s">
        <v>740</v>
      </c>
      <c r="H253" s="146" t="s">
        <v>12584</v>
      </c>
      <c r="I253" s="204"/>
      <c r="J253" s="152" t="s">
        <v>191</v>
      </c>
      <c r="K253" s="205">
        <v>4</v>
      </c>
      <c r="L253" s="368">
        <v>5</v>
      </c>
      <c r="M253" s="148" t="s">
        <v>199</v>
      </c>
    </row>
    <row r="254" spans="1:13" ht="56.25">
      <c r="A254" s="154" t="s">
        <v>12599</v>
      </c>
      <c r="B254" s="247" t="s">
        <v>12600</v>
      </c>
      <c r="C254" s="152" t="s">
        <v>242</v>
      </c>
      <c r="D254" s="370"/>
      <c r="E254" s="470" t="s">
        <v>125</v>
      </c>
      <c r="F254" s="509" t="s">
        <v>12601</v>
      </c>
      <c r="G254" s="227" t="s">
        <v>740</v>
      </c>
      <c r="H254" s="146" t="s">
        <v>12576</v>
      </c>
      <c r="I254" s="204"/>
      <c r="J254" s="152" t="s">
        <v>191</v>
      </c>
      <c r="K254" s="205">
        <v>4</v>
      </c>
      <c r="L254" s="368">
        <v>5</v>
      </c>
      <c r="M254" s="148" t="s">
        <v>199</v>
      </c>
    </row>
    <row r="255" spans="1:13" ht="90">
      <c r="A255" s="154" t="s">
        <v>12602</v>
      </c>
      <c r="B255" s="247" t="s">
        <v>12603</v>
      </c>
      <c r="C255" s="152" t="s">
        <v>242</v>
      </c>
      <c r="D255" s="370"/>
      <c r="E255" s="470" t="s">
        <v>125</v>
      </c>
      <c r="F255" s="509" t="s">
        <v>12604</v>
      </c>
      <c r="G255" s="227" t="s">
        <v>740</v>
      </c>
      <c r="H255" s="146" t="s">
        <v>12580</v>
      </c>
      <c r="I255" s="204"/>
      <c r="J255" s="152" t="s">
        <v>191</v>
      </c>
      <c r="K255" s="205">
        <v>4</v>
      </c>
      <c r="L255" s="368">
        <v>5</v>
      </c>
      <c r="M255" s="148" t="s">
        <v>199</v>
      </c>
    </row>
    <row r="256" spans="1:13" ht="78.75">
      <c r="A256" s="154" t="s">
        <v>12605</v>
      </c>
      <c r="B256" s="247" t="s">
        <v>12606</v>
      </c>
      <c r="C256" s="152" t="s">
        <v>242</v>
      </c>
      <c r="D256" s="370"/>
      <c r="E256" s="470" t="s">
        <v>125</v>
      </c>
      <c r="F256" s="509" t="s">
        <v>12607</v>
      </c>
      <c r="G256" s="227" t="s">
        <v>740</v>
      </c>
      <c r="H256" s="146" t="s">
        <v>12584</v>
      </c>
      <c r="I256" s="204"/>
      <c r="J256" s="152" t="s">
        <v>191</v>
      </c>
      <c r="K256" s="205">
        <v>4</v>
      </c>
      <c r="L256" s="368">
        <v>5</v>
      </c>
      <c r="M256" s="148" t="s">
        <v>199</v>
      </c>
    </row>
    <row r="257" spans="1:13" ht="90">
      <c r="A257" s="154" t="s">
        <v>12608</v>
      </c>
      <c r="B257" s="247" t="s">
        <v>12609</v>
      </c>
      <c r="C257" s="152" t="s">
        <v>242</v>
      </c>
      <c r="D257" s="370"/>
      <c r="E257" s="470" t="s">
        <v>125</v>
      </c>
      <c r="F257" s="509" t="s">
        <v>12610</v>
      </c>
      <c r="G257" s="227" t="s">
        <v>740</v>
      </c>
      <c r="H257" s="146" t="s">
        <v>12580</v>
      </c>
      <c r="I257" s="204"/>
      <c r="J257" s="152" t="s">
        <v>191</v>
      </c>
      <c r="K257" s="205">
        <v>4</v>
      </c>
      <c r="L257" s="368">
        <v>5</v>
      </c>
      <c r="M257" s="148" t="s">
        <v>199</v>
      </c>
    </row>
    <row r="258" spans="1:13" ht="78.75">
      <c r="A258" s="154" t="s">
        <v>12611</v>
      </c>
      <c r="B258" s="247" t="s">
        <v>12612</v>
      </c>
      <c r="C258" s="152" t="s">
        <v>242</v>
      </c>
      <c r="D258" s="370"/>
      <c r="E258" s="470" t="s">
        <v>125</v>
      </c>
      <c r="F258" s="509" t="s">
        <v>12583</v>
      </c>
      <c r="G258" s="227" t="s">
        <v>740</v>
      </c>
      <c r="H258" s="146" t="s">
        <v>12584</v>
      </c>
      <c r="I258" s="204"/>
      <c r="J258" s="152" t="s">
        <v>191</v>
      </c>
      <c r="K258" s="205">
        <v>4</v>
      </c>
      <c r="L258" s="368">
        <v>5</v>
      </c>
      <c r="M258" s="148" t="s">
        <v>199</v>
      </c>
    </row>
    <row r="259" spans="1:13" ht="90">
      <c r="A259" s="154" t="s">
        <v>12613</v>
      </c>
      <c r="B259" s="247" t="s">
        <v>12614</v>
      </c>
      <c r="C259" s="152" t="s">
        <v>242</v>
      </c>
      <c r="D259" s="370"/>
      <c r="E259" s="470" t="s">
        <v>125</v>
      </c>
      <c r="F259" s="509" t="s">
        <v>12610</v>
      </c>
      <c r="G259" s="227" t="s">
        <v>740</v>
      </c>
      <c r="H259" s="146" t="s">
        <v>12580</v>
      </c>
      <c r="I259" s="204"/>
      <c r="J259" s="152" t="s">
        <v>191</v>
      </c>
      <c r="K259" s="205">
        <v>4</v>
      </c>
      <c r="L259" s="368">
        <v>5</v>
      </c>
      <c r="M259" s="148" t="s">
        <v>199</v>
      </c>
    </row>
    <row r="260" spans="1:13" ht="78.75">
      <c r="A260" s="154" t="s">
        <v>12615</v>
      </c>
      <c r="B260" s="247" t="s">
        <v>12616</v>
      </c>
      <c r="C260" s="152" t="s">
        <v>242</v>
      </c>
      <c r="D260" s="370"/>
      <c r="E260" s="470" t="s">
        <v>125</v>
      </c>
      <c r="F260" s="509" t="s">
        <v>12583</v>
      </c>
      <c r="G260" s="227" t="s">
        <v>740</v>
      </c>
      <c r="H260" s="146" t="s">
        <v>12584</v>
      </c>
      <c r="I260" s="204"/>
      <c r="J260" s="152" t="s">
        <v>191</v>
      </c>
      <c r="K260" s="205">
        <v>4</v>
      </c>
      <c r="L260" s="368">
        <v>5</v>
      </c>
      <c r="M260" s="148" t="s">
        <v>199</v>
      </c>
    </row>
    <row r="261" spans="1:13" ht="90">
      <c r="A261" s="154" t="s">
        <v>12617</v>
      </c>
      <c r="B261" s="247" t="s">
        <v>12618</v>
      </c>
      <c r="C261" s="152" t="s">
        <v>242</v>
      </c>
      <c r="D261" s="370"/>
      <c r="E261" s="470" t="s">
        <v>125</v>
      </c>
      <c r="F261" s="509" t="s">
        <v>12619</v>
      </c>
      <c r="G261" s="227" t="s">
        <v>740</v>
      </c>
      <c r="H261" s="146" t="s">
        <v>12580</v>
      </c>
      <c r="I261" s="204"/>
      <c r="J261" s="152" t="s">
        <v>191</v>
      </c>
      <c r="K261" s="205">
        <v>4</v>
      </c>
      <c r="L261" s="368">
        <v>5</v>
      </c>
      <c r="M261" s="148" t="s">
        <v>199</v>
      </c>
    </row>
    <row r="262" spans="1:13" ht="78.75">
      <c r="A262" s="154" t="s">
        <v>12620</v>
      </c>
      <c r="B262" s="247" t="s">
        <v>12621</v>
      </c>
      <c r="C262" s="152" t="s">
        <v>242</v>
      </c>
      <c r="D262" s="370"/>
      <c r="E262" s="470" t="s">
        <v>125</v>
      </c>
      <c r="F262" s="509" t="s">
        <v>12583</v>
      </c>
      <c r="G262" s="227" t="s">
        <v>740</v>
      </c>
      <c r="H262" s="146" t="s">
        <v>12584</v>
      </c>
      <c r="I262" s="204"/>
      <c r="J262" s="152" t="s">
        <v>191</v>
      </c>
      <c r="K262" s="205">
        <v>4</v>
      </c>
      <c r="L262" s="368">
        <v>5</v>
      </c>
      <c r="M262" s="148" t="s">
        <v>199</v>
      </c>
    </row>
    <row r="263" spans="1:13" ht="90">
      <c r="A263" s="154" t="s">
        <v>12622</v>
      </c>
      <c r="B263" s="247" t="s">
        <v>12623</v>
      </c>
      <c r="C263" s="152" t="s">
        <v>242</v>
      </c>
      <c r="D263" s="370"/>
      <c r="E263" s="470" t="s">
        <v>125</v>
      </c>
      <c r="F263" s="509" t="s">
        <v>12624</v>
      </c>
      <c r="G263" s="227" t="s">
        <v>740</v>
      </c>
      <c r="H263" s="146" t="s">
        <v>12580</v>
      </c>
      <c r="I263" s="204"/>
      <c r="J263" s="152" t="s">
        <v>191</v>
      </c>
      <c r="K263" s="205">
        <v>4</v>
      </c>
      <c r="L263" s="368">
        <v>5</v>
      </c>
      <c r="M263" s="148" t="s">
        <v>199</v>
      </c>
    </row>
    <row r="264" spans="1:13" ht="78.75">
      <c r="A264" s="154" t="s">
        <v>12625</v>
      </c>
      <c r="B264" s="247" t="s">
        <v>12626</v>
      </c>
      <c r="C264" s="152" t="s">
        <v>242</v>
      </c>
      <c r="D264" s="370"/>
      <c r="E264" s="470" t="s">
        <v>125</v>
      </c>
      <c r="F264" s="509" t="s">
        <v>12627</v>
      </c>
      <c r="G264" s="227" t="s">
        <v>740</v>
      </c>
      <c r="H264" s="146" t="s">
        <v>12584</v>
      </c>
      <c r="I264" s="204"/>
      <c r="J264" s="152" t="s">
        <v>191</v>
      </c>
      <c r="K264" s="205">
        <v>4</v>
      </c>
      <c r="L264" s="368">
        <v>5</v>
      </c>
      <c r="M264" s="148" t="s">
        <v>199</v>
      </c>
    </row>
    <row r="265" spans="1:13" ht="56.25">
      <c r="A265" s="154" t="s">
        <v>12628</v>
      </c>
      <c r="B265" s="247" t="s">
        <v>12629</v>
      </c>
      <c r="C265" s="152" t="s">
        <v>242</v>
      </c>
      <c r="D265" s="370"/>
      <c r="E265" s="470" t="s">
        <v>125</v>
      </c>
      <c r="F265" s="509" t="s">
        <v>12630</v>
      </c>
      <c r="G265" s="227" t="s">
        <v>188</v>
      </c>
      <c r="H265" s="146" t="s">
        <v>12228</v>
      </c>
      <c r="I265" s="204"/>
      <c r="J265" s="152" t="s">
        <v>191</v>
      </c>
      <c r="K265" s="205">
        <v>4</v>
      </c>
      <c r="L265" s="368">
        <v>5</v>
      </c>
      <c r="M265" s="148" t="s">
        <v>199</v>
      </c>
    </row>
    <row r="266" spans="1:13" ht="12.75">
      <c r="A266" s="154" t="s">
        <v>12631</v>
      </c>
      <c r="B266" s="247" t="s">
        <v>12632</v>
      </c>
      <c r="C266" s="152" t="s">
        <v>242</v>
      </c>
      <c r="D266" s="370"/>
      <c r="E266" s="470" t="s">
        <v>125</v>
      </c>
      <c r="F266" s="509" t="s">
        <v>12633</v>
      </c>
      <c r="G266" s="227" t="s">
        <v>198</v>
      </c>
      <c r="H266" s="249"/>
      <c r="I266" s="207"/>
      <c r="J266" s="152" t="s">
        <v>191</v>
      </c>
      <c r="K266" s="205">
        <v>4</v>
      </c>
      <c r="L266" s="368">
        <v>5</v>
      </c>
      <c r="M266" s="148" t="s">
        <v>199</v>
      </c>
    </row>
    <row r="267" spans="1:13" ht="12.75">
      <c r="A267" s="154" t="s">
        <v>12634</v>
      </c>
      <c r="B267" s="247" t="s">
        <v>12635</v>
      </c>
      <c r="C267" s="152" t="s">
        <v>242</v>
      </c>
      <c r="D267" s="370"/>
      <c r="E267" s="470" t="s">
        <v>125</v>
      </c>
      <c r="F267" s="509" t="s">
        <v>12636</v>
      </c>
      <c r="G267" s="227" t="s">
        <v>198</v>
      </c>
      <c r="H267" s="249"/>
      <c r="I267" s="207"/>
      <c r="J267" s="152" t="s">
        <v>191</v>
      </c>
      <c r="K267" s="205">
        <v>4</v>
      </c>
      <c r="L267" s="368">
        <v>5</v>
      </c>
      <c r="M267" s="148" t="s">
        <v>199</v>
      </c>
    </row>
    <row r="268" spans="1:13" ht="12.75">
      <c r="A268" s="154" t="s">
        <v>12637</v>
      </c>
      <c r="B268" s="247" t="s">
        <v>12638</v>
      </c>
      <c r="C268" s="152" t="s">
        <v>242</v>
      </c>
      <c r="D268" s="370"/>
      <c r="E268" s="470" t="s">
        <v>125</v>
      </c>
      <c r="F268" s="509" t="s">
        <v>12639</v>
      </c>
      <c r="G268" s="227" t="s">
        <v>198</v>
      </c>
      <c r="H268" s="249"/>
      <c r="I268" s="207"/>
      <c r="J268" s="152" t="s">
        <v>191</v>
      </c>
      <c r="K268" s="205">
        <v>4</v>
      </c>
      <c r="L268" s="368">
        <v>5</v>
      </c>
      <c r="M268" s="148" t="s">
        <v>199</v>
      </c>
    </row>
    <row r="269" spans="1:13" ht="12.75">
      <c r="A269" s="154" t="s">
        <v>12640</v>
      </c>
      <c r="B269" s="247" t="s">
        <v>12641</v>
      </c>
      <c r="C269" s="152" t="s">
        <v>242</v>
      </c>
      <c r="D269" s="370"/>
      <c r="E269" s="470" t="s">
        <v>125</v>
      </c>
      <c r="F269" s="509" t="s">
        <v>12642</v>
      </c>
      <c r="G269" s="227" t="s">
        <v>198</v>
      </c>
      <c r="H269" s="249"/>
      <c r="I269" s="207"/>
      <c r="J269" s="152" t="s">
        <v>191</v>
      </c>
      <c r="K269" s="205">
        <v>4</v>
      </c>
      <c r="L269" s="368">
        <v>5</v>
      </c>
      <c r="M269" s="148" t="s">
        <v>199</v>
      </c>
    </row>
    <row r="270" spans="1:13" ht="22.5">
      <c r="A270" s="154" t="s">
        <v>12643</v>
      </c>
      <c r="B270" s="247" t="s">
        <v>12644</v>
      </c>
      <c r="C270" s="152" t="s">
        <v>242</v>
      </c>
      <c r="D270" s="370"/>
      <c r="E270" s="470" t="s">
        <v>125</v>
      </c>
      <c r="F270" s="509" t="s">
        <v>12645</v>
      </c>
      <c r="G270" s="227" t="s">
        <v>198</v>
      </c>
      <c r="H270" s="249"/>
      <c r="I270" s="207"/>
      <c r="J270" s="152" t="s">
        <v>191</v>
      </c>
      <c r="K270" s="205">
        <v>4</v>
      </c>
      <c r="L270" s="368">
        <v>5</v>
      </c>
      <c r="M270" s="148" t="s">
        <v>199</v>
      </c>
    </row>
    <row r="271" spans="1:13" ht="22.5">
      <c r="A271" s="154" t="s">
        <v>12646</v>
      </c>
      <c r="B271" s="247" t="s">
        <v>12647</v>
      </c>
      <c r="C271" s="152" t="s">
        <v>242</v>
      </c>
      <c r="D271" s="370"/>
      <c r="E271" s="470" t="s">
        <v>125</v>
      </c>
      <c r="F271" s="509" t="s">
        <v>12648</v>
      </c>
      <c r="G271" s="227" t="s">
        <v>198</v>
      </c>
      <c r="H271" s="249"/>
      <c r="I271" s="207"/>
      <c r="J271" s="152" t="s">
        <v>191</v>
      </c>
      <c r="K271" s="205">
        <v>4</v>
      </c>
      <c r="L271" s="368">
        <v>5</v>
      </c>
      <c r="M271" s="148" t="s">
        <v>199</v>
      </c>
    </row>
    <row r="272" spans="1:13" ht="22.5">
      <c r="A272" s="154" t="s">
        <v>12649</v>
      </c>
      <c r="B272" s="247" t="s">
        <v>12650</v>
      </c>
      <c r="C272" s="152" t="s">
        <v>242</v>
      </c>
      <c r="D272" s="370"/>
      <c r="E272" s="470" t="s">
        <v>125</v>
      </c>
      <c r="F272" s="509" t="s">
        <v>12651</v>
      </c>
      <c r="G272" s="227" t="s">
        <v>198</v>
      </c>
      <c r="H272" s="249"/>
      <c r="I272" s="207"/>
      <c r="J272" s="152" t="s">
        <v>191</v>
      </c>
      <c r="K272" s="205">
        <v>4</v>
      </c>
      <c r="L272" s="368">
        <v>5</v>
      </c>
      <c r="M272" s="148" t="s">
        <v>199</v>
      </c>
    </row>
    <row r="273" spans="1:13" ht="22.5">
      <c r="A273" s="154" t="s">
        <v>12652</v>
      </c>
      <c r="B273" s="247" t="s">
        <v>12653</v>
      </c>
      <c r="C273" s="152" t="s">
        <v>242</v>
      </c>
      <c r="D273" s="370"/>
      <c r="E273" s="470" t="s">
        <v>125</v>
      </c>
      <c r="F273" s="509" t="s">
        <v>12654</v>
      </c>
      <c r="G273" s="227" t="s">
        <v>198</v>
      </c>
      <c r="H273" s="249"/>
      <c r="I273" s="207"/>
      <c r="J273" s="152" t="s">
        <v>191</v>
      </c>
      <c r="K273" s="205">
        <v>4</v>
      </c>
      <c r="L273" s="368">
        <v>5</v>
      </c>
      <c r="M273" s="148" t="s">
        <v>199</v>
      </c>
    </row>
    <row r="274" spans="1:13" ht="22.5">
      <c r="A274" s="154" t="s">
        <v>12655</v>
      </c>
      <c r="B274" s="247" t="s">
        <v>12656</v>
      </c>
      <c r="C274" s="152" t="s">
        <v>242</v>
      </c>
      <c r="D274" s="370"/>
      <c r="E274" s="470" t="s">
        <v>125</v>
      </c>
      <c r="F274" s="509" t="s">
        <v>12657</v>
      </c>
      <c r="G274" s="227" t="s">
        <v>198</v>
      </c>
      <c r="H274" s="249"/>
      <c r="I274" s="207"/>
      <c r="J274" s="152" t="s">
        <v>191</v>
      </c>
      <c r="K274" s="205">
        <v>4</v>
      </c>
      <c r="L274" s="368">
        <v>5</v>
      </c>
      <c r="M274" s="148" t="s">
        <v>199</v>
      </c>
    </row>
    <row r="275" spans="1:13" ht="22.5">
      <c r="A275" s="154" t="s">
        <v>12658</v>
      </c>
      <c r="B275" s="247" t="s">
        <v>12659</v>
      </c>
      <c r="C275" s="152" t="s">
        <v>242</v>
      </c>
      <c r="D275" s="370"/>
      <c r="E275" s="470" t="s">
        <v>125</v>
      </c>
      <c r="F275" s="509" t="s">
        <v>12660</v>
      </c>
      <c r="G275" s="227" t="s">
        <v>198</v>
      </c>
      <c r="H275" s="249"/>
      <c r="I275" s="207"/>
      <c r="J275" s="152" t="s">
        <v>191</v>
      </c>
      <c r="K275" s="205">
        <v>4</v>
      </c>
      <c r="L275" s="368">
        <v>5</v>
      </c>
      <c r="M275" s="148" t="s">
        <v>199</v>
      </c>
    </row>
    <row r="276" spans="1:13" ht="33.75">
      <c r="A276" s="154" t="s">
        <v>12661</v>
      </c>
      <c r="B276" s="247" t="s">
        <v>12662</v>
      </c>
      <c r="C276" s="152" t="s">
        <v>242</v>
      </c>
      <c r="D276" s="370"/>
      <c r="E276" s="470" t="s">
        <v>125</v>
      </c>
      <c r="F276" s="509" t="s">
        <v>12663</v>
      </c>
      <c r="G276" s="227" t="s">
        <v>198</v>
      </c>
      <c r="H276" s="249"/>
      <c r="I276" s="207"/>
      <c r="J276" s="152" t="s">
        <v>191</v>
      </c>
      <c r="K276" s="205">
        <v>4</v>
      </c>
      <c r="L276" s="368">
        <v>5</v>
      </c>
      <c r="M276" s="148" t="s">
        <v>199</v>
      </c>
    </row>
    <row r="277" spans="1:13" ht="22.5">
      <c r="A277" s="154" t="s">
        <v>12664</v>
      </c>
      <c r="B277" s="247" t="s">
        <v>12665</v>
      </c>
      <c r="C277" s="152" t="s">
        <v>242</v>
      </c>
      <c r="D277" s="370"/>
      <c r="E277" s="470" t="s">
        <v>125</v>
      </c>
      <c r="F277" s="509" t="s">
        <v>12666</v>
      </c>
      <c r="G277" s="227" t="s">
        <v>198</v>
      </c>
      <c r="H277" s="249"/>
      <c r="I277" s="207"/>
      <c r="J277" s="152" t="s">
        <v>191</v>
      </c>
      <c r="K277" s="205">
        <v>4</v>
      </c>
      <c r="L277" s="368">
        <v>5</v>
      </c>
      <c r="M277" s="148" t="s">
        <v>199</v>
      </c>
    </row>
  </sheetData>
  <autoFilter ref="A6:O8" xr:uid="{00000000-0009-0000-0000-000016000000}"/>
  <phoneticPr fontId="39" type="noConversion"/>
  <conditionalFormatting sqref="N8:N30">
    <cfRule type="containsText" dxfId="56" priority="1" operator="containsText" text="Yes">
      <formula>NOT(ISERROR(SEARCH("Yes",N8)))</formula>
    </cfRule>
  </conditionalFormatting>
  <dataValidations count="1">
    <dataValidation type="list" allowBlank="1" showInputMessage="1" showErrorMessage="1" sqref="N8 N9:N30" xr:uid="{00000000-0002-0000-1600-000000000000}">
      <formula1>"No,Yes"</formula1>
    </dataValidation>
  </dataValidations>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CD385-137A-4B15-BB99-E0AFB0E9685A}">
  <sheetPr>
    <tabColor theme="4" tint="0.39997558519241921"/>
  </sheetPr>
  <dimension ref="A1:H35"/>
  <sheetViews>
    <sheetView workbookViewId="0">
      <pane xSplit="1" topLeftCell="B1" activePane="topRight" state="frozen"/>
      <selection pane="topRight" activeCell="H16" sqref="H16"/>
    </sheetView>
  </sheetViews>
  <sheetFormatPr defaultColWidth="9" defaultRowHeight="11.25"/>
  <cols>
    <col min="1" max="1" width="28.5703125" style="261" bestFit="1" customWidth="1"/>
    <col min="2" max="2" width="8" style="261" bestFit="1" customWidth="1"/>
    <col min="3" max="3" width="9" style="261" customWidth="1"/>
    <col min="4" max="4" width="10.5703125" style="261" customWidth="1"/>
    <col min="5" max="5" width="37.85546875" style="261" customWidth="1"/>
    <col min="6" max="6" width="16.28515625" style="261" customWidth="1"/>
    <col min="7" max="7" width="30.85546875" style="261" customWidth="1"/>
    <col min="8" max="8" width="25.85546875" style="261" bestFit="1" customWidth="1"/>
    <col min="9" max="16384" width="9" style="261"/>
  </cols>
  <sheetData>
    <row r="1" spans="1:8" ht="25.5">
      <c r="A1" s="725" t="s">
        <v>12667</v>
      </c>
      <c r="B1" s="40"/>
    </row>
    <row r="2" spans="1:8" ht="12.75">
      <c r="B2" s="40"/>
    </row>
    <row r="3" spans="1:8" ht="12.75">
      <c r="B3" s="40"/>
    </row>
    <row r="5" spans="1:8">
      <c r="A5" s="26" t="s">
        <v>12668</v>
      </c>
      <c r="B5" s="26" t="s">
        <v>12669</v>
      </c>
      <c r="C5" s="26" t="s">
        <v>12670</v>
      </c>
      <c r="D5" s="26" t="s">
        <v>12671</v>
      </c>
      <c r="E5" s="26" t="s">
        <v>20</v>
      </c>
      <c r="F5" s="26" t="s">
        <v>12672</v>
      </c>
      <c r="G5" s="26" t="s">
        <v>12673</v>
      </c>
      <c r="H5" s="26" t="s">
        <v>180</v>
      </c>
    </row>
    <row r="6" spans="1:8" ht="33.75">
      <c r="A6" s="260" t="s">
        <v>12674</v>
      </c>
      <c r="B6" s="260" t="s">
        <v>12675</v>
      </c>
      <c r="C6" s="260"/>
      <c r="D6" s="260" t="s">
        <v>12676</v>
      </c>
      <c r="E6" s="260" t="s">
        <v>12677</v>
      </c>
      <c r="F6" s="260" t="s">
        <v>12678</v>
      </c>
      <c r="G6" s="260" t="s">
        <v>12679</v>
      </c>
      <c r="H6" s="52" t="s">
        <v>12</v>
      </c>
    </row>
    <row r="7" spans="1:8">
      <c r="A7" s="260" t="s">
        <v>12680</v>
      </c>
      <c r="B7" s="260" t="s">
        <v>12681</v>
      </c>
      <c r="C7" s="260">
        <v>4</v>
      </c>
      <c r="D7" s="260" t="s">
        <v>12682</v>
      </c>
      <c r="E7" s="260" t="s">
        <v>12683</v>
      </c>
      <c r="F7" s="260" t="s">
        <v>12678</v>
      </c>
      <c r="G7" s="260" t="s">
        <v>12684</v>
      </c>
      <c r="H7" s="52" t="s">
        <v>12</v>
      </c>
    </row>
    <row r="8" spans="1:8">
      <c r="A8" s="260" t="s">
        <v>501</v>
      </c>
      <c r="B8" s="260" t="s">
        <v>12681</v>
      </c>
      <c r="C8" s="260">
        <v>17</v>
      </c>
      <c r="D8" s="260" t="s">
        <v>12682</v>
      </c>
      <c r="E8" s="260" t="s">
        <v>12685</v>
      </c>
      <c r="F8" s="260" t="s">
        <v>12678</v>
      </c>
      <c r="G8" s="260"/>
      <c r="H8" s="52" t="s">
        <v>12</v>
      </c>
    </row>
    <row r="9" spans="1:8">
      <c r="A9" s="260" t="s">
        <v>12686</v>
      </c>
      <c r="B9" s="260" t="s">
        <v>12681</v>
      </c>
      <c r="C9" s="260">
        <v>4</v>
      </c>
      <c r="D9" s="260" t="s">
        <v>12682</v>
      </c>
      <c r="E9" s="260" t="s">
        <v>12687</v>
      </c>
      <c r="F9" s="260" t="s">
        <v>12678</v>
      </c>
      <c r="G9" s="260" t="s">
        <v>12679</v>
      </c>
      <c r="H9" s="52" t="s">
        <v>12</v>
      </c>
    </row>
    <row r="10" spans="1:8">
      <c r="A10" s="260" t="s">
        <v>12688</v>
      </c>
      <c r="B10" s="260" t="s">
        <v>12681</v>
      </c>
      <c r="C10" s="260">
        <v>12</v>
      </c>
      <c r="D10" s="260" t="s">
        <v>12676</v>
      </c>
      <c r="E10" s="260" t="s">
        <v>12689</v>
      </c>
      <c r="F10" s="260" t="s">
        <v>12678</v>
      </c>
      <c r="G10" s="260" t="s">
        <v>12679</v>
      </c>
      <c r="H10" s="52" t="s">
        <v>12</v>
      </c>
    </row>
    <row r="11" spans="1:8" s="260" customFormat="1" ht="56.25">
      <c r="A11" s="260" t="s">
        <v>12690</v>
      </c>
      <c r="B11" s="260" t="s">
        <v>12691</v>
      </c>
      <c r="D11" s="260" t="s">
        <v>12676</v>
      </c>
      <c r="E11" s="260" t="s">
        <v>12692</v>
      </c>
      <c r="F11" s="260" t="s">
        <v>12678</v>
      </c>
      <c r="G11" s="260" t="s">
        <v>12679</v>
      </c>
      <c r="H11" s="52" t="s">
        <v>12</v>
      </c>
    </row>
    <row r="12" spans="1:8" s="260" customFormat="1" ht="56.25">
      <c r="A12" s="260" t="s">
        <v>12693</v>
      </c>
      <c r="B12" s="260" t="s">
        <v>12675</v>
      </c>
      <c r="D12" s="260" t="s">
        <v>12676</v>
      </c>
      <c r="E12" s="260" t="s">
        <v>12694</v>
      </c>
      <c r="F12" s="260" t="s">
        <v>12678</v>
      </c>
      <c r="G12" s="260" t="s">
        <v>12679</v>
      </c>
      <c r="H12" s="52" t="s">
        <v>12</v>
      </c>
    </row>
    <row r="13" spans="1:8" s="528" customFormat="1" hidden="1">
      <c r="A13" s="528" t="s">
        <v>12695</v>
      </c>
      <c r="E13" s="528" t="s">
        <v>12696</v>
      </c>
      <c r="H13" s="52" t="s">
        <v>12</v>
      </c>
    </row>
    <row r="14" spans="1:8" s="528" customFormat="1" hidden="1">
      <c r="A14" s="528" t="s">
        <v>12697</v>
      </c>
      <c r="E14" s="528" t="s">
        <v>12698</v>
      </c>
      <c r="H14" s="52" t="s">
        <v>12</v>
      </c>
    </row>
    <row r="15" spans="1:8" ht="22.5">
      <c r="A15" s="260" t="s">
        <v>12699</v>
      </c>
      <c r="B15" s="260" t="s">
        <v>12681</v>
      </c>
      <c r="C15" s="260">
        <v>1</v>
      </c>
      <c r="D15" s="260" t="s">
        <v>12676</v>
      </c>
      <c r="E15" s="260" t="s">
        <v>12699</v>
      </c>
      <c r="F15" s="260" t="s">
        <v>12678</v>
      </c>
      <c r="G15" s="260" t="s">
        <v>12700</v>
      </c>
      <c r="H15" s="52" t="s">
        <v>12</v>
      </c>
    </row>
    <row r="16" spans="1:8" ht="409.5">
      <c r="A16" s="260" t="s">
        <v>216</v>
      </c>
      <c r="B16" s="260" t="s">
        <v>12701</v>
      </c>
      <c r="C16" s="260"/>
      <c r="D16" s="260" t="s">
        <v>12676</v>
      </c>
      <c r="E16" s="260" t="s">
        <v>12702</v>
      </c>
      <c r="F16" s="260" t="s">
        <v>12678</v>
      </c>
      <c r="G16" s="260" t="s">
        <v>12703</v>
      </c>
      <c r="H16" s="52" t="s">
        <v>12</v>
      </c>
    </row>
    <row r="17" spans="1:8">
      <c r="A17" s="260" t="s">
        <v>12704</v>
      </c>
      <c r="B17" s="260" t="s">
        <v>12701</v>
      </c>
      <c r="C17" s="260"/>
      <c r="D17" s="260" t="s">
        <v>12676</v>
      </c>
      <c r="E17" s="260" t="s">
        <v>12705</v>
      </c>
      <c r="F17" s="260" t="s">
        <v>12678</v>
      </c>
      <c r="G17" s="260" t="s">
        <v>12679</v>
      </c>
      <c r="H17" s="52" t="s">
        <v>12</v>
      </c>
    </row>
    <row r="18" spans="1:8" ht="112.5">
      <c r="A18" s="260" t="s">
        <v>12706</v>
      </c>
      <c r="B18" s="260" t="s">
        <v>12701</v>
      </c>
      <c r="C18" s="260"/>
      <c r="D18" s="260" t="s">
        <v>12676</v>
      </c>
      <c r="E18" s="260" t="s">
        <v>12707</v>
      </c>
      <c r="F18" s="260" t="s">
        <v>12678</v>
      </c>
      <c r="G18" s="260" t="s">
        <v>12708</v>
      </c>
      <c r="H18" s="52" t="s">
        <v>12</v>
      </c>
    </row>
    <row r="19" spans="1:8" ht="326.25">
      <c r="A19" s="260" t="s">
        <v>12709</v>
      </c>
      <c r="B19" s="260" t="s">
        <v>12701</v>
      </c>
      <c r="C19" s="260"/>
      <c r="D19" s="260" t="s">
        <v>12676</v>
      </c>
      <c r="E19" s="260" t="s">
        <v>12710</v>
      </c>
      <c r="F19" s="260" t="s">
        <v>12678</v>
      </c>
      <c r="G19" s="260" t="s">
        <v>12711</v>
      </c>
      <c r="H19" s="52" t="s">
        <v>12</v>
      </c>
    </row>
    <row r="20" spans="1:8" ht="191.25">
      <c r="A20" s="260" t="s">
        <v>375</v>
      </c>
      <c r="B20" s="260" t="s">
        <v>12691</v>
      </c>
      <c r="C20" s="260"/>
      <c r="D20" s="260" t="s">
        <v>12676</v>
      </c>
      <c r="E20" s="260" t="s">
        <v>12712</v>
      </c>
      <c r="F20" s="260" t="s">
        <v>12678</v>
      </c>
      <c r="G20" s="260" t="s">
        <v>12713</v>
      </c>
      <c r="H20" s="52" t="s">
        <v>14</v>
      </c>
    </row>
    <row r="21" spans="1:8" ht="123.75">
      <c r="A21" s="260" t="s">
        <v>12714</v>
      </c>
      <c r="B21" s="260" t="s">
        <v>12691</v>
      </c>
      <c r="C21" s="260"/>
      <c r="D21" s="260" t="s">
        <v>12676</v>
      </c>
      <c r="E21" s="260" t="s">
        <v>12715</v>
      </c>
      <c r="F21" s="260" t="s">
        <v>12678</v>
      </c>
      <c r="G21" s="260" t="s">
        <v>12716</v>
      </c>
      <c r="H21" s="52" t="s">
        <v>14</v>
      </c>
    </row>
    <row r="22" spans="1:8" ht="146.25">
      <c r="A22" s="260" t="s">
        <v>12717</v>
      </c>
      <c r="B22" s="260" t="s">
        <v>12701</v>
      </c>
      <c r="C22" s="260"/>
      <c r="D22" s="260" t="s">
        <v>12676</v>
      </c>
      <c r="E22" s="260" t="s">
        <v>12718</v>
      </c>
      <c r="F22" s="260" t="s">
        <v>12678</v>
      </c>
      <c r="G22" s="260" t="s">
        <v>12719</v>
      </c>
      <c r="H22" s="52" t="s">
        <v>14</v>
      </c>
    </row>
    <row r="23" spans="1:8">
      <c r="A23" s="260" t="s">
        <v>12720</v>
      </c>
      <c r="B23" s="260" t="s">
        <v>12701</v>
      </c>
      <c r="C23" s="260"/>
      <c r="D23" s="260" t="s">
        <v>12676</v>
      </c>
      <c r="E23" s="260" t="s">
        <v>12721</v>
      </c>
      <c r="F23" s="260" t="s">
        <v>12678</v>
      </c>
      <c r="G23" s="260" t="s">
        <v>12722</v>
      </c>
      <c r="H23" s="52" t="s">
        <v>12</v>
      </c>
    </row>
    <row r="24" spans="1:8">
      <c r="A24" s="260" t="s">
        <v>12723</v>
      </c>
      <c r="B24" s="260" t="s">
        <v>12701</v>
      </c>
      <c r="C24" s="260"/>
      <c r="D24" s="260" t="s">
        <v>12676</v>
      </c>
      <c r="E24" s="260" t="s">
        <v>12724</v>
      </c>
      <c r="F24" s="260" t="s">
        <v>12678</v>
      </c>
      <c r="G24" s="260" t="s">
        <v>12725</v>
      </c>
      <c r="H24" s="52" t="s">
        <v>12</v>
      </c>
    </row>
    <row r="25" spans="1:8">
      <c r="A25" s="260" t="s">
        <v>12726</v>
      </c>
      <c r="B25" s="260" t="s">
        <v>12701</v>
      </c>
      <c r="C25" s="260"/>
      <c r="D25" s="260" t="s">
        <v>12676</v>
      </c>
      <c r="E25" s="260" t="s">
        <v>12727</v>
      </c>
      <c r="F25" s="260" t="s">
        <v>12678</v>
      </c>
      <c r="G25" s="260" t="s">
        <v>12728</v>
      </c>
      <c r="H25" s="52" t="s">
        <v>12</v>
      </c>
    </row>
    <row r="26" spans="1:8">
      <c r="A26" s="260" t="s">
        <v>12729</v>
      </c>
      <c r="B26" s="260" t="s">
        <v>12701</v>
      </c>
      <c r="C26" s="260"/>
      <c r="D26" s="260" t="s">
        <v>12676</v>
      </c>
      <c r="E26" s="260" t="s">
        <v>12730</v>
      </c>
      <c r="F26" s="260" t="s">
        <v>12678</v>
      </c>
      <c r="G26" s="260" t="s">
        <v>12731</v>
      </c>
      <c r="H26" s="52" t="s">
        <v>14</v>
      </c>
    </row>
    <row r="27" spans="1:8" ht="168.75">
      <c r="A27" s="260" t="s">
        <v>12732</v>
      </c>
      <c r="B27" s="260" t="s">
        <v>12701</v>
      </c>
      <c r="C27" s="260"/>
      <c r="D27" s="260" t="s">
        <v>12676</v>
      </c>
      <c r="E27" s="260" t="s">
        <v>12733</v>
      </c>
      <c r="F27" s="260" t="s">
        <v>12678</v>
      </c>
      <c r="G27" s="260" t="s">
        <v>12734</v>
      </c>
      <c r="H27" s="52" t="s">
        <v>14</v>
      </c>
    </row>
    <row r="28" spans="1:8">
      <c r="A28" s="260" t="s">
        <v>12735</v>
      </c>
      <c r="B28" s="260" t="s">
        <v>12691</v>
      </c>
      <c r="C28" s="260"/>
      <c r="D28" s="260" t="s">
        <v>12676</v>
      </c>
      <c r="E28" s="260" t="s">
        <v>12736</v>
      </c>
      <c r="F28" s="260" t="s">
        <v>12678</v>
      </c>
      <c r="G28" s="260"/>
      <c r="H28" s="52" t="s">
        <v>12</v>
      </c>
    </row>
    <row r="29" spans="1:8" ht="67.5">
      <c r="A29" s="260" t="s">
        <v>12737</v>
      </c>
      <c r="B29" s="260" t="s">
        <v>12701</v>
      </c>
      <c r="C29" s="260"/>
      <c r="D29" s="260" t="s">
        <v>12676</v>
      </c>
      <c r="E29" s="260" t="s">
        <v>12738</v>
      </c>
      <c r="F29" s="260" t="s">
        <v>12678</v>
      </c>
      <c r="G29" s="260" t="s">
        <v>12739</v>
      </c>
      <c r="H29" s="52" t="s">
        <v>14</v>
      </c>
    </row>
    <row r="30" spans="1:8" ht="22.5">
      <c r="A30" s="260" t="s">
        <v>12740</v>
      </c>
      <c r="B30" s="260" t="s">
        <v>12691</v>
      </c>
      <c r="C30" s="260"/>
      <c r="D30" s="260" t="s">
        <v>12676</v>
      </c>
      <c r="E30" s="260" t="s">
        <v>12741</v>
      </c>
      <c r="F30" s="260" t="s">
        <v>12678</v>
      </c>
      <c r="G30" s="260"/>
      <c r="H30" s="52" t="s">
        <v>12</v>
      </c>
    </row>
    <row r="31" spans="1:8" ht="33.75">
      <c r="A31" s="260" t="s">
        <v>12742</v>
      </c>
      <c r="B31" s="260" t="s">
        <v>12691</v>
      </c>
      <c r="C31" s="260"/>
      <c r="D31" s="260" t="s">
        <v>12676</v>
      </c>
      <c r="E31" s="260" t="s">
        <v>12743</v>
      </c>
      <c r="F31" s="260" t="s">
        <v>12678</v>
      </c>
      <c r="G31" s="260" t="s">
        <v>12744</v>
      </c>
      <c r="H31" s="52" t="s">
        <v>12</v>
      </c>
    </row>
    <row r="32" spans="1:8" ht="22.5">
      <c r="A32" s="260" t="s">
        <v>12745</v>
      </c>
      <c r="B32" s="260" t="s">
        <v>12681</v>
      </c>
      <c r="C32" s="260">
        <v>10</v>
      </c>
      <c r="D32" s="260"/>
      <c r="E32" s="260" t="s">
        <v>12746</v>
      </c>
      <c r="F32" s="260"/>
      <c r="G32" s="260"/>
      <c r="H32" s="52" t="s">
        <v>12</v>
      </c>
    </row>
    <row r="33" spans="1:8" ht="22.5">
      <c r="A33" s="260" t="s">
        <v>12747</v>
      </c>
      <c r="B33" s="260" t="s">
        <v>12681</v>
      </c>
      <c r="C33" s="260">
        <v>9</v>
      </c>
      <c r="D33" s="260"/>
      <c r="E33" s="260" t="s">
        <v>12748</v>
      </c>
      <c r="F33" s="260"/>
      <c r="G33" s="260"/>
      <c r="H33" s="52" t="s">
        <v>12</v>
      </c>
    </row>
    <row r="34" spans="1:8" ht="67.5">
      <c r="A34" s="260" t="s">
        <v>12749</v>
      </c>
      <c r="B34" s="260" t="s">
        <v>12750</v>
      </c>
      <c r="C34" s="260"/>
      <c r="D34" s="260"/>
      <c r="E34" s="260" t="s">
        <v>12751</v>
      </c>
      <c r="F34" s="260"/>
      <c r="G34" s="260"/>
      <c r="H34" s="52" t="s">
        <v>12</v>
      </c>
    </row>
    <row r="35" spans="1:8" ht="22.5">
      <c r="A35" s="260" t="s">
        <v>12752</v>
      </c>
      <c r="B35" s="260" t="s">
        <v>12681</v>
      </c>
      <c r="C35" s="260">
        <v>9</v>
      </c>
      <c r="D35" s="260"/>
      <c r="E35" s="260" t="s">
        <v>12753</v>
      </c>
      <c r="F35" s="260"/>
      <c r="G35" s="260"/>
      <c r="H35" s="752" t="s">
        <v>14</v>
      </c>
    </row>
  </sheetData>
  <conditionalFormatting sqref="H6:H35">
    <cfRule type="containsText" dxfId="55" priority="1" operator="containsText" text="Yes">
      <formula>NOT(ISERROR(SEARCH("Yes",H6)))</formula>
    </cfRule>
    <cfRule type="expression" dxfId="54" priority="2">
      <formula>"Yes"</formula>
    </cfRule>
  </conditionalFormatting>
  <dataValidations count="1">
    <dataValidation type="list" allowBlank="1" showInputMessage="1" showErrorMessage="1" sqref="H6:H35" xr:uid="{317F85DC-494B-4B74-B247-8B09A2D481CF}">
      <formula1>"No,Yes"</formula1>
    </dataValidation>
  </dataValidations>
  <pageMargins left="0.7" right="0.7" top="0.75" bottom="0.75" header="0.3" footer="0.3"/>
  <pageSetup paperSize="9" orientation="portrait"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4" tint="0.39997558519241921"/>
  </sheetPr>
  <dimension ref="A1:H110"/>
  <sheetViews>
    <sheetView topLeftCell="A97" workbookViewId="0">
      <pane xSplit="1" topLeftCell="B1" activePane="topRight" state="frozen"/>
      <selection pane="topRight" activeCell="I54" sqref="I54"/>
    </sheetView>
  </sheetViews>
  <sheetFormatPr defaultColWidth="9" defaultRowHeight="11.25"/>
  <cols>
    <col min="1" max="1" width="23.5703125" style="259" customWidth="1"/>
    <col min="2" max="2" width="7.85546875" style="259" customWidth="1"/>
    <col min="3" max="3" width="7.28515625" style="259" customWidth="1"/>
    <col min="4" max="4" width="12.140625" style="259" customWidth="1"/>
    <col min="5" max="5" width="29.5703125" style="259" customWidth="1"/>
    <col min="6" max="6" width="12.28515625" style="259" customWidth="1"/>
    <col min="7" max="7" width="43" style="259" customWidth="1"/>
    <col min="8" max="8" width="25.85546875" style="261" bestFit="1" customWidth="1"/>
    <col min="9" max="16384" width="9" style="259"/>
  </cols>
  <sheetData>
    <row r="1" spans="1:8" ht="12.75">
      <c r="A1" s="732" t="s">
        <v>12754</v>
      </c>
      <c r="B1" s="545"/>
      <c r="G1" s="261"/>
      <c r="H1" s="30"/>
    </row>
    <row r="2" spans="1:8">
      <c r="A2" s="262"/>
      <c r="B2" s="588"/>
      <c r="G2" s="261"/>
      <c r="H2" s="30"/>
    </row>
    <row r="3" spans="1:8">
      <c r="A3" s="262"/>
      <c r="B3" s="588"/>
      <c r="G3" s="261"/>
      <c r="H3" s="30"/>
    </row>
    <row r="4" spans="1:8">
      <c r="A4" s="262"/>
      <c r="B4" s="588"/>
      <c r="G4" s="261"/>
      <c r="H4" s="30"/>
    </row>
    <row r="6" spans="1:8">
      <c r="A6" s="263" t="s">
        <v>12668</v>
      </c>
      <c r="B6" s="263" t="s">
        <v>12669</v>
      </c>
      <c r="C6" s="263" t="s">
        <v>12670</v>
      </c>
      <c r="D6" s="263" t="s">
        <v>12671</v>
      </c>
      <c r="E6" s="263" t="s">
        <v>20</v>
      </c>
      <c r="F6" s="263" t="s">
        <v>12672</v>
      </c>
      <c r="G6" s="263" t="s">
        <v>12673</v>
      </c>
      <c r="H6" s="26" t="s">
        <v>180</v>
      </c>
    </row>
    <row r="7" spans="1:8">
      <c r="A7" s="727" t="s">
        <v>12680</v>
      </c>
      <c r="B7" s="727" t="s">
        <v>12691</v>
      </c>
      <c r="C7" s="728"/>
      <c r="D7" s="727" t="s">
        <v>12682</v>
      </c>
      <c r="E7" s="727" t="s">
        <v>12683</v>
      </c>
      <c r="F7" s="727"/>
      <c r="G7" s="727"/>
      <c r="H7" s="52" t="s">
        <v>12</v>
      </c>
    </row>
    <row r="8" spans="1:8">
      <c r="A8" s="727" t="s">
        <v>12755</v>
      </c>
      <c r="B8" s="727" t="s">
        <v>12681</v>
      </c>
      <c r="C8" s="728">
        <v>10</v>
      </c>
      <c r="D8" s="727"/>
      <c r="E8" s="727" t="s">
        <v>12685</v>
      </c>
      <c r="F8" s="727"/>
      <c r="G8" s="727"/>
      <c r="H8" s="52" t="s">
        <v>12</v>
      </c>
    </row>
    <row r="9" spans="1:8">
      <c r="A9" s="727" t="s">
        <v>12756</v>
      </c>
      <c r="B9" s="727" t="s">
        <v>12681</v>
      </c>
      <c r="C9" s="728">
        <v>4</v>
      </c>
      <c r="D9" s="727"/>
      <c r="E9" s="727" t="s">
        <v>12687</v>
      </c>
      <c r="F9" s="727" t="s">
        <v>12757</v>
      </c>
      <c r="G9" s="727"/>
      <c r="H9" s="52" t="s">
        <v>12</v>
      </c>
    </row>
    <row r="10" spans="1:8">
      <c r="A10" s="727" t="s">
        <v>12758</v>
      </c>
      <c r="B10" s="727" t="s">
        <v>12681</v>
      </c>
      <c r="C10" s="728">
        <v>255</v>
      </c>
      <c r="D10" s="727"/>
      <c r="E10" s="726" t="s">
        <v>12689</v>
      </c>
      <c r="F10" s="726" t="s">
        <v>12757</v>
      </c>
      <c r="G10" s="726"/>
      <c r="H10" s="52" t="s">
        <v>12</v>
      </c>
    </row>
    <row r="11" spans="1:8" s="260" customFormat="1" ht="78.75">
      <c r="A11" s="726" t="s">
        <v>12759</v>
      </c>
      <c r="B11" s="726" t="s">
        <v>12675</v>
      </c>
      <c r="C11" s="726"/>
      <c r="D11" s="726" t="s">
        <v>12676</v>
      </c>
      <c r="E11" s="726" t="s">
        <v>12760</v>
      </c>
      <c r="F11" s="726" t="s">
        <v>12757</v>
      </c>
      <c r="G11" s="726"/>
      <c r="H11" s="52" t="s">
        <v>12</v>
      </c>
    </row>
    <row r="12" spans="1:8" s="260" customFormat="1" ht="78.75">
      <c r="A12" s="726" t="s">
        <v>12761</v>
      </c>
      <c r="B12" s="726" t="s">
        <v>12675</v>
      </c>
      <c r="C12" s="726"/>
      <c r="D12" s="726" t="s">
        <v>12676</v>
      </c>
      <c r="E12" s="726" t="s">
        <v>12762</v>
      </c>
      <c r="F12" s="726" t="s">
        <v>12757</v>
      </c>
      <c r="G12" s="726"/>
      <c r="H12" s="52" t="s">
        <v>12</v>
      </c>
    </row>
    <row r="13" spans="1:8" ht="45">
      <c r="A13" s="727" t="s">
        <v>12763</v>
      </c>
      <c r="B13" s="727" t="s">
        <v>12675</v>
      </c>
      <c r="C13" s="728"/>
      <c r="D13" s="727" t="s">
        <v>12676</v>
      </c>
      <c r="E13" s="726" t="s">
        <v>12677</v>
      </c>
      <c r="F13" s="726" t="s">
        <v>12757</v>
      </c>
      <c r="G13" s="726" t="s">
        <v>12679</v>
      </c>
      <c r="H13" s="52" t="s">
        <v>12</v>
      </c>
    </row>
    <row r="14" spans="1:8">
      <c r="A14" s="727" t="s">
        <v>12764</v>
      </c>
      <c r="B14" s="727" t="s">
        <v>12675</v>
      </c>
      <c r="C14" s="728"/>
      <c r="D14" s="727" t="s">
        <v>12676</v>
      </c>
      <c r="E14" s="726" t="s">
        <v>12765</v>
      </c>
      <c r="F14" s="726" t="s">
        <v>12757</v>
      </c>
      <c r="G14" s="726"/>
      <c r="H14" s="52" t="s">
        <v>12</v>
      </c>
    </row>
    <row r="15" spans="1:8">
      <c r="A15" s="727" t="s">
        <v>12766</v>
      </c>
      <c r="B15" s="727" t="s">
        <v>12681</v>
      </c>
      <c r="C15" s="728">
        <v>255</v>
      </c>
      <c r="D15" s="727"/>
      <c r="E15" s="726" t="s">
        <v>12767</v>
      </c>
      <c r="F15" s="726" t="s">
        <v>12757</v>
      </c>
      <c r="G15" s="726"/>
      <c r="H15" s="52" t="s">
        <v>12</v>
      </c>
    </row>
    <row r="16" spans="1:8">
      <c r="A16" s="727" t="s">
        <v>12768</v>
      </c>
      <c r="B16" s="727" t="s">
        <v>12691</v>
      </c>
      <c r="C16" s="728"/>
      <c r="D16" s="727" t="s">
        <v>12676</v>
      </c>
      <c r="E16" s="726" t="s">
        <v>12769</v>
      </c>
      <c r="F16" s="726" t="s">
        <v>12757</v>
      </c>
      <c r="G16" s="727" t="s">
        <v>12679</v>
      </c>
      <c r="H16" s="52" t="s">
        <v>12</v>
      </c>
    </row>
    <row r="17" spans="1:8">
      <c r="A17" s="727" t="s">
        <v>12770</v>
      </c>
      <c r="B17" s="727" t="s">
        <v>12691</v>
      </c>
      <c r="C17" s="728"/>
      <c r="D17" s="727" t="s">
        <v>12676</v>
      </c>
      <c r="E17" s="726" t="s">
        <v>12771</v>
      </c>
      <c r="F17" s="726" t="s">
        <v>12757</v>
      </c>
      <c r="G17" s="726" t="s">
        <v>12772</v>
      </c>
      <c r="H17" s="52" t="s">
        <v>12</v>
      </c>
    </row>
    <row r="18" spans="1:8" ht="33.75">
      <c r="A18" s="727" t="s">
        <v>12773</v>
      </c>
      <c r="B18" s="727" t="s">
        <v>12691</v>
      </c>
      <c r="C18" s="728"/>
      <c r="D18" s="727" t="s">
        <v>12676</v>
      </c>
      <c r="E18" s="726" t="s">
        <v>12774</v>
      </c>
      <c r="F18" s="726" t="s">
        <v>12775</v>
      </c>
      <c r="G18" s="726" t="s">
        <v>12776</v>
      </c>
      <c r="H18" s="52" t="s">
        <v>12</v>
      </c>
    </row>
    <row r="19" spans="1:8" ht="33.75">
      <c r="A19" s="727" t="s">
        <v>12777</v>
      </c>
      <c r="B19" s="727" t="s">
        <v>12691</v>
      </c>
      <c r="C19" s="728"/>
      <c r="D19" s="727" t="s">
        <v>12676</v>
      </c>
      <c r="E19" s="726" t="s">
        <v>12778</v>
      </c>
      <c r="F19" s="726" t="s">
        <v>12779</v>
      </c>
      <c r="G19" s="726" t="s">
        <v>12776</v>
      </c>
      <c r="H19" s="52" t="s">
        <v>12</v>
      </c>
    </row>
    <row r="20" spans="1:8" ht="33.75">
      <c r="A20" s="727" t="s">
        <v>12780</v>
      </c>
      <c r="B20" s="727" t="s">
        <v>12691</v>
      </c>
      <c r="C20" s="728"/>
      <c r="D20" s="727" t="s">
        <v>12682</v>
      </c>
      <c r="E20" s="726" t="s">
        <v>12781</v>
      </c>
      <c r="F20" s="726" t="s">
        <v>12782</v>
      </c>
      <c r="G20" s="726" t="s">
        <v>12783</v>
      </c>
      <c r="H20" s="52" t="s">
        <v>12</v>
      </c>
    </row>
    <row r="21" spans="1:8" ht="191.25">
      <c r="A21" s="727" t="s">
        <v>12784</v>
      </c>
      <c r="B21" s="727" t="s">
        <v>12691</v>
      </c>
      <c r="C21" s="728"/>
      <c r="D21" s="727" t="s">
        <v>12676</v>
      </c>
      <c r="E21" s="726" t="s">
        <v>12785</v>
      </c>
      <c r="F21" s="726" t="s">
        <v>12757</v>
      </c>
      <c r="G21" s="726" t="s">
        <v>12786</v>
      </c>
      <c r="H21" s="52" t="s">
        <v>14</v>
      </c>
    </row>
    <row r="22" spans="1:8">
      <c r="A22" s="727" t="s">
        <v>12787</v>
      </c>
      <c r="B22" s="727" t="s">
        <v>12691</v>
      </c>
      <c r="C22" s="728"/>
      <c r="D22" s="727" t="s">
        <v>12676</v>
      </c>
      <c r="E22" s="726" t="s">
        <v>12788</v>
      </c>
      <c r="F22" s="726" t="s">
        <v>12757</v>
      </c>
      <c r="G22" s="726" t="s">
        <v>12679</v>
      </c>
      <c r="H22" s="52" t="s">
        <v>14</v>
      </c>
    </row>
    <row r="23" spans="1:8">
      <c r="A23" s="727" t="s">
        <v>12789</v>
      </c>
      <c r="B23" s="727" t="s">
        <v>12691</v>
      </c>
      <c r="C23" s="728"/>
      <c r="D23" s="727" t="s">
        <v>12676</v>
      </c>
      <c r="E23" s="726" t="s">
        <v>12790</v>
      </c>
      <c r="F23" s="726" t="s">
        <v>12791</v>
      </c>
      <c r="G23" s="726" t="s">
        <v>12679</v>
      </c>
      <c r="H23" s="52" t="s">
        <v>14</v>
      </c>
    </row>
    <row r="24" spans="1:8" ht="180">
      <c r="A24" s="727" t="s">
        <v>12792</v>
      </c>
      <c r="B24" s="727" t="s">
        <v>12691</v>
      </c>
      <c r="C24" s="728"/>
      <c r="D24" s="727" t="s">
        <v>12676</v>
      </c>
      <c r="E24" s="726" t="s">
        <v>12793</v>
      </c>
      <c r="F24" s="726" t="s">
        <v>12757</v>
      </c>
      <c r="G24" s="726" t="s">
        <v>12794</v>
      </c>
      <c r="H24" s="52" t="s">
        <v>12</v>
      </c>
    </row>
    <row r="25" spans="1:8" ht="90">
      <c r="A25" s="727" t="s">
        <v>12795</v>
      </c>
      <c r="B25" s="727" t="s">
        <v>12691</v>
      </c>
      <c r="C25" s="728"/>
      <c r="D25" s="727" t="s">
        <v>12676</v>
      </c>
      <c r="E25" s="726" t="s">
        <v>12796</v>
      </c>
      <c r="F25" s="726" t="s">
        <v>12757</v>
      </c>
      <c r="G25" s="726" t="s">
        <v>12797</v>
      </c>
      <c r="H25" s="52" t="s">
        <v>12</v>
      </c>
    </row>
    <row r="26" spans="1:8" ht="191.25">
      <c r="A26" s="727" t="s">
        <v>12798</v>
      </c>
      <c r="B26" s="727" t="s">
        <v>12691</v>
      </c>
      <c r="C26" s="728"/>
      <c r="D26" s="727" t="s">
        <v>12676</v>
      </c>
      <c r="E26" s="726" t="s">
        <v>12799</v>
      </c>
      <c r="F26" s="726" t="s">
        <v>12757</v>
      </c>
      <c r="G26" s="726" t="s">
        <v>12800</v>
      </c>
      <c r="H26" s="52" t="s">
        <v>12</v>
      </c>
    </row>
    <row r="27" spans="1:8" ht="112.5">
      <c r="A27" s="727" t="s">
        <v>12801</v>
      </c>
      <c r="B27" s="727" t="s">
        <v>12691</v>
      </c>
      <c r="C27" s="728"/>
      <c r="D27" s="727" t="s">
        <v>12676</v>
      </c>
      <c r="E27" s="726" t="s">
        <v>12802</v>
      </c>
      <c r="F27" s="726" t="s">
        <v>12757</v>
      </c>
      <c r="G27" s="726" t="s">
        <v>12719</v>
      </c>
      <c r="H27" s="52" t="s">
        <v>14</v>
      </c>
    </row>
    <row r="28" spans="1:8" ht="112.5">
      <c r="A28" s="727" t="s">
        <v>12803</v>
      </c>
      <c r="B28" s="727" t="s">
        <v>12691</v>
      </c>
      <c r="C28" s="728"/>
      <c r="D28" s="727" t="s">
        <v>12676</v>
      </c>
      <c r="E28" s="726" t="s">
        <v>12804</v>
      </c>
      <c r="F28" s="726" t="s">
        <v>12805</v>
      </c>
      <c r="G28" s="726" t="s">
        <v>12719</v>
      </c>
      <c r="H28" s="52" t="s">
        <v>14</v>
      </c>
    </row>
    <row r="29" spans="1:8" ht="101.25">
      <c r="A29" s="727" t="s">
        <v>12806</v>
      </c>
      <c r="B29" s="727" t="s">
        <v>12807</v>
      </c>
      <c r="C29" s="728" t="s">
        <v>12808</v>
      </c>
      <c r="D29" s="727"/>
      <c r="E29" s="726" t="s">
        <v>12809</v>
      </c>
      <c r="F29" s="726" t="s">
        <v>12757</v>
      </c>
      <c r="G29" s="726" t="s">
        <v>12810</v>
      </c>
      <c r="H29" s="52" t="s">
        <v>12</v>
      </c>
    </row>
    <row r="30" spans="1:8" ht="67.5">
      <c r="A30" s="727" t="s">
        <v>12811</v>
      </c>
      <c r="B30" s="727" t="s">
        <v>12691</v>
      </c>
      <c r="C30" s="728"/>
      <c r="D30" s="727" t="s">
        <v>12676</v>
      </c>
      <c r="E30" s="726" t="s">
        <v>12812</v>
      </c>
      <c r="F30" s="726" t="s">
        <v>12813</v>
      </c>
      <c r="G30" s="726" t="s">
        <v>12814</v>
      </c>
      <c r="H30" s="52" t="s">
        <v>14</v>
      </c>
    </row>
    <row r="31" spans="1:8">
      <c r="A31" s="727" t="s">
        <v>12815</v>
      </c>
      <c r="B31" s="727" t="s">
        <v>12816</v>
      </c>
      <c r="C31" s="728"/>
      <c r="D31" s="727" t="s">
        <v>12676</v>
      </c>
      <c r="E31" s="726" t="s">
        <v>12817</v>
      </c>
      <c r="F31" s="726" t="s">
        <v>12757</v>
      </c>
      <c r="G31" s="726" t="s">
        <v>12679</v>
      </c>
      <c r="H31" s="52" t="s">
        <v>12</v>
      </c>
    </row>
    <row r="32" spans="1:8">
      <c r="A32" s="727" t="s">
        <v>12818</v>
      </c>
      <c r="B32" s="727" t="s">
        <v>12816</v>
      </c>
      <c r="C32" s="728"/>
      <c r="D32" s="727" t="s">
        <v>12676</v>
      </c>
      <c r="E32" s="726" t="s">
        <v>12819</v>
      </c>
      <c r="F32" s="726" t="s">
        <v>12757</v>
      </c>
      <c r="G32" s="726" t="s">
        <v>12679</v>
      </c>
      <c r="H32" s="52" t="s">
        <v>12</v>
      </c>
    </row>
    <row r="33" spans="1:8">
      <c r="A33" s="727" t="s">
        <v>12820</v>
      </c>
      <c r="B33" s="727" t="s">
        <v>12816</v>
      </c>
      <c r="C33" s="728"/>
      <c r="D33" s="727" t="s">
        <v>12676</v>
      </c>
      <c r="E33" s="726" t="s">
        <v>12821</v>
      </c>
      <c r="F33" s="726" t="s">
        <v>12757</v>
      </c>
      <c r="G33" s="726" t="s">
        <v>12679</v>
      </c>
      <c r="H33" s="52" t="s">
        <v>12</v>
      </c>
    </row>
    <row r="34" spans="1:8" ht="135">
      <c r="A34" s="727" t="s">
        <v>12822</v>
      </c>
      <c r="B34" s="727" t="s">
        <v>12691</v>
      </c>
      <c r="C34" s="728"/>
      <c r="D34" s="727" t="s">
        <v>12676</v>
      </c>
      <c r="E34" s="726" t="s">
        <v>12823</v>
      </c>
      <c r="F34" s="726" t="s">
        <v>12757</v>
      </c>
      <c r="G34" s="726" t="s">
        <v>12824</v>
      </c>
      <c r="H34" s="52" t="s">
        <v>12</v>
      </c>
    </row>
    <row r="35" spans="1:8" ht="146.25">
      <c r="A35" s="727" t="s">
        <v>12825</v>
      </c>
      <c r="B35" s="727" t="s">
        <v>12691</v>
      </c>
      <c r="C35" s="728"/>
      <c r="D35" s="727" t="s">
        <v>12676</v>
      </c>
      <c r="E35" s="726" t="s">
        <v>12826</v>
      </c>
      <c r="F35" s="726" t="s">
        <v>12757</v>
      </c>
      <c r="G35" s="726" t="s">
        <v>12827</v>
      </c>
      <c r="H35" s="52" t="s">
        <v>12</v>
      </c>
    </row>
    <row r="36" spans="1:8">
      <c r="A36" s="727" t="s">
        <v>12828</v>
      </c>
      <c r="B36" s="727" t="s">
        <v>12681</v>
      </c>
      <c r="C36" s="728">
        <v>255</v>
      </c>
      <c r="D36" s="727"/>
      <c r="E36" s="726" t="s">
        <v>12829</v>
      </c>
      <c r="F36" s="726" t="s">
        <v>12757</v>
      </c>
      <c r="G36" s="726" t="s">
        <v>12679</v>
      </c>
      <c r="H36" s="52" t="s">
        <v>12</v>
      </c>
    </row>
    <row r="37" spans="1:8">
      <c r="A37" s="727" t="s">
        <v>12830</v>
      </c>
      <c r="B37" s="727" t="s">
        <v>12816</v>
      </c>
      <c r="C37" s="728"/>
      <c r="D37" s="727" t="s">
        <v>12676</v>
      </c>
      <c r="E37" s="726" t="s">
        <v>12831</v>
      </c>
      <c r="F37" s="726" t="s">
        <v>12757</v>
      </c>
      <c r="G37" s="726" t="s">
        <v>12679</v>
      </c>
      <c r="H37" s="52" t="s">
        <v>12</v>
      </c>
    </row>
    <row r="38" spans="1:8">
      <c r="A38" s="727" t="s">
        <v>12832</v>
      </c>
      <c r="B38" s="727" t="s">
        <v>12691</v>
      </c>
      <c r="C38" s="728"/>
      <c r="D38" s="727" t="s">
        <v>12676</v>
      </c>
      <c r="E38" s="727"/>
      <c r="F38" s="727"/>
      <c r="G38" s="727"/>
      <c r="H38" s="52" t="s">
        <v>14</v>
      </c>
    </row>
    <row r="39" spans="1:8" ht="78.75">
      <c r="A39" s="727" t="s">
        <v>12833</v>
      </c>
      <c r="B39" s="727" t="s">
        <v>12681</v>
      </c>
      <c r="C39" s="728">
        <v>255</v>
      </c>
      <c r="D39" s="727"/>
      <c r="E39" s="726" t="s">
        <v>12834</v>
      </c>
      <c r="F39" s="726" t="s">
        <v>12757</v>
      </c>
      <c r="G39" s="726" t="s">
        <v>12679</v>
      </c>
      <c r="H39" s="52" t="s">
        <v>14</v>
      </c>
    </row>
    <row r="40" spans="1:8">
      <c r="A40" s="727" t="s">
        <v>12835</v>
      </c>
      <c r="B40" s="727" t="s">
        <v>12691</v>
      </c>
      <c r="C40" s="728"/>
      <c r="D40" s="727" t="s">
        <v>12676</v>
      </c>
      <c r="E40" s="726" t="s">
        <v>12836</v>
      </c>
      <c r="F40" s="726" t="s">
        <v>12757</v>
      </c>
      <c r="G40" s="726" t="s">
        <v>12772</v>
      </c>
      <c r="H40" s="52" t="s">
        <v>12</v>
      </c>
    </row>
    <row r="41" spans="1:8">
      <c r="A41" s="727" t="s">
        <v>12837</v>
      </c>
      <c r="B41" s="727" t="s">
        <v>12691</v>
      </c>
      <c r="C41" s="728"/>
      <c r="D41" s="727" t="s">
        <v>12676</v>
      </c>
      <c r="E41" s="726" t="s">
        <v>12836</v>
      </c>
      <c r="F41" s="726" t="s">
        <v>12757</v>
      </c>
      <c r="G41" s="726" t="s">
        <v>12772</v>
      </c>
      <c r="H41" s="52" t="s">
        <v>12</v>
      </c>
    </row>
    <row r="42" spans="1:8" ht="21" customHeight="1">
      <c r="A42" s="727" t="s">
        <v>12838</v>
      </c>
      <c r="B42" s="727" t="s">
        <v>12691</v>
      </c>
      <c r="C42" s="728"/>
      <c r="D42" s="727" t="s">
        <v>12676</v>
      </c>
      <c r="E42" s="726" t="s">
        <v>12836</v>
      </c>
      <c r="F42" s="726" t="s">
        <v>12775</v>
      </c>
      <c r="G42" s="726" t="s">
        <v>12772</v>
      </c>
      <c r="H42" s="52" t="s">
        <v>12</v>
      </c>
    </row>
    <row r="43" spans="1:8">
      <c r="A43" s="727" t="s">
        <v>12839</v>
      </c>
      <c r="B43" s="727" t="s">
        <v>12691</v>
      </c>
      <c r="C43" s="728"/>
      <c r="D43" s="727" t="s">
        <v>12676</v>
      </c>
      <c r="E43" s="726" t="s">
        <v>12836</v>
      </c>
      <c r="F43" s="726" t="s">
        <v>12791</v>
      </c>
      <c r="G43" s="726" t="s">
        <v>12772</v>
      </c>
      <c r="H43" s="52" t="s">
        <v>12</v>
      </c>
    </row>
    <row r="44" spans="1:8" s="523" customFormat="1" ht="22.5" hidden="1">
      <c r="A44" s="729" t="s">
        <v>12840</v>
      </c>
      <c r="B44" s="729" t="s">
        <v>12681</v>
      </c>
      <c r="C44" s="730">
        <v>255</v>
      </c>
      <c r="D44" s="729"/>
      <c r="E44" s="731" t="s">
        <v>12841</v>
      </c>
      <c r="F44" s="731" t="s">
        <v>12757</v>
      </c>
      <c r="G44" s="731" t="s">
        <v>12679</v>
      </c>
      <c r="H44" s="750"/>
    </row>
    <row r="45" spans="1:8" ht="33.75">
      <c r="A45" s="727" t="s">
        <v>12842</v>
      </c>
      <c r="B45" s="727" t="s">
        <v>12843</v>
      </c>
      <c r="C45" s="728"/>
      <c r="D45" s="727" t="s">
        <v>12676</v>
      </c>
      <c r="E45" s="726" t="s">
        <v>12844</v>
      </c>
      <c r="F45" s="726" t="s">
        <v>12757</v>
      </c>
      <c r="G45" s="726" t="s">
        <v>12845</v>
      </c>
      <c r="H45" s="52" t="s">
        <v>12</v>
      </c>
    </row>
    <row r="46" spans="1:8" ht="33.75">
      <c r="A46" s="727" t="s">
        <v>12846</v>
      </c>
      <c r="B46" s="727" t="s">
        <v>12691</v>
      </c>
      <c r="C46" s="728"/>
      <c r="D46" s="727" t="s">
        <v>12676</v>
      </c>
      <c r="E46" s="726" t="s">
        <v>12847</v>
      </c>
      <c r="F46" s="726" t="s">
        <v>12813</v>
      </c>
      <c r="G46" s="726" t="s">
        <v>12848</v>
      </c>
      <c r="H46" s="52" t="s">
        <v>12</v>
      </c>
    </row>
    <row r="47" spans="1:8" ht="67.5">
      <c r="A47" s="727" t="s">
        <v>12849</v>
      </c>
      <c r="B47" s="727" t="s">
        <v>12691</v>
      </c>
      <c r="C47" s="728"/>
      <c r="D47" s="727" t="s">
        <v>12676</v>
      </c>
      <c r="E47" s="726" t="s">
        <v>12850</v>
      </c>
      <c r="F47" s="726" t="s">
        <v>12813</v>
      </c>
      <c r="G47" s="726" t="s">
        <v>12851</v>
      </c>
      <c r="H47" s="52" t="s">
        <v>12</v>
      </c>
    </row>
    <row r="48" spans="1:8" ht="22.5">
      <c r="A48" s="727" t="s">
        <v>12852</v>
      </c>
      <c r="B48" s="727" t="s">
        <v>12853</v>
      </c>
      <c r="C48" s="728" t="s">
        <v>12854</v>
      </c>
      <c r="D48" s="727"/>
      <c r="E48" s="726" t="s">
        <v>12855</v>
      </c>
      <c r="F48" s="726" t="s">
        <v>12856</v>
      </c>
      <c r="G48" s="726" t="s">
        <v>12679</v>
      </c>
      <c r="H48" s="52" t="s">
        <v>14</v>
      </c>
    </row>
    <row r="49" spans="1:8" ht="22.5">
      <c r="A49" s="727" t="s">
        <v>12857</v>
      </c>
      <c r="B49" s="727" t="s">
        <v>12853</v>
      </c>
      <c r="C49" s="728" t="s">
        <v>12854</v>
      </c>
      <c r="D49" s="727"/>
      <c r="E49" s="726" t="s">
        <v>12858</v>
      </c>
      <c r="F49" s="726" t="s">
        <v>12856</v>
      </c>
      <c r="G49" s="726" t="s">
        <v>12679</v>
      </c>
      <c r="H49" s="52" t="s">
        <v>14</v>
      </c>
    </row>
    <row r="50" spans="1:8" ht="33.75">
      <c r="A50" s="727" t="s">
        <v>12859</v>
      </c>
      <c r="B50" s="727" t="s">
        <v>12691</v>
      </c>
      <c r="C50" s="728"/>
      <c r="D50" s="727" t="s">
        <v>12676</v>
      </c>
      <c r="E50" s="726" t="s">
        <v>12860</v>
      </c>
      <c r="F50" s="726" t="s">
        <v>12791</v>
      </c>
      <c r="G50" s="726" t="s">
        <v>12679</v>
      </c>
      <c r="H50" s="52" t="s">
        <v>14</v>
      </c>
    </row>
    <row r="51" spans="1:8" ht="33.75">
      <c r="A51" s="727" t="s">
        <v>12861</v>
      </c>
      <c r="B51" s="727" t="s">
        <v>12691</v>
      </c>
      <c r="C51" s="728"/>
      <c r="D51" s="727" t="s">
        <v>12676</v>
      </c>
      <c r="E51" s="726" t="s">
        <v>12862</v>
      </c>
      <c r="F51" s="726" t="s">
        <v>12791</v>
      </c>
      <c r="G51" s="726" t="s">
        <v>12679</v>
      </c>
      <c r="H51" s="52" t="s">
        <v>14</v>
      </c>
    </row>
    <row r="52" spans="1:8">
      <c r="A52" s="727" t="s">
        <v>12863</v>
      </c>
      <c r="B52" s="727" t="s">
        <v>12681</v>
      </c>
      <c r="C52" s="728">
        <v>500</v>
      </c>
      <c r="D52" s="727"/>
      <c r="E52" s="726" t="s">
        <v>12864</v>
      </c>
      <c r="F52" s="726" t="s">
        <v>12757</v>
      </c>
      <c r="G52" s="726" t="s">
        <v>12679</v>
      </c>
      <c r="H52" s="52" t="s">
        <v>14</v>
      </c>
    </row>
    <row r="53" spans="1:8" ht="123" customHeight="1">
      <c r="A53" s="727" t="s">
        <v>12865</v>
      </c>
      <c r="B53" s="727" t="s">
        <v>12681</v>
      </c>
      <c r="C53" s="728">
        <v>30</v>
      </c>
      <c r="D53" s="727"/>
      <c r="E53" s="727"/>
      <c r="F53" s="727" t="s">
        <v>12866</v>
      </c>
      <c r="G53" s="726" t="s">
        <v>12867</v>
      </c>
      <c r="H53" s="52" t="s">
        <v>12</v>
      </c>
    </row>
    <row r="54" spans="1:8" ht="409.5">
      <c r="A54" s="727" t="s">
        <v>12868</v>
      </c>
      <c r="B54" s="727" t="s">
        <v>12869</v>
      </c>
      <c r="C54" s="728">
        <v>50</v>
      </c>
      <c r="D54" s="727"/>
      <c r="E54" s="726" t="s">
        <v>12870</v>
      </c>
      <c r="F54" s="726" t="s">
        <v>12757</v>
      </c>
      <c r="G54" s="726" t="s">
        <v>12871</v>
      </c>
      <c r="H54" s="52" t="s">
        <v>12</v>
      </c>
    </row>
    <row r="55" spans="1:8">
      <c r="A55" s="727" t="s">
        <v>12872</v>
      </c>
      <c r="B55" s="727" t="s">
        <v>12681</v>
      </c>
      <c r="C55" s="728">
        <v>30</v>
      </c>
      <c r="D55" s="727"/>
      <c r="E55" s="726"/>
      <c r="F55" s="726" t="s">
        <v>12866</v>
      </c>
      <c r="G55" s="726" t="s">
        <v>12679</v>
      </c>
      <c r="H55" s="52" t="s">
        <v>12</v>
      </c>
    </row>
    <row r="56" spans="1:8">
      <c r="A56" s="727" t="s">
        <v>12873</v>
      </c>
      <c r="B56" s="727" t="s">
        <v>12843</v>
      </c>
      <c r="C56" s="728"/>
      <c r="D56" s="727" t="s">
        <v>12676</v>
      </c>
      <c r="E56" s="726"/>
      <c r="F56" s="726" t="s">
        <v>12866</v>
      </c>
      <c r="G56" s="726" t="s">
        <v>12679</v>
      </c>
      <c r="H56" s="52" t="s">
        <v>12</v>
      </c>
    </row>
    <row r="57" spans="1:8">
      <c r="A57" s="727" t="s">
        <v>12874</v>
      </c>
      <c r="B57" s="727" t="s">
        <v>12681</v>
      </c>
      <c r="C57" s="728">
        <v>30</v>
      </c>
      <c r="D57" s="727"/>
      <c r="E57" s="726"/>
      <c r="F57" s="726" t="s">
        <v>12866</v>
      </c>
      <c r="G57" s="726" t="s">
        <v>12679</v>
      </c>
      <c r="H57" s="52" t="s">
        <v>12</v>
      </c>
    </row>
    <row r="58" spans="1:8">
      <c r="A58" s="727" t="s">
        <v>12875</v>
      </c>
      <c r="B58" s="727" t="s">
        <v>12843</v>
      </c>
      <c r="C58" s="728"/>
      <c r="D58" s="727" t="s">
        <v>12676</v>
      </c>
      <c r="E58" s="727"/>
      <c r="F58" s="727" t="s">
        <v>12866</v>
      </c>
      <c r="G58" s="727" t="s">
        <v>12679</v>
      </c>
      <c r="H58" s="52" t="s">
        <v>12</v>
      </c>
    </row>
    <row r="59" spans="1:8" ht="56.25">
      <c r="A59" s="727" t="s">
        <v>12876</v>
      </c>
      <c r="B59" s="727" t="s">
        <v>12691</v>
      </c>
      <c r="C59" s="728"/>
      <c r="D59" s="727" t="s">
        <v>12676</v>
      </c>
      <c r="E59" s="726" t="s">
        <v>12877</v>
      </c>
      <c r="F59" s="726" t="s">
        <v>12775</v>
      </c>
      <c r="G59" s="726" t="s">
        <v>12878</v>
      </c>
      <c r="H59" s="52" t="s">
        <v>12</v>
      </c>
    </row>
    <row r="60" spans="1:8" ht="168.75">
      <c r="A60" s="727" t="s">
        <v>12879</v>
      </c>
      <c r="B60" s="727" t="s">
        <v>12691</v>
      </c>
      <c r="C60" s="728"/>
      <c r="D60" s="727" t="s">
        <v>12676</v>
      </c>
      <c r="E60" s="726" t="s">
        <v>12880</v>
      </c>
      <c r="F60" s="726" t="s">
        <v>12866</v>
      </c>
      <c r="G60" s="726" t="s">
        <v>12881</v>
      </c>
      <c r="H60" s="52" t="s">
        <v>14</v>
      </c>
    </row>
    <row r="61" spans="1:8" ht="22.5">
      <c r="A61" s="727" t="s">
        <v>12882</v>
      </c>
      <c r="B61" s="727" t="s">
        <v>12691</v>
      </c>
      <c r="C61" s="728"/>
      <c r="D61" s="727" t="s">
        <v>12676</v>
      </c>
      <c r="E61" s="726" t="s">
        <v>12883</v>
      </c>
      <c r="F61" s="726" t="s">
        <v>12884</v>
      </c>
      <c r="G61" s="726" t="s">
        <v>12679</v>
      </c>
      <c r="H61" s="52" t="s">
        <v>14</v>
      </c>
    </row>
    <row r="62" spans="1:8" ht="22.5">
      <c r="A62" s="727" t="s">
        <v>12885</v>
      </c>
      <c r="B62" s="727" t="s">
        <v>12691</v>
      </c>
      <c r="C62" s="728"/>
      <c r="D62" s="727" t="s">
        <v>12676</v>
      </c>
      <c r="E62" s="726" t="s">
        <v>12886</v>
      </c>
      <c r="F62" s="726" t="s">
        <v>12887</v>
      </c>
      <c r="G62" s="726"/>
      <c r="H62" s="52" t="s">
        <v>12</v>
      </c>
    </row>
    <row r="63" spans="1:8">
      <c r="A63" s="727" t="s">
        <v>12888</v>
      </c>
      <c r="B63" s="727" t="s">
        <v>12691</v>
      </c>
      <c r="C63" s="728"/>
      <c r="D63" s="727" t="s">
        <v>12676</v>
      </c>
      <c r="E63" s="726" t="s">
        <v>12889</v>
      </c>
      <c r="F63" s="726" t="s">
        <v>12890</v>
      </c>
      <c r="G63" s="726" t="s">
        <v>12679</v>
      </c>
      <c r="H63" s="52" t="s">
        <v>14</v>
      </c>
    </row>
    <row r="64" spans="1:8" ht="33.75">
      <c r="A64" s="727" t="s">
        <v>12891</v>
      </c>
      <c r="B64" s="727" t="s">
        <v>12691</v>
      </c>
      <c r="C64" s="728"/>
      <c r="D64" s="727" t="s">
        <v>12676</v>
      </c>
      <c r="E64" s="726" t="s">
        <v>12892</v>
      </c>
      <c r="F64" s="726" t="s">
        <v>12893</v>
      </c>
      <c r="G64" s="726" t="s">
        <v>12894</v>
      </c>
      <c r="H64" s="52" t="s">
        <v>12</v>
      </c>
    </row>
    <row r="65" spans="1:8" ht="33.75">
      <c r="A65" s="727" t="s">
        <v>12895</v>
      </c>
      <c r="B65" s="727" t="s">
        <v>12691</v>
      </c>
      <c r="C65" s="728"/>
      <c r="D65" s="727" t="s">
        <v>12676</v>
      </c>
      <c r="E65" s="726" t="s">
        <v>12896</v>
      </c>
      <c r="F65" s="726" t="s">
        <v>12890</v>
      </c>
      <c r="G65" s="726" t="s">
        <v>12897</v>
      </c>
      <c r="H65" s="52" t="s">
        <v>14</v>
      </c>
    </row>
    <row r="66" spans="1:8" ht="33.75">
      <c r="A66" s="727" t="s">
        <v>12898</v>
      </c>
      <c r="B66" s="727" t="s">
        <v>12691</v>
      </c>
      <c r="C66" s="728"/>
      <c r="D66" s="727" t="s">
        <v>12676</v>
      </c>
      <c r="E66" s="726" t="s">
        <v>12899</v>
      </c>
      <c r="F66" s="726" t="s">
        <v>12890</v>
      </c>
      <c r="G66" s="726" t="s">
        <v>12900</v>
      </c>
      <c r="H66" s="52" t="s">
        <v>12</v>
      </c>
    </row>
    <row r="67" spans="1:8" ht="33.75">
      <c r="A67" s="727" t="s">
        <v>12901</v>
      </c>
      <c r="B67" s="727" t="s">
        <v>12691</v>
      </c>
      <c r="C67" s="728"/>
      <c r="D67" s="727" t="s">
        <v>12676</v>
      </c>
      <c r="E67" s="726" t="s">
        <v>12902</v>
      </c>
      <c r="F67" s="726" t="s">
        <v>12890</v>
      </c>
      <c r="G67" s="726" t="s">
        <v>12900</v>
      </c>
      <c r="H67" s="52" t="s">
        <v>12</v>
      </c>
    </row>
    <row r="68" spans="1:8">
      <c r="A68" s="727" t="s">
        <v>12903</v>
      </c>
      <c r="B68" s="727" t="s">
        <v>12691</v>
      </c>
      <c r="C68" s="728"/>
      <c r="D68" s="727" t="s">
        <v>12676</v>
      </c>
      <c r="E68" s="726" t="s">
        <v>12904</v>
      </c>
      <c r="F68" s="726" t="s">
        <v>12779</v>
      </c>
      <c r="G68" s="726"/>
      <c r="H68" s="52" t="s">
        <v>12</v>
      </c>
    </row>
    <row r="69" spans="1:8" ht="101.25">
      <c r="A69" s="727" t="s">
        <v>12905</v>
      </c>
      <c r="B69" s="727" t="s">
        <v>12807</v>
      </c>
      <c r="C69" s="728" t="s">
        <v>12808</v>
      </c>
      <c r="D69" s="727"/>
      <c r="E69" s="726" t="s">
        <v>12906</v>
      </c>
      <c r="F69" s="726" t="s">
        <v>12757</v>
      </c>
      <c r="G69" s="726" t="s">
        <v>12810</v>
      </c>
      <c r="H69" s="52" t="s">
        <v>12</v>
      </c>
    </row>
    <row r="70" spans="1:8" ht="191.25">
      <c r="A70" s="727" t="s">
        <v>12907</v>
      </c>
      <c r="B70" s="727" t="s">
        <v>12681</v>
      </c>
      <c r="C70" s="728">
        <v>30</v>
      </c>
      <c r="D70" s="727"/>
      <c r="E70" s="726" t="s">
        <v>12908</v>
      </c>
      <c r="F70" s="726" t="s">
        <v>12866</v>
      </c>
      <c r="G70" s="726" t="s">
        <v>12909</v>
      </c>
      <c r="H70" s="52" t="s">
        <v>12</v>
      </c>
    </row>
    <row r="71" spans="1:8" ht="409.5">
      <c r="A71" s="727" t="s">
        <v>12910</v>
      </c>
      <c r="B71" s="727" t="s">
        <v>12681</v>
      </c>
      <c r="C71" s="728">
        <v>30</v>
      </c>
      <c r="D71" s="727"/>
      <c r="E71" s="726" t="s">
        <v>12911</v>
      </c>
      <c r="F71" s="726" t="s">
        <v>12866</v>
      </c>
      <c r="G71" s="726" t="s">
        <v>12912</v>
      </c>
      <c r="H71" s="52" t="s">
        <v>12</v>
      </c>
    </row>
    <row r="72" spans="1:8" ht="33.75">
      <c r="A72" s="727" t="s">
        <v>12913</v>
      </c>
      <c r="B72" s="727" t="s">
        <v>12691</v>
      </c>
      <c r="C72" s="728"/>
      <c r="D72" s="727" t="s">
        <v>12676</v>
      </c>
      <c r="E72" s="726" t="s">
        <v>12914</v>
      </c>
      <c r="F72" s="726" t="s">
        <v>12757</v>
      </c>
      <c r="G72" s="726" t="s">
        <v>12915</v>
      </c>
      <c r="H72" s="52" t="s">
        <v>12</v>
      </c>
    </row>
    <row r="73" spans="1:8" ht="33.75">
      <c r="A73" s="727" t="s">
        <v>12916</v>
      </c>
      <c r="B73" s="727" t="s">
        <v>12691</v>
      </c>
      <c r="C73" s="728"/>
      <c r="D73" s="727" t="s">
        <v>12676</v>
      </c>
      <c r="E73" s="726" t="s">
        <v>12917</v>
      </c>
      <c r="F73" s="726" t="s">
        <v>12805</v>
      </c>
      <c r="G73" s="726" t="s">
        <v>12915</v>
      </c>
      <c r="H73" s="52" t="s">
        <v>12</v>
      </c>
    </row>
    <row r="74" spans="1:8" ht="33.75">
      <c r="A74" s="727" t="s">
        <v>12918</v>
      </c>
      <c r="B74" s="727" t="s">
        <v>12691</v>
      </c>
      <c r="C74" s="728"/>
      <c r="D74" s="727" t="s">
        <v>12676</v>
      </c>
      <c r="E74" s="726" t="s">
        <v>12919</v>
      </c>
      <c r="F74" s="726" t="s">
        <v>12757</v>
      </c>
      <c r="G74" s="726" t="s">
        <v>12920</v>
      </c>
      <c r="H74" s="52" t="s">
        <v>14</v>
      </c>
    </row>
    <row r="75" spans="1:8" ht="33.75">
      <c r="A75" s="727" t="s">
        <v>12921</v>
      </c>
      <c r="B75" s="727" t="s">
        <v>12691</v>
      </c>
      <c r="C75" s="728"/>
      <c r="D75" s="727" t="s">
        <v>12676</v>
      </c>
      <c r="E75" s="726" t="s">
        <v>12922</v>
      </c>
      <c r="F75" s="726" t="s">
        <v>12757</v>
      </c>
      <c r="G75" s="726" t="s">
        <v>12923</v>
      </c>
      <c r="H75" s="52" t="s">
        <v>14</v>
      </c>
    </row>
    <row r="76" spans="1:8" ht="33.75">
      <c r="A76" s="727" t="s">
        <v>12924</v>
      </c>
      <c r="B76" s="727" t="s">
        <v>12691</v>
      </c>
      <c r="C76" s="728"/>
      <c r="D76" s="727" t="s">
        <v>12676</v>
      </c>
      <c r="E76" s="726" t="s">
        <v>12925</v>
      </c>
      <c r="F76" s="726" t="s">
        <v>12757</v>
      </c>
      <c r="G76" s="726" t="s">
        <v>12926</v>
      </c>
      <c r="H76" s="52" t="s">
        <v>14</v>
      </c>
    </row>
    <row r="77" spans="1:8" ht="33.75">
      <c r="A77" s="727" t="s">
        <v>12927</v>
      </c>
      <c r="B77" s="727" t="s">
        <v>12691</v>
      </c>
      <c r="C77" s="728"/>
      <c r="D77" s="727" t="s">
        <v>12676</v>
      </c>
      <c r="E77" s="726" t="s">
        <v>12928</v>
      </c>
      <c r="F77" s="726" t="s">
        <v>12757</v>
      </c>
      <c r="G77" s="726" t="s">
        <v>12929</v>
      </c>
      <c r="H77" s="52" t="s">
        <v>14</v>
      </c>
    </row>
    <row r="78" spans="1:8" ht="33.75">
      <c r="A78" s="727" t="s">
        <v>12930</v>
      </c>
      <c r="B78" s="727" t="s">
        <v>12691</v>
      </c>
      <c r="C78" s="728"/>
      <c r="D78" s="727" t="s">
        <v>12682</v>
      </c>
      <c r="E78" s="726" t="s">
        <v>12931</v>
      </c>
      <c r="F78" s="726" t="s">
        <v>12757</v>
      </c>
      <c r="G78" s="726" t="s">
        <v>12932</v>
      </c>
      <c r="H78" s="52" t="s">
        <v>14</v>
      </c>
    </row>
    <row r="79" spans="1:8" ht="146.25">
      <c r="A79" s="727" t="s">
        <v>12933</v>
      </c>
      <c r="B79" s="727" t="s">
        <v>12691</v>
      </c>
      <c r="C79" s="728"/>
      <c r="D79" s="727" t="s">
        <v>12676</v>
      </c>
      <c r="E79" s="726" t="s">
        <v>12934</v>
      </c>
      <c r="F79" s="726" t="s">
        <v>12866</v>
      </c>
      <c r="G79" s="726" t="s">
        <v>12935</v>
      </c>
      <c r="H79" s="52" t="s">
        <v>12</v>
      </c>
    </row>
    <row r="80" spans="1:8" ht="22.5">
      <c r="A80" s="727" t="s">
        <v>12936</v>
      </c>
      <c r="B80" s="727" t="s">
        <v>12691</v>
      </c>
      <c r="C80" s="728"/>
      <c r="D80" s="727" t="s">
        <v>12682</v>
      </c>
      <c r="E80" s="726" t="s">
        <v>12937</v>
      </c>
      <c r="F80" s="726"/>
      <c r="G80" s="726" t="s">
        <v>12938</v>
      </c>
      <c r="H80" s="52" t="s">
        <v>12</v>
      </c>
    </row>
    <row r="81" spans="1:8" ht="22.5">
      <c r="A81" s="727" t="s">
        <v>12939</v>
      </c>
      <c r="B81" s="727" t="s">
        <v>12691</v>
      </c>
      <c r="C81" s="728"/>
      <c r="D81" s="727" t="s">
        <v>12682</v>
      </c>
      <c r="E81" s="726" t="s">
        <v>12940</v>
      </c>
      <c r="F81" s="726"/>
      <c r="G81" s="726" t="s">
        <v>12941</v>
      </c>
      <c r="H81" s="52" t="s">
        <v>12</v>
      </c>
    </row>
    <row r="82" spans="1:8" ht="22.5">
      <c r="A82" s="727" t="s">
        <v>12942</v>
      </c>
      <c r="B82" s="727" t="s">
        <v>12691</v>
      </c>
      <c r="C82" s="728"/>
      <c r="D82" s="727" t="s">
        <v>12682</v>
      </c>
      <c r="E82" s="726" t="s">
        <v>12943</v>
      </c>
      <c r="F82" s="726"/>
      <c r="G82" s="726" t="s">
        <v>12944</v>
      </c>
      <c r="H82" s="52" t="s">
        <v>12</v>
      </c>
    </row>
    <row r="83" spans="1:8" ht="22.5">
      <c r="A83" s="727" t="s">
        <v>12945</v>
      </c>
      <c r="B83" s="727" t="s">
        <v>12691</v>
      </c>
      <c r="C83" s="728"/>
      <c r="D83" s="727" t="s">
        <v>12682</v>
      </c>
      <c r="E83" s="726" t="s">
        <v>12946</v>
      </c>
      <c r="F83" s="726"/>
      <c r="G83" s="726" t="s">
        <v>12947</v>
      </c>
      <c r="H83" s="52" t="s">
        <v>14</v>
      </c>
    </row>
    <row r="84" spans="1:8" ht="22.5">
      <c r="A84" s="727" t="s">
        <v>12948</v>
      </c>
      <c r="B84" s="727" t="s">
        <v>12691</v>
      </c>
      <c r="C84" s="728"/>
      <c r="D84" s="727" t="s">
        <v>12682</v>
      </c>
      <c r="E84" s="726" t="s">
        <v>12949</v>
      </c>
      <c r="F84" s="726"/>
      <c r="G84" s="726" t="s">
        <v>12950</v>
      </c>
      <c r="H84" s="52" t="s">
        <v>12</v>
      </c>
    </row>
    <row r="85" spans="1:8" ht="22.5">
      <c r="A85" s="727" t="s">
        <v>12951</v>
      </c>
      <c r="B85" s="727" t="s">
        <v>12691</v>
      </c>
      <c r="C85" s="728"/>
      <c r="D85" s="727" t="s">
        <v>12682</v>
      </c>
      <c r="E85" s="726" t="s">
        <v>12952</v>
      </c>
      <c r="F85" s="726"/>
      <c r="G85" s="726" t="s">
        <v>12953</v>
      </c>
      <c r="H85" s="52" t="s">
        <v>12</v>
      </c>
    </row>
    <row r="86" spans="1:8" ht="22.5">
      <c r="A86" s="727" t="s">
        <v>12954</v>
      </c>
      <c r="B86" s="727" t="s">
        <v>12691</v>
      </c>
      <c r="C86" s="728"/>
      <c r="D86" s="727" t="s">
        <v>12682</v>
      </c>
      <c r="E86" s="726" t="s">
        <v>12955</v>
      </c>
      <c r="F86" s="726"/>
      <c r="G86" s="726" t="s">
        <v>12956</v>
      </c>
      <c r="H86" s="52" t="s">
        <v>12</v>
      </c>
    </row>
    <row r="87" spans="1:8" ht="22.5">
      <c r="A87" s="727" t="s">
        <v>12957</v>
      </c>
      <c r="B87" s="727" t="s">
        <v>12691</v>
      </c>
      <c r="C87" s="728"/>
      <c r="D87" s="727" t="s">
        <v>12682</v>
      </c>
      <c r="E87" s="726" t="s">
        <v>12958</v>
      </c>
      <c r="F87" s="726"/>
      <c r="G87" s="726" t="s">
        <v>12959</v>
      </c>
      <c r="H87" s="52" t="s">
        <v>12</v>
      </c>
    </row>
    <row r="88" spans="1:8" ht="135">
      <c r="A88" s="727" t="s">
        <v>12960</v>
      </c>
      <c r="B88" s="727" t="s">
        <v>12691</v>
      </c>
      <c r="C88" s="728"/>
      <c r="D88" s="727" t="s">
        <v>12676</v>
      </c>
      <c r="E88" s="726" t="s">
        <v>12961</v>
      </c>
      <c r="F88" s="726" t="s">
        <v>12757</v>
      </c>
      <c r="G88" s="726" t="s">
        <v>12962</v>
      </c>
      <c r="H88" s="52" t="s">
        <v>12</v>
      </c>
    </row>
    <row r="89" spans="1:8" ht="180">
      <c r="A89" s="727" t="s">
        <v>12963</v>
      </c>
      <c r="B89" s="727" t="s">
        <v>12681</v>
      </c>
      <c r="C89" s="728">
        <v>48</v>
      </c>
      <c r="D89" s="727"/>
      <c r="E89" s="726" t="s">
        <v>12964</v>
      </c>
      <c r="F89" s="726"/>
      <c r="G89" s="726" t="s">
        <v>12965</v>
      </c>
      <c r="H89" s="52" t="s">
        <v>14</v>
      </c>
    </row>
    <row r="90" spans="1:8" ht="409.5">
      <c r="A90" s="727" t="s">
        <v>12966</v>
      </c>
      <c r="B90" s="727" t="s">
        <v>12681</v>
      </c>
      <c r="C90" s="728">
        <v>55</v>
      </c>
      <c r="D90" s="727"/>
      <c r="E90" s="726" t="s">
        <v>12967</v>
      </c>
      <c r="F90" s="726"/>
      <c r="G90" s="726" t="s">
        <v>12968</v>
      </c>
      <c r="H90" s="52" t="s">
        <v>14</v>
      </c>
    </row>
    <row r="91" spans="1:8" ht="247.5">
      <c r="A91" s="727" t="s">
        <v>12969</v>
      </c>
      <c r="B91" s="727" t="s">
        <v>12853</v>
      </c>
      <c r="C91" s="728" t="s">
        <v>12970</v>
      </c>
      <c r="D91" s="727"/>
      <c r="E91" s="726" t="s">
        <v>12971</v>
      </c>
      <c r="F91" s="726"/>
      <c r="G91" s="726" t="s">
        <v>12972</v>
      </c>
      <c r="H91" s="52" t="s">
        <v>12</v>
      </c>
    </row>
    <row r="92" spans="1:8" ht="247.5">
      <c r="A92" s="727" t="s">
        <v>12973</v>
      </c>
      <c r="B92" s="727" t="s">
        <v>12681</v>
      </c>
      <c r="C92" s="728">
        <v>50</v>
      </c>
      <c r="D92" s="727"/>
      <c r="E92" s="726" t="s">
        <v>12974</v>
      </c>
      <c r="F92" s="726"/>
      <c r="G92" s="726" t="s">
        <v>12975</v>
      </c>
      <c r="H92" s="52" t="s">
        <v>14</v>
      </c>
    </row>
    <row r="93" spans="1:8" ht="45">
      <c r="A93" s="727" t="s">
        <v>12976</v>
      </c>
      <c r="B93" s="727" t="s">
        <v>12675</v>
      </c>
      <c r="C93" s="728"/>
      <c r="D93" s="727" t="s">
        <v>12676</v>
      </c>
      <c r="E93" s="726" t="s">
        <v>12977</v>
      </c>
      <c r="F93" s="726"/>
      <c r="G93" s="726" t="s">
        <v>12978</v>
      </c>
      <c r="H93" s="52" t="s">
        <v>12</v>
      </c>
    </row>
    <row r="94" spans="1:8" ht="22.5">
      <c r="A94" s="727" t="s">
        <v>12979</v>
      </c>
      <c r="B94" s="727" t="s">
        <v>12691</v>
      </c>
      <c r="C94" s="728"/>
      <c r="D94" s="727" t="s">
        <v>12676</v>
      </c>
      <c r="E94" s="726" t="s">
        <v>12980</v>
      </c>
      <c r="F94" s="726"/>
      <c r="G94" s="726" t="s">
        <v>12981</v>
      </c>
      <c r="H94" s="52" t="s">
        <v>14</v>
      </c>
    </row>
    <row r="95" spans="1:8" ht="22.5">
      <c r="A95" s="727" t="s">
        <v>12982</v>
      </c>
      <c r="B95" s="727" t="s">
        <v>12691</v>
      </c>
      <c r="C95" s="728"/>
      <c r="D95" s="727" t="s">
        <v>12676</v>
      </c>
      <c r="E95" s="726" t="s">
        <v>12983</v>
      </c>
      <c r="F95" s="726"/>
      <c r="G95" s="726" t="s">
        <v>12984</v>
      </c>
      <c r="H95" s="52" t="s">
        <v>14</v>
      </c>
    </row>
    <row r="96" spans="1:8" ht="22.5">
      <c r="A96" s="727" t="s">
        <v>12985</v>
      </c>
      <c r="B96" s="727" t="s">
        <v>12691</v>
      </c>
      <c r="C96" s="728"/>
      <c r="D96" s="727" t="s">
        <v>12676</v>
      </c>
      <c r="E96" s="726" t="s">
        <v>12986</v>
      </c>
      <c r="F96" s="726"/>
      <c r="G96" s="726" t="s">
        <v>12987</v>
      </c>
      <c r="H96" s="52" t="s">
        <v>14</v>
      </c>
    </row>
    <row r="97" spans="1:8" ht="22.5">
      <c r="A97" s="727" t="s">
        <v>12988</v>
      </c>
      <c r="B97" s="727" t="s">
        <v>12691</v>
      </c>
      <c r="C97" s="728"/>
      <c r="D97" s="727" t="s">
        <v>12676</v>
      </c>
      <c r="E97" s="726" t="s">
        <v>12989</v>
      </c>
      <c r="F97" s="726"/>
      <c r="G97" s="726" t="s">
        <v>12990</v>
      </c>
      <c r="H97" s="52" t="s">
        <v>14</v>
      </c>
    </row>
    <row r="98" spans="1:8" ht="67.5">
      <c r="A98" s="727" t="s">
        <v>12991</v>
      </c>
      <c r="B98" s="727" t="s">
        <v>12691</v>
      </c>
      <c r="C98" s="728"/>
      <c r="D98" s="727" t="s">
        <v>12676</v>
      </c>
      <c r="E98" s="726" t="s">
        <v>12992</v>
      </c>
      <c r="F98" s="726"/>
      <c r="G98" s="726" t="s">
        <v>12993</v>
      </c>
      <c r="H98" s="52" t="s">
        <v>14</v>
      </c>
    </row>
    <row r="99" spans="1:8" ht="67.5">
      <c r="A99" s="727" t="s">
        <v>12994</v>
      </c>
      <c r="B99" s="727" t="s">
        <v>12691</v>
      </c>
      <c r="C99" s="728"/>
      <c r="D99" s="727" t="s">
        <v>12676</v>
      </c>
      <c r="E99" s="726" t="s">
        <v>12995</v>
      </c>
      <c r="F99" s="726"/>
      <c r="G99" s="726" t="s">
        <v>12996</v>
      </c>
      <c r="H99" s="52" t="s">
        <v>14</v>
      </c>
    </row>
    <row r="100" spans="1:8" ht="67.5">
      <c r="A100" s="727" t="s">
        <v>12997</v>
      </c>
      <c r="B100" s="727" t="s">
        <v>12691</v>
      </c>
      <c r="C100" s="728"/>
      <c r="D100" s="727" t="s">
        <v>12676</v>
      </c>
      <c r="E100" s="726" t="s">
        <v>12998</v>
      </c>
      <c r="F100" s="726"/>
      <c r="G100" s="726" t="s">
        <v>12999</v>
      </c>
      <c r="H100" s="52" t="s">
        <v>14</v>
      </c>
    </row>
    <row r="101" spans="1:8" ht="67.5">
      <c r="A101" s="727" t="s">
        <v>13000</v>
      </c>
      <c r="B101" s="727" t="s">
        <v>12691</v>
      </c>
      <c r="C101" s="728"/>
      <c r="D101" s="727" t="s">
        <v>12676</v>
      </c>
      <c r="E101" s="726" t="s">
        <v>13001</v>
      </c>
      <c r="F101" s="726"/>
      <c r="G101" s="726" t="s">
        <v>13002</v>
      </c>
      <c r="H101" s="52" t="s">
        <v>14</v>
      </c>
    </row>
    <row r="102" spans="1:8">
      <c r="A102" s="727" t="s">
        <v>13003</v>
      </c>
      <c r="B102" s="727"/>
      <c r="C102" s="728"/>
      <c r="D102" s="727"/>
      <c r="E102" s="726" t="s">
        <v>13004</v>
      </c>
      <c r="F102" s="726" t="s">
        <v>12791</v>
      </c>
      <c r="G102" s="726" t="s">
        <v>13005</v>
      </c>
      <c r="H102" s="52" t="s">
        <v>14</v>
      </c>
    </row>
    <row r="103" spans="1:8" ht="22.5">
      <c r="A103" s="727" t="s">
        <v>13006</v>
      </c>
      <c r="B103" s="727" t="s">
        <v>12691</v>
      </c>
      <c r="C103" s="728"/>
      <c r="D103" s="727" t="s">
        <v>12676</v>
      </c>
      <c r="E103" s="726" t="s">
        <v>13007</v>
      </c>
      <c r="F103" s="726" t="s">
        <v>13008</v>
      </c>
      <c r="G103" s="726" t="s">
        <v>13009</v>
      </c>
      <c r="H103" s="751" t="s">
        <v>12</v>
      </c>
    </row>
    <row r="104" spans="1:8" ht="22.5">
      <c r="A104" s="727" t="s">
        <v>13010</v>
      </c>
      <c r="B104" s="727" t="s">
        <v>12691</v>
      </c>
      <c r="C104" s="728"/>
      <c r="D104" s="727" t="s">
        <v>12676</v>
      </c>
      <c r="E104" s="726" t="s">
        <v>13011</v>
      </c>
      <c r="F104" s="726" t="s">
        <v>13008</v>
      </c>
      <c r="G104" s="726" t="s">
        <v>13012</v>
      </c>
      <c r="H104" s="751" t="s">
        <v>12</v>
      </c>
    </row>
    <row r="105" spans="1:8" ht="22.5">
      <c r="A105" s="727" t="s">
        <v>13013</v>
      </c>
      <c r="B105" s="727" t="s">
        <v>12691</v>
      </c>
      <c r="C105" s="728"/>
      <c r="D105" s="727" t="s">
        <v>12676</v>
      </c>
      <c r="E105" s="726" t="s">
        <v>13014</v>
      </c>
      <c r="F105" s="726" t="s">
        <v>13015</v>
      </c>
      <c r="G105" s="726" t="s">
        <v>13016</v>
      </c>
      <c r="H105" s="751" t="s">
        <v>12</v>
      </c>
    </row>
    <row r="106" spans="1:8" ht="22.5">
      <c r="A106" s="727" t="s">
        <v>12745</v>
      </c>
      <c r="B106" s="727" t="s">
        <v>12681</v>
      </c>
      <c r="C106" s="728">
        <v>10</v>
      </c>
      <c r="D106" s="727"/>
      <c r="E106" s="726" t="s">
        <v>13017</v>
      </c>
      <c r="F106" s="726"/>
      <c r="G106" s="726"/>
      <c r="H106" s="52" t="s">
        <v>14</v>
      </c>
    </row>
    <row r="107" spans="1:8" ht="22.5">
      <c r="A107" s="727" t="s">
        <v>12747</v>
      </c>
      <c r="B107" s="727" t="s">
        <v>12681</v>
      </c>
      <c r="C107" s="728">
        <v>9</v>
      </c>
      <c r="D107" s="727"/>
      <c r="E107" s="726" t="s">
        <v>13018</v>
      </c>
      <c r="F107" s="726"/>
      <c r="G107" s="726"/>
      <c r="H107" s="52" t="s">
        <v>14</v>
      </c>
    </row>
    <row r="108" spans="1:8" ht="90">
      <c r="A108" s="727" t="s">
        <v>12749</v>
      </c>
      <c r="B108" s="727" t="s">
        <v>12750</v>
      </c>
      <c r="C108" s="728"/>
      <c r="D108" s="727"/>
      <c r="E108" s="726" t="s">
        <v>13019</v>
      </c>
      <c r="F108" s="726"/>
      <c r="G108" s="726"/>
      <c r="H108" s="52" t="s">
        <v>14</v>
      </c>
    </row>
    <row r="109" spans="1:8" ht="22.5">
      <c r="A109" s="727" t="s">
        <v>12752</v>
      </c>
      <c r="B109" s="727" t="s">
        <v>12681</v>
      </c>
      <c r="C109" s="728">
        <v>9</v>
      </c>
      <c r="D109" s="727"/>
      <c r="E109" s="726" t="s">
        <v>13020</v>
      </c>
      <c r="F109" s="726"/>
      <c r="G109" s="726"/>
      <c r="H109" s="52" t="s">
        <v>14</v>
      </c>
    </row>
    <row r="110" spans="1:8" ht="67.5">
      <c r="A110" s="727" t="s">
        <v>13021</v>
      </c>
      <c r="B110" s="727" t="s">
        <v>12691</v>
      </c>
      <c r="C110" s="728"/>
      <c r="D110" s="727"/>
      <c r="E110" s="726" t="s">
        <v>13022</v>
      </c>
      <c r="F110" s="726" t="s">
        <v>13023</v>
      </c>
      <c r="G110" s="726"/>
      <c r="H110" s="52" t="s">
        <v>14</v>
      </c>
    </row>
  </sheetData>
  <conditionalFormatting sqref="H7:H110">
    <cfRule type="containsText" dxfId="41" priority="1" operator="containsText" text="Yes">
      <formula>NOT(ISERROR(SEARCH("Yes",H7)))</formula>
    </cfRule>
    <cfRule type="expression" dxfId="40" priority="2">
      <formula>"Yes"</formula>
    </cfRule>
  </conditionalFormatting>
  <dataValidations count="1">
    <dataValidation type="list" allowBlank="1" showInputMessage="1" showErrorMessage="1" sqref="H7:H110" xr:uid="{67EDA2E7-AC12-4015-AACD-C0124BEF0253}">
      <formula1>"No,Yes"</formula1>
    </dataValidation>
  </dataValidations>
  <pageMargins left="0.7" right="0.7" top="0.75" bottom="0.75" header="0.3" footer="0.3"/>
  <pageSetup paperSize="9"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4" tint="0.39997558519241921"/>
  </sheetPr>
  <dimension ref="A1:I344"/>
  <sheetViews>
    <sheetView topLeftCell="A19" workbookViewId="0">
      <pane xSplit="1" topLeftCell="B1" activePane="topRight" state="frozen"/>
      <selection pane="topRight" activeCell="J11" sqref="J11"/>
    </sheetView>
  </sheetViews>
  <sheetFormatPr defaultColWidth="9" defaultRowHeight="11.25"/>
  <cols>
    <col min="1" max="1" width="21" style="259" customWidth="1"/>
    <col min="2" max="2" width="8.5703125" style="259" bestFit="1" customWidth="1"/>
    <col min="3" max="3" width="7" style="259" customWidth="1"/>
    <col min="4" max="4" width="8.5703125" style="259" customWidth="1"/>
    <col min="5" max="5" width="23.5703125" style="259" customWidth="1"/>
    <col min="6" max="6" width="16.5703125" style="259" customWidth="1"/>
    <col min="7" max="7" width="58.85546875" style="259" bestFit="1" customWidth="1"/>
    <col min="8" max="8" width="25.85546875" style="261" bestFit="1" customWidth="1"/>
    <col min="9" max="9" width="9" style="30"/>
    <col min="10" max="16384" width="9" style="259"/>
  </cols>
  <sheetData>
    <row r="1" spans="1:9" ht="12.75">
      <c r="A1" s="262" t="s">
        <v>13024</v>
      </c>
      <c r="B1" s="545"/>
      <c r="G1" s="261"/>
      <c r="H1" s="30"/>
      <c r="I1" s="259"/>
    </row>
    <row r="2" spans="1:9">
      <c r="A2" s="262"/>
      <c r="B2" s="588"/>
      <c r="G2" s="261"/>
      <c r="H2" s="30"/>
      <c r="I2" s="259"/>
    </row>
    <row r="3" spans="1:9">
      <c r="A3" s="262"/>
      <c r="B3" s="588"/>
      <c r="G3" s="261"/>
      <c r="H3" s="30"/>
      <c r="I3" s="259"/>
    </row>
    <row r="4" spans="1:9">
      <c r="A4" s="262"/>
      <c r="B4" s="588"/>
      <c r="G4" s="261"/>
      <c r="H4" s="30"/>
      <c r="I4" s="259"/>
    </row>
    <row r="6" spans="1:9">
      <c r="A6" s="263" t="s">
        <v>12668</v>
      </c>
      <c r="B6" s="263" t="s">
        <v>12669</v>
      </c>
      <c r="C6" s="263" t="s">
        <v>12670</v>
      </c>
      <c r="D6" s="263" t="s">
        <v>12671</v>
      </c>
      <c r="E6" s="263" t="s">
        <v>20</v>
      </c>
      <c r="F6" s="263" t="s">
        <v>12672</v>
      </c>
      <c r="G6" s="263" t="s">
        <v>12673</v>
      </c>
      <c r="H6" s="26" t="s">
        <v>180</v>
      </c>
      <c r="I6" s="259"/>
    </row>
    <row r="7" spans="1:9">
      <c r="A7" s="727" t="s">
        <v>12680</v>
      </c>
      <c r="B7" s="727" t="s">
        <v>12691</v>
      </c>
      <c r="C7" s="728"/>
      <c r="D7" s="727" t="s">
        <v>12682</v>
      </c>
      <c r="E7" s="727" t="s">
        <v>12683</v>
      </c>
      <c r="F7" s="727" t="s">
        <v>12757</v>
      </c>
      <c r="G7" s="727"/>
      <c r="H7" s="733" t="s">
        <v>12</v>
      </c>
      <c r="I7" s="259"/>
    </row>
    <row r="8" spans="1:9">
      <c r="A8" s="727" t="s">
        <v>12755</v>
      </c>
      <c r="B8" s="727" t="s">
        <v>12681</v>
      </c>
      <c r="C8" s="728">
        <v>25</v>
      </c>
      <c r="D8" s="727" t="s">
        <v>12682</v>
      </c>
      <c r="E8" s="727" t="s">
        <v>12685</v>
      </c>
      <c r="F8" s="727" t="s">
        <v>12757</v>
      </c>
      <c r="G8" s="727"/>
      <c r="H8" s="733" t="s">
        <v>12</v>
      </c>
      <c r="I8" s="259"/>
    </row>
    <row r="9" spans="1:9">
      <c r="A9" s="727" t="s">
        <v>13025</v>
      </c>
      <c r="B9" s="727" t="s">
        <v>12869</v>
      </c>
      <c r="C9" s="728">
        <v>50</v>
      </c>
      <c r="D9" s="727" t="s">
        <v>12676</v>
      </c>
      <c r="E9" s="727" t="s">
        <v>12767</v>
      </c>
      <c r="F9" s="727" t="s">
        <v>12757</v>
      </c>
      <c r="G9" s="727"/>
      <c r="H9" s="733" t="s">
        <v>12</v>
      </c>
      <c r="I9" s="259"/>
    </row>
    <row r="10" spans="1:9">
      <c r="A10" s="727" t="s">
        <v>12863</v>
      </c>
      <c r="B10" s="727" t="s">
        <v>12869</v>
      </c>
      <c r="C10" s="728" t="s">
        <v>13026</v>
      </c>
      <c r="D10" s="727" t="s">
        <v>12676</v>
      </c>
      <c r="E10" s="726" t="s">
        <v>12864</v>
      </c>
      <c r="F10" s="726" t="s">
        <v>12757</v>
      </c>
      <c r="G10" s="726" t="s">
        <v>12679</v>
      </c>
      <c r="H10" s="733" t="s">
        <v>12</v>
      </c>
      <c r="I10" s="259"/>
    </row>
    <row r="11" spans="1:9" ht="409.5">
      <c r="A11" s="727" t="s">
        <v>13027</v>
      </c>
      <c r="B11" s="727" t="s">
        <v>12681</v>
      </c>
      <c r="C11" s="728">
        <v>30</v>
      </c>
      <c r="D11" s="727" t="s">
        <v>12676</v>
      </c>
      <c r="E11" s="726" t="s">
        <v>12870</v>
      </c>
      <c r="F11" s="726" t="s">
        <v>12757</v>
      </c>
      <c r="G11" s="726" t="s">
        <v>13028</v>
      </c>
      <c r="H11" s="733" t="s">
        <v>12</v>
      </c>
      <c r="I11" s="259"/>
    </row>
    <row r="12" spans="1:9" ht="101.25">
      <c r="A12" s="727" t="s">
        <v>12905</v>
      </c>
      <c r="B12" s="727" t="s">
        <v>12691</v>
      </c>
      <c r="C12" s="728"/>
      <c r="D12" s="727" t="s">
        <v>12676</v>
      </c>
      <c r="E12" s="726" t="s">
        <v>13029</v>
      </c>
      <c r="F12" s="726" t="s">
        <v>12757</v>
      </c>
      <c r="G12" s="726" t="s">
        <v>13030</v>
      </c>
      <c r="H12" s="733" t="s">
        <v>12</v>
      </c>
      <c r="I12" s="259"/>
    </row>
    <row r="13" spans="1:9" ht="146.25">
      <c r="A13" s="727" t="s">
        <v>12933</v>
      </c>
      <c r="B13" s="727" t="s">
        <v>12691</v>
      </c>
      <c r="C13" s="728"/>
      <c r="D13" s="727" t="s">
        <v>12676</v>
      </c>
      <c r="E13" s="726" t="s">
        <v>13031</v>
      </c>
      <c r="F13" s="726" t="s">
        <v>12757</v>
      </c>
      <c r="G13" s="726" t="s">
        <v>13032</v>
      </c>
      <c r="H13" s="733" t="s">
        <v>12</v>
      </c>
      <c r="I13" s="259"/>
    </row>
    <row r="14" spans="1:9" ht="348.75">
      <c r="A14" s="727" t="s">
        <v>13033</v>
      </c>
      <c r="B14" s="727" t="s">
        <v>12691</v>
      </c>
      <c r="C14" s="728"/>
      <c r="D14" s="727" t="s">
        <v>12676</v>
      </c>
      <c r="E14" s="726"/>
      <c r="F14" s="726" t="s">
        <v>12866</v>
      </c>
      <c r="G14" s="726" t="s">
        <v>12867</v>
      </c>
      <c r="H14" s="733" t="s">
        <v>12</v>
      </c>
      <c r="I14" s="259"/>
    </row>
    <row r="15" spans="1:9" ht="67.5">
      <c r="A15" s="727" t="s">
        <v>12842</v>
      </c>
      <c r="B15" s="727" t="s">
        <v>12691</v>
      </c>
      <c r="C15" s="728"/>
      <c r="D15" s="727" t="s">
        <v>12676</v>
      </c>
      <c r="E15" s="726" t="s">
        <v>13034</v>
      </c>
      <c r="F15" s="726"/>
      <c r="G15" s="726" t="s">
        <v>13035</v>
      </c>
      <c r="H15" s="733" t="s">
        <v>14</v>
      </c>
      <c r="I15" s="259"/>
    </row>
    <row r="16" spans="1:9" ht="67.5">
      <c r="A16" s="727" t="s">
        <v>13036</v>
      </c>
      <c r="B16" s="727" t="s">
        <v>12691</v>
      </c>
      <c r="C16" s="728"/>
      <c r="D16" s="727" t="s">
        <v>12676</v>
      </c>
      <c r="E16" s="726" t="s">
        <v>13037</v>
      </c>
      <c r="F16" s="726"/>
      <c r="G16" s="726" t="s">
        <v>13038</v>
      </c>
      <c r="H16" s="733" t="s">
        <v>14</v>
      </c>
      <c r="I16" s="259"/>
    </row>
    <row r="17" spans="1:9" ht="202.5">
      <c r="A17" s="727" t="s">
        <v>13039</v>
      </c>
      <c r="B17" s="727" t="s">
        <v>12681</v>
      </c>
      <c r="C17" s="728">
        <v>30</v>
      </c>
      <c r="D17" s="727" t="s">
        <v>12676</v>
      </c>
      <c r="E17" s="726" t="s">
        <v>13040</v>
      </c>
      <c r="F17" s="726"/>
      <c r="G17" s="726" t="s">
        <v>13041</v>
      </c>
      <c r="H17" s="733" t="s">
        <v>12</v>
      </c>
      <c r="I17" s="259"/>
    </row>
    <row r="18" spans="1:9" ht="409.5">
      <c r="A18" s="727" t="s">
        <v>13042</v>
      </c>
      <c r="B18" s="727" t="s">
        <v>12681</v>
      </c>
      <c r="C18" s="728">
        <v>30</v>
      </c>
      <c r="D18" s="727" t="s">
        <v>12676</v>
      </c>
      <c r="E18" s="726" t="s">
        <v>13043</v>
      </c>
      <c r="F18" s="726"/>
      <c r="G18" s="726" t="s">
        <v>13044</v>
      </c>
      <c r="H18" s="733" t="s">
        <v>12</v>
      </c>
      <c r="I18" s="259"/>
    </row>
    <row r="19" spans="1:9" ht="67.5">
      <c r="A19" s="727" t="s">
        <v>13045</v>
      </c>
      <c r="B19" s="727" t="s">
        <v>12691</v>
      </c>
      <c r="C19" s="728"/>
      <c r="D19" s="727" t="s">
        <v>12676</v>
      </c>
      <c r="E19" s="726" t="s">
        <v>13046</v>
      </c>
      <c r="F19" s="726"/>
      <c r="G19" s="726" t="s">
        <v>13047</v>
      </c>
      <c r="H19" s="733" t="s">
        <v>12</v>
      </c>
      <c r="I19" s="259"/>
    </row>
    <row r="20" spans="1:9" ht="56.25">
      <c r="A20" s="727" t="s">
        <v>13048</v>
      </c>
      <c r="B20" s="727" t="s">
        <v>12691</v>
      </c>
      <c r="C20" s="728"/>
      <c r="D20" s="727" t="s">
        <v>12676</v>
      </c>
      <c r="E20" s="726" t="s">
        <v>13049</v>
      </c>
      <c r="F20" s="726"/>
      <c r="G20" s="726" t="s">
        <v>13050</v>
      </c>
      <c r="H20" s="733" t="s">
        <v>12</v>
      </c>
      <c r="I20" s="259"/>
    </row>
    <row r="21" spans="1:9" ht="22.5">
      <c r="A21" s="727" t="s">
        <v>13051</v>
      </c>
      <c r="B21" s="727" t="s">
        <v>12843</v>
      </c>
      <c r="C21" s="728"/>
      <c r="D21" s="727" t="s">
        <v>12676</v>
      </c>
      <c r="E21" s="726" t="s">
        <v>13052</v>
      </c>
      <c r="F21" s="726"/>
      <c r="G21" s="726"/>
      <c r="H21" s="733" t="s">
        <v>12</v>
      </c>
      <c r="I21" s="259"/>
    </row>
    <row r="22" spans="1:9" ht="22.5">
      <c r="A22" s="727" t="s">
        <v>13053</v>
      </c>
      <c r="B22" s="727" t="s">
        <v>12843</v>
      </c>
      <c r="C22" s="728"/>
      <c r="D22" s="727" t="s">
        <v>12676</v>
      </c>
      <c r="E22" s="726" t="s">
        <v>13054</v>
      </c>
      <c r="F22" s="726"/>
      <c r="G22" s="726"/>
      <c r="H22" s="733" t="s">
        <v>12</v>
      </c>
      <c r="I22" s="259"/>
    </row>
    <row r="23" spans="1:9" ht="45">
      <c r="A23" s="727" t="s">
        <v>13055</v>
      </c>
      <c r="B23" s="727" t="s">
        <v>12869</v>
      </c>
      <c r="C23" s="728">
        <v>50</v>
      </c>
      <c r="D23" s="727" t="s">
        <v>12676</v>
      </c>
      <c r="E23" s="726" t="s">
        <v>13056</v>
      </c>
      <c r="F23" s="726"/>
      <c r="G23" s="726" t="s">
        <v>13057</v>
      </c>
      <c r="H23" s="733" t="s">
        <v>14</v>
      </c>
      <c r="I23" s="259"/>
    </row>
    <row r="24" spans="1:9" ht="67.5">
      <c r="A24" s="727" t="s">
        <v>13058</v>
      </c>
      <c r="B24" s="727" t="s">
        <v>12681</v>
      </c>
      <c r="C24" s="728">
        <v>50</v>
      </c>
      <c r="D24" s="727" t="s">
        <v>12676</v>
      </c>
      <c r="E24" s="726" t="s">
        <v>13059</v>
      </c>
      <c r="F24" s="726"/>
      <c r="G24" s="726" t="s">
        <v>13060</v>
      </c>
      <c r="H24" s="733" t="s">
        <v>14</v>
      </c>
      <c r="I24" s="259"/>
    </row>
    <row r="25" spans="1:9" ht="90">
      <c r="A25" s="727" t="s">
        <v>13061</v>
      </c>
      <c r="B25" s="727" t="s">
        <v>12869</v>
      </c>
      <c r="C25" s="728">
        <v>50</v>
      </c>
      <c r="D25" s="727" t="s">
        <v>12676</v>
      </c>
      <c r="E25" s="726" t="s">
        <v>13062</v>
      </c>
      <c r="F25" s="726"/>
      <c r="G25" s="726"/>
      <c r="H25" s="733" t="s">
        <v>14</v>
      </c>
      <c r="I25" s="259"/>
    </row>
    <row r="26" spans="1:9">
      <c r="I26" s="259"/>
    </row>
    <row r="27" spans="1:9">
      <c r="I27" s="259"/>
    </row>
    <row r="28" spans="1:9">
      <c r="I28" s="259"/>
    </row>
    <row r="29" spans="1:9">
      <c r="I29" s="259"/>
    </row>
    <row r="30" spans="1:9">
      <c r="I30" s="259"/>
    </row>
    <row r="31" spans="1:9">
      <c r="I31" s="259"/>
    </row>
    <row r="32" spans="1:9">
      <c r="I32" s="259"/>
    </row>
    <row r="33" spans="9:9">
      <c r="I33" s="259"/>
    </row>
    <row r="34" spans="9:9">
      <c r="I34" s="259"/>
    </row>
    <row r="35" spans="9:9">
      <c r="I35" s="259"/>
    </row>
    <row r="36" spans="9:9">
      <c r="I36" s="259"/>
    </row>
    <row r="37" spans="9:9">
      <c r="I37" s="259"/>
    </row>
    <row r="38" spans="9:9">
      <c r="I38" s="259"/>
    </row>
    <row r="39" spans="9:9">
      <c r="I39" s="259"/>
    </row>
    <row r="40" spans="9:9">
      <c r="I40" s="259"/>
    </row>
    <row r="41" spans="9:9">
      <c r="I41" s="259"/>
    </row>
    <row r="42" spans="9:9">
      <c r="I42" s="259"/>
    </row>
    <row r="43" spans="9:9">
      <c r="I43" s="259"/>
    </row>
    <row r="44" spans="9:9">
      <c r="I44" s="259"/>
    </row>
    <row r="45" spans="9:9">
      <c r="I45" s="259"/>
    </row>
    <row r="46" spans="9:9">
      <c r="I46" s="259"/>
    </row>
    <row r="47" spans="9:9">
      <c r="I47" s="259"/>
    </row>
    <row r="48" spans="9:9">
      <c r="I48" s="259"/>
    </row>
    <row r="49" spans="9:9">
      <c r="I49" s="259"/>
    </row>
    <row r="50" spans="9:9">
      <c r="I50" s="259"/>
    </row>
    <row r="51" spans="9:9">
      <c r="I51" s="259"/>
    </row>
    <row r="52" spans="9:9">
      <c r="I52" s="259"/>
    </row>
    <row r="53" spans="9:9">
      <c r="I53" s="259"/>
    </row>
    <row r="54" spans="9:9">
      <c r="I54" s="259"/>
    </row>
    <row r="55" spans="9:9">
      <c r="I55" s="259"/>
    </row>
    <row r="56" spans="9:9">
      <c r="I56" s="259"/>
    </row>
    <row r="57" spans="9:9">
      <c r="I57" s="259"/>
    </row>
    <row r="58" spans="9:9">
      <c r="I58" s="259"/>
    </row>
    <row r="59" spans="9:9">
      <c r="I59" s="259"/>
    </row>
    <row r="60" spans="9:9">
      <c r="I60" s="259"/>
    </row>
    <row r="61" spans="9:9">
      <c r="I61" s="259"/>
    </row>
    <row r="62" spans="9:9">
      <c r="I62" s="259"/>
    </row>
    <row r="63" spans="9:9">
      <c r="I63" s="259"/>
    </row>
    <row r="64" spans="9:9">
      <c r="I64" s="259"/>
    </row>
    <row r="65" spans="9:9">
      <c r="I65" s="259"/>
    </row>
    <row r="66" spans="9:9">
      <c r="I66" s="259"/>
    </row>
    <row r="67" spans="9:9">
      <c r="I67" s="259"/>
    </row>
    <row r="68" spans="9:9">
      <c r="I68" s="259"/>
    </row>
    <row r="69" spans="9:9">
      <c r="I69" s="259"/>
    </row>
    <row r="70" spans="9:9">
      <c r="I70" s="259"/>
    </row>
    <row r="71" spans="9:9">
      <c r="I71" s="259"/>
    </row>
    <row r="72" spans="9:9">
      <c r="I72" s="259"/>
    </row>
    <row r="73" spans="9:9">
      <c r="I73" s="259"/>
    </row>
    <row r="74" spans="9:9">
      <c r="I74" s="259"/>
    </row>
    <row r="75" spans="9:9">
      <c r="I75" s="259"/>
    </row>
    <row r="76" spans="9:9">
      <c r="I76" s="259"/>
    </row>
    <row r="77" spans="9:9">
      <c r="I77" s="259"/>
    </row>
    <row r="78" spans="9:9">
      <c r="I78" s="259"/>
    </row>
    <row r="79" spans="9:9">
      <c r="I79" s="259"/>
    </row>
    <row r="80" spans="9:9">
      <c r="I80" s="259"/>
    </row>
    <row r="81" spans="9:9">
      <c r="I81" s="259"/>
    </row>
    <row r="82" spans="9:9">
      <c r="I82" s="259"/>
    </row>
    <row r="83" spans="9:9">
      <c r="I83" s="259"/>
    </row>
    <row r="84" spans="9:9">
      <c r="I84" s="259"/>
    </row>
    <row r="85" spans="9:9">
      <c r="I85" s="259"/>
    </row>
    <row r="86" spans="9:9">
      <c r="I86" s="259"/>
    </row>
    <row r="87" spans="9:9">
      <c r="I87" s="259"/>
    </row>
    <row r="88" spans="9:9">
      <c r="I88" s="259"/>
    </row>
    <row r="89" spans="9:9">
      <c r="I89" s="259"/>
    </row>
    <row r="90" spans="9:9">
      <c r="I90" s="259"/>
    </row>
    <row r="91" spans="9:9">
      <c r="I91" s="259"/>
    </row>
    <row r="92" spans="9:9">
      <c r="I92" s="259"/>
    </row>
    <row r="93" spans="9:9">
      <c r="I93" s="259"/>
    </row>
    <row r="94" spans="9:9">
      <c r="I94" s="259"/>
    </row>
    <row r="95" spans="9:9">
      <c r="I95" s="259"/>
    </row>
    <row r="96" spans="9:9">
      <c r="I96" s="259"/>
    </row>
    <row r="97" spans="9:9">
      <c r="I97" s="259"/>
    </row>
    <row r="98" spans="9:9">
      <c r="I98" s="259"/>
    </row>
    <row r="99" spans="9:9">
      <c r="I99" s="259"/>
    </row>
    <row r="100" spans="9:9">
      <c r="I100" s="259"/>
    </row>
    <row r="101" spans="9:9">
      <c r="I101" s="259"/>
    </row>
    <row r="102" spans="9:9">
      <c r="I102" s="259"/>
    </row>
    <row r="103" spans="9:9">
      <c r="I103" s="259"/>
    </row>
    <row r="104" spans="9:9">
      <c r="I104" s="259"/>
    </row>
    <row r="105" spans="9:9">
      <c r="I105" s="259"/>
    </row>
    <row r="106" spans="9:9">
      <c r="I106" s="259"/>
    </row>
    <row r="107" spans="9:9">
      <c r="I107" s="259"/>
    </row>
    <row r="108" spans="9:9">
      <c r="I108" s="259"/>
    </row>
    <row r="109" spans="9:9">
      <c r="I109" s="259"/>
    </row>
    <row r="110" spans="9:9">
      <c r="I110" s="259"/>
    </row>
    <row r="111" spans="9:9">
      <c r="I111" s="259"/>
    </row>
    <row r="112" spans="9:9">
      <c r="I112" s="259"/>
    </row>
    <row r="113" spans="9:9">
      <c r="I113" s="259"/>
    </row>
    <row r="114" spans="9:9">
      <c r="I114" s="259"/>
    </row>
    <row r="115" spans="9:9">
      <c r="I115" s="259"/>
    </row>
    <row r="116" spans="9:9">
      <c r="I116" s="259"/>
    </row>
    <row r="117" spans="9:9">
      <c r="I117" s="259"/>
    </row>
    <row r="118" spans="9:9">
      <c r="I118" s="259"/>
    </row>
    <row r="119" spans="9:9">
      <c r="I119" s="259"/>
    </row>
    <row r="120" spans="9:9">
      <c r="I120" s="259"/>
    </row>
    <row r="121" spans="9:9">
      <c r="I121" s="259"/>
    </row>
    <row r="122" spans="9:9">
      <c r="I122" s="259"/>
    </row>
    <row r="123" spans="9:9">
      <c r="I123" s="259"/>
    </row>
    <row r="124" spans="9:9">
      <c r="I124" s="259"/>
    </row>
    <row r="125" spans="9:9">
      <c r="I125" s="259"/>
    </row>
    <row r="126" spans="9:9">
      <c r="I126" s="259"/>
    </row>
    <row r="127" spans="9:9">
      <c r="I127" s="259"/>
    </row>
    <row r="128" spans="9:9">
      <c r="I128" s="259"/>
    </row>
    <row r="129" spans="9:9">
      <c r="I129" s="259"/>
    </row>
    <row r="130" spans="9:9">
      <c r="I130" s="259"/>
    </row>
    <row r="131" spans="9:9">
      <c r="I131" s="259"/>
    </row>
    <row r="132" spans="9:9">
      <c r="I132" s="259"/>
    </row>
    <row r="133" spans="9:9">
      <c r="I133" s="259"/>
    </row>
    <row r="134" spans="9:9">
      <c r="I134" s="259"/>
    </row>
    <row r="135" spans="9:9">
      <c r="I135" s="259"/>
    </row>
    <row r="136" spans="9:9">
      <c r="I136" s="259"/>
    </row>
    <row r="137" spans="9:9">
      <c r="I137" s="259"/>
    </row>
    <row r="138" spans="9:9">
      <c r="I138" s="259"/>
    </row>
    <row r="139" spans="9:9">
      <c r="I139" s="259"/>
    </row>
    <row r="140" spans="9:9">
      <c r="I140" s="259"/>
    </row>
    <row r="141" spans="9:9">
      <c r="I141" s="259"/>
    </row>
    <row r="142" spans="9:9">
      <c r="I142" s="259"/>
    </row>
    <row r="143" spans="9:9">
      <c r="I143" s="259"/>
    </row>
    <row r="144" spans="9:9">
      <c r="I144" s="259"/>
    </row>
    <row r="145" spans="9:9">
      <c r="I145" s="259"/>
    </row>
    <row r="146" spans="9:9">
      <c r="I146" s="259"/>
    </row>
    <row r="147" spans="9:9">
      <c r="I147" s="259"/>
    </row>
    <row r="148" spans="9:9">
      <c r="I148" s="259"/>
    </row>
    <row r="149" spans="9:9">
      <c r="I149" s="259"/>
    </row>
    <row r="150" spans="9:9">
      <c r="I150" s="259"/>
    </row>
    <row r="151" spans="9:9">
      <c r="I151" s="259"/>
    </row>
    <row r="152" spans="9:9">
      <c r="I152" s="259"/>
    </row>
    <row r="153" spans="9:9">
      <c r="I153" s="259"/>
    </row>
    <row r="154" spans="9:9">
      <c r="I154" s="259"/>
    </row>
    <row r="155" spans="9:9">
      <c r="I155" s="259"/>
    </row>
    <row r="156" spans="9:9">
      <c r="I156" s="259"/>
    </row>
    <row r="157" spans="9:9">
      <c r="I157" s="259"/>
    </row>
    <row r="158" spans="9:9">
      <c r="I158" s="259"/>
    </row>
    <row r="159" spans="9:9">
      <c r="I159" s="259"/>
    </row>
    <row r="160" spans="9:9">
      <c r="I160" s="259"/>
    </row>
    <row r="161" spans="9:9">
      <c r="I161" s="259"/>
    </row>
    <row r="162" spans="9:9">
      <c r="I162" s="259"/>
    </row>
    <row r="163" spans="9:9">
      <c r="I163" s="259"/>
    </row>
    <row r="164" spans="9:9">
      <c r="I164" s="259"/>
    </row>
    <row r="165" spans="9:9">
      <c r="I165" s="259"/>
    </row>
    <row r="166" spans="9:9">
      <c r="I166" s="259"/>
    </row>
    <row r="167" spans="9:9">
      <c r="I167" s="259"/>
    </row>
    <row r="168" spans="9:9">
      <c r="I168" s="259"/>
    </row>
    <row r="169" spans="9:9">
      <c r="I169" s="259"/>
    </row>
    <row r="170" spans="9:9">
      <c r="I170" s="259"/>
    </row>
    <row r="171" spans="9:9">
      <c r="I171" s="259"/>
    </row>
    <row r="172" spans="9:9">
      <c r="I172" s="259"/>
    </row>
    <row r="173" spans="9:9">
      <c r="I173" s="259"/>
    </row>
    <row r="174" spans="9:9">
      <c r="I174" s="259"/>
    </row>
    <row r="175" spans="9:9">
      <c r="I175" s="259"/>
    </row>
    <row r="176" spans="9:9">
      <c r="I176" s="259"/>
    </row>
    <row r="177" spans="9:9">
      <c r="I177" s="259"/>
    </row>
    <row r="178" spans="9:9">
      <c r="I178" s="259"/>
    </row>
    <row r="179" spans="9:9">
      <c r="I179" s="259"/>
    </row>
    <row r="180" spans="9:9">
      <c r="I180" s="259"/>
    </row>
    <row r="181" spans="9:9">
      <c r="I181" s="259"/>
    </row>
    <row r="182" spans="9:9">
      <c r="I182" s="259"/>
    </row>
    <row r="183" spans="9:9">
      <c r="I183" s="259"/>
    </row>
    <row r="184" spans="9:9">
      <c r="I184" s="259"/>
    </row>
    <row r="185" spans="9:9">
      <c r="I185" s="259"/>
    </row>
    <row r="186" spans="9:9">
      <c r="I186" s="259"/>
    </row>
    <row r="187" spans="9:9">
      <c r="I187" s="259"/>
    </row>
    <row r="188" spans="9:9">
      <c r="I188" s="259"/>
    </row>
    <row r="189" spans="9:9">
      <c r="I189" s="259"/>
    </row>
    <row r="190" spans="9:9">
      <c r="I190" s="259"/>
    </row>
    <row r="191" spans="9:9">
      <c r="I191" s="259"/>
    </row>
    <row r="192" spans="9:9">
      <c r="I192" s="259"/>
    </row>
    <row r="193" spans="9:9">
      <c r="I193" s="259"/>
    </row>
    <row r="194" spans="9:9">
      <c r="I194" s="259"/>
    </row>
    <row r="195" spans="9:9">
      <c r="I195" s="259"/>
    </row>
    <row r="196" spans="9:9">
      <c r="I196" s="259"/>
    </row>
    <row r="197" spans="9:9">
      <c r="I197" s="259"/>
    </row>
    <row r="198" spans="9:9">
      <c r="I198" s="259"/>
    </row>
    <row r="199" spans="9:9">
      <c r="I199" s="259"/>
    </row>
    <row r="200" spans="9:9">
      <c r="I200" s="259"/>
    </row>
    <row r="201" spans="9:9">
      <c r="I201" s="259"/>
    </row>
    <row r="202" spans="9:9">
      <c r="I202" s="259"/>
    </row>
    <row r="203" spans="9:9">
      <c r="I203" s="259"/>
    </row>
    <row r="204" spans="9:9">
      <c r="I204" s="259"/>
    </row>
    <row r="205" spans="9:9">
      <c r="I205" s="259"/>
    </row>
    <row r="206" spans="9:9">
      <c r="I206" s="259"/>
    </row>
    <row r="207" spans="9:9">
      <c r="I207" s="259"/>
    </row>
    <row r="208" spans="9:9">
      <c r="I208" s="259"/>
    </row>
    <row r="209" spans="9:9">
      <c r="I209" s="259"/>
    </row>
    <row r="210" spans="9:9">
      <c r="I210" s="259"/>
    </row>
    <row r="211" spans="9:9">
      <c r="I211" s="259"/>
    </row>
    <row r="212" spans="9:9">
      <c r="I212" s="259"/>
    </row>
    <row r="213" spans="9:9">
      <c r="I213" s="259"/>
    </row>
    <row r="214" spans="9:9">
      <c r="I214" s="259"/>
    </row>
    <row r="215" spans="9:9">
      <c r="I215" s="259"/>
    </row>
    <row r="216" spans="9:9">
      <c r="I216" s="259"/>
    </row>
    <row r="217" spans="9:9">
      <c r="I217" s="259"/>
    </row>
    <row r="218" spans="9:9">
      <c r="I218" s="259"/>
    </row>
    <row r="219" spans="9:9">
      <c r="I219" s="259"/>
    </row>
    <row r="220" spans="9:9">
      <c r="I220" s="259"/>
    </row>
    <row r="221" spans="9:9">
      <c r="I221" s="259"/>
    </row>
    <row r="222" spans="9:9">
      <c r="I222" s="259"/>
    </row>
    <row r="223" spans="9:9">
      <c r="I223" s="259"/>
    </row>
    <row r="224" spans="9:9">
      <c r="I224" s="259"/>
    </row>
    <row r="225" spans="9:9">
      <c r="I225" s="259"/>
    </row>
    <row r="226" spans="9:9">
      <c r="I226" s="259"/>
    </row>
    <row r="227" spans="9:9">
      <c r="I227" s="259"/>
    </row>
    <row r="228" spans="9:9">
      <c r="I228" s="259"/>
    </row>
    <row r="229" spans="9:9">
      <c r="I229" s="259"/>
    </row>
    <row r="230" spans="9:9">
      <c r="I230" s="259"/>
    </row>
    <row r="231" spans="9:9">
      <c r="I231" s="259"/>
    </row>
    <row r="232" spans="9:9">
      <c r="I232" s="259"/>
    </row>
    <row r="233" spans="9:9">
      <c r="I233" s="259"/>
    </row>
    <row r="234" spans="9:9">
      <c r="I234" s="259"/>
    </row>
    <row r="235" spans="9:9">
      <c r="I235" s="259"/>
    </row>
    <row r="236" spans="9:9">
      <c r="I236" s="259"/>
    </row>
    <row r="237" spans="9:9">
      <c r="I237" s="259"/>
    </row>
    <row r="238" spans="9:9">
      <c r="I238" s="259"/>
    </row>
    <row r="239" spans="9:9">
      <c r="I239" s="259"/>
    </row>
    <row r="240" spans="9:9">
      <c r="I240" s="259"/>
    </row>
    <row r="241" spans="9:9">
      <c r="I241" s="259"/>
    </row>
    <row r="242" spans="9:9">
      <c r="I242" s="259"/>
    </row>
    <row r="243" spans="9:9">
      <c r="I243" s="259"/>
    </row>
    <row r="244" spans="9:9">
      <c r="I244" s="259"/>
    </row>
    <row r="245" spans="9:9">
      <c r="I245" s="259"/>
    </row>
    <row r="246" spans="9:9">
      <c r="I246" s="259"/>
    </row>
    <row r="247" spans="9:9">
      <c r="I247" s="259"/>
    </row>
    <row r="248" spans="9:9">
      <c r="I248" s="259"/>
    </row>
    <row r="249" spans="9:9">
      <c r="I249" s="259"/>
    </row>
    <row r="250" spans="9:9">
      <c r="I250" s="259"/>
    </row>
    <row r="251" spans="9:9">
      <c r="I251" s="259"/>
    </row>
    <row r="252" spans="9:9">
      <c r="I252" s="259"/>
    </row>
    <row r="253" spans="9:9">
      <c r="I253" s="259"/>
    </row>
    <row r="254" spans="9:9">
      <c r="I254" s="259"/>
    </row>
    <row r="255" spans="9:9">
      <c r="I255" s="259"/>
    </row>
    <row r="256" spans="9:9">
      <c r="I256" s="259"/>
    </row>
    <row r="257" spans="9:9">
      <c r="I257" s="259"/>
    </row>
    <row r="258" spans="9:9">
      <c r="I258" s="259"/>
    </row>
    <row r="259" spans="9:9">
      <c r="I259" s="259"/>
    </row>
    <row r="260" spans="9:9">
      <c r="I260" s="259"/>
    </row>
    <row r="261" spans="9:9">
      <c r="I261" s="259"/>
    </row>
    <row r="262" spans="9:9">
      <c r="I262" s="259"/>
    </row>
    <row r="263" spans="9:9">
      <c r="I263" s="259"/>
    </row>
    <row r="264" spans="9:9">
      <c r="I264" s="259"/>
    </row>
    <row r="265" spans="9:9">
      <c r="I265" s="259"/>
    </row>
    <row r="266" spans="9:9">
      <c r="I266" s="259"/>
    </row>
    <row r="267" spans="9:9">
      <c r="I267" s="259"/>
    </row>
    <row r="268" spans="9:9">
      <c r="I268" s="259"/>
    </row>
    <row r="269" spans="9:9">
      <c r="I269" s="259"/>
    </row>
    <row r="270" spans="9:9">
      <c r="I270" s="259"/>
    </row>
    <row r="271" spans="9:9">
      <c r="I271" s="259"/>
    </row>
    <row r="272" spans="9:9">
      <c r="I272" s="259"/>
    </row>
    <row r="273" spans="9:9">
      <c r="I273" s="259"/>
    </row>
    <row r="274" spans="9:9">
      <c r="I274" s="259"/>
    </row>
    <row r="275" spans="9:9">
      <c r="I275" s="259"/>
    </row>
    <row r="276" spans="9:9">
      <c r="I276" s="259"/>
    </row>
    <row r="277" spans="9:9">
      <c r="I277" s="259"/>
    </row>
    <row r="278" spans="9:9">
      <c r="I278" s="259"/>
    </row>
    <row r="279" spans="9:9">
      <c r="I279" s="259"/>
    </row>
    <row r="280" spans="9:9">
      <c r="I280" s="259"/>
    </row>
    <row r="281" spans="9:9">
      <c r="I281" s="259"/>
    </row>
    <row r="282" spans="9:9">
      <c r="I282" s="259"/>
    </row>
    <row r="283" spans="9:9">
      <c r="I283" s="259"/>
    </row>
    <row r="284" spans="9:9">
      <c r="I284" s="259"/>
    </row>
    <row r="285" spans="9:9">
      <c r="I285" s="259"/>
    </row>
    <row r="286" spans="9:9">
      <c r="I286" s="259"/>
    </row>
    <row r="287" spans="9:9">
      <c r="I287" s="259"/>
    </row>
    <row r="288" spans="9:9">
      <c r="I288" s="259"/>
    </row>
    <row r="289" spans="9:9">
      <c r="I289" s="259"/>
    </row>
    <row r="290" spans="9:9">
      <c r="I290" s="259"/>
    </row>
    <row r="291" spans="9:9">
      <c r="I291" s="259"/>
    </row>
    <row r="292" spans="9:9">
      <c r="I292" s="259"/>
    </row>
    <row r="293" spans="9:9">
      <c r="I293" s="259"/>
    </row>
    <row r="294" spans="9:9">
      <c r="I294" s="259"/>
    </row>
    <row r="295" spans="9:9">
      <c r="I295" s="259"/>
    </row>
    <row r="296" spans="9:9">
      <c r="I296" s="259"/>
    </row>
    <row r="297" spans="9:9">
      <c r="I297" s="259"/>
    </row>
    <row r="298" spans="9:9">
      <c r="I298" s="259"/>
    </row>
    <row r="299" spans="9:9">
      <c r="I299" s="259"/>
    </row>
    <row r="300" spans="9:9">
      <c r="I300" s="259"/>
    </row>
    <row r="301" spans="9:9">
      <c r="I301" s="259"/>
    </row>
    <row r="302" spans="9:9">
      <c r="I302" s="259"/>
    </row>
    <row r="303" spans="9:9">
      <c r="I303" s="259"/>
    </row>
    <row r="304" spans="9:9">
      <c r="I304" s="259"/>
    </row>
    <row r="305" spans="9:9">
      <c r="I305" s="259"/>
    </row>
    <row r="306" spans="9:9">
      <c r="I306" s="259"/>
    </row>
    <row r="307" spans="9:9">
      <c r="I307" s="259"/>
    </row>
    <row r="308" spans="9:9">
      <c r="I308" s="259"/>
    </row>
    <row r="309" spans="9:9">
      <c r="I309" s="259"/>
    </row>
    <row r="310" spans="9:9">
      <c r="I310" s="259"/>
    </row>
    <row r="311" spans="9:9">
      <c r="I311" s="259"/>
    </row>
    <row r="312" spans="9:9">
      <c r="I312" s="259"/>
    </row>
    <row r="313" spans="9:9">
      <c r="I313" s="259"/>
    </row>
    <row r="314" spans="9:9">
      <c r="I314" s="259"/>
    </row>
    <row r="315" spans="9:9">
      <c r="I315" s="259"/>
    </row>
    <row r="316" spans="9:9">
      <c r="I316" s="259"/>
    </row>
    <row r="317" spans="9:9">
      <c r="I317" s="259"/>
    </row>
    <row r="318" spans="9:9">
      <c r="I318" s="259"/>
    </row>
    <row r="319" spans="9:9">
      <c r="I319" s="259"/>
    </row>
    <row r="320" spans="9:9">
      <c r="I320" s="259"/>
    </row>
    <row r="321" spans="9:9">
      <c r="I321" s="259"/>
    </row>
    <row r="322" spans="9:9">
      <c r="I322" s="259"/>
    </row>
    <row r="323" spans="9:9">
      <c r="I323" s="259"/>
    </row>
    <row r="324" spans="9:9">
      <c r="I324" s="259"/>
    </row>
    <row r="325" spans="9:9">
      <c r="I325" s="259"/>
    </row>
    <row r="326" spans="9:9">
      <c r="I326" s="259"/>
    </row>
    <row r="327" spans="9:9">
      <c r="I327" s="259"/>
    </row>
    <row r="328" spans="9:9">
      <c r="I328" s="259"/>
    </row>
    <row r="329" spans="9:9">
      <c r="I329" s="259"/>
    </row>
    <row r="330" spans="9:9">
      <c r="I330" s="259"/>
    </row>
    <row r="331" spans="9:9">
      <c r="I331" s="259"/>
    </row>
    <row r="332" spans="9:9">
      <c r="I332" s="259"/>
    </row>
    <row r="333" spans="9:9">
      <c r="I333" s="259"/>
    </row>
    <row r="334" spans="9:9">
      <c r="I334" s="259"/>
    </row>
    <row r="335" spans="9:9">
      <c r="I335" s="259"/>
    </row>
    <row r="336" spans="9:9">
      <c r="I336" s="259"/>
    </row>
    <row r="337" spans="9:9">
      <c r="I337" s="259"/>
    </row>
    <row r="338" spans="9:9">
      <c r="I338" s="259"/>
    </row>
    <row r="339" spans="9:9">
      <c r="I339" s="259"/>
    </row>
    <row r="340" spans="9:9">
      <c r="I340" s="259"/>
    </row>
    <row r="341" spans="9:9">
      <c r="I341" s="259"/>
    </row>
    <row r="342" spans="9:9">
      <c r="I342" s="259"/>
    </row>
    <row r="343" spans="9:9">
      <c r="I343" s="259"/>
    </row>
    <row r="344" spans="9:9">
      <c r="I344" s="259"/>
    </row>
  </sheetData>
  <conditionalFormatting sqref="H7:H25">
    <cfRule type="containsText" dxfId="25" priority="2" operator="containsText" text="Yes">
      <formula>NOT(ISERROR(SEARCH("Yes",H7)))</formula>
    </cfRule>
    <cfRule type="expression" dxfId="24" priority="3">
      <formula>"Yes"</formula>
    </cfRule>
  </conditionalFormatting>
  <dataValidations count="1">
    <dataValidation type="list" allowBlank="1" showInputMessage="1" showErrorMessage="1" sqref="H7:H25" xr:uid="{00000000-0002-0000-1900-000000000000}">
      <formula1>"No,Yes"</formula1>
    </dataValidation>
  </dataValidations>
  <pageMargins left="0.7" right="0.7" top="0.75" bottom="0.75" header="0.3" footer="0.3"/>
  <pageSetup paperSize="9" orientation="portrait"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7" tint="0.39997558519241921"/>
  </sheetPr>
  <dimension ref="A1:J185"/>
  <sheetViews>
    <sheetView topLeftCell="D1" zoomScale="80" zoomScaleNormal="80" workbookViewId="0">
      <pane ySplit="8" topLeftCell="A9" activePane="bottomLeft" state="frozen"/>
      <selection pane="bottomLeft" activeCell="O180" sqref="O180"/>
    </sheetView>
  </sheetViews>
  <sheetFormatPr defaultColWidth="9" defaultRowHeight="15"/>
  <cols>
    <col min="1" max="3" width="34" style="33" customWidth="1"/>
    <col min="4" max="4" width="61.42578125" style="26" customWidth="1"/>
    <col min="5" max="5" width="34" style="33" customWidth="1"/>
    <col min="6" max="6" width="34" style="26" customWidth="1"/>
    <col min="7" max="7" width="14.28515625" style="16" customWidth="1"/>
    <col min="8" max="8" width="12" style="16" customWidth="1"/>
    <col min="9" max="9" width="30.5703125" bestFit="1" customWidth="1"/>
    <col min="10" max="10" width="27.7109375" bestFit="1" customWidth="1"/>
  </cols>
  <sheetData>
    <row r="1" spans="1:10">
      <c r="A1" s="5" t="s">
        <v>77</v>
      </c>
      <c r="C1" s="26"/>
      <c r="D1" s="33"/>
      <c r="E1" s="26"/>
      <c r="F1" s="16"/>
      <c r="H1"/>
    </row>
    <row r="2" spans="1:10">
      <c r="A2" s="5"/>
      <c r="C2" s="26"/>
      <c r="D2" s="33"/>
      <c r="E2" s="26"/>
      <c r="F2" s="16"/>
      <c r="H2"/>
    </row>
    <row r="3" spans="1:10">
      <c r="A3" s="5"/>
      <c r="C3" s="26"/>
      <c r="D3" s="33"/>
      <c r="E3" s="26"/>
      <c r="F3" s="16"/>
      <c r="H3"/>
    </row>
    <row r="4" spans="1:10">
      <c r="A4" s="5"/>
      <c r="C4" s="26"/>
      <c r="D4" s="33"/>
      <c r="E4" s="26"/>
      <c r="F4" s="16"/>
      <c r="H4"/>
    </row>
    <row r="5" spans="1:10">
      <c r="A5" s="5"/>
      <c r="B5" s="545"/>
    </row>
    <row r="6" spans="1:10" ht="65.099999999999994" customHeight="1">
      <c r="A6" s="734" t="s">
        <v>13063</v>
      </c>
      <c r="B6" s="34" t="s">
        <v>13064</v>
      </c>
    </row>
    <row r="8" spans="1:10">
      <c r="A8" s="27" t="s">
        <v>13065</v>
      </c>
      <c r="B8" s="27" t="s">
        <v>11098</v>
      </c>
      <c r="C8" s="27" t="s">
        <v>11099</v>
      </c>
      <c r="D8" s="17" t="s">
        <v>20</v>
      </c>
      <c r="E8" s="27" t="s">
        <v>170</v>
      </c>
      <c r="F8" s="4" t="s">
        <v>121</v>
      </c>
      <c r="G8" s="27" t="s">
        <v>178</v>
      </c>
      <c r="H8" s="17" t="s">
        <v>179</v>
      </c>
      <c r="I8" s="735" t="s">
        <v>180</v>
      </c>
      <c r="J8" s="736" t="s">
        <v>181</v>
      </c>
    </row>
    <row r="9" spans="1:10" ht="23.25">
      <c r="A9" s="740" t="s">
        <v>13066</v>
      </c>
      <c r="B9" s="741" t="s">
        <v>13066</v>
      </c>
      <c r="C9" s="741" t="s">
        <v>13067</v>
      </c>
      <c r="D9" s="3" t="s">
        <v>13068</v>
      </c>
      <c r="E9" s="512" t="s">
        <v>13069</v>
      </c>
      <c r="F9" s="3" t="s">
        <v>13070</v>
      </c>
      <c r="G9" s="742">
        <v>3</v>
      </c>
      <c r="H9" s="742" t="s">
        <v>199</v>
      </c>
      <c r="I9" s="394" t="s">
        <v>12</v>
      </c>
      <c r="J9" s="383" t="s">
        <v>13069</v>
      </c>
    </row>
    <row r="10" spans="1:10" ht="98.25" customHeight="1">
      <c r="A10" s="743" t="s">
        <v>13071</v>
      </c>
      <c r="B10" s="741" t="s">
        <v>13072</v>
      </c>
      <c r="C10" s="741" t="s">
        <v>13073</v>
      </c>
      <c r="D10" s="3" t="s">
        <v>13074</v>
      </c>
      <c r="E10" s="529" t="s">
        <v>13075</v>
      </c>
      <c r="F10" s="3" t="s">
        <v>13076</v>
      </c>
      <c r="G10" s="372">
        <v>4</v>
      </c>
      <c r="H10" s="372" t="s">
        <v>199</v>
      </c>
      <c r="I10" s="394" t="s">
        <v>12</v>
      </c>
      <c r="J10" s="383" t="s">
        <v>13075</v>
      </c>
    </row>
    <row r="11" spans="1:10" ht="98.25" customHeight="1">
      <c r="A11" s="743"/>
      <c r="B11" s="741" t="s">
        <v>13077</v>
      </c>
      <c r="C11" s="741" t="s">
        <v>13078</v>
      </c>
      <c r="D11" s="3" t="s">
        <v>13079</v>
      </c>
      <c r="E11" s="529" t="s">
        <v>13080</v>
      </c>
      <c r="F11" s="3" t="s">
        <v>13081</v>
      </c>
      <c r="G11" s="372">
        <v>4</v>
      </c>
      <c r="H11" s="372" t="s">
        <v>199</v>
      </c>
      <c r="I11" s="394" t="s">
        <v>12</v>
      </c>
      <c r="J11" s="383" t="s">
        <v>13080</v>
      </c>
    </row>
    <row r="12" spans="1:10">
      <c r="A12" s="741"/>
      <c r="B12" s="741" t="s">
        <v>13082</v>
      </c>
      <c r="C12" s="741" t="s">
        <v>13083</v>
      </c>
      <c r="D12" s="3" t="s">
        <v>13084</v>
      </c>
      <c r="E12" s="512" t="s">
        <v>13069</v>
      </c>
      <c r="F12" s="3"/>
      <c r="G12" s="372">
        <v>4</v>
      </c>
      <c r="H12" s="372" t="s">
        <v>199</v>
      </c>
      <c r="I12" s="394" t="s">
        <v>12</v>
      </c>
      <c r="J12" s="383" t="s">
        <v>13080</v>
      </c>
    </row>
    <row r="13" spans="1:10">
      <c r="A13" s="741"/>
      <c r="B13" s="741" t="s">
        <v>13085</v>
      </c>
      <c r="C13" s="741" t="s">
        <v>13086</v>
      </c>
      <c r="D13" s="3" t="s">
        <v>13087</v>
      </c>
      <c r="E13" s="512" t="s">
        <v>13069</v>
      </c>
      <c r="F13" s="3"/>
      <c r="G13" s="372">
        <v>4</v>
      </c>
      <c r="H13" s="372" t="s">
        <v>199</v>
      </c>
      <c r="I13" s="394" t="s">
        <v>12</v>
      </c>
      <c r="J13" s="383" t="s">
        <v>13080</v>
      </c>
    </row>
    <row r="14" spans="1:10" ht="98.25" customHeight="1">
      <c r="A14" s="743" t="s">
        <v>13088</v>
      </c>
      <c r="B14" s="741" t="s">
        <v>13089</v>
      </c>
      <c r="C14" s="741" t="s">
        <v>13090</v>
      </c>
      <c r="D14" s="3" t="s">
        <v>13091</v>
      </c>
      <c r="E14" s="529" t="s">
        <v>13069</v>
      </c>
      <c r="F14" s="3" t="s">
        <v>13092</v>
      </c>
      <c r="G14" s="372">
        <v>5</v>
      </c>
      <c r="H14" s="372" t="s">
        <v>199</v>
      </c>
      <c r="I14" s="394" t="s">
        <v>12</v>
      </c>
      <c r="J14" s="383" t="s">
        <v>13080</v>
      </c>
    </row>
    <row r="15" spans="1:10" ht="59.45" customHeight="1">
      <c r="A15" s="742" t="s">
        <v>13093</v>
      </c>
      <c r="B15" s="741" t="s">
        <v>13094</v>
      </c>
      <c r="C15" s="741" t="s">
        <v>13095</v>
      </c>
      <c r="D15" s="3" t="s">
        <v>13096</v>
      </c>
      <c r="E15" s="512" t="s">
        <v>13069</v>
      </c>
      <c r="F15" s="3" t="s">
        <v>13097</v>
      </c>
      <c r="G15" s="372">
        <v>5</v>
      </c>
      <c r="H15" s="372" t="s">
        <v>199</v>
      </c>
      <c r="I15" s="394" t="s">
        <v>12</v>
      </c>
      <c r="J15" s="383" t="s">
        <v>13069</v>
      </c>
    </row>
    <row r="16" spans="1:10">
      <c r="A16" s="742"/>
      <c r="B16" s="741" t="s">
        <v>13098</v>
      </c>
      <c r="C16" s="741" t="s">
        <v>13099</v>
      </c>
      <c r="D16" s="3" t="s">
        <v>13100</v>
      </c>
      <c r="E16" s="512" t="s">
        <v>13069</v>
      </c>
      <c r="F16" s="3" t="s">
        <v>13101</v>
      </c>
      <c r="G16" s="372">
        <v>5</v>
      </c>
      <c r="H16" s="372" t="s">
        <v>199</v>
      </c>
      <c r="I16" s="394" t="s">
        <v>14</v>
      </c>
      <c r="J16" s="383"/>
    </row>
    <row r="17" spans="1:10">
      <c r="A17" s="742"/>
      <c r="B17" s="741" t="s">
        <v>13102</v>
      </c>
      <c r="C17" s="741" t="s">
        <v>13103</v>
      </c>
      <c r="D17" s="3" t="s">
        <v>13104</v>
      </c>
      <c r="E17" s="512" t="s">
        <v>13069</v>
      </c>
      <c r="F17" s="3" t="s">
        <v>13105</v>
      </c>
      <c r="G17" s="372">
        <v>5</v>
      </c>
      <c r="H17" s="372" t="s">
        <v>199</v>
      </c>
      <c r="I17" s="394" t="s">
        <v>14</v>
      </c>
      <c r="J17" s="383"/>
    </row>
    <row r="18" spans="1:10" ht="120" customHeight="1">
      <c r="A18" s="743" t="s">
        <v>13106</v>
      </c>
      <c r="B18" s="741" t="s">
        <v>13107</v>
      </c>
      <c r="C18" s="741" t="s">
        <v>13108</v>
      </c>
      <c r="D18" s="3" t="s">
        <v>13109</v>
      </c>
      <c r="E18" s="512" t="s">
        <v>13069</v>
      </c>
      <c r="F18" s="3" t="s">
        <v>13110</v>
      </c>
      <c r="G18" s="372">
        <v>5</v>
      </c>
      <c r="H18" s="372" t="s">
        <v>199</v>
      </c>
      <c r="I18" s="394" t="s">
        <v>14</v>
      </c>
      <c r="J18" s="383"/>
    </row>
    <row r="19" spans="1:10" ht="23.25">
      <c r="A19" s="741"/>
      <c r="B19" s="741" t="s">
        <v>13111</v>
      </c>
      <c r="C19" s="741" t="s">
        <v>13112</v>
      </c>
      <c r="D19" s="3" t="s">
        <v>13113</v>
      </c>
      <c r="E19" s="512" t="s">
        <v>13069</v>
      </c>
      <c r="F19" s="3" t="s">
        <v>13114</v>
      </c>
      <c r="G19" s="372">
        <v>5</v>
      </c>
      <c r="H19" s="372" t="s">
        <v>199</v>
      </c>
      <c r="I19" s="394" t="s">
        <v>12</v>
      </c>
      <c r="J19" s="383" t="s">
        <v>13115</v>
      </c>
    </row>
    <row r="20" spans="1:10" ht="111.75" customHeight="1">
      <c r="A20" s="741"/>
      <c r="B20" s="741" t="s">
        <v>13116</v>
      </c>
      <c r="C20" s="741" t="s">
        <v>13117</v>
      </c>
      <c r="D20" s="3" t="s">
        <v>13118</v>
      </c>
      <c r="E20" s="512" t="s">
        <v>13069</v>
      </c>
      <c r="F20" s="3" t="s">
        <v>13119</v>
      </c>
      <c r="G20" s="372">
        <v>5</v>
      </c>
      <c r="H20" s="372" t="s">
        <v>199</v>
      </c>
      <c r="I20" s="394" t="s">
        <v>12</v>
      </c>
      <c r="J20" s="383" t="s">
        <v>13115</v>
      </c>
    </row>
    <row r="21" spans="1:10" ht="72" customHeight="1">
      <c r="A21" s="741"/>
      <c r="B21" s="741" t="s">
        <v>13120</v>
      </c>
      <c r="C21" s="741" t="s">
        <v>13121</v>
      </c>
      <c r="D21" s="3" t="s">
        <v>13122</v>
      </c>
      <c r="E21" s="512" t="s">
        <v>13069</v>
      </c>
      <c r="F21" s="3" t="s">
        <v>13123</v>
      </c>
      <c r="G21" s="372">
        <v>5</v>
      </c>
      <c r="H21" s="372" t="s">
        <v>199</v>
      </c>
      <c r="I21" s="394" t="s">
        <v>12</v>
      </c>
      <c r="J21" s="383" t="s">
        <v>13115</v>
      </c>
    </row>
    <row r="22" spans="1:10" ht="49.5" customHeight="1">
      <c r="A22" s="741"/>
      <c r="B22" s="741" t="s">
        <v>13124</v>
      </c>
      <c r="C22" s="741" t="s">
        <v>13125</v>
      </c>
      <c r="D22" s="3" t="s">
        <v>13126</v>
      </c>
      <c r="E22" s="512" t="s">
        <v>13069</v>
      </c>
      <c r="F22" s="3" t="s">
        <v>13127</v>
      </c>
      <c r="G22" s="372">
        <v>5</v>
      </c>
      <c r="H22" s="372" t="s">
        <v>199</v>
      </c>
      <c r="I22" s="394" t="s">
        <v>12</v>
      </c>
      <c r="J22" s="383" t="s">
        <v>13115</v>
      </c>
    </row>
    <row r="23" spans="1:10">
      <c r="A23" s="741"/>
      <c r="B23" s="741" t="s">
        <v>13128</v>
      </c>
      <c r="C23" s="741" t="s">
        <v>13129</v>
      </c>
      <c r="D23" s="3" t="s">
        <v>13130</v>
      </c>
      <c r="E23" s="512" t="s">
        <v>13069</v>
      </c>
      <c r="F23" s="3" t="s">
        <v>13131</v>
      </c>
      <c r="G23" s="372">
        <v>4</v>
      </c>
      <c r="H23" s="372" t="s">
        <v>199</v>
      </c>
      <c r="I23" s="394" t="s">
        <v>12</v>
      </c>
      <c r="J23" s="383" t="s">
        <v>13115</v>
      </c>
    </row>
    <row r="24" spans="1:10">
      <c r="A24" s="741"/>
      <c r="B24" s="741" t="s">
        <v>13132</v>
      </c>
      <c r="C24" s="741" t="s">
        <v>13133</v>
      </c>
      <c r="D24" s="3" t="s">
        <v>13134</v>
      </c>
      <c r="E24" s="512" t="s">
        <v>13075</v>
      </c>
      <c r="F24" s="3" t="s">
        <v>13135</v>
      </c>
      <c r="G24" s="372">
        <v>4</v>
      </c>
      <c r="H24" s="372" t="s">
        <v>199</v>
      </c>
      <c r="I24" s="394" t="s">
        <v>12</v>
      </c>
      <c r="J24" s="383" t="s">
        <v>13115</v>
      </c>
    </row>
    <row r="25" spans="1:10">
      <c r="A25" s="741"/>
      <c r="B25" s="741" t="s">
        <v>13136</v>
      </c>
      <c r="C25" s="741" t="s">
        <v>13137</v>
      </c>
      <c r="D25" s="3" t="s">
        <v>13138</v>
      </c>
      <c r="E25" s="512" t="s">
        <v>13080</v>
      </c>
      <c r="F25" s="3" t="s">
        <v>13139</v>
      </c>
      <c r="G25" s="372">
        <v>4</v>
      </c>
      <c r="H25" s="372" t="s">
        <v>199</v>
      </c>
      <c r="I25" s="394" t="s">
        <v>12</v>
      </c>
      <c r="J25" s="383" t="s">
        <v>13115</v>
      </c>
    </row>
    <row r="26" spans="1:10" ht="57.75" customHeight="1">
      <c r="A26" s="741"/>
      <c r="B26" s="741" t="s">
        <v>13140</v>
      </c>
      <c r="C26" s="741" t="s">
        <v>13141</v>
      </c>
      <c r="D26" s="3" t="s">
        <v>13142</v>
      </c>
      <c r="E26" s="512" t="s">
        <v>13069</v>
      </c>
      <c r="F26" s="3" t="s">
        <v>13143</v>
      </c>
      <c r="G26" s="372">
        <v>5</v>
      </c>
      <c r="H26" s="372" t="s">
        <v>199</v>
      </c>
      <c r="I26" s="394" t="s">
        <v>12</v>
      </c>
      <c r="J26" s="383" t="s">
        <v>13115</v>
      </c>
    </row>
    <row r="27" spans="1:10" ht="24" customHeight="1">
      <c r="A27" s="741"/>
      <c r="B27" s="741" t="s">
        <v>13144</v>
      </c>
      <c r="C27" s="741" t="s">
        <v>13145</v>
      </c>
      <c r="D27" s="3" t="s">
        <v>13146</v>
      </c>
      <c r="E27" s="512" t="s">
        <v>13147</v>
      </c>
      <c r="F27" s="3" t="s">
        <v>13148</v>
      </c>
      <c r="G27" s="372">
        <v>4</v>
      </c>
      <c r="H27" s="372" t="s">
        <v>199</v>
      </c>
      <c r="I27" s="394" t="s">
        <v>12</v>
      </c>
      <c r="J27" s="383" t="s">
        <v>13147</v>
      </c>
    </row>
    <row r="28" spans="1:10" ht="42.4" customHeight="1">
      <c r="A28" s="743" t="s">
        <v>13149</v>
      </c>
      <c r="B28" s="741" t="s">
        <v>13150</v>
      </c>
      <c r="C28" s="741" t="s">
        <v>13151</v>
      </c>
      <c r="D28" s="3" t="s">
        <v>13152</v>
      </c>
      <c r="E28" s="512" t="s">
        <v>13069</v>
      </c>
      <c r="F28" s="3" t="s">
        <v>13153</v>
      </c>
      <c r="G28" s="372">
        <v>5</v>
      </c>
      <c r="H28" s="372" t="s">
        <v>199</v>
      </c>
      <c r="I28" s="394" t="s">
        <v>12</v>
      </c>
      <c r="J28" s="383" t="s">
        <v>13154</v>
      </c>
    </row>
    <row r="29" spans="1:10" ht="17.25" customHeight="1">
      <c r="A29" s="741"/>
      <c r="B29" s="741" t="s">
        <v>13155</v>
      </c>
      <c r="C29" s="741" t="s">
        <v>7589</v>
      </c>
      <c r="D29" s="3" t="s">
        <v>13152</v>
      </c>
      <c r="E29" s="512" t="s">
        <v>13069</v>
      </c>
      <c r="F29" s="3" t="s">
        <v>13156</v>
      </c>
      <c r="G29" s="372">
        <v>5</v>
      </c>
      <c r="H29" s="372" t="s">
        <v>199</v>
      </c>
      <c r="I29" s="394" t="s">
        <v>12</v>
      </c>
      <c r="J29" s="383" t="s">
        <v>13154</v>
      </c>
    </row>
    <row r="30" spans="1:10" ht="29.25" customHeight="1">
      <c r="A30" s="741"/>
      <c r="B30" s="741" t="s">
        <v>13157</v>
      </c>
      <c r="C30" s="741" t="s">
        <v>13158</v>
      </c>
      <c r="D30" s="3" t="s">
        <v>13159</v>
      </c>
      <c r="E30" s="512" t="s">
        <v>13069</v>
      </c>
      <c r="F30" s="3" t="s">
        <v>13160</v>
      </c>
      <c r="G30" s="372">
        <v>5</v>
      </c>
      <c r="H30" s="372" t="s">
        <v>199</v>
      </c>
      <c r="I30" s="394" t="s">
        <v>12</v>
      </c>
      <c r="J30" s="383" t="s">
        <v>13154</v>
      </c>
    </row>
    <row r="31" spans="1:10" ht="24.75" customHeight="1">
      <c r="A31" s="741"/>
      <c r="B31" s="741" t="s">
        <v>13161</v>
      </c>
      <c r="C31" s="741" t="s">
        <v>13162</v>
      </c>
      <c r="D31" s="3" t="s">
        <v>13163</v>
      </c>
      <c r="E31" s="512" t="s">
        <v>13075</v>
      </c>
      <c r="F31" s="3" t="s">
        <v>13164</v>
      </c>
      <c r="G31" s="372">
        <v>5</v>
      </c>
      <c r="H31" s="372" t="s">
        <v>199</v>
      </c>
      <c r="I31" s="394" t="s">
        <v>12</v>
      </c>
      <c r="J31" s="383" t="s">
        <v>13154</v>
      </c>
    </row>
    <row r="32" spans="1:10" ht="50.25" customHeight="1">
      <c r="A32" s="741"/>
      <c r="B32" s="741" t="s">
        <v>13165</v>
      </c>
      <c r="C32" s="741" t="s">
        <v>13166</v>
      </c>
      <c r="D32" s="3" t="s">
        <v>13167</v>
      </c>
      <c r="E32" s="512" t="s">
        <v>13080</v>
      </c>
      <c r="F32" s="3" t="s">
        <v>13168</v>
      </c>
      <c r="G32" s="372">
        <v>5</v>
      </c>
      <c r="H32" s="372" t="s">
        <v>199</v>
      </c>
      <c r="I32" s="394" t="s">
        <v>12</v>
      </c>
      <c r="J32" s="383" t="s">
        <v>13080</v>
      </c>
    </row>
    <row r="33" spans="1:10" ht="29.25" customHeight="1">
      <c r="A33" s="741"/>
      <c r="B33" s="741" t="s">
        <v>13169</v>
      </c>
      <c r="C33" s="741" t="s">
        <v>13170</v>
      </c>
      <c r="D33" s="3" t="s">
        <v>13171</v>
      </c>
      <c r="E33" s="512" t="s">
        <v>13069</v>
      </c>
      <c r="F33" s="3" t="s">
        <v>13172</v>
      </c>
      <c r="G33" s="372">
        <v>5</v>
      </c>
      <c r="H33" s="372" t="s">
        <v>199</v>
      </c>
      <c r="I33" s="394" t="s">
        <v>12</v>
      </c>
      <c r="J33" s="383" t="s">
        <v>13080</v>
      </c>
    </row>
    <row r="34" spans="1:10" ht="37.5" customHeight="1">
      <c r="A34" s="741"/>
      <c r="B34" s="741" t="s">
        <v>13173</v>
      </c>
      <c r="C34" s="741" t="s">
        <v>13174</v>
      </c>
      <c r="D34" s="3" t="s">
        <v>13175</v>
      </c>
      <c r="E34" s="512" t="s">
        <v>13069</v>
      </c>
      <c r="F34" s="3" t="s">
        <v>13176</v>
      </c>
      <c r="G34" s="372">
        <v>5</v>
      </c>
      <c r="H34" s="372" t="s">
        <v>199</v>
      </c>
      <c r="I34" s="394" t="s">
        <v>12</v>
      </c>
      <c r="J34" s="383" t="s">
        <v>13080</v>
      </c>
    </row>
    <row r="35" spans="1:10" ht="41.25" customHeight="1">
      <c r="A35" s="741"/>
      <c r="B35" s="741" t="s">
        <v>13177</v>
      </c>
      <c r="C35" s="741" t="s">
        <v>13178</v>
      </c>
      <c r="D35" s="3" t="s">
        <v>13179</v>
      </c>
      <c r="E35" s="512" t="s">
        <v>13069</v>
      </c>
      <c r="F35" s="3" t="s">
        <v>13180</v>
      </c>
      <c r="G35" s="372">
        <v>5</v>
      </c>
      <c r="H35" s="372" t="s">
        <v>199</v>
      </c>
      <c r="I35" s="394" t="s">
        <v>12</v>
      </c>
      <c r="J35" s="383" t="s">
        <v>13080</v>
      </c>
    </row>
    <row r="36" spans="1:10" ht="36.75" customHeight="1">
      <c r="A36" s="741"/>
      <c r="B36" s="741" t="s">
        <v>13181</v>
      </c>
      <c r="C36" s="741" t="s">
        <v>13182</v>
      </c>
      <c r="D36" s="3" t="s">
        <v>13183</v>
      </c>
      <c r="E36" s="512">
        <v>2014</v>
      </c>
      <c r="F36" s="3" t="s">
        <v>13184</v>
      </c>
      <c r="G36" s="372">
        <v>5</v>
      </c>
      <c r="H36" s="372" t="s">
        <v>199</v>
      </c>
      <c r="I36" s="394" t="s">
        <v>12</v>
      </c>
      <c r="J36" s="383">
        <v>2014</v>
      </c>
    </row>
    <row r="37" spans="1:10" ht="40.5" customHeight="1">
      <c r="A37" s="741"/>
      <c r="B37" s="741" t="s">
        <v>13185</v>
      </c>
      <c r="C37" s="741" t="s">
        <v>13186</v>
      </c>
      <c r="D37" s="3" t="s">
        <v>13187</v>
      </c>
      <c r="E37" s="512">
        <v>2014</v>
      </c>
      <c r="F37" s="3" t="s">
        <v>13188</v>
      </c>
      <c r="G37" s="372">
        <v>5</v>
      </c>
      <c r="H37" s="372" t="s">
        <v>199</v>
      </c>
      <c r="I37" s="394" t="s">
        <v>12</v>
      </c>
      <c r="J37" s="383">
        <v>2014</v>
      </c>
    </row>
    <row r="38" spans="1:10" ht="43.9" customHeight="1">
      <c r="A38" s="743" t="s">
        <v>13189</v>
      </c>
      <c r="B38" s="741" t="s">
        <v>13190</v>
      </c>
      <c r="C38" s="741" t="s">
        <v>13191</v>
      </c>
      <c r="D38" s="3" t="s">
        <v>13192</v>
      </c>
      <c r="E38" s="512" t="s">
        <v>13069</v>
      </c>
      <c r="F38" s="3" t="s">
        <v>13193</v>
      </c>
      <c r="G38" s="372">
        <v>5</v>
      </c>
      <c r="H38" s="372" t="s">
        <v>199</v>
      </c>
      <c r="I38" s="394" t="s">
        <v>12</v>
      </c>
      <c r="J38" s="383" t="s">
        <v>13080</v>
      </c>
    </row>
    <row r="39" spans="1:10" ht="29.25" customHeight="1">
      <c r="A39" s="744" t="s">
        <v>13194</v>
      </c>
      <c r="B39" s="741" t="s">
        <v>13195</v>
      </c>
      <c r="C39" s="741" t="s">
        <v>13196</v>
      </c>
      <c r="D39" s="3" t="s">
        <v>13197</v>
      </c>
      <c r="E39" s="512" t="s">
        <v>13069</v>
      </c>
      <c r="F39" s="3" t="s">
        <v>13198</v>
      </c>
      <c r="G39" s="372">
        <v>5</v>
      </c>
      <c r="H39" s="372" t="s">
        <v>199</v>
      </c>
      <c r="I39" s="394" t="s">
        <v>12</v>
      </c>
      <c r="J39" s="383" t="s">
        <v>13080</v>
      </c>
    </row>
    <row r="40" spans="1:10" ht="38.25" customHeight="1">
      <c r="A40" s="744"/>
      <c r="B40" s="741" t="s">
        <v>13199</v>
      </c>
      <c r="C40" s="741" t="s">
        <v>13200</v>
      </c>
      <c r="D40" s="3" t="s">
        <v>13201</v>
      </c>
      <c r="E40" s="512" t="s">
        <v>13069</v>
      </c>
      <c r="F40" s="3" t="s">
        <v>13202</v>
      </c>
      <c r="G40" s="372">
        <v>5</v>
      </c>
      <c r="H40" s="372" t="s">
        <v>199</v>
      </c>
      <c r="I40" s="394" t="s">
        <v>14</v>
      </c>
      <c r="J40" s="761"/>
    </row>
    <row r="41" spans="1:10" ht="39" customHeight="1">
      <c r="A41" s="744"/>
      <c r="B41" s="741" t="s">
        <v>13203</v>
      </c>
      <c r="C41" s="741" t="s">
        <v>13204</v>
      </c>
      <c r="D41" s="3" t="s">
        <v>13205</v>
      </c>
      <c r="E41" s="512" t="s">
        <v>13069</v>
      </c>
      <c r="F41" s="3" t="s">
        <v>13206</v>
      </c>
      <c r="G41" s="372">
        <v>5</v>
      </c>
      <c r="H41" s="372" t="s">
        <v>199</v>
      </c>
      <c r="I41" s="394" t="s">
        <v>14</v>
      </c>
      <c r="J41" s="761"/>
    </row>
    <row r="42" spans="1:10">
      <c r="A42" s="744"/>
      <c r="B42" s="741" t="s">
        <v>13207</v>
      </c>
      <c r="C42" s="741" t="s">
        <v>13208</v>
      </c>
      <c r="D42" s="3" t="s">
        <v>13209</v>
      </c>
      <c r="E42" s="512" t="s">
        <v>13210</v>
      </c>
      <c r="F42" s="3"/>
      <c r="G42" s="372">
        <v>5</v>
      </c>
      <c r="H42" s="372" t="s">
        <v>199</v>
      </c>
      <c r="I42" s="394" t="s">
        <v>14</v>
      </c>
      <c r="J42" s="383"/>
    </row>
    <row r="43" spans="1:10">
      <c r="A43" s="744"/>
      <c r="B43" s="741" t="s">
        <v>13211</v>
      </c>
      <c r="C43" s="741" t="s">
        <v>13212</v>
      </c>
      <c r="D43" s="3" t="s">
        <v>13213</v>
      </c>
      <c r="E43" s="512" t="s">
        <v>13214</v>
      </c>
      <c r="F43" s="3"/>
      <c r="G43" s="372">
        <v>5</v>
      </c>
      <c r="H43" s="372" t="s">
        <v>199</v>
      </c>
      <c r="I43" s="394" t="s">
        <v>14</v>
      </c>
      <c r="J43" s="383"/>
    </row>
    <row r="44" spans="1:10" ht="85.5" customHeight="1">
      <c r="A44" s="744"/>
      <c r="B44" s="741" t="s">
        <v>13215</v>
      </c>
      <c r="C44" s="741" t="s">
        <v>13216</v>
      </c>
      <c r="D44" s="3" t="s">
        <v>13217</v>
      </c>
      <c r="E44" s="512" t="s">
        <v>13069</v>
      </c>
      <c r="F44" s="3" t="s">
        <v>13218</v>
      </c>
      <c r="G44" s="372">
        <v>5</v>
      </c>
      <c r="H44" s="372" t="s">
        <v>199</v>
      </c>
      <c r="I44" s="394" t="s">
        <v>12</v>
      </c>
      <c r="J44" s="383" t="s">
        <v>13219</v>
      </c>
    </row>
    <row r="45" spans="1:10" ht="44.25" customHeight="1">
      <c r="A45" s="743" t="s">
        <v>13220</v>
      </c>
      <c r="B45" s="741" t="s">
        <v>13221</v>
      </c>
      <c r="C45" s="741" t="s">
        <v>13222</v>
      </c>
      <c r="D45" s="3" t="s">
        <v>13223</v>
      </c>
      <c r="E45" s="512" t="s">
        <v>13075</v>
      </c>
      <c r="F45" s="3" t="s">
        <v>13224</v>
      </c>
      <c r="G45" s="372">
        <v>5</v>
      </c>
      <c r="H45" s="372" t="s">
        <v>199</v>
      </c>
      <c r="I45" s="394" t="s">
        <v>14</v>
      </c>
      <c r="J45" s="383"/>
    </row>
    <row r="46" spans="1:10">
      <c r="A46" s="741"/>
      <c r="B46" s="741" t="s">
        <v>13225</v>
      </c>
      <c r="C46" s="741" t="s">
        <v>13226</v>
      </c>
      <c r="D46" s="3" t="s">
        <v>13227</v>
      </c>
      <c r="E46" s="512" t="s">
        <v>13075</v>
      </c>
      <c r="F46" s="3" t="s">
        <v>13224</v>
      </c>
      <c r="G46" s="372">
        <v>5</v>
      </c>
      <c r="H46" s="372" t="s">
        <v>199</v>
      </c>
      <c r="I46" s="394" t="s">
        <v>14</v>
      </c>
      <c r="J46" s="383"/>
    </row>
    <row r="47" spans="1:10">
      <c r="A47" s="741"/>
      <c r="B47" s="741" t="s">
        <v>13228</v>
      </c>
      <c r="C47" s="741" t="s">
        <v>13229</v>
      </c>
      <c r="D47" s="3" t="s">
        <v>13230</v>
      </c>
      <c r="E47" s="512" t="s">
        <v>13075</v>
      </c>
      <c r="F47" s="3" t="s">
        <v>13224</v>
      </c>
      <c r="G47" s="372">
        <v>5</v>
      </c>
      <c r="H47" s="372" t="s">
        <v>199</v>
      </c>
      <c r="I47" s="394" t="s">
        <v>14</v>
      </c>
      <c r="J47" s="383"/>
    </row>
    <row r="48" spans="1:10">
      <c r="A48" s="741"/>
      <c r="B48" s="741" t="s">
        <v>13231</v>
      </c>
      <c r="C48" s="741" t="s">
        <v>13232</v>
      </c>
      <c r="D48" s="3" t="s">
        <v>13233</v>
      </c>
      <c r="E48" s="512" t="s">
        <v>13075</v>
      </c>
      <c r="F48" s="3" t="s">
        <v>13224</v>
      </c>
      <c r="G48" s="372">
        <v>5</v>
      </c>
      <c r="H48" s="372" t="s">
        <v>199</v>
      </c>
      <c r="I48" s="394" t="s">
        <v>14</v>
      </c>
      <c r="J48" s="383"/>
    </row>
    <row r="49" spans="1:10" ht="114.95" customHeight="1">
      <c r="A49" s="744" t="s">
        <v>13234</v>
      </c>
      <c r="B49" s="741" t="s">
        <v>13235</v>
      </c>
      <c r="C49" s="741" t="s">
        <v>13236</v>
      </c>
      <c r="D49" s="3" t="s">
        <v>13237</v>
      </c>
      <c r="E49" s="512" t="s">
        <v>13080</v>
      </c>
      <c r="F49" s="3" t="s">
        <v>13238</v>
      </c>
      <c r="G49" s="372">
        <v>5</v>
      </c>
      <c r="H49" s="372" t="s">
        <v>199</v>
      </c>
      <c r="I49" s="394" t="s">
        <v>14</v>
      </c>
      <c r="J49" s="383"/>
    </row>
    <row r="50" spans="1:10">
      <c r="A50" s="744"/>
      <c r="B50" s="741" t="s">
        <v>13239</v>
      </c>
      <c r="C50" s="741" t="s">
        <v>13240</v>
      </c>
      <c r="D50" s="3" t="s">
        <v>13241</v>
      </c>
      <c r="E50" s="512" t="s">
        <v>13080</v>
      </c>
      <c r="F50" s="3" t="s">
        <v>13238</v>
      </c>
      <c r="G50" s="372">
        <v>5</v>
      </c>
      <c r="H50" s="372" t="s">
        <v>199</v>
      </c>
      <c r="I50" s="394" t="s">
        <v>12</v>
      </c>
      <c r="J50" s="383" t="s">
        <v>13080</v>
      </c>
    </row>
    <row r="51" spans="1:10">
      <c r="A51" s="744"/>
      <c r="B51" s="741" t="s">
        <v>13242</v>
      </c>
      <c r="C51" s="741" t="s">
        <v>13243</v>
      </c>
      <c r="D51" s="3" t="s">
        <v>13244</v>
      </c>
      <c r="E51" s="512" t="s">
        <v>13080</v>
      </c>
      <c r="F51" s="3" t="s">
        <v>13238</v>
      </c>
      <c r="G51" s="372">
        <v>5</v>
      </c>
      <c r="H51" s="372" t="s">
        <v>199</v>
      </c>
      <c r="I51" s="394" t="s">
        <v>12</v>
      </c>
      <c r="J51" s="383" t="s">
        <v>13080</v>
      </c>
    </row>
    <row r="52" spans="1:10">
      <c r="A52" s="744"/>
      <c r="B52" s="741" t="s">
        <v>13245</v>
      </c>
      <c r="C52" s="741" t="s">
        <v>13246</v>
      </c>
      <c r="D52" s="3" t="s">
        <v>13247</v>
      </c>
      <c r="E52" s="512" t="s">
        <v>13080</v>
      </c>
      <c r="F52" s="3" t="s">
        <v>13248</v>
      </c>
      <c r="G52" s="372">
        <v>5</v>
      </c>
      <c r="H52" s="372" t="s">
        <v>199</v>
      </c>
      <c r="I52" s="394" t="s">
        <v>12</v>
      </c>
      <c r="J52" s="383" t="s">
        <v>13080</v>
      </c>
    </row>
    <row r="53" spans="1:10">
      <c r="A53" s="744"/>
      <c r="B53" s="741" t="s">
        <v>13249</v>
      </c>
      <c r="C53" s="741" t="s">
        <v>13250</v>
      </c>
      <c r="D53" s="3" t="s">
        <v>13251</v>
      </c>
      <c r="E53" s="512" t="s">
        <v>13080</v>
      </c>
      <c r="F53" s="3" t="s">
        <v>13252</v>
      </c>
      <c r="G53" s="372">
        <v>5</v>
      </c>
      <c r="H53" s="372" t="s">
        <v>199</v>
      </c>
      <c r="I53" s="394" t="s">
        <v>12</v>
      </c>
      <c r="J53" s="383" t="s">
        <v>13080</v>
      </c>
    </row>
    <row r="54" spans="1:10">
      <c r="A54" s="744"/>
      <c r="B54" s="741" t="s">
        <v>13253</v>
      </c>
      <c r="C54" s="741" t="s">
        <v>13254</v>
      </c>
      <c r="D54" s="3" t="s">
        <v>13255</v>
      </c>
      <c r="E54" s="512" t="s">
        <v>13080</v>
      </c>
      <c r="F54" s="3" t="s">
        <v>13252</v>
      </c>
      <c r="G54" s="372">
        <v>5</v>
      </c>
      <c r="H54" s="372" t="s">
        <v>199</v>
      </c>
      <c r="I54" s="394" t="s">
        <v>12</v>
      </c>
      <c r="J54" s="383" t="s">
        <v>13080</v>
      </c>
    </row>
    <row r="55" spans="1:10">
      <c r="A55" s="744"/>
      <c r="B55" s="741" t="s">
        <v>13256</v>
      </c>
      <c r="C55" s="741" t="s">
        <v>13257</v>
      </c>
      <c r="D55" s="3" t="s">
        <v>13258</v>
      </c>
      <c r="E55" s="512" t="s">
        <v>13080</v>
      </c>
      <c r="F55" s="3" t="s">
        <v>13252</v>
      </c>
      <c r="G55" s="372">
        <v>5</v>
      </c>
      <c r="H55" s="372" t="s">
        <v>199</v>
      </c>
      <c r="I55" s="394" t="s">
        <v>12</v>
      </c>
      <c r="J55" s="383" t="s">
        <v>13080</v>
      </c>
    </row>
    <row r="56" spans="1:10">
      <c r="A56" s="744"/>
      <c r="B56" s="741" t="s">
        <v>13259</v>
      </c>
      <c r="C56" s="741" t="s">
        <v>13260</v>
      </c>
      <c r="D56" s="3" t="s">
        <v>13261</v>
      </c>
      <c r="E56" s="512" t="s">
        <v>13080</v>
      </c>
      <c r="F56" s="3" t="s">
        <v>13248</v>
      </c>
      <c r="G56" s="372">
        <v>5</v>
      </c>
      <c r="H56" s="372" t="s">
        <v>199</v>
      </c>
      <c r="I56" s="394" t="s">
        <v>12</v>
      </c>
      <c r="J56" s="383" t="s">
        <v>13080</v>
      </c>
    </row>
    <row r="57" spans="1:10">
      <c r="A57" s="744"/>
      <c r="B57" s="741" t="s">
        <v>13262</v>
      </c>
      <c r="C57" s="741" t="s">
        <v>13263</v>
      </c>
      <c r="D57" s="3" t="s">
        <v>13264</v>
      </c>
      <c r="E57" s="512" t="s">
        <v>13080</v>
      </c>
      <c r="F57" s="3" t="s">
        <v>13265</v>
      </c>
      <c r="G57" s="372">
        <v>5</v>
      </c>
      <c r="H57" s="372" t="s">
        <v>199</v>
      </c>
      <c r="I57" s="394" t="s">
        <v>12</v>
      </c>
      <c r="J57" s="383" t="s">
        <v>13080</v>
      </c>
    </row>
    <row r="58" spans="1:10">
      <c r="A58" s="744"/>
      <c r="B58" s="741" t="s">
        <v>13266</v>
      </c>
      <c r="C58" s="741" t="s">
        <v>13267</v>
      </c>
      <c r="D58" s="3" t="s">
        <v>13268</v>
      </c>
      <c r="E58" s="512" t="s">
        <v>13080</v>
      </c>
      <c r="F58" s="3" t="s">
        <v>13265</v>
      </c>
      <c r="G58" s="372">
        <v>5</v>
      </c>
      <c r="H58" s="372" t="s">
        <v>199</v>
      </c>
      <c r="I58" s="394" t="s">
        <v>12</v>
      </c>
      <c r="J58" s="383" t="s">
        <v>13080</v>
      </c>
    </row>
    <row r="59" spans="1:10">
      <c r="A59" s="744"/>
      <c r="B59" s="741" t="s">
        <v>13269</v>
      </c>
      <c r="C59" s="741" t="s">
        <v>13270</v>
      </c>
      <c r="D59" s="3" t="s">
        <v>13271</v>
      </c>
      <c r="E59" s="512" t="s">
        <v>13080</v>
      </c>
      <c r="F59" s="3" t="s">
        <v>13265</v>
      </c>
      <c r="G59" s="372">
        <v>5</v>
      </c>
      <c r="H59" s="372" t="s">
        <v>199</v>
      </c>
      <c r="I59" s="394" t="s">
        <v>12</v>
      </c>
      <c r="J59" s="383" t="s">
        <v>13080</v>
      </c>
    </row>
    <row r="60" spans="1:10">
      <c r="A60" s="744"/>
      <c r="B60" s="741" t="s">
        <v>13272</v>
      </c>
      <c r="C60" s="741" t="s">
        <v>13273</v>
      </c>
      <c r="D60" s="3" t="s">
        <v>13274</v>
      </c>
      <c r="E60" s="512" t="s">
        <v>13080</v>
      </c>
      <c r="F60" s="3" t="s">
        <v>13248</v>
      </c>
      <c r="G60" s="372">
        <v>5</v>
      </c>
      <c r="H60" s="372" t="s">
        <v>199</v>
      </c>
      <c r="I60" s="394" t="s">
        <v>12</v>
      </c>
      <c r="J60" s="383" t="s">
        <v>13080</v>
      </c>
    </row>
    <row r="61" spans="1:10">
      <c r="A61" s="744"/>
      <c r="B61" s="741" t="s">
        <v>13275</v>
      </c>
      <c r="C61" s="741" t="s">
        <v>13276</v>
      </c>
      <c r="D61" s="3" t="s">
        <v>13277</v>
      </c>
      <c r="E61" s="512" t="s">
        <v>13080</v>
      </c>
      <c r="F61" s="3" t="s">
        <v>13278</v>
      </c>
      <c r="G61" s="372">
        <v>5</v>
      </c>
      <c r="H61" s="372" t="s">
        <v>199</v>
      </c>
      <c r="I61" s="394" t="s">
        <v>12</v>
      </c>
      <c r="J61" s="383" t="s">
        <v>13080</v>
      </c>
    </row>
    <row r="62" spans="1:10">
      <c r="A62" s="744"/>
      <c r="B62" s="741" t="s">
        <v>13279</v>
      </c>
      <c r="C62" s="741" t="s">
        <v>13280</v>
      </c>
      <c r="D62" s="3" t="s">
        <v>13281</v>
      </c>
      <c r="E62" s="512" t="s">
        <v>13080</v>
      </c>
      <c r="F62" s="3" t="s">
        <v>13278</v>
      </c>
      <c r="G62" s="372">
        <v>5</v>
      </c>
      <c r="H62" s="372" t="s">
        <v>199</v>
      </c>
      <c r="I62" s="394" t="s">
        <v>12</v>
      </c>
      <c r="J62" s="383" t="s">
        <v>13080</v>
      </c>
    </row>
    <row r="63" spans="1:10">
      <c r="A63" s="744"/>
      <c r="B63" s="741" t="s">
        <v>13282</v>
      </c>
      <c r="C63" s="741" t="s">
        <v>13283</v>
      </c>
      <c r="D63" s="3" t="s">
        <v>13284</v>
      </c>
      <c r="E63" s="512" t="s">
        <v>13080</v>
      </c>
      <c r="F63" s="3" t="s">
        <v>13278</v>
      </c>
      <c r="G63" s="372">
        <v>5</v>
      </c>
      <c r="H63" s="372" t="s">
        <v>199</v>
      </c>
      <c r="I63" s="394" t="s">
        <v>12</v>
      </c>
      <c r="J63" s="383" t="s">
        <v>13080</v>
      </c>
    </row>
    <row r="64" spans="1:10">
      <c r="A64" s="744"/>
      <c r="B64" s="741" t="s">
        <v>13285</v>
      </c>
      <c r="C64" s="741" t="s">
        <v>13286</v>
      </c>
      <c r="D64" s="3" t="s">
        <v>13287</v>
      </c>
      <c r="E64" s="512" t="s">
        <v>13080</v>
      </c>
      <c r="F64" s="3" t="s">
        <v>13278</v>
      </c>
      <c r="G64" s="372">
        <v>5</v>
      </c>
      <c r="H64" s="372" t="s">
        <v>199</v>
      </c>
      <c r="I64" s="394" t="s">
        <v>12</v>
      </c>
      <c r="J64" s="383" t="s">
        <v>13080</v>
      </c>
    </row>
    <row r="65" spans="1:10" s="532" customFormat="1">
      <c r="A65" s="745"/>
      <c r="B65" s="746" t="str">
        <f>CONCATENATE("HE_",C65)</f>
        <v>HE_XHECOS_1</v>
      </c>
      <c r="C65" s="746" t="s">
        <v>13288</v>
      </c>
      <c r="D65" s="747" t="s">
        <v>13289</v>
      </c>
      <c r="E65" s="746" t="s">
        <v>13290</v>
      </c>
      <c r="F65" s="747"/>
      <c r="G65" s="748">
        <v>5</v>
      </c>
      <c r="H65" s="748" t="s">
        <v>199</v>
      </c>
      <c r="I65" s="394" t="s">
        <v>12</v>
      </c>
      <c r="J65" s="762" t="s">
        <v>13291</v>
      </c>
    </row>
    <row r="66" spans="1:10" s="532" customFormat="1">
      <c r="A66" s="745"/>
      <c r="B66" s="746" t="str">
        <f t="shared" ref="B66:B85" si="0">CONCATENATE("HE_",C66)</f>
        <v>HE_XCAH01_1</v>
      </c>
      <c r="C66" s="746" t="s">
        <v>13292</v>
      </c>
      <c r="D66" s="747" t="s">
        <v>13241</v>
      </c>
      <c r="E66" s="746" t="s">
        <v>13290</v>
      </c>
      <c r="F66" s="747"/>
      <c r="G66" s="748">
        <v>5</v>
      </c>
      <c r="H66" s="748" t="s">
        <v>199</v>
      </c>
      <c r="I66" s="394" t="s">
        <v>12</v>
      </c>
      <c r="J66" s="762" t="s">
        <v>13291</v>
      </c>
    </row>
    <row r="67" spans="1:10" s="532" customFormat="1">
      <c r="A67" s="745"/>
      <c r="B67" s="746" t="str">
        <f t="shared" si="0"/>
        <v>HE_XCAH02_1</v>
      </c>
      <c r="C67" s="746" t="s">
        <v>13293</v>
      </c>
      <c r="D67" s="747" t="s">
        <v>13244</v>
      </c>
      <c r="E67" s="746" t="s">
        <v>13290</v>
      </c>
      <c r="F67" s="747"/>
      <c r="G67" s="748">
        <v>5</v>
      </c>
      <c r="H67" s="748" t="s">
        <v>199</v>
      </c>
      <c r="I67" s="394" t="s">
        <v>12</v>
      </c>
      <c r="J67" s="762" t="s">
        <v>13291</v>
      </c>
    </row>
    <row r="68" spans="1:10" s="532" customFormat="1">
      <c r="A68" s="745"/>
      <c r="B68" s="746" t="str">
        <f t="shared" si="0"/>
        <v>HE_XCAH03_1</v>
      </c>
      <c r="C68" s="746" t="s">
        <v>13294</v>
      </c>
      <c r="D68" s="747" t="s">
        <v>13295</v>
      </c>
      <c r="E68" s="746" t="s">
        <v>13290</v>
      </c>
      <c r="F68" s="747"/>
      <c r="G68" s="748">
        <v>5</v>
      </c>
      <c r="H68" s="748" t="s">
        <v>199</v>
      </c>
      <c r="I68" s="394" t="s">
        <v>12</v>
      </c>
      <c r="J68" s="762" t="s">
        <v>13291</v>
      </c>
    </row>
    <row r="69" spans="1:10" s="532" customFormat="1">
      <c r="A69" s="745"/>
      <c r="B69" s="746" t="str">
        <f t="shared" si="0"/>
        <v>HE_XHECOS_2</v>
      </c>
      <c r="C69" s="746" t="s">
        <v>13296</v>
      </c>
      <c r="D69" s="747" t="s">
        <v>13297</v>
      </c>
      <c r="E69" s="746" t="s">
        <v>13290</v>
      </c>
      <c r="F69" s="747"/>
      <c r="G69" s="748">
        <v>5</v>
      </c>
      <c r="H69" s="748" t="s">
        <v>199</v>
      </c>
      <c r="I69" s="394" t="s">
        <v>12</v>
      </c>
      <c r="J69" s="762" t="s">
        <v>13291</v>
      </c>
    </row>
    <row r="70" spans="1:10" s="532" customFormat="1">
      <c r="A70" s="745"/>
      <c r="B70" s="746" t="str">
        <f t="shared" si="0"/>
        <v>HE_XCAH01_2</v>
      </c>
      <c r="C70" s="746" t="s">
        <v>13298</v>
      </c>
      <c r="D70" s="747" t="s">
        <v>13255</v>
      </c>
      <c r="E70" s="746" t="s">
        <v>13290</v>
      </c>
      <c r="F70" s="747"/>
      <c r="G70" s="748">
        <v>5</v>
      </c>
      <c r="H70" s="748" t="s">
        <v>199</v>
      </c>
      <c r="I70" s="394" t="s">
        <v>12</v>
      </c>
      <c r="J70" s="762" t="s">
        <v>13291</v>
      </c>
    </row>
    <row r="71" spans="1:10" s="532" customFormat="1">
      <c r="A71" s="745"/>
      <c r="B71" s="746" t="str">
        <f t="shared" si="0"/>
        <v>HE_XCAH02_2</v>
      </c>
      <c r="C71" s="746" t="s">
        <v>13299</v>
      </c>
      <c r="D71" s="747" t="s">
        <v>13258</v>
      </c>
      <c r="E71" s="746" t="s">
        <v>13290</v>
      </c>
      <c r="F71" s="747"/>
      <c r="G71" s="748">
        <v>5</v>
      </c>
      <c r="H71" s="748" t="s">
        <v>199</v>
      </c>
      <c r="I71" s="394" t="s">
        <v>12</v>
      </c>
      <c r="J71" s="762" t="s">
        <v>13291</v>
      </c>
    </row>
    <row r="72" spans="1:10" s="532" customFormat="1">
      <c r="A72" s="745"/>
      <c r="B72" s="746" t="str">
        <f t="shared" si="0"/>
        <v>HE_XCAH03_2</v>
      </c>
      <c r="C72" s="746" t="s">
        <v>13300</v>
      </c>
      <c r="D72" s="747" t="s">
        <v>13301</v>
      </c>
      <c r="E72" s="746" t="s">
        <v>13290</v>
      </c>
      <c r="F72" s="747"/>
      <c r="G72" s="748">
        <v>5</v>
      </c>
      <c r="H72" s="748" t="s">
        <v>199</v>
      </c>
      <c r="I72" s="394" t="s">
        <v>12</v>
      </c>
      <c r="J72" s="762" t="s">
        <v>13291</v>
      </c>
    </row>
    <row r="73" spans="1:10" s="532" customFormat="1">
      <c r="A73" s="745"/>
      <c r="B73" s="746" t="str">
        <f t="shared" si="0"/>
        <v>HE_XHECOS_3</v>
      </c>
      <c r="C73" s="746" t="s">
        <v>13302</v>
      </c>
      <c r="D73" s="747" t="s">
        <v>13303</v>
      </c>
      <c r="E73" s="746" t="s">
        <v>13290</v>
      </c>
      <c r="F73" s="747"/>
      <c r="G73" s="748">
        <v>5</v>
      </c>
      <c r="H73" s="748" t="s">
        <v>199</v>
      </c>
      <c r="I73" s="394" t="s">
        <v>12</v>
      </c>
      <c r="J73" s="762" t="s">
        <v>13291</v>
      </c>
    </row>
    <row r="74" spans="1:10" s="532" customFormat="1">
      <c r="A74" s="745"/>
      <c r="B74" s="746" t="str">
        <f t="shared" si="0"/>
        <v>HE_XCAH01_3</v>
      </c>
      <c r="C74" s="746" t="s">
        <v>13304</v>
      </c>
      <c r="D74" s="747" t="s">
        <v>13268</v>
      </c>
      <c r="E74" s="746" t="s">
        <v>13290</v>
      </c>
      <c r="F74" s="747"/>
      <c r="G74" s="748">
        <v>5</v>
      </c>
      <c r="H74" s="748" t="s">
        <v>199</v>
      </c>
      <c r="I74" s="394" t="s">
        <v>12</v>
      </c>
      <c r="J74" s="762" t="s">
        <v>13291</v>
      </c>
    </row>
    <row r="75" spans="1:10" s="532" customFormat="1">
      <c r="A75" s="745"/>
      <c r="B75" s="746" t="str">
        <f t="shared" si="0"/>
        <v>HE_XCAH02_3</v>
      </c>
      <c r="C75" s="746" t="s">
        <v>13305</v>
      </c>
      <c r="D75" s="747" t="s">
        <v>13271</v>
      </c>
      <c r="E75" s="746" t="s">
        <v>13290</v>
      </c>
      <c r="F75" s="747"/>
      <c r="G75" s="748">
        <v>5</v>
      </c>
      <c r="H75" s="748" t="s">
        <v>199</v>
      </c>
      <c r="I75" s="394" t="s">
        <v>12</v>
      </c>
      <c r="J75" s="762" t="s">
        <v>13291</v>
      </c>
    </row>
    <row r="76" spans="1:10" s="532" customFormat="1">
      <c r="A76" s="745"/>
      <c r="B76" s="746" t="str">
        <f t="shared" si="0"/>
        <v>HE_XCAH03_3</v>
      </c>
      <c r="C76" s="746" t="s">
        <v>13306</v>
      </c>
      <c r="D76" s="747" t="s">
        <v>13307</v>
      </c>
      <c r="E76" s="746" t="s">
        <v>13290</v>
      </c>
      <c r="F76" s="747"/>
      <c r="G76" s="748">
        <v>5</v>
      </c>
      <c r="H76" s="748" t="s">
        <v>199</v>
      </c>
      <c r="I76" s="394" t="s">
        <v>12</v>
      </c>
      <c r="J76" s="762" t="s">
        <v>13291</v>
      </c>
    </row>
    <row r="77" spans="1:10" s="532" customFormat="1">
      <c r="A77" s="745"/>
      <c r="B77" s="746" t="str">
        <f t="shared" si="0"/>
        <v>HE_XHECOS_4</v>
      </c>
      <c r="C77" s="746" t="s">
        <v>13308</v>
      </c>
      <c r="D77" s="747" t="s">
        <v>13309</v>
      </c>
      <c r="E77" s="746" t="s">
        <v>13290</v>
      </c>
      <c r="F77" s="747"/>
      <c r="G77" s="748">
        <v>5</v>
      </c>
      <c r="H77" s="748" t="s">
        <v>199</v>
      </c>
      <c r="I77" s="394" t="s">
        <v>12</v>
      </c>
      <c r="J77" s="762" t="s">
        <v>13291</v>
      </c>
    </row>
    <row r="78" spans="1:10" s="532" customFormat="1">
      <c r="A78" s="745"/>
      <c r="B78" s="746" t="str">
        <f t="shared" si="0"/>
        <v>HE_XCAH01_4</v>
      </c>
      <c r="C78" s="746" t="s">
        <v>13310</v>
      </c>
      <c r="D78" s="747" t="s">
        <v>13281</v>
      </c>
      <c r="E78" s="746" t="s">
        <v>13290</v>
      </c>
      <c r="F78" s="747"/>
      <c r="G78" s="748">
        <v>5</v>
      </c>
      <c r="H78" s="748" t="s">
        <v>199</v>
      </c>
      <c r="I78" s="394" t="s">
        <v>12</v>
      </c>
      <c r="J78" s="762" t="s">
        <v>13291</v>
      </c>
    </row>
    <row r="79" spans="1:10" s="532" customFormat="1">
      <c r="A79" s="745"/>
      <c r="B79" s="746" t="str">
        <f t="shared" si="0"/>
        <v>HE_XCAH02_4</v>
      </c>
      <c r="C79" s="746" t="s">
        <v>13311</v>
      </c>
      <c r="D79" s="747" t="s">
        <v>13284</v>
      </c>
      <c r="E79" s="746" t="s">
        <v>13290</v>
      </c>
      <c r="F79" s="747"/>
      <c r="G79" s="748">
        <v>5</v>
      </c>
      <c r="H79" s="748" t="s">
        <v>199</v>
      </c>
      <c r="I79" s="394" t="s">
        <v>12</v>
      </c>
      <c r="J79" s="762" t="s">
        <v>13291</v>
      </c>
    </row>
    <row r="80" spans="1:10" s="532" customFormat="1">
      <c r="A80" s="745"/>
      <c r="B80" s="746" t="str">
        <f t="shared" si="0"/>
        <v>HE_XCAH03_4</v>
      </c>
      <c r="C80" s="746" t="s">
        <v>13312</v>
      </c>
      <c r="D80" s="747" t="s">
        <v>13313</v>
      </c>
      <c r="E80" s="746" t="s">
        <v>13290</v>
      </c>
      <c r="F80" s="747"/>
      <c r="G80" s="748">
        <v>5</v>
      </c>
      <c r="H80" s="748" t="s">
        <v>199</v>
      </c>
      <c r="I80" s="394" t="s">
        <v>12</v>
      </c>
      <c r="J80" s="762" t="s">
        <v>13291</v>
      </c>
    </row>
    <row r="81" spans="1:10" s="532" customFormat="1">
      <c r="A81" s="745"/>
      <c r="B81" s="746" t="str">
        <f t="shared" si="0"/>
        <v>HE_XHECOS_5</v>
      </c>
      <c r="C81" s="746" t="s">
        <v>13314</v>
      </c>
      <c r="D81" s="747" t="s">
        <v>13315</v>
      </c>
      <c r="E81" s="746" t="s">
        <v>13290</v>
      </c>
      <c r="F81" s="747"/>
      <c r="G81" s="748">
        <v>5</v>
      </c>
      <c r="H81" s="748" t="s">
        <v>199</v>
      </c>
      <c r="I81" s="394" t="s">
        <v>12</v>
      </c>
      <c r="J81" s="762" t="s">
        <v>13291</v>
      </c>
    </row>
    <row r="82" spans="1:10" s="532" customFormat="1">
      <c r="A82" s="745"/>
      <c r="B82" s="746" t="str">
        <f t="shared" si="0"/>
        <v>HE_XCAH01_5</v>
      </c>
      <c r="C82" s="746" t="s">
        <v>13316</v>
      </c>
      <c r="D82" s="747" t="s">
        <v>13317</v>
      </c>
      <c r="E82" s="746" t="s">
        <v>13290</v>
      </c>
      <c r="F82" s="747"/>
      <c r="G82" s="748">
        <v>5</v>
      </c>
      <c r="H82" s="748" t="s">
        <v>199</v>
      </c>
      <c r="I82" s="394" t="s">
        <v>12</v>
      </c>
      <c r="J82" s="762" t="s">
        <v>13291</v>
      </c>
    </row>
    <row r="83" spans="1:10" s="532" customFormat="1">
      <c r="A83" s="745"/>
      <c r="B83" s="746" t="str">
        <f t="shared" si="0"/>
        <v>HE_XCAH02_5</v>
      </c>
      <c r="C83" s="746" t="s">
        <v>13318</v>
      </c>
      <c r="D83" s="747" t="s">
        <v>13319</v>
      </c>
      <c r="E83" s="746" t="s">
        <v>13290</v>
      </c>
      <c r="F83" s="747"/>
      <c r="G83" s="748">
        <v>5</v>
      </c>
      <c r="H83" s="748" t="s">
        <v>199</v>
      </c>
      <c r="I83" s="394" t="s">
        <v>12</v>
      </c>
      <c r="J83" s="762" t="s">
        <v>13291</v>
      </c>
    </row>
    <row r="84" spans="1:10" s="532" customFormat="1">
      <c r="A84" s="745"/>
      <c r="B84" s="746" t="str">
        <f t="shared" si="0"/>
        <v>HE_XCAH03_5</v>
      </c>
      <c r="C84" s="746" t="s">
        <v>13320</v>
      </c>
      <c r="D84" s="747" t="s">
        <v>13321</v>
      </c>
      <c r="E84" s="746" t="s">
        <v>13290</v>
      </c>
      <c r="F84" s="747"/>
      <c r="G84" s="748">
        <v>5</v>
      </c>
      <c r="H84" s="748" t="s">
        <v>199</v>
      </c>
      <c r="I84" s="394" t="s">
        <v>12</v>
      </c>
      <c r="J84" s="762" t="s">
        <v>13291</v>
      </c>
    </row>
    <row r="85" spans="1:10" s="532" customFormat="1" ht="27.75" customHeight="1">
      <c r="A85" s="745"/>
      <c r="B85" s="746" t="str">
        <f t="shared" si="0"/>
        <v>HE_XFPE01_5</v>
      </c>
      <c r="C85" s="746" t="s">
        <v>13322</v>
      </c>
      <c r="D85" s="747" t="s">
        <v>13323</v>
      </c>
      <c r="E85" s="746" t="s">
        <v>13290</v>
      </c>
      <c r="F85" s="747"/>
      <c r="G85" s="748">
        <v>5</v>
      </c>
      <c r="H85" s="748" t="s">
        <v>199</v>
      </c>
      <c r="I85" s="394" t="s">
        <v>12</v>
      </c>
      <c r="J85" s="762" t="s">
        <v>13291</v>
      </c>
    </row>
    <row r="86" spans="1:10" ht="23.25">
      <c r="A86" s="743" t="s">
        <v>13324</v>
      </c>
      <c r="B86" s="741" t="s">
        <v>13325</v>
      </c>
      <c r="C86" s="741" t="s">
        <v>731</v>
      </c>
      <c r="D86" s="3" t="s">
        <v>183</v>
      </c>
      <c r="E86" s="512" t="s">
        <v>13326</v>
      </c>
      <c r="F86" s="3" t="s">
        <v>13327</v>
      </c>
      <c r="G86" s="372">
        <v>5</v>
      </c>
      <c r="H86" s="372" t="s">
        <v>192</v>
      </c>
      <c r="I86" s="394" t="s">
        <v>12</v>
      </c>
      <c r="J86" s="383" t="s">
        <v>13328</v>
      </c>
    </row>
    <row r="87" spans="1:10">
      <c r="A87" s="741"/>
      <c r="B87" s="741" t="s">
        <v>13329</v>
      </c>
      <c r="C87" s="741" t="s">
        <v>13330</v>
      </c>
      <c r="D87" s="3" t="s">
        <v>13331</v>
      </c>
      <c r="E87" s="512" t="s">
        <v>13332</v>
      </c>
      <c r="F87" s="3" t="s">
        <v>13333</v>
      </c>
      <c r="G87" s="372">
        <v>5</v>
      </c>
      <c r="H87" s="372" t="s">
        <v>222</v>
      </c>
      <c r="I87" s="394" t="s">
        <v>14</v>
      </c>
      <c r="J87" s="383"/>
    </row>
    <row r="88" spans="1:10">
      <c r="A88" s="741"/>
      <c r="B88" s="741" t="s">
        <v>13334</v>
      </c>
      <c r="C88" s="741" t="s">
        <v>13335</v>
      </c>
      <c r="D88" s="3" t="s">
        <v>13336</v>
      </c>
      <c r="E88" s="512" t="s">
        <v>13069</v>
      </c>
      <c r="F88" s="3" t="s">
        <v>13337</v>
      </c>
      <c r="G88" s="372">
        <v>4</v>
      </c>
      <c r="H88" s="372" t="s">
        <v>199</v>
      </c>
      <c r="I88" s="394" t="s">
        <v>14</v>
      </c>
      <c r="J88" s="383"/>
    </row>
    <row r="89" spans="1:10">
      <c r="A89" s="741"/>
      <c r="B89" s="741" t="s">
        <v>13338</v>
      </c>
      <c r="C89" s="741" t="s">
        <v>13339</v>
      </c>
      <c r="D89" s="3" t="s">
        <v>13340</v>
      </c>
      <c r="E89" s="512" t="s">
        <v>13341</v>
      </c>
      <c r="F89" s="3" t="s">
        <v>13342</v>
      </c>
      <c r="G89" s="372">
        <v>5</v>
      </c>
      <c r="H89" s="372" t="s">
        <v>199</v>
      </c>
      <c r="I89" s="394" t="s">
        <v>14</v>
      </c>
      <c r="J89" s="383"/>
    </row>
    <row r="90" spans="1:10" ht="123" customHeight="1">
      <c r="A90" s="741"/>
      <c r="B90" s="741" t="s">
        <v>13343</v>
      </c>
      <c r="C90" s="741" t="s">
        <v>13344</v>
      </c>
      <c r="D90" s="3" t="s">
        <v>13345</v>
      </c>
      <c r="E90" s="512" t="s">
        <v>13075</v>
      </c>
      <c r="F90" s="3" t="s">
        <v>13346</v>
      </c>
      <c r="G90" s="372">
        <v>5</v>
      </c>
      <c r="H90" s="372" t="s">
        <v>199</v>
      </c>
      <c r="I90" s="394" t="s">
        <v>14</v>
      </c>
      <c r="J90" s="383"/>
    </row>
    <row r="91" spans="1:10" ht="100.5" customHeight="1">
      <c r="A91" s="741"/>
      <c r="B91" s="741" t="s">
        <v>13347</v>
      </c>
      <c r="C91" s="741" t="s">
        <v>13348</v>
      </c>
      <c r="D91" s="3" t="s">
        <v>13345</v>
      </c>
      <c r="E91" s="512" t="s">
        <v>13069</v>
      </c>
      <c r="F91" s="3" t="s">
        <v>13349</v>
      </c>
      <c r="G91" s="372">
        <v>5</v>
      </c>
      <c r="H91" s="372" t="s">
        <v>199</v>
      </c>
      <c r="I91" s="394" t="s">
        <v>14</v>
      </c>
      <c r="J91" s="383"/>
    </row>
    <row r="92" spans="1:10" ht="81.75" customHeight="1">
      <c r="A92" s="741"/>
      <c r="B92" s="741" t="s">
        <v>13350</v>
      </c>
      <c r="C92" s="741" t="s">
        <v>13351</v>
      </c>
      <c r="D92" s="3" t="s">
        <v>13345</v>
      </c>
      <c r="E92" s="512" t="s">
        <v>13352</v>
      </c>
      <c r="F92" s="3" t="s">
        <v>13353</v>
      </c>
      <c r="G92" s="372">
        <v>5</v>
      </c>
      <c r="H92" s="372" t="s">
        <v>199</v>
      </c>
      <c r="I92" s="394" t="s">
        <v>14</v>
      </c>
      <c r="J92" s="383"/>
    </row>
    <row r="93" spans="1:10" ht="42" customHeight="1">
      <c r="A93" s="741"/>
      <c r="B93" s="741" t="s">
        <v>13354</v>
      </c>
      <c r="C93" s="741" t="s">
        <v>13355</v>
      </c>
      <c r="D93" s="3" t="s">
        <v>13356</v>
      </c>
      <c r="E93" s="512" t="s">
        <v>13069</v>
      </c>
      <c r="F93" s="3" t="s">
        <v>13357</v>
      </c>
      <c r="G93" s="372">
        <v>5</v>
      </c>
      <c r="H93" s="372" t="s">
        <v>199</v>
      </c>
      <c r="I93" s="394" t="s">
        <v>12</v>
      </c>
      <c r="J93" s="383" t="s">
        <v>13358</v>
      </c>
    </row>
    <row r="94" spans="1:10" ht="39" customHeight="1">
      <c r="A94" s="741"/>
      <c r="B94" s="741" t="s">
        <v>13359</v>
      </c>
      <c r="C94" s="741" t="s">
        <v>13360</v>
      </c>
      <c r="D94" s="3" t="s">
        <v>13361</v>
      </c>
      <c r="E94" s="512" t="s">
        <v>13080</v>
      </c>
      <c r="F94" s="3" t="s">
        <v>13362</v>
      </c>
      <c r="G94" s="372">
        <v>4</v>
      </c>
      <c r="H94" s="372" t="s">
        <v>192</v>
      </c>
      <c r="I94" s="394" t="s">
        <v>14</v>
      </c>
      <c r="J94" s="383"/>
    </row>
    <row r="95" spans="1:10">
      <c r="A95" s="741"/>
      <c r="B95" s="741" t="s">
        <v>13363</v>
      </c>
      <c r="C95" s="741" t="s">
        <v>13364</v>
      </c>
      <c r="D95" s="3" t="s">
        <v>13365</v>
      </c>
      <c r="E95" s="512" t="s">
        <v>13069</v>
      </c>
      <c r="F95" s="3" t="s">
        <v>13366</v>
      </c>
      <c r="G95" s="372">
        <v>5</v>
      </c>
      <c r="H95" s="372" t="s">
        <v>199</v>
      </c>
      <c r="I95" s="394" t="s">
        <v>12</v>
      </c>
      <c r="J95" s="383" t="s">
        <v>13358</v>
      </c>
    </row>
    <row r="96" spans="1:10">
      <c r="A96" s="741"/>
      <c r="B96" s="741" t="s">
        <v>13367</v>
      </c>
      <c r="C96" s="741" t="s">
        <v>13368</v>
      </c>
      <c r="D96" s="3" t="s">
        <v>13369</v>
      </c>
      <c r="E96" s="512" t="s">
        <v>13069</v>
      </c>
      <c r="F96" s="3" t="s">
        <v>13370</v>
      </c>
      <c r="G96" s="372">
        <v>5</v>
      </c>
      <c r="H96" s="372" t="s">
        <v>199</v>
      </c>
      <c r="I96" s="394" t="s">
        <v>12</v>
      </c>
      <c r="J96" s="383" t="s">
        <v>13358</v>
      </c>
    </row>
    <row r="97" spans="1:10">
      <c r="A97" s="741"/>
      <c r="B97" s="741" t="s">
        <v>13371</v>
      </c>
      <c r="C97" s="741" t="s">
        <v>13372</v>
      </c>
      <c r="D97" s="3" t="s">
        <v>13373</v>
      </c>
      <c r="E97" s="512" t="s">
        <v>13069</v>
      </c>
      <c r="F97" s="3" t="s">
        <v>13366</v>
      </c>
      <c r="G97" s="372">
        <v>5</v>
      </c>
      <c r="H97" s="372" t="s">
        <v>199</v>
      </c>
      <c r="I97" s="394" t="s">
        <v>12</v>
      </c>
      <c r="J97" s="383" t="s">
        <v>13358</v>
      </c>
    </row>
    <row r="98" spans="1:10">
      <c r="A98" s="741"/>
      <c r="B98" s="741" t="s">
        <v>13374</v>
      </c>
      <c r="C98" s="741" t="s">
        <v>13375</v>
      </c>
      <c r="D98" s="3" t="s">
        <v>13376</v>
      </c>
      <c r="E98" s="19" t="s">
        <v>13069</v>
      </c>
      <c r="F98" s="3" t="s">
        <v>13366</v>
      </c>
      <c r="G98" s="372">
        <v>5</v>
      </c>
      <c r="H98" s="372" t="s">
        <v>199</v>
      </c>
      <c r="I98" s="394" t="s">
        <v>12</v>
      </c>
      <c r="J98" s="383" t="s">
        <v>13358</v>
      </c>
    </row>
    <row r="99" spans="1:10">
      <c r="A99" s="741"/>
      <c r="B99" s="741" t="s">
        <v>13377</v>
      </c>
      <c r="C99" s="741" t="s">
        <v>13378</v>
      </c>
      <c r="D99" s="3" t="s">
        <v>13379</v>
      </c>
      <c r="E99" s="19" t="s">
        <v>13069</v>
      </c>
      <c r="F99" s="3" t="s">
        <v>13370</v>
      </c>
      <c r="G99" s="372">
        <v>5</v>
      </c>
      <c r="H99" s="372" t="s">
        <v>199</v>
      </c>
      <c r="I99" s="394" t="s">
        <v>12</v>
      </c>
      <c r="J99" s="383" t="s">
        <v>13358</v>
      </c>
    </row>
    <row r="100" spans="1:10" ht="158.25" customHeight="1">
      <c r="A100" s="741"/>
      <c r="B100" s="741" t="s">
        <v>13380</v>
      </c>
      <c r="C100" s="741" t="s">
        <v>13381</v>
      </c>
      <c r="D100" s="3" t="s">
        <v>13382</v>
      </c>
      <c r="E100" s="19" t="s">
        <v>13069</v>
      </c>
      <c r="F100" s="3" t="s">
        <v>13383</v>
      </c>
      <c r="G100" s="372">
        <v>4</v>
      </c>
      <c r="H100" s="372" t="s">
        <v>222</v>
      </c>
      <c r="I100" s="394" t="s">
        <v>12</v>
      </c>
      <c r="J100" s="383" t="s">
        <v>13358</v>
      </c>
    </row>
    <row r="101" spans="1:10" ht="23.25">
      <c r="A101" s="741"/>
      <c r="B101" s="741" t="s">
        <v>13384</v>
      </c>
      <c r="C101" s="741" t="s">
        <v>13385</v>
      </c>
      <c r="D101" s="3" t="s">
        <v>13386</v>
      </c>
      <c r="E101" s="19" t="s">
        <v>13069</v>
      </c>
      <c r="F101" s="3" t="s">
        <v>13383</v>
      </c>
      <c r="G101" s="372">
        <v>4</v>
      </c>
      <c r="H101" s="372" t="s">
        <v>222</v>
      </c>
      <c r="I101" s="394" t="s">
        <v>12</v>
      </c>
      <c r="J101" s="383" t="s">
        <v>13358</v>
      </c>
    </row>
    <row r="102" spans="1:10" ht="97.9" customHeight="1">
      <c r="A102" s="741"/>
      <c r="B102" s="741" t="s">
        <v>13387</v>
      </c>
      <c r="C102" s="741" t="s">
        <v>13388</v>
      </c>
      <c r="D102" s="3" t="s">
        <v>13389</v>
      </c>
      <c r="E102" s="19" t="s">
        <v>13341</v>
      </c>
      <c r="F102" s="3" t="s">
        <v>13383</v>
      </c>
      <c r="G102" s="372">
        <v>4</v>
      </c>
      <c r="H102" s="372" t="s">
        <v>222</v>
      </c>
      <c r="I102" s="394" t="s">
        <v>12</v>
      </c>
      <c r="J102" s="383" t="s">
        <v>13390</v>
      </c>
    </row>
    <row r="103" spans="1:10" ht="87.75" customHeight="1">
      <c r="A103" s="741"/>
      <c r="B103" s="741" t="s">
        <v>13391</v>
      </c>
      <c r="C103" s="741" t="s">
        <v>4222</v>
      </c>
      <c r="D103" s="3" t="s">
        <v>216</v>
      </c>
      <c r="E103" s="19" t="s">
        <v>13069</v>
      </c>
      <c r="F103" s="3" t="s">
        <v>13392</v>
      </c>
      <c r="G103" s="372">
        <v>4</v>
      </c>
      <c r="H103" s="372" t="s">
        <v>222</v>
      </c>
      <c r="I103" s="394" t="s">
        <v>12</v>
      </c>
      <c r="J103" s="383" t="s">
        <v>13358</v>
      </c>
    </row>
    <row r="104" spans="1:10" ht="28.5" customHeight="1">
      <c r="A104" s="741"/>
      <c r="B104" s="741" t="s">
        <v>13393</v>
      </c>
      <c r="C104" s="741" t="s">
        <v>13394</v>
      </c>
      <c r="D104" s="3" t="s">
        <v>13395</v>
      </c>
      <c r="E104" s="19" t="s">
        <v>13214</v>
      </c>
      <c r="F104" s="3" t="s">
        <v>13383</v>
      </c>
      <c r="G104" s="372">
        <v>4</v>
      </c>
      <c r="H104" s="372" t="s">
        <v>222</v>
      </c>
      <c r="I104" s="394" t="s">
        <v>12</v>
      </c>
      <c r="J104" s="383" t="s">
        <v>13396</v>
      </c>
    </row>
    <row r="105" spans="1:10" ht="87" customHeight="1">
      <c r="A105" s="741"/>
      <c r="B105" s="741" t="s">
        <v>13397</v>
      </c>
      <c r="C105" s="741" t="s">
        <v>13398</v>
      </c>
      <c r="D105" s="3" t="s">
        <v>13399</v>
      </c>
      <c r="E105" s="19" t="s">
        <v>13400</v>
      </c>
      <c r="F105" s="3" t="s">
        <v>13383</v>
      </c>
      <c r="G105" s="372">
        <v>4</v>
      </c>
      <c r="H105" s="372" t="s">
        <v>13401</v>
      </c>
      <c r="I105" s="394" t="s">
        <v>12</v>
      </c>
      <c r="J105" s="383" t="s">
        <v>13402</v>
      </c>
    </row>
    <row r="106" spans="1:10" ht="72.75" customHeight="1">
      <c r="A106" s="740" t="s">
        <v>13403</v>
      </c>
      <c r="B106" s="741" t="s">
        <v>13404</v>
      </c>
      <c r="C106" s="741" t="s">
        <v>13405</v>
      </c>
      <c r="D106" s="3" t="s">
        <v>13406</v>
      </c>
      <c r="E106" s="19" t="s">
        <v>13069</v>
      </c>
      <c r="F106" s="3"/>
      <c r="G106" s="372">
        <v>4</v>
      </c>
      <c r="H106" s="372" t="s">
        <v>199</v>
      </c>
      <c r="I106" s="394" t="s">
        <v>12</v>
      </c>
      <c r="J106" s="383" t="s">
        <v>13358</v>
      </c>
    </row>
    <row r="107" spans="1:10">
      <c r="A107" s="741"/>
      <c r="B107" s="741" t="s">
        <v>13407</v>
      </c>
      <c r="C107" s="741" t="s">
        <v>13408</v>
      </c>
      <c r="D107" s="3" t="s">
        <v>13409</v>
      </c>
      <c r="E107" s="19" t="s">
        <v>13069</v>
      </c>
      <c r="F107" s="3"/>
      <c r="G107" s="372">
        <v>5</v>
      </c>
      <c r="H107" s="372" t="s">
        <v>199</v>
      </c>
      <c r="I107" s="394" t="s">
        <v>12</v>
      </c>
      <c r="J107" s="383" t="s">
        <v>13358</v>
      </c>
    </row>
    <row r="108" spans="1:10">
      <c r="A108" s="741"/>
      <c r="B108" s="741" t="s">
        <v>13410</v>
      </c>
      <c r="C108" s="741" t="s">
        <v>13411</v>
      </c>
      <c r="D108" s="3" t="s">
        <v>13412</v>
      </c>
      <c r="E108" s="19" t="s">
        <v>13069</v>
      </c>
      <c r="F108" s="3" t="s">
        <v>13413</v>
      </c>
      <c r="G108" s="372">
        <v>5</v>
      </c>
      <c r="H108" s="372" t="s">
        <v>199</v>
      </c>
      <c r="I108" s="394" t="s">
        <v>12</v>
      </c>
      <c r="J108" s="383" t="s">
        <v>13358</v>
      </c>
    </row>
    <row r="109" spans="1:10">
      <c r="A109" s="741"/>
      <c r="B109" s="741" t="s">
        <v>13414</v>
      </c>
      <c r="C109" s="741" t="s">
        <v>13415</v>
      </c>
      <c r="D109" s="3" t="s">
        <v>13416</v>
      </c>
      <c r="E109" s="19" t="s">
        <v>13214</v>
      </c>
      <c r="F109" s="3"/>
      <c r="G109" s="372">
        <v>5</v>
      </c>
      <c r="H109" s="372" t="s">
        <v>199</v>
      </c>
      <c r="I109" s="394" t="s">
        <v>12</v>
      </c>
      <c r="J109" s="383" t="s">
        <v>13214</v>
      </c>
    </row>
    <row r="110" spans="1:10" ht="60.75" customHeight="1">
      <c r="A110" s="743" t="s">
        <v>13417</v>
      </c>
      <c r="B110" s="741" t="s">
        <v>13418</v>
      </c>
      <c r="C110" s="741" t="s">
        <v>13419</v>
      </c>
      <c r="D110" s="3" t="s">
        <v>13420</v>
      </c>
      <c r="E110" s="19" t="s">
        <v>13421</v>
      </c>
      <c r="F110" s="3" t="s">
        <v>13422</v>
      </c>
      <c r="G110" s="372">
        <v>5</v>
      </c>
      <c r="H110" s="372" t="s">
        <v>199</v>
      </c>
      <c r="I110" s="394" t="s">
        <v>12</v>
      </c>
      <c r="J110" s="383" t="s">
        <v>13423</v>
      </c>
    </row>
    <row r="111" spans="1:10" ht="69.75" customHeight="1">
      <c r="A111" s="741"/>
      <c r="B111" s="741" t="s">
        <v>13424</v>
      </c>
      <c r="C111" s="741" t="s">
        <v>13425</v>
      </c>
      <c r="D111" s="3" t="s">
        <v>13420</v>
      </c>
      <c r="E111" s="19" t="s">
        <v>13341</v>
      </c>
      <c r="F111" s="3" t="s">
        <v>13426</v>
      </c>
      <c r="G111" s="372">
        <v>5</v>
      </c>
      <c r="H111" s="372" t="s">
        <v>199</v>
      </c>
      <c r="I111" s="394" t="s">
        <v>12</v>
      </c>
      <c r="J111" s="383" t="s">
        <v>13341</v>
      </c>
    </row>
    <row r="112" spans="1:10" ht="23.25">
      <c r="A112" s="741"/>
      <c r="B112" s="741" t="s">
        <v>13427</v>
      </c>
      <c r="C112" s="741" t="s">
        <v>13428</v>
      </c>
      <c r="D112" s="3" t="s">
        <v>13429</v>
      </c>
      <c r="E112" s="19" t="s">
        <v>13430</v>
      </c>
      <c r="F112" s="3" t="s">
        <v>13431</v>
      </c>
      <c r="G112" s="372">
        <v>5</v>
      </c>
      <c r="H112" s="372" t="s">
        <v>199</v>
      </c>
      <c r="I112" s="394" t="s">
        <v>12</v>
      </c>
      <c r="J112" s="383" t="s">
        <v>13432</v>
      </c>
    </row>
    <row r="113" spans="1:10" ht="34.5">
      <c r="A113" s="741"/>
      <c r="B113" s="741" t="s">
        <v>13433</v>
      </c>
      <c r="C113" s="741" t="s">
        <v>13434</v>
      </c>
      <c r="D113" s="3" t="s">
        <v>13429</v>
      </c>
      <c r="E113" s="19" t="s">
        <v>13341</v>
      </c>
      <c r="F113" s="3" t="s">
        <v>13435</v>
      </c>
      <c r="G113" s="372">
        <v>5</v>
      </c>
      <c r="H113" s="372" t="s">
        <v>199</v>
      </c>
      <c r="I113" s="394" t="s">
        <v>12</v>
      </c>
      <c r="J113" s="383" t="s">
        <v>13358</v>
      </c>
    </row>
    <row r="114" spans="1:10" ht="34.5">
      <c r="A114" s="741"/>
      <c r="B114" s="741" t="s">
        <v>13436</v>
      </c>
      <c r="C114" s="741" t="s">
        <v>13437</v>
      </c>
      <c r="D114" s="3" t="s">
        <v>13438</v>
      </c>
      <c r="E114" s="19" t="s">
        <v>13075</v>
      </c>
      <c r="F114" s="3" t="s">
        <v>13439</v>
      </c>
      <c r="G114" s="372">
        <v>4</v>
      </c>
      <c r="H114" s="372" t="s">
        <v>199</v>
      </c>
      <c r="I114" s="394" t="s">
        <v>12</v>
      </c>
      <c r="J114" s="383" t="s">
        <v>13440</v>
      </c>
    </row>
    <row r="115" spans="1:10" ht="34.5">
      <c r="A115" s="741"/>
      <c r="B115" s="741" t="s">
        <v>13441</v>
      </c>
      <c r="C115" s="741" t="s">
        <v>13442</v>
      </c>
      <c r="D115" s="3" t="s">
        <v>13443</v>
      </c>
      <c r="E115" s="19">
        <v>2008</v>
      </c>
      <c r="F115" s="3" t="s">
        <v>13439</v>
      </c>
      <c r="G115" s="372">
        <v>4</v>
      </c>
      <c r="H115" s="372" t="s">
        <v>199</v>
      </c>
      <c r="I115" s="394" t="s">
        <v>12</v>
      </c>
      <c r="J115" s="383">
        <v>2008</v>
      </c>
    </row>
    <row r="116" spans="1:10" ht="34.5">
      <c r="A116" s="741"/>
      <c r="B116" s="741" t="s">
        <v>13444</v>
      </c>
      <c r="C116" s="741" t="s">
        <v>13445</v>
      </c>
      <c r="D116" s="3" t="s">
        <v>13446</v>
      </c>
      <c r="E116" s="19">
        <v>2009</v>
      </c>
      <c r="F116" s="3" t="s">
        <v>13439</v>
      </c>
      <c r="G116" s="372">
        <v>4</v>
      </c>
      <c r="H116" s="372" t="s">
        <v>199</v>
      </c>
      <c r="I116" s="394" t="s">
        <v>12</v>
      </c>
      <c r="J116" s="383">
        <v>2009</v>
      </c>
    </row>
    <row r="117" spans="1:10" ht="34.5">
      <c r="A117" s="741"/>
      <c r="B117" s="741" t="s">
        <v>13447</v>
      </c>
      <c r="C117" s="741" t="s">
        <v>13448</v>
      </c>
      <c r="D117" s="3" t="s">
        <v>13446</v>
      </c>
      <c r="E117" s="19" t="s">
        <v>676</v>
      </c>
      <c r="F117" s="3" t="s">
        <v>13439</v>
      </c>
      <c r="G117" s="372">
        <v>4</v>
      </c>
      <c r="H117" s="372" t="s">
        <v>199</v>
      </c>
      <c r="I117" s="394" t="s">
        <v>12</v>
      </c>
      <c r="J117" s="383" t="s">
        <v>13449</v>
      </c>
    </row>
    <row r="118" spans="1:10" ht="34.5">
      <c r="A118" s="741"/>
      <c r="B118" s="741" t="s">
        <v>13450</v>
      </c>
      <c r="C118" s="741" t="s">
        <v>13451</v>
      </c>
      <c r="D118" s="3" t="s">
        <v>13446</v>
      </c>
      <c r="E118" s="19" t="s">
        <v>13452</v>
      </c>
      <c r="F118" s="3" t="s">
        <v>13439</v>
      </c>
      <c r="G118" s="372">
        <v>4</v>
      </c>
      <c r="H118" s="372" t="s">
        <v>199</v>
      </c>
      <c r="I118" s="394" t="s">
        <v>12</v>
      </c>
      <c r="J118" s="383" t="s">
        <v>13453</v>
      </c>
    </row>
    <row r="119" spans="1:10" ht="149.25" customHeight="1">
      <c r="A119" s="743" t="s">
        <v>13454</v>
      </c>
      <c r="B119" s="741" t="s">
        <v>13455</v>
      </c>
      <c r="C119" s="741" t="s">
        <v>13456</v>
      </c>
      <c r="D119" s="3" t="s">
        <v>13457</v>
      </c>
      <c r="E119" s="19" t="s">
        <v>13075</v>
      </c>
      <c r="F119" s="3" t="s">
        <v>13458</v>
      </c>
      <c r="G119" s="372">
        <v>4</v>
      </c>
      <c r="H119" s="372" t="s">
        <v>222</v>
      </c>
      <c r="I119" s="394" t="s">
        <v>12</v>
      </c>
      <c r="J119" s="383" t="s">
        <v>13440</v>
      </c>
    </row>
    <row r="120" spans="1:10">
      <c r="A120" s="741"/>
      <c r="B120" s="741" t="s">
        <v>13459</v>
      </c>
      <c r="C120" s="741" t="s">
        <v>13460</v>
      </c>
      <c r="D120" s="3" t="s">
        <v>13461</v>
      </c>
      <c r="E120" s="19" t="s">
        <v>13080</v>
      </c>
      <c r="F120" s="3" t="s">
        <v>13462</v>
      </c>
      <c r="G120" s="372">
        <v>4</v>
      </c>
      <c r="H120" s="372" t="s">
        <v>222</v>
      </c>
      <c r="I120" s="394" t="s">
        <v>12</v>
      </c>
      <c r="J120" s="383" t="s">
        <v>13358</v>
      </c>
    </row>
    <row r="121" spans="1:10" ht="49.5" customHeight="1">
      <c r="A121" s="741"/>
      <c r="B121" s="741" t="s">
        <v>13463</v>
      </c>
      <c r="C121" s="741" t="s">
        <v>13464</v>
      </c>
      <c r="D121" s="3" t="s">
        <v>13465</v>
      </c>
      <c r="E121" s="19" t="s">
        <v>13069</v>
      </c>
      <c r="F121" s="3" t="s">
        <v>13466</v>
      </c>
      <c r="G121" s="372">
        <v>5</v>
      </c>
      <c r="H121" s="372" t="s">
        <v>199</v>
      </c>
      <c r="I121" s="394" t="s">
        <v>12</v>
      </c>
      <c r="J121" s="383" t="s">
        <v>13358</v>
      </c>
    </row>
    <row r="122" spans="1:10" ht="50.25" customHeight="1">
      <c r="A122" s="743" t="s">
        <v>13467</v>
      </c>
      <c r="B122" s="741" t="s">
        <v>13468</v>
      </c>
      <c r="C122" s="741" t="s">
        <v>13469</v>
      </c>
      <c r="D122" s="3" t="s">
        <v>13470</v>
      </c>
      <c r="E122" s="19" t="s">
        <v>13069</v>
      </c>
      <c r="F122" s="3" t="s">
        <v>13471</v>
      </c>
      <c r="G122" s="372">
        <v>4</v>
      </c>
      <c r="H122" s="372" t="s">
        <v>199</v>
      </c>
      <c r="I122" s="394" t="s">
        <v>12</v>
      </c>
      <c r="J122" s="383" t="s">
        <v>13358</v>
      </c>
    </row>
    <row r="123" spans="1:10" ht="34.5">
      <c r="A123" s="741"/>
      <c r="B123" s="741" t="s">
        <v>13472</v>
      </c>
      <c r="C123" s="741" t="s">
        <v>13473</v>
      </c>
      <c r="D123" s="3" t="s">
        <v>13474</v>
      </c>
      <c r="E123" s="19" t="s">
        <v>13069</v>
      </c>
      <c r="F123" s="3" t="s">
        <v>13475</v>
      </c>
      <c r="G123" s="372">
        <v>4</v>
      </c>
      <c r="H123" s="372" t="s">
        <v>199</v>
      </c>
      <c r="I123" s="394" t="s">
        <v>12</v>
      </c>
      <c r="J123" s="383" t="s">
        <v>13358</v>
      </c>
    </row>
    <row r="124" spans="1:10">
      <c r="A124" s="741"/>
      <c r="B124" s="741" t="s">
        <v>13476</v>
      </c>
      <c r="C124" s="741" t="s">
        <v>13477</v>
      </c>
      <c r="D124" s="3" t="s">
        <v>13478</v>
      </c>
      <c r="E124" s="19" t="s">
        <v>13214</v>
      </c>
      <c r="F124" s="3" t="s">
        <v>13479</v>
      </c>
      <c r="G124" s="372">
        <v>4</v>
      </c>
      <c r="H124" s="372" t="s">
        <v>199</v>
      </c>
      <c r="I124" s="394" t="s">
        <v>12</v>
      </c>
      <c r="J124" s="383" t="s">
        <v>13214</v>
      </c>
    </row>
    <row r="125" spans="1:10" ht="23.25">
      <c r="A125" s="741"/>
      <c r="B125" s="741" t="s">
        <v>13480</v>
      </c>
      <c r="C125" s="741" t="s">
        <v>13481</v>
      </c>
      <c r="D125" s="3" t="s">
        <v>13482</v>
      </c>
      <c r="E125" s="19" t="s">
        <v>13069</v>
      </c>
      <c r="F125" s="3" t="s">
        <v>13483</v>
      </c>
      <c r="G125" s="372">
        <v>4</v>
      </c>
      <c r="H125" s="372" t="s">
        <v>199</v>
      </c>
      <c r="I125" s="394" t="s">
        <v>12</v>
      </c>
      <c r="J125" s="761" t="s">
        <v>13358</v>
      </c>
    </row>
    <row r="126" spans="1:10">
      <c r="A126" s="741"/>
      <c r="B126" s="741" t="s">
        <v>13484</v>
      </c>
      <c r="C126" s="741" t="s">
        <v>13485</v>
      </c>
      <c r="D126" s="3" t="s">
        <v>13486</v>
      </c>
      <c r="E126" s="19" t="s">
        <v>13214</v>
      </c>
      <c r="F126" s="3" t="s">
        <v>13487</v>
      </c>
      <c r="G126" s="372">
        <v>4</v>
      </c>
      <c r="H126" s="372" t="s">
        <v>199</v>
      </c>
      <c r="I126" s="394" t="s">
        <v>12</v>
      </c>
      <c r="J126" s="383" t="s">
        <v>13214</v>
      </c>
    </row>
    <row r="127" spans="1:10" ht="34.5">
      <c r="A127" s="741"/>
      <c r="B127" s="741" t="s">
        <v>13488</v>
      </c>
      <c r="C127" s="741" t="s">
        <v>13489</v>
      </c>
      <c r="D127" s="3" t="s">
        <v>13490</v>
      </c>
      <c r="E127" s="19" t="s">
        <v>13080</v>
      </c>
      <c r="F127" s="3" t="s">
        <v>13491</v>
      </c>
      <c r="G127" s="372">
        <v>5</v>
      </c>
      <c r="H127" s="372" t="s">
        <v>199</v>
      </c>
      <c r="I127" s="394" t="s">
        <v>12</v>
      </c>
      <c r="J127" s="383" t="s">
        <v>13492</v>
      </c>
    </row>
    <row r="128" spans="1:10" ht="79.5">
      <c r="A128" s="741"/>
      <c r="B128" s="741" t="s">
        <v>13493</v>
      </c>
      <c r="C128" s="741" t="s">
        <v>13494</v>
      </c>
      <c r="D128" s="3" t="s">
        <v>13495</v>
      </c>
      <c r="E128" s="19" t="s">
        <v>13069</v>
      </c>
      <c r="F128" s="3" t="s">
        <v>13496</v>
      </c>
      <c r="G128" s="372">
        <v>5</v>
      </c>
      <c r="H128" s="372" t="s">
        <v>199</v>
      </c>
      <c r="I128" s="394" t="s">
        <v>12</v>
      </c>
      <c r="J128" s="383" t="s">
        <v>13358</v>
      </c>
    </row>
    <row r="129" spans="1:10" ht="57">
      <c r="A129" s="741"/>
      <c r="B129" s="741" t="s">
        <v>13497</v>
      </c>
      <c r="C129" s="741" t="s">
        <v>13498</v>
      </c>
      <c r="D129" s="3" t="s">
        <v>13499</v>
      </c>
      <c r="E129" s="19" t="s">
        <v>13069</v>
      </c>
      <c r="F129" s="3" t="s">
        <v>13500</v>
      </c>
      <c r="G129" s="372">
        <v>5</v>
      </c>
      <c r="H129" s="372" t="s">
        <v>199</v>
      </c>
      <c r="I129" s="394" t="s">
        <v>12</v>
      </c>
      <c r="J129" s="383" t="s">
        <v>13358</v>
      </c>
    </row>
    <row r="130" spans="1:10" ht="45.75">
      <c r="A130" s="741"/>
      <c r="B130" s="741" t="s">
        <v>13501</v>
      </c>
      <c r="C130" s="741" t="s">
        <v>13502</v>
      </c>
      <c r="D130" s="3" t="s">
        <v>13503</v>
      </c>
      <c r="E130" s="19" t="s">
        <v>13421</v>
      </c>
      <c r="F130" s="3" t="s">
        <v>13504</v>
      </c>
      <c r="G130" s="372">
        <v>5</v>
      </c>
      <c r="H130" s="372" t="s">
        <v>199</v>
      </c>
      <c r="I130" s="394" t="s">
        <v>12</v>
      </c>
      <c r="J130" s="383" t="s">
        <v>10853</v>
      </c>
    </row>
    <row r="131" spans="1:10" ht="34.5">
      <c r="A131" s="741"/>
      <c r="B131" s="741" t="s">
        <v>13505</v>
      </c>
      <c r="C131" s="741" t="s">
        <v>13506</v>
      </c>
      <c r="D131" s="3" t="s">
        <v>13507</v>
      </c>
      <c r="E131" s="19" t="s">
        <v>13147</v>
      </c>
      <c r="F131" s="3" t="s">
        <v>13508</v>
      </c>
      <c r="G131" s="372">
        <v>5</v>
      </c>
      <c r="H131" s="372" t="s">
        <v>199</v>
      </c>
      <c r="I131" s="394" t="s">
        <v>12</v>
      </c>
      <c r="J131" s="383" t="s">
        <v>13147</v>
      </c>
    </row>
    <row r="132" spans="1:10">
      <c r="A132" s="741"/>
      <c r="B132" s="741" t="s">
        <v>13509</v>
      </c>
      <c r="C132" s="741" t="s">
        <v>13510</v>
      </c>
      <c r="D132" s="3" t="s">
        <v>13511</v>
      </c>
      <c r="E132" s="19" t="s">
        <v>13075</v>
      </c>
      <c r="F132" s="3" t="s">
        <v>13512</v>
      </c>
      <c r="G132" s="372">
        <v>5</v>
      </c>
      <c r="H132" s="372" t="s">
        <v>199</v>
      </c>
      <c r="I132" s="394" t="s">
        <v>12</v>
      </c>
      <c r="J132" s="383" t="s">
        <v>10637</v>
      </c>
    </row>
    <row r="133" spans="1:10" ht="145.5" customHeight="1">
      <c r="A133" s="743" t="s">
        <v>634</v>
      </c>
      <c r="B133" s="741" t="s">
        <v>13513</v>
      </c>
      <c r="C133" s="741" t="s">
        <v>13514</v>
      </c>
      <c r="D133" s="749" t="s">
        <v>13515</v>
      </c>
      <c r="E133" s="19" t="s">
        <v>13147</v>
      </c>
      <c r="F133" s="3" t="s">
        <v>13516</v>
      </c>
      <c r="G133" s="372">
        <v>5</v>
      </c>
      <c r="H133" s="372" t="s">
        <v>199</v>
      </c>
      <c r="I133" s="394" t="s">
        <v>12</v>
      </c>
      <c r="J133" s="383" t="s">
        <v>13147</v>
      </c>
    </row>
    <row r="134" spans="1:10" ht="36.75" customHeight="1">
      <c r="A134" s="741"/>
      <c r="B134" s="741" t="s">
        <v>13517</v>
      </c>
      <c r="C134" s="741" t="s">
        <v>13518</v>
      </c>
      <c r="D134" s="3" t="s">
        <v>13519</v>
      </c>
      <c r="E134" s="19" t="s">
        <v>13069</v>
      </c>
      <c r="F134" s="3" t="s">
        <v>13520</v>
      </c>
      <c r="G134" s="372">
        <v>5</v>
      </c>
      <c r="H134" s="372" t="s">
        <v>199</v>
      </c>
      <c r="I134" s="394" t="s">
        <v>12</v>
      </c>
      <c r="J134" s="383" t="s">
        <v>13521</v>
      </c>
    </row>
    <row r="135" spans="1:10" ht="30" customHeight="1">
      <c r="A135" s="741"/>
      <c r="B135" s="741" t="s">
        <v>13522</v>
      </c>
      <c r="C135" s="741" t="s">
        <v>13523</v>
      </c>
      <c r="D135" s="3" t="s">
        <v>13524</v>
      </c>
      <c r="E135" s="19" t="s">
        <v>13080</v>
      </c>
      <c r="F135" s="3" t="s">
        <v>13525</v>
      </c>
      <c r="G135" s="372">
        <v>5</v>
      </c>
      <c r="H135" s="372" t="s">
        <v>199</v>
      </c>
      <c r="I135" s="394" t="s">
        <v>12</v>
      </c>
      <c r="J135" s="383" t="s">
        <v>13080</v>
      </c>
    </row>
    <row r="136" spans="1:10" ht="57" customHeight="1">
      <c r="A136" s="741"/>
      <c r="B136" s="741" t="s">
        <v>13526</v>
      </c>
      <c r="C136" s="741" t="s">
        <v>13527</v>
      </c>
      <c r="D136" s="3" t="s">
        <v>13528</v>
      </c>
      <c r="E136" s="19" t="s">
        <v>13069</v>
      </c>
      <c r="F136" s="3" t="s">
        <v>13529</v>
      </c>
      <c r="G136" s="372">
        <v>5</v>
      </c>
      <c r="H136" s="372" t="s">
        <v>199</v>
      </c>
      <c r="I136" s="394" t="s">
        <v>12</v>
      </c>
      <c r="J136" s="383" t="s">
        <v>13080</v>
      </c>
    </row>
    <row r="137" spans="1:10" ht="30" customHeight="1">
      <c r="A137" s="741"/>
      <c r="B137" s="741" t="s">
        <v>13530</v>
      </c>
      <c r="C137" s="741" t="s">
        <v>13531</v>
      </c>
      <c r="D137" s="3" t="s">
        <v>13532</v>
      </c>
      <c r="E137" s="19" t="s">
        <v>13075</v>
      </c>
      <c r="F137" s="3" t="s">
        <v>13533</v>
      </c>
      <c r="G137" s="372">
        <v>5</v>
      </c>
      <c r="H137" s="372" t="s">
        <v>199</v>
      </c>
      <c r="I137" s="394" t="s">
        <v>12</v>
      </c>
      <c r="J137" s="383" t="s">
        <v>13075</v>
      </c>
    </row>
    <row r="138" spans="1:10" ht="62.25" customHeight="1">
      <c r="A138" s="741"/>
      <c r="B138" s="741" t="s">
        <v>13534</v>
      </c>
      <c r="C138" s="741" t="s">
        <v>13535</v>
      </c>
      <c r="D138" s="749" t="s">
        <v>13536</v>
      </c>
      <c r="E138" s="19" t="s">
        <v>13537</v>
      </c>
      <c r="F138" s="3" t="s">
        <v>13538</v>
      </c>
      <c r="G138" s="372">
        <v>5</v>
      </c>
      <c r="H138" s="372" t="s">
        <v>199</v>
      </c>
      <c r="I138" s="394" t="s">
        <v>12</v>
      </c>
      <c r="J138" s="383" t="s">
        <v>13537</v>
      </c>
    </row>
    <row r="139" spans="1:10" ht="63" customHeight="1">
      <c r="A139" s="741"/>
      <c r="B139" s="741" t="s">
        <v>13539</v>
      </c>
      <c r="C139" s="741" t="s">
        <v>13540</v>
      </c>
      <c r="D139" s="749" t="s">
        <v>13536</v>
      </c>
      <c r="E139" s="19" t="s">
        <v>13537</v>
      </c>
      <c r="F139" s="3" t="s">
        <v>13538</v>
      </c>
      <c r="G139" s="372">
        <v>5</v>
      </c>
      <c r="H139" s="372" t="s">
        <v>199</v>
      </c>
      <c r="I139" s="394" t="s">
        <v>12</v>
      </c>
      <c r="J139" s="383" t="s">
        <v>13537</v>
      </c>
    </row>
    <row r="140" spans="1:10" ht="62.25" customHeight="1">
      <c r="A140" s="741"/>
      <c r="B140" s="741" t="s">
        <v>13541</v>
      </c>
      <c r="C140" s="741" t="s">
        <v>13542</v>
      </c>
      <c r="D140" s="749" t="s">
        <v>13536</v>
      </c>
      <c r="E140" s="19" t="s">
        <v>13543</v>
      </c>
      <c r="F140" s="3" t="s">
        <v>13538</v>
      </c>
      <c r="G140" s="372">
        <v>5</v>
      </c>
      <c r="H140" s="372" t="s">
        <v>199</v>
      </c>
      <c r="I140" s="394" t="s">
        <v>12</v>
      </c>
      <c r="J140" s="383" t="s">
        <v>13544</v>
      </c>
    </row>
    <row r="141" spans="1:10" ht="61.5" customHeight="1">
      <c r="A141" s="741"/>
      <c r="B141" s="741" t="s">
        <v>13545</v>
      </c>
      <c r="C141" s="741" t="s">
        <v>13546</v>
      </c>
      <c r="D141" s="749" t="s">
        <v>13547</v>
      </c>
      <c r="E141" s="19" t="s">
        <v>13548</v>
      </c>
      <c r="F141" s="3" t="s">
        <v>13549</v>
      </c>
      <c r="G141" s="372">
        <v>5</v>
      </c>
      <c r="H141" s="372" t="s">
        <v>199</v>
      </c>
      <c r="I141" s="394" t="s">
        <v>12</v>
      </c>
      <c r="J141" s="383" t="s">
        <v>13548</v>
      </c>
    </row>
    <row r="142" spans="1:10" ht="109.5" customHeight="1">
      <c r="A142" s="741"/>
      <c r="B142" s="741" t="s">
        <v>13550</v>
      </c>
      <c r="C142" s="741" t="s">
        <v>13551</v>
      </c>
      <c r="D142" s="3" t="s">
        <v>13552</v>
      </c>
      <c r="E142" s="19" t="s">
        <v>13069</v>
      </c>
      <c r="F142" s="3" t="s">
        <v>13553</v>
      </c>
      <c r="G142" s="372">
        <v>5</v>
      </c>
      <c r="H142" s="372" t="s">
        <v>199</v>
      </c>
      <c r="I142" s="394" t="s">
        <v>12</v>
      </c>
      <c r="J142" s="383" t="s">
        <v>13069</v>
      </c>
    </row>
    <row r="143" spans="1:10" ht="69.75" customHeight="1">
      <c r="A143" s="741"/>
      <c r="B143" s="741" t="s">
        <v>13554</v>
      </c>
      <c r="C143" s="741" t="s">
        <v>13555</v>
      </c>
      <c r="D143" s="3" t="s">
        <v>13556</v>
      </c>
      <c r="E143" s="19" t="s">
        <v>13557</v>
      </c>
      <c r="F143" s="3" t="s">
        <v>13558</v>
      </c>
      <c r="G143" s="372">
        <v>4</v>
      </c>
      <c r="H143" s="372" t="s">
        <v>199</v>
      </c>
      <c r="I143" s="394" t="s">
        <v>12</v>
      </c>
      <c r="J143" s="383" t="s">
        <v>13557</v>
      </c>
    </row>
    <row r="144" spans="1:10" ht="72.75" customHeight="1">
      <c r="A144" s="741"/>
      <c r="B144" s="741" t="s">
        <v>13559</v>
      </c>
      <c r="C144" s="741" t="s">
        <v>13560</v>
      </c>
      <c r="D144" s="3" t="s">
        <v>13556</v>
      </c>
      <c r="E144" s="19" t="s">
        <v>13557</v>
      </c>
      <c r="F144" s="3" t="s">
        <v>13558</v>
      </c>
      <c r="G144" s="372">
        <v>4</v>
      </c>
      <c r="H144" s="372" t="s">
        <v>199</v>
      </c>
      <c r="I144" s="394" t="s">
        <v>12</v>
      </c>
      <c r="J144" s="383" t="s">
        <v>13557</v>
      </c>
    </row>
    <row r="145" spans="1:10" ht="72" customHeight="1">
      <c r="A145" s="741"/>
      <c r="B145" s="741" t="s">
        <v>13561</v>
      </c>
      <c r="C145" s="741" t="s">
        <v>13562</v>
      </c>
      <c r="D145" s="3" t="s">
        <v>13556</v>
      </c>
      <c r="E145" s="19" t="s">
        <v>13557</v>
      </c>
      <c r="F145" s="3" t="s">
        <v>13558</v>
      </c>
      <c r="G145" s="372">
        <v>4</v>
      </c>
      <c r="H145" s="372" t="s">
        <v>199</v>
      </c>
      <c r="I145" s="394" t="s">
        <v>12</v>
      </c>
      <c r="J145" s="383" t="s">
        <v>13557</v>
      </c>
    </row>
    <row r="146" spans="1:10" ht="26.25" customHeight="1">
      <c r="A146" s="741"/>
      <c r="B146" s="741" t="s">
        <v>13563</v>
      </c>
      <c r="C146" s="741" t="s">
        <v>13564</v>
      </c>
      <c r="D146" s="3" t="s">
        <v>13565</v>
      </c>
      <c r="E146" s="19" t="s">
        <v>13080</v>
      </c>
      <c r="F146" s="3" t="s">
        <v>13566</v>
      </c>
      <c r="G146" s="372">
        <v>5</v>
      </c>
      <c r="H146" s="372" t="s">
        <v>199</v>
      </c>
      <c r="I146" s="394" t="s">
        <v>12</v>
      </c>
      <c r="J146" s="383" t="s">
        <v>13080</v>
      </c>
    </row>
    <row r="147" spans="1:10" ht="78" customHeight="1">
      <c r="A147" s="741"/>
      <c r="B147" s="741" t="s">
        <v>13567</v>
      </c>
      <c r="C147" s="741" t="s">
        <v>13568</v>
      </c>
      <c r="D147" s="3" t="s">
        <v>13569</v>
      </c>
      <c r="E147" s="19" t="s">
        <v>13080</v>
      </c>
      <c r="F147" s="3" t="s">
        <v>13570</v>
      </c>
      <c r="G147" s="372">
        <v>5</v>
      </c>
      <c r="H147" s="372" t="s">
        <v>199</v>
      </c>
      <c r="I147" s="394" t="s">
        <v>12</v>
      </c>
      <c r="J147" s="383" t="s">
        <v>13147</v>
      </c>
    </row>
    <row r="148" spans="1:10" ht="27.75" customHeight="1">
      <c r="A148" s="741"/>
      <c r="B148" s="741" t="s">
        <v>13571</v>
      </c>
      <c r="C148" s="741" t="s">
        <v>13572</v>
      </c>
      <c r="D148" s="3" t="s">
        <v>13573</v>
      </c>
      <c r="E148" s="19" t="s">
        <v>13080</v>
      </c>
      <c r="F148" s="3" t="s">
        <v>13574</v>
      </c>
      <c r="G148" s="372">
        <v>5</v>
      </c>
      <c r="H148" s="372" t="s">
        <v>199</v>
      </c>
      <c r="I148" s="394" t="s">
        <v>12</v>
      </c>
      <c r="J148" s="383" t="s">
        <v>13147</v>
      </c>
    </row>
    <row r="149" spans="1:10" ht="49.5" customHeight="1">
      <c r="A149" s="741"/>
      <c r="B149" s="741" t="s">
        <v>13575</v>
      </c>
      <c r="C149" s="741" t="s">
        <v>13576</v>
      </c>
      <c r="D149" s="3" t="s">
        <v>13577</v>
      </c>
      <c r="E149" s="19" t="s">
        <v>13147</v>
      </c>
      <c r="F149" s="3" t="s">
        <v>13578</v>
      </c>
      <c r="G149" s="372">
        <v>5</v>
      </c>
      <c r="H149" s="372" t="s">
        <v>199</v>
      </c>
      <c r="I149" s="394" t="s">
        <v>12</v>
      </c>
      <c r="J149" s="383" t="s">
        <v>13147</v>
      </c>
    </row>
    <row r="150" spans="1:10" ht="50.25" customHeight="1">
      <c r="A150" s="741"/>
      <c r="B150" s="741" t="s">
        <v>13579</v>
      </c>
      <c r="C150" s="741" t="s">
        <v>13580</v>
      </c>
      <c r="D150" s="3" t="s">
        <v>13581</v>
      </c>
      <c r="E150" s="19" t="s">
        <v>13147</v>
      </c>
      <c r="F150" s="3" t="s">
        <v>13578</v>
      </c>
      <c r="G150" s="372">
        <v>5</v>
      </c>
      <c r="H150" s="372" t="s">
        <v>199</v>
      </c>
      <c r="I150" s="394" t="s">
        <v>12</v>
      </c>
      <c r="J150" s="383" t="s">
        <v>13147</v>
      </c>
    </row>
    <row r="151" spans="1:10" ht="60" customHeight="1">
      <c r="A151" s="743" t="s">
        <v>13582</v>
      </c>
      <c r="B151" s="741" t="s">
        <v>13583</v>
      </c>
      <c r="C151" s="741" t="s">
        <v>13584</v>
      </c>
      <c r="D151" s="749" t="s">
        <v>13585</v>
      </c>
      <c r="E151" s="19" t="s">
        <v>676</v>
      </c>
      <c r="F151" s="3"/>
      <c r="G151" s="372">
        <v>5</v>
      </c>
      <c r="H151" s="372" t="s">
        <v>199</v>
      </c>
      <c r="I151" s="394" t="s">
        <v>12</v>
      </c>
      <c r="J151" s="383" t="s">
        <v>676</v>
      </c>
    </row>
    <row r="152" spans="1:10" ht="22.5">
      <c r="A152" s="744" t="s">
        <v>13586</v>
      </c>
      <c r="B152" s="741" t="s">
        <v>13587</v>
      </c>
      <c r="C152" s="741" t="s">
        <v>13588</v>
      </c>
      <c r="D152" s="749" t="s">
        <v>13589</v>
      </c>
      <c r="E152" s="19" t="s">
        <v>676</v>
      </c>
      <c r="F152" s="3"/>
      <c r="G152" s="372">
        <v>4</v>
      </c>
      <c r="H152" s="372" t="s">
        <v>199</v>
      </c>
      <c r="I152" s="394" t="s">
        <v>12</v>
      </c>
      <c r="J152" s="383" t="s">
        <v>676</v>
      </c>
    </row>
    <row r="153" spans="1:10">
      <c r="A153" s="744"/>
      <c r="B153" s="741" t="s">
        <v>13590</v>
      </c>
      <c r="C153" s="741" t="s">
        <v>13591</v>
      </c>
      <c r="D153" s="749" t="s">
        <v>13592</v>
      </c>
      <c r="E153" s="19" t="s">
        <v>13593</v>
      </c>
      <c r="F153" s="3"/>
      <c r="G153" s="372">
        <v>4</v>
      </c>
      <c r="H153" s="372" t="s">
        <v>199</v>
      </c>
      <c r="I153" s="394" t="s">
        <v>12</v>
      </c>
      <c r="J153" s="383" t="s">
        <v>13593</v>
      </c>
    </row>
    <row r="154" spans="1:10">
      <c r="A154" s="744"/>
      <c r="B154" s="741" t="s">
        <v>13594</v>
      </c>
      <c r="C154" s="741" t="s">
        <v>13595</v>
      </c>
      <c r="D154" s="3" t="s">
        <v>13596</v>
      </c>
      <c r="E154" s="19" t="s">
        <v>13069</v>
      </c>
      <c r="F154" s="3"/>
      <c r="G154" s="372">
        <v>5</v>
      </c>
      <c r="H154" s="372" t="s">
        <v>199</v>
      </c>
      <c r="I154" s="394" t="s">
        <v>14</v>
      </c>
      <c r="J154" s="383"/>
    </row>
    <row r="155" spans="1:10">
      <c r="A155" s="744"/>
      <c r="B155" s="741" t="s">
        <v>13597</v>
      </c>
      <c r="C155" s="741" t="s">
        <v>13598</v>
      </c>
      <c r="D155" s="3" t="s">
        <v>13599</v>
      </c>
      <c r="E155" s="19" t="s">
        <v>13069</v>
      </c>
      <c r="F155" s="3"/>
      <c r="G155" s="372">
        <v>5</v>
      </c>
      <c r="H155" s="372" t="s">
        <v>199</v>
      </c>
      <c r="I155" s="394" t="s">
        <v>14</v>
      </c>
      <c r="J155" s="383"/>
    </row>
    <row r="156" spans="1:10">
      <c r="A156" s="744"/>
      <c r="B156" s="741" t="s">
        <v>13600</v>
      </c>
      <c r="C156" s="741" t="s">
        <v>13601</v>
      </c>
      <c r="D156" s="3" t="s">
        <v>13602</v>
      </c>
      <c r="E156" s="19" t="s">
        <v>13080</v>
      </c>
      <c r="F156" s="3"/>
      <c r="G156" s="372">
        <v>5</v>
      </c>
      <c r="H156" s="372" t="s">
        <v>199</v>
      </c>
      <c r="I156" s="394" t="s">
        <v>14</v>
      </c>
      <c r="J156" s="383"/>
    </row>
    <row r="157" spans="1:10">
      <c r="A157" s="744"/>
      <c r="B157" s="741" t="s">
        <v>13603</v>
      </c>
      <c r="C157" s="741" t="s">
        <v>13604</v>
      </c>
      <c r="D157" s="3" t="s">
        <v>13605</v>
      </c>
      <c r="E157" s="19" t="s">
        <v>354</v>
      </c>
      <c r="F157" s="3"/>
      <c r="G157" s="372">
        <v>5</v>
      </c>
      <c r="H157" s="372" t="s">
        <v>199</v>
      </c>
      <c r="I157" s="394" t="s">
        <v>14</v>
      </c>
      <c r="J157" s="383"/>
    </row>
    <row r="158" spans="1:10">
      <c r="A158" s="744"/>
      <c r="B158" s="741" t="s">
        <v>13606</v>
      </c>
      <c r="C158" s="741" t="s">
        <v>13607</v>
      </c>
      <c r="D158" s="3" t="s">
        <v>13608</v>
      </c>
      <c r="E158" s="19" t="s">
        <v>13069</v>
      </c>
      <c r="F158" s="3"/>
      <c r="G158" s="372">
        <v>5</v>
      </c>
      <c r="H158" s="372" t="s">
        <v>199</v>
      </c>
      <c r="I158" s="394" t="s">
        <v>14</v>
      </c>
      <c r="J158" s="383"/>
    </row>
    <row r="159" spans="1:10">
      <c r="A159" s="744"/>
      <c r="B159" s="741" t="s">
        <v>13609</v>
      </c>
      <c r="C159" s="741" t="s">
        <v>13610</v>
      </c>
      <c r="D159" s="3" t="s">
        <v>13611</v>
      </c>
      <c r="E159" s="19" t="s">
        <v>13075</v>
      </c>
      <c r="F159" s="3"/>
      <c r="G159" s="372">
        <v>5</v>
      </c>
      <c r="H159" s="372" t="s">
        <v>199</v>
      </c>
      <c r="I159" s="394" t="s">
        <v>14</v>
      </c>
      <c r="J159" s="383"/>
    </row>
    <row r="160" spans="1:10">
      <c r="A160" s="744"/>
      <c r="B160" s="741" t="s">
        <v>13612</v>
      </c>
      <c r="C160" s="741" t="s">
        <v>13613</v>
      </c>
      <c r="D160" s="3" t="s">
        <v>13614</v>
      </c>
      <c r="E160" s="19" t="s">
        <v>13326</v>
      </c>
      <c r="F160" s="3"/>
      <c r="G160" s="372">
        <v>5</v>
      </c>
      <c r="H160" s="372" t="s">
        <v>199</v>
      </c>
      <c r="I160" s="394" t="s">
        <v>14</v>
      </c>
      <c r="J160" s="383"/>
    </row>
    <row r="161" spans="1:10">
      <c r="A161" s="744"/>
      <c r="B161" s="741" t="s">
        <v>13615</v>
      </c>
      <c r="C161" s="741" t="s">
        <v>13616</v>
      </c>
      <c r="D161" s="3" t="s">
        <v>13617</v>
      </c>
      <c r="E161" s="19" t="s">
        <v>13075</v>
      </c>
      <c r="F161" s="3"/>
      <c r="G161" s="372">
        <v>5</v>
      </c>
      <c r="H161" s="372" t="s">
        <v>199</v>
      </c>
      <c r="I161" s="394" t="s">
        <v>14</v>
      </c>
      <c r="J161" s="383"/>
    </row>
    <row r="162" spans="1:10">
      <c r="A162" s="744"/>
      <c r="B162" s="741" t="s">
        <v>13618</v>
      </c>
      <c r="C162" s="741" t="s">
        <v>13619</v>
      </c>
      <c r="D162" s="3" t="s">
        <v>13620</v>
      </c>
      <c r="E162" s="19" t="s">
        <v>13075</v>
      </c>
      <c r="F162" s="3"/>
      <c r="G162" s="372">
        <v>5</v>
      </c>
      <c r="H162" s="372" t="s">
        <v>199</v>
      </c>
      <c r="I162" s="394" t="s">
        <v>14</v>
      </c>
      <c r="J162" s="383"/>
    </row>
    <row r="163" spans="1:10">
      <c r="A163" s="744"/>
      <c r="B163" s="741" t="s">
        <v>13621</v>
      </c>
      <c r="C163" s="741" t="s">
        <v>13622</v>
      </c>
      <c r="D163" s="3" t="s">
        <v>13623</v>
      </c>
      <c r="E163" s="19" t="s">
        <v>13075</v>
      </c>
      <c r="F163" s="3"/>
      <c r="G163" s="372">
        <v>5</v>
      </c>
      <c r="H163" s="372" t="s">
        <v>199</v>
      </c>
      <c r="I163" s="394" t="s">
        <v>14</v>
      </c>
      <c r="J163" s="383"/>
    </row>
    <row r="164" spans="1:10">
      <c r="A164" s="744"/>
      <c r="B164" s="741" t="s">
        <v>13624</v>
      </c>
      <c r="C164" s="741" t="s">
        <v>13625</v>
      </c>
      <c r="D164" s="3" t="s">
        <v>13626</v>
      </c>
      <c r="E164" s="19" t="s">
        <v>13075</v>
      </c>
      <c r="F164" s="3"/>
      <c r="G164" s="372">
        <v>5</v>
      </c>
      <c r="H164" s="372" t="s">
        <v>199</v>
      </c>
      <c r="I164" s="394" t="s">
        <v>14</v>
      </c>
      <c r="J164" s="383"/>
    </row>
    <row r="165" spans="1:10">
      <c r="A165" s="744"/>
      <c r="B165" s="741" t="s">
        <v>13627</v>
      </c>
      <c r="C165" s="741" t="s">
        <v>13628</v>
      </c>
      <c r="D165" s="3" t="s">
        <v>13629</v>
      </c>
      <c r="E165" s="19" t="s">
        <v>13075</v>
      </c>
      <c r="F165" s="3"/>
      <c r="G165" s="372">
        <v>5</v>
      </c>
      <c r="H165" s="372" t="s">
        <v>199</v>
      </c>
      <c r="I165" s="394" t="s">
        <v>14</v>
      </c>
      <c r="J165" s="383"/>
    </row>
    <row r="166" spans="1:10">
      <c r="A166" s="744"/>
      <c r="B166" s="741" t="s">
        <v>13630</v>
      </c>
      <c r="C166" s="741" t="s">
        <v>13631</v>
      </c>
      <c r="D166" s="3" t="s">
        <v>13632</v>
      </c>
      <c r="E166" s="19" t="s">
        <v>13075</v>
      </c>
      <c r="F166" s="3"/>
      <c r="G166" s="372">
        <v>5</v>
      </c>
      <c r="H166" s="372" t="s">
        <v>199</v>
      </c>
      <c r="I166" s="394" t="s">
        <v>14</v>
      </c>
      <c r="J166" s="383"/>
    </row>
    <row r="167" spans="1:10">
      <c r="A167" s="744"/>
      <c r="B167" s="741" t="s">
        <v>13633</v>
      </c>
      <c r="C167" s="741" t="s">
        <v>13634</v>
      </c>
      <c r="D167" s="3" t="s">
        <v>13635</v>
      </c>
      <c r="E167" s="19" t="s">
        <v>13075</v>
      </c>
      <c r="F167" s="3"/>
      <c r="G167" s="372">
        <v>5</v>
      </c>
      <c r="H167" s="372" t="s">
        <v>199</v>
      </c>
      <c r="I167" s="394" t="s">
        <v>14</v>
      </c>
      <c r="J167" s="383"/>
    </row>
    <row r="168" spans="1:10">
      <c r="A168" s="744"/>
      <c r="B168" s="741" t="s">
        <v>13636</v>
      </c>
      <c r="C168" s="741" t="s">
        <v>13637</v>
      </c>
      <c r="D168" s="3" t="s">
        <v>13638</v>
      </c>
      <c r="E168" s="19" t="s">
        <v>13075</v>
      </c>
      <c r="F168" s="3"/>
      <c r="G168" s="372">
        <v>5</v>
      </c>
      <c r="H168" s="372" t="s">
        <v>199</v>
      </c>
      <c r="I168" s="394" t="s">
        <v>14</v>
      </c>
      <c r="J168" s="383"/>
    </row>
    <row r="169" spans="1:10">
      <c r="A169" s="744"/>
      <c r="B169" s="741" t="s">
        <v>13639</v>
      </c>
      <c r="C169" s="741" t="s">
        <v>13640</v>
      </c>
      <c r="D169" s="3" t="s">
        <v>13605</v>
      </c>
      <c r="E169" s="19" t="s">
        <v>13080</v>
      </c>
      <c r="F169" s="3"/>
      <c r="G169" s="372">
        <v>5</v>
      </c>
      <c r="H169" s="372" t="s">
        <v>199</v>
      </c>
      <c r="I169" s="394" t="s">
        <v>14</v>
      </c>
      <c r="J169" s="383"/>
    </row>
    <row r="170" spans="1:10">
      <c r="A170" s="744"/>
      <c r="B170" s="741" t="s">
        <v>13641</v>
      </c>
      <c r="C170" s="741" t="s">
        <v>13642</v>
      </c>
      <c r="D170" s="3" t="s">
        <v>13605</v>
      </c>
      <c r="E170" s="19" t="s">
        <v>13080</v>
      </c>
      <c r="F170" s="3"/>
      <c r="G170" s="372">
        <v>5</v>
      </c>
      <c r="H170" s="372" t="s">
        <v>199</v>
      </c>
      <c r="I170" s="394" t="s">
        <v>14</v>
      </c>
      <c r="J170" s="383"/>
    </row>
    <row r="171" spans="1:10">
      <c r="A171" s="744"/>
      <c r="B171" s="741" t="s">
        <v>13643</v>
      </c>
      <c r="C171" s="741" t="s">
        <v>13644</v>
      </c>
      <c r="D171" s="3" t="s">
        <v>13605</v>
      </c>
      <c r="E171" s="19" t="s">
        <v>13080</v>
      </c>
      <c r="F171" s="3"/>
      <c r="G171" s="372">
        <v>5</v>
      </c>
      <c r="H171" s="372" t="s">
        <v>199</v>
      </c>
      <c r="I171" s="394" t="s">
        <v>14</v>
      </c>
      <c r="J171" s="383"/>
    </row>
    <row r="172" spans="1:10">
      <c r="A172" s="744"/>
      <c r="B172" s="741" t="s">
        <v>13645</v>
      </c>
      <c r="C172" s="741" t="s">
        <v>13646</v>
      </c>
      <c r="D172" s="3" t="s">
        <v>13605</v>
      </c>
      <c r="E172" s="19" t="s">
        <v>13543</v>
      </c>
      <c r="F172" s="3"/>
      <c r="G172" s="372">
        <v>5</v>
      </c>
      <c r="H172" s="372" t="s">
        <v>199</v>
      </c>
      <c r="I172" s="394" t="s">
        <v>14</v>
      </c>
      <c r="J172" s="383"/>
    </row>
    <row r="173" spans="1:10">
      <c r="A173" s="744"/>
      <c r="B173" s="741" t="s">
        <v>13647</v>
      </c>
      <c r="C173" s="741" t="s">
        <v>13648</v>
      </c>
      <c r="D173" s="3" t="s">
        <v>13605</v>
      </c>
      <c r="E173" s="19" t="s">
        <v>13543</v>
      </c>
      <c r="F173" s="3"/>
      <c r="G173" s="372">
        <v>5</v>
      </c>
      <c r="H173" s="372" t="s">
        <v>199</v>
      </c>
      <c r="I173" s="394" t="s">
        <v>14</v>
      </c>
      <c r="J173" s="383"/>
    </row>
    <row r="174" spans="1:10">
      <c r="A174" s="744"/>
      <c r="B174" s="741" t="s">
        <v>13649</v>
      </c>
      <c r="C174" s="741" t="s">
        <v>13650</v>
      </c>
      <c r="D174" s="3" t="s">
        <v>13651</v>
      </c>
      <c r="E174" s="19" t="s">
        <v>13147</v>
      </c>
      <c r="F174" s="3"/>
      <c r="G174" s="372">
        <v>5</v>
      </c>
      <c r="H174" s="372" t="s">
        <v>199</v>
      </c>
      <c r="I174" s="394" t="s">
        <v>14</v>
      </c>
      <c r="J174" s="383"/>
    </row>
    <row r="175" spans="1:10">
      <c r="A175" s="14"/>
      <c r="B175" s="14"/>
      <c r="C175" s="14"/>
      <c r="D175" s="3"/>
      <c r="E175" s="14"/>
      <c r="F175" s="3"/>
      <c r="G175" s="372"/>
      <c r="H175" s="372"/>
      <c r="I175" s="394"/>
      <c r="J175" s="758"/>
    </row>
    <row r="176" spans="1:10">
      <c r="A176" s="14"/>
      <c r="B176" s="14"/>
      <c r="C176" s="14"/>
      <c r="D176" s="3"/>
      <c r="E176" s="14"/>
      <c r="F176" s="3"/>
      <c r="G176" s="372"/>
      <c r="H176" s="372"/>
      <c r="I176" s="394"/>
      <c r="J176" s="758"/>
    </row>
    <row r="177" spans="1:10" ht="35.25" thickBot="1">
      <c r="A177" s="737" t="s">
        <v>13652</v>
      </c>
      <c r="B177" s="738" t="s">
        <v>13653</v>
      </c>
      <c r="C177" s="738" t="s">
        <v>13654</v>
      </c>
      <c r="D177" s="739" t="s">
        <v>13655</v>
      </c>
      <c r="E177" s="19" t="s">
        <v>13326</v>
      </c>
      <c r="F177" s="739" t="s">
        <v>13656</v>
      </c>
      <c r="G177" s="38"/>
      <c r="H177" s="38"/>
      <c r="I177" s="394" t="s">
        <v>14</v>
      </c>
      <c r="J177" s="383"/>
    </row>
    <row r="178" spans="1:10" ht="35.25" thickBot="1">
      <c r="A178" s="24"/>
      <c r="B178" s="14" t="s">
        <v>13657</v>
      </c>
      <c r="C178" s="32" t="s">
        <v>13654</v>
      </c>
      <c r="D178" s="23" t="s">
        <v>13655</v>
      </c>
      <c r="E178" s="19" t="s">
        <v>13658</v>
      </c>
      <c r="F178" s="23" t="s">
        <v>13656</v>
      </c>
      <c r="G178" s="372"/>
      <c r="H178" s="372"/>
      <c r="I178" s="394" t="s">
        <v>14</v>
      </c>
      <c r="J178" s="383"/>
    </row>
    <row r="179" spans="1:10" ht="34.5">
      <c r="A179" s="24"/>
      <c r="B179" s="14" t="s">
        <v>13659</v>
      </c>
      <c r="C179" s="32" t="s">
        <v>13654</v>
      </c>
      <c r="D179" s="23" t="s">
        <v>13655</v>
      </c>
      <c r="E179" s="19" t="s">
        <v>13332</v>
      </c>
      <c r="F179" s="23" t="s">
        <v>13656</v>
      </c>
      <c r="G179" s="372"/>
      <c r="H179" s="372"/>
      <c r="I179" s="394" t="s">
        <v>14</v>
      </c>
      <c r="J179" s="383"/>
    </row>
    <row r="180" spans="1:10" ht="45.75">
      <c r="A180" s="24"/>
      <c r="B180" s="14" t="s">
        <v>13660</v>
      </c>
      <c r="C180" s="14" t="s">
        <v>12747</v>
      </c>
      <c r="D180" s="3" t="s">
        <v>13661</v>
      </c>
      <c r="E180" s="19" t="s">
        <v>13326</v>
      </c>
      <c r="F180" s="3" t="s">
        <v>13662</v>
      </c>
      <c r="G180" s="372"/>
      <c r="H180" s="372"/>
      <c r="I180" s="394" t="s">
        <v>12</v>
      </c>
      <c r="J180" s="383" t="s">
        <v>13326</v>
      </c>
    </row>
    <row r="181" spans="1:10" ht="45.75">
      <c r="A181" s="24"/>
      <c r="B181" s="14" t="s">
        <v>13663</v>
      </c>
      <c r="C181" s="14" t="s">
        <v>12747</v>
      </c>
      <c r="D181" s="3" t="s">
        <v>13661</v>
      </c>
      <c r="E181" s="19" t="s">
        <v>13658</v>
      </c>
      <c r="F181" s="3" t="s">
        <v>13662</v>
      </c>
      <c r="G181" s="372"/>
      <c r="H181" s="372"/>
      <c r="I181" s="394" t="s">
        <v>12</v>
      </c>
      <c r="J181" s="383" t="s">
        <v>13658</v>
      </c>
    </row>
    <row r="182" spans="1:10" ht="45.75">
      <c r="A182" s="24"/>
      <c r="B182" s="14" t="s">
        <v>13664</v>
      </c>
      <c r="C182" s="14" t="s">
        <v>12747</v>
      </c>
      <c r="D182" s="3" t="s">
        <v>13661</v>
      </c>
      <c r="E182" s="19" t="s">
        <v>13332</v>
      </c>
      <c r="F182" s="3" t="s">
        <v>13662</v>
      </c>
      <c r="G182" s="372"/>
      <c r="H182" s="372"/>
      <c r="I182" s="394" t="s">
        <v>12</v>
      </c>
      <c r="J182" s="383" t="s">
        <v>13332</v>
      </c>
    </row>
    <row r="183" spans="1:10" ht="45.75">
      <c r="A183" s="24"/>
      <c r="B183" s="14" t="s">
        <v>13665</v>
      </c>
      <c r="C183" s="14" t="s">
        <v>13666</v>
      </c>
      <c r="D183" s="3" t="s">
        <v>13667</v>
      </c>
      <c r="E183" s="19" t="s">
        <v>13658</v>
      </c>
      <c r="F183" s="3" t="s">
        <v>13668</v>
      </c>
      <c r="G183" s="372"/>
      <c r="H183" s="372"/>
      <c r="I183" s="394" t="s">
        <v>12</v>
      </c>
      <c r="J183" s="383" t="s">
        <v>13658</v>
      </c>
    </row>
    <row r="184" spans="1:10" ht="45.75">
      <c r="A184" s="24"/>
      <c r="B184" s="14" t="s">
        <v>13669</v>
      </c>
      <c r="C184" s="14" t="s">
        <v>13666</v>
      </c>
      <c r="D184" s="3" t="s">
        <v>13667</v>
      </c>
      <c r="E184" s="19" t="s">
        <v>13332</v>
      </c>
      <c r="F184" s="3" t="s">
        <v>13668</v>
      </c>
      <c r="G184" s="372"/>
      <c r="H184" s="372"/>
      <c r="I184" s="394" t="s">
        <v>12</v>
      </c>
      <c r="J184" s="383" t="s">
        <v>13332</v>
      </c>
    </row>
    <row r="185" spans="1:10" ht="34.5">
      <c r="A185" s="31"/>
      <c r="B185" s="22" t="s">
        <v>13670</v>
      </c>
      <c r="C185" s="22" t="s">
        <v>13671</v>
      </c>
      <c r="D185" s="11" t="s">
        <v>13672</v>
      </c>
      <c r="E185" s="19" t="s">
        <v>13069</v>
      </c>
      <c r="F185" s="11" t="s">
        <v>13673</v>
      </c>
      <c r="G185" s="12"/>
      <c r="H185" s="12"/>
      <c r="I185" s="394" t="s">
        <v>12</v>
      </c>
      <c r="J185" s="383" t="s">
        <v>13674</v>
      </c>
    </row>
  </sheetData>
  <phoneticPr fontId="39" type="noConversion"/>
  <conditionalFormatting sqref="I9:I185">
    <cfRule type="containsText" dxfId="11" priority="3" operator="containsText" text="Yes">
      <formula>NOT(ISERROR(SEARCH("Yes",I9)))</formula>
    </cfRule>
  </conditionalFormatting>
  <dataValidations count="1">
    <dataValidation type="list" allowBlank="1" showInputMessage="1" showErrorMessage="1" sqref="I9:I185" xr:uid="{00000000-0002-0000-1A00-000000000000}">
      <formula1>"No,Yes"</formula1>
    </dataValidation>
  </dataValidations>
  <hyperlinks>
    <hyperlink ref="B6" r:id="rId1" xr:uid="{00000000-0004-0000-1A00-000000000000}"/>
  </hyperlinks>
  <pageMargins left="0.7" right="0.7" top="0.75" bottom="0.75" header="0.3" footer="0.3"/>
  <pageSetup paperSize="9" orientation="portrait" r:id="rId2"/>
  <tableParts count="1">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F40AC-EA2F-4F60-8073-D97C5CBA0F2E}">
  <dimension ref="A2:C72"/>
  <sheetViews>
    <sheetView topLeftCell="A83" workbookViewId="0">
      <selection activeCell="A4" sqref="A4:C4"/>
    </sheetView>
  </sheetViews>
  <sheetFormatPr defaultRowHeight="15"/>
  <cols>
    <col min="1" max="1" width="40.28515625" customWidth="1"/>
    <col min="2" max="2" width="131.7109375" customWidth="1"/>
    <col min="3" max="3" width="29.7109375" customWidth="1"/>
  </cols>
  <sheetData>
    <row r="2" spans="1:3">
      <c r="A2" s="684" t="s">
        <v>13675</v>
      </c>
    </row>
    <row r="3" spans="1:3">
      <c r="A3" s="685" t="s">
        <v>13676</v>
      </c>
    </row>
    <row r="4" spans="1:3" ht="41.45" customHeight="1">
      <c r="A4" s="798" t="s">
        <v>13677</v>
      </c>
      <c r="B4" s="812"/>
      <c r="C4" s="812"/>
    </row>
    <row r="5" spans="1:3">
      <c r="A5" s="691"/>
    </row>
    <row r="6" spans="1:3">
      <c r="A6" s="686" t="s">
        <v>13678</v>
      </c>
    </row>
    <row r="7" spans="1:3">
      <c r="A7" s="687" t="s">
        <v>12668</v>
      </c>
      <c r="B7" s="687" t="s">
        <v>20</v>
      </c>
      <c r="C7" s="688" t="s">
        <v>13679</v>
      </c>
    </row>
    <row r="8" spans="1:3">
      <c r="A8" s="689" t="s">
        <v>13680</v>
      </c>
      <c r="B8" s="689" t="s">
        <v>13681</v>
      </c>
      <c r="C8" s="799" t="s">
        <v>13682</v>
      </c>
    </row>
    <row r="9" spans="1:3">
      <c r="A9" s="689" t="s">
        <v>13683</v>
      </c>
      <c r="B9" s="689" t="s">
        <v>13684</v>
      </c>
      <c r="C9" s="799"/>
    </row>
    <row r="10" spans="1:3">
      <c r="A10" s="689" t="s">
        <v>13685</v>
      </c>
      <c r="B10" s="689" t="s">
        <v>13686</v>
      </c>
      <c r="C10" s="799"/>
    </row>
    <row r="11" spans="1:3">
      <c r="A11" s="689" t="s">
        <v>13687</v>
      </c>
      <c r="B11" s="689" t="s">
        <v>13688</v>
      </c>
      <c r="C11" s="799"/>
    </row>
    <row r="12" spans="1:3">
      <c r="A12" s="689" t="s">
        <v>13689</v>
      </c>
      <c r="B12" s="689" t="s">
        <v>13690</v>
      </c>
      <c r="C12" s="799"/>
    </row>
    <row r="13" spans="1:3" ht="20.100000000000001" customHeight="1">
      <c r="A13" s="689" t="s">
        <v>13691</v>
      </c>
      <c r="B13" s="689" t="s">
        <v>13692</v>
      </c>
      <c r="C13" s="799"/>
    </row>
    <row r="14" spans="1:3" ht="20.100000000000001" customHeight="1">
      <c r="A14" s="689" t="s">
        <v>13693</v>
      </c>
      <c r="B14" s="689" t="s">
        <v>13694</v>
      </c>
      <c r="C14" s="799"/>
    </row>
    <row r="15" spans="1:3" ht="20.100000000000001" customHeight="1">
      <c r="A15" s="689" t="s">
        <v>12829</v>
      </c>
      <c r="B15" s="689" t="s">
        <v>13695</v>
      </c>
      <c r="C15" s="799"/>
    </row>
    <row r="16" spans="1:3">
      <c r="A16" s="689" t="s">
        <v>13696</v>
      </c>
      <c r="B16" s="689" t="s">
        <v>13697</v>
      </c>
      <c r="C16" s="799"/>
    </row>
    <row r="17" spans="1:3">
      <c r="A17" s="689" t="s">
        <v>13698</v>
      </c>
      <c r="B17" s="689" t="s">
        <v>13699</v>
      </c>
      <c r="C17" s="799"/>
    </row>
    <row r="18" spans="1:3" ht="20.100000000000001" customHeight="1">
      <c r="A18" s="689" t="s">
        <v>13700</v>
      </c>
      <c r="B18" s="689" t="s">
        <v>13701</v>
      </c>
      <c r="C18" s="799"/>
    </row>
    <row r="19" spans="1:3">
      <c r="A19" s="689" t="s">
        <v>13702</v>
      </c>
      <c r="B19" s="689" t="s">
        <v>13703</v>
      </c>
      <c r="C19" s="799"/>
    </row>
    <row r="20" spans="1:3">
      <c r="A20" s="689" t="s">
        <v>13704</v>
      </c>
      <c r="B20" s="689" t="s">
        <v>13705</v>
      </c>
      <c r="C20" s="799"/>
    </row>
    <row r="21" spans="1:3">
      <c r="A21" s="689" t="s">
        <v>13706</v>
      </c>
      <c r="B21" s="689" t="s">
        <v>13707</v>
      </c>
      <c r="C21" s="799"/>
    </row>
    <row r="22" spans="1:3">
      <c r="A22" s="689" t="s">
        <v>13708</v>
      </c>
      <c r="B22" s="689" t="s">
        <v>13709</v>
      </c>
      <c r="C22" s="799"/>
    </row>
    <row r="23" spans="1:3">
      <c r="A23" s="689" t="s">
        <v>13710</v>
      </c>
      <c r="B23" s="689" t="s">
        <v>13711</v>
      </c>
      <c r="C23" s="799"/>
    </row>
    <row r="24" spans="1:3">
      <c r="A24" s="689" t="s">
        <v>13712</v>
      </c>
      <c r="B24" s="689" t="s">
        <v>13713</v>
      </c>
      <c r="C24" s="799"/>
    </row>
    <row r="25" spans="1:3">
      <c r="A25" s="689" t="s">
        <v>13714</v>
      </c>
      <c r="B25" s="689" t="s">
        <v>13715</v>
      </c>
      <c r="C25" s="799"/>
    </row>
    <row r="26" spans="1:3" ht="36.950000000000003" customHeight="1">
      <c r="A26" s="689" t="s">
        <v>13716</v>
      </c>
      <c r="B26" s="689" t="s">
        <v>13717</v>
      </c>
      <c r="C26" s="799"/>
    </row>
    <row r="27" spans="1:3">
      <c r="A27" s="689" t="s">
        <v>13718</v>
      </c>
      <c r="B27" s="689" t="s">
        <v>13719</v>
      </c>
      <c r="C27" s="799"/>
    </row>
    <row r="28" spans="1:3">
      <c r="A28" s="689" t="s">
        <v>13720</v>
      </c>
      <c r="B28" s="689" t="s">
        <v>13721</v>
      </c>
      <c r="C28" s="799"/>
    </row>
    <row r="29" spans="1:3">
      <c r="A29" s="689" t="s">
        <v>13722</v>
      </c>
      <c r="B29" s="689" t="s">
        <v>13723</v>
      </c>
      <c r="C29" s="799"/>
    </row>
    <row r="30" spans="1:3">
      <c r="A30" s="689" t="s">
        <v>13724</v>
      </c>
      <c r="B30" s="689" t="s">
        <v>13725</v>
      </c>
      <c r="C30" s="799"/>
    </row>
    <row r="31" spans="1:3">
      <c r="A31" s="689" t="s">
        <v>13726</v>
      </c>
      <c r="B31" s="689" t="s">
        <v>13727</v>
      </c>
      <c r="C31" s="799"/>
    </row>
    <row r="32" spans="1:3" ht="30" customHeight="1">
      <c r="A32" s="689" t="s">
        <v>13728</v>
      </c>
      <c r="B32" s="689" t="s">
        <v>13729</v>
      </c>
      <c r="C32" s="799"/>
    </row>
    <row r="33" spans="1:3" ht="39.950000000000003" customHeight="1">
      <c r="A33" s="689" t="s">
        <v>13730</v>
      </c>
      <c r="B33" s="689" t="s">
        <v>13731</v>
      </c>
      <c r="C33" s="799"/>
    </row>
    <row r="34" spans="1:3" ht="39.950000000000003" customHeight="1">
      <c r="A34" s="689" t="s">
        <v>13732</v>
      </c>
      <c r="B34" s="689" t="s">
        <v>13733</v>
      </c>
      <c r="C34" s="799"/>
    </row>
    <row r="35" spans="1:3" ht="30" customHeight="1">
      <c r="A35" s="689" t="s">
        <v>13734</v>
      </c>
      <c r="B35" s="689" t="s">
        <v>13735</v>
      </c>
      <c r="C35" s="799"/>
    </row>
    <row r="36" spans="1:3">
      <c r="A36" s="689" t="s">
        <v>11927</v>
      </c>
      <c r="B36" s="689" t="s">
        <v>13736</v>
      </c>
      <c r="C36" s="799"/>
    </row>
    <row r="37" spans="1:3" ht="30" customHeight="1">
      <c r="A37" s="689" t="s">
        <v>13737</v>
      </c>
      <c r="B37" s="689" t="s">
        <v>13738</v>
      </c>
      <c r="C37" s="799"/>
    </row>
    <row r="38" spans="1:3" ht="48.6" customHeight="1">
      <c r="A38" s="689" t="s">
        <v>13739</v>
      </c>
      <c r="B38" s="689" t="s">
        <v>13740</v>
      </c>
      <c r="C38" s="799"/>
    </row>
    <row r="39" spans="1:3">
      <c r="A39" s="689" t="s">
        <v>13741</v>
      </c>
      <c r="B39" s="689" t="s">
        <v>13742</v>
      </c>
      <c r="C39" s="799"/>
    </row>
    <row r="40" spans="1:3">
      <c r="A40" s="689" t="s">
        <v>13743</v>
      </c>
      <c r="B40" s="689"/>
      <c r="C40" s="799"/>
    </row>
    <row r="41" spans="1:3" ht="71.45" customHeight="1">
      <c r="A41" s="689" t="s">
        <v>13744</v>
      </c>
      <c r="B41" s="689" t="s">
        <v>13745</v>
      </c>
      <c r="C41" s="799"/>
    </row>
    <row r="42" spans="1:3" ht="69.95" customHeight="1">
      <c r="A42" s="689" t="s">
        <v>13746</v>
      </c>
      <c r="B42" s="689" t="s">
        <v>13747</v>
      </c>
      <c r="C42" s="799"/>
    </row>
    <row r="43" spans="1:3" ht="65.45" customHeight="1">
      <c r="A43" s="689" t="s">
        <v>13748</v>
      </c>
      <c r="B43" s="689" t="s">
        <v>13749</v>
      </c>
      <c r="C43" s="799"/>
    </row>
    <row r="44" spans="1:3" ht="68.45" customHeight="1">
      <c r="A44" s="689" t="s">
        <v>13750</v>
      </c>
      <c r="B44" s="689" t="s">
        <v>13751</v>
      </c>
      <c r="C44" s="799"/>
    </row>
    <row r="45" spans="1:3" ht="42.6" customHeight="1">
      <c r="A45" s="689" t="s">
        <v>13752</v>
      </c>
      <c r="B45" s="689" t="s">
        <v>13753</v>
      </c>
      <c r="C45" s="799"/>
    </row>
    <row r="46" spans="1:3" ht="20.100000000000001" customHeight="1">
      <c r="A46" s="689" t="s">
        <v>13754</v>
      </c>
      <c r="B46" s="689" t="s">
        <v>13755</v>
      </c>
      <c r="C46" s="799"/>
    </row>
    <row r="47" spans="1:3" ht="42.95" customHeight="1">
      <c r="A47" s="689" t="s">
        <v>13756</v>
      </c>
      <c r="B47" s="689" t="s">
        <v>13757</v>
      </c>
      <c r="C47" s="799"/>
    </row>
    <row r="48" spans="1:3" ht="75" customHeight="1">
      <c r="A48" s="689" t="s">
        <v>13758</v>
      </c>
      <c r="B48" s="689" t="s">
        <v>13759</v>
      </c>
      <c r="C48" s="799"/>
    </row>
    <row r="49" spans="1:3">
      <c r="A49" s="689" t="s">
        <v>13760</v>
      </c>
      <c r="B49" s="689" t="s">
        <v>13761</v>
      </c>
      <c r="C49" s="799"/>
    </row>
    <row r="50" spans="1:3">
      <c r="A50" s="689" t="s">
        <v>13762</v>
      </c>
      <c r="B50" s="689" t="s">
        <v>13763</v>
      </c>
      <c r="C50" s="799"/>
    </row>
    <row r="51" spans="1:3">
      <c r="A51" s="689" t="s">
        <v>13764</v>
      </c>
      <c r="B51" s="689" t="s">
        <v>13765</v>
      </c>
      <c r="C51" s="799"/>
    </row>
    <row r="52" spans="1:3" ht="78" customHeight="1">
      <c r="A52" s="689" t="s">
        <v>13766</v>
      </c>
      <c r="B52" s="689" t="s">
        <v>13767</v>
      </c>
      <c r="C52" s="799"/>
    </row>
    <row r="53" spans="1:3">
      <c r="A53" s="689" t="s">
        <v>13768</v>
      </c>
      <c r="B53" s="689" t="s">
        <v>13769</v>
      </c>
      <c r="C53" s="799"/>
    </row>
    <row r="54" spans="1:3" ht="20.100000000000001" customHeight="1">
      <c r="A54" s="689" t="s">
        <v>13770</v>
      </c>
      <c r="B54" s="689" t="s">
        <v>13771</v>
      </c>
      <c r="C54" s="799"/>
    </row>
    <row r="55" spans="1:3" ht="20.100000000000001" customHeight="1">
      <c r="A55" s="689" t="s">
        <v>13772</v>
      </c>
      <c r="B55" s="689" t="s">
        <v>13773</v>
      </c>
      <c r="C55" s="799"/>
    </row>
    <row r="56" spans="1:3" ht="20.100000000000001" customHeight="1">
      <c r="A56" s="689" t="s">
        <v>13774</v>
      </c>
      <c r="B56" s="689" t="s">
        <v>13775</v>
      </c>
      <c r="C56" s="799"/>
    </row>
    <row r="57" spans="1:3" ht="72.599999999999994" customHeight="1">
      <c r="A57" s="689" t="s">
        <v>13776</v>
      </c>
      <c r="B57" s="689" t="s">
        <v>13777</v>
      </c>
      <c r="C57" s="799"/>
    </row>
    <row r="58" spans="1:3" ht="51.6" customHeight="1">
      <c r="A58" s="689" t="s">
        <v>13778</v>
      </c>
      <c r="B58" s="689" t="s">
        <v>13779</v>
      </c>
      <c r="C58" s="799"/>
    </row>
    <row r="59" spans="1:3">
      <c r="A59" s="689" t="s">
        <v>13780</v>
      </c>
      <c r="B59" s="689" t="s">
        <v>13781</v>
      </c>
      <c r="C59" s="799"/>
    </row>
    <row r="60" spans="1:3" ht="30" customHeight="1">
      <c r="A60" s="689" t="s">
        <v>13782</v>
      </c>
      <c r="B60" s="689" t="s">
        <v>13783</v>
      </c>
      <c r="C60" s="799"/>
    </row>
    <row r="61" spans="1:3" ht="41.1" customHeight="1">
      <c r="A61" s="689" t="s">
        <v>13784</v>
      </c>
      <c r="B61" s="689" t="s">
        <v>13785</v>
      </c>
      <c r="C61" s="799"/>
    </row>
    <row r="62" spans="1:3" ht="26.1" customHeight="1">
      <c r="A62" s="689" t="s">
        <v>13786</v>
      </c>
      <c r="B62" s="689" t="s">
        <v>13787</v>
      </c>
      <c r="C62" s="799"/>
    </row>
    <row r="63" spans="1:3" ht="38.450000000000003" customHeight="1">
      <c r="A63" s="689" t="s">
        <v>13788</v>
      </c>
      <c r="B63" s="689" t="s">
        <v>13789</v>
      </c>
      <c r="C63" s="799"/>
    </row>
    <row r="64" spans="1:3" ht="26.45" customHeight="1">
      <c r="A64" s="689" t="s">
        <v>13790</v>
      </c>
      <c r="B64" s="689" t="s">
        <v>13791</v>
      </c>
      <c r="C64" s="799"/>
    </row>
    <row r="65" spans="1:3" ht="42" customHeight="1">
      <c r="A65" s="689" t="s">
        <v>13792</v>
      </c>
      <c r="B65" s="689" t="s">
        <v>13793</v>
      </c>
      <c r="C65" s="799"/>
    </row>
    <row r="66" spans="1:3">
      <c r="A66" s="689" t="s">
        <v>13794</v>
      </c>
      <c r="B66" s="689" t="s">
        <v>13795</v>
      </c>
      <c r="C66" s="799"/>
    </row>
    <row r="67" spans="1:3">
      <c r="A67" s="689" t="s">
        <v>13796</v>
      </c>
      <c r="B67" s="689" t="s">
        <v>13797</v>
      </c>
      <c r="C67" s="799"/>
    </row>
    <row r="68" spans="1:3" ht="32.450000000000003" customHeight="1">
      <c r="A68" s="689" t="s">
        <v>13798</v>
      </c>
      <c r="B68" s="689" t="s">
        <v>13799</v>
      </c>
      <c r="C68" s="799"/>
    </row>
    <row r="69" spans="1:3" ht="30" customHeight="1">
      <c r="A69" s="689" t="s">
        <v>13800</v>
      </c>
      <c r="B69" s="689" t="s">
        <v>13801</v>
      </c>
      <c r="C69" s="799"/>
    </row>
    <row r="70" spans="1:3" ht="45" customHeight="1">
      <c r="A70" s="689" t="s">
        <v>13802</v>
      </c>
      <c r="B70" s="689" t="s">
        <v>13803</v>
      </c>
      <c r="C70" s="799"/>
    </row>
    <row r="71" spans="1:3" ht="30" customHeight="1">
      <c r="A71" s="689" t="s">
        <v>13804</v>
      </c>
      <c r="B71" s="689" t="s">
        <v>13805</v>
      </c>
      <c r="C71" s="799"/>
    </row>
    <row r="72" spans="1:3" ht="30" customHeight="1">
      <c r="A72" s="689" t="s">
        <v>13806</v>
      </c>
      <c r="B72" s="689" t="s">
        <v>13807</v>
      </c>
      <c r="C72" s="799"/>
    </row>
  </sheetData>
  <autoFilter ref="A7:C7" xr:uid="{B9452B10-B889-4A4D-AC4B-135430A1695C}"/>
  <mergeCells count="2">
    <mergeCell ref="A4:C4"/>
    <mergeCell ref="C8:C7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5" tint="0.39997558519241921"/>
  </sheetPr>
  <dimension ref="B1:J21"/>
  <sheetViews>
    <sheetView showGridLines="0" zoomScale="85" zoomScaleNormal="85" workbookViewId="0">
      <selection activeCell="J34" sqref="J34"/>
    </sheetView>
  </sheetViews>
  <sheetFormatPr defaultColWidth="23.5703125" defaultRowHeight="11.25"/>
  <cols>
    <col min="1" max="1" width="3.5703125" style="30" bestFit="1" customWidth="1"/>
    <col min="2" max="2" width="28.28515625" style="10" bestFit="1" customWidth="1"/>
    <col min="3" max="3" width="45.85546875" style="10" customWidth="1"/>
    <col min="4" max="5" width="10.5703125" style="10" customWidth="1"/>
    <col min="6" max="6" width="25.5703125" style="21" customWidth="1"/>
    <col min="7" max="7" width="25.5703125" style="10" customWidth="1"/>
    <col min="8" max="8" width="29" style="21" customWidth="1"/>
    <col min="9" max="9" width="60.5703125" style="21" customWidth="1"/>
    <col min="10" max="16384" width="23.5703125" style="30"/>
  </cols>
  <sheetData>
    <row r="1" spans="2:9">
      <c r="E1" s="21"/>
      <c r="F1" s="10"/>
      <c r="G1" s="21"/>
      <c r="I1" s="30"/>
    </row>
    <row r="2" spans="2:9">
      <c r="E2" s="21"/>
      <c r="F2" s="10"/>
      <c r="G2" s="21"/>
      <c r="I2" s="30"/>
    </row>
    <row r="3" spans="2:9">
      <c r="E3" s="21"/>
      <c r="F3" s="10"/>
      <c r="G3" s="21"/>
      <c r="I3" s="30"/>
    </row>
    <row r="4" spans="2:9">
      <c r="E4" s="21"/>
      <c r="F4" s="10"/>
      <c r="G4" s="21"/>
      <c r="I4" s="30"/>
    </row>
    <row r="5" spans="2:9" ht="12.75">
      <c r="B5" s="35" t="s">
        <v>13808</v>
      </c>
    </row>
    <row r="6" spans="2:9" ht="12.75">
      <c r="B6" s="15" t="s">
        <v>13809</v>
      </c>
    </row>
    <row r="7" spans="2:9">
      <c r="B7" s="800" t="s">
        <v>13810</v>
      </c>
      <c r="C7" s="800"/>
      <c r="D7" s="800"/>
      <c r="E7" s="800"/>
      <c r="F7" s="800"/>
      <c r="G7" s="800"/>
      <c r="H7" s="20"/>
      <c r="I7" s="20"/>
    </row>
    <row r="8" spans="2:9">
      <c r="B8" s="21"/>
      <c r="C8" s="21"/>
      <c r="D8" s="21"/>
      <c r="E8" s="21"/>
      <c r="G8" s="21"/>
    </row>
    <row r="9" spans="2:9" ht="12.75">
      <c r="B9" s="15" t="s">
        <v>13811</v>
      </c>
      <c r="C9" s="21"/>
      <c r="D9" s="21"/>
      <c r="E9" s="21"/>
      <c r="G9" s="21"/>
    </row>
    <row r="10" spans="2:9">
      <c r="B10" s="801" t="s">
        <v>13812</v>
      </c>
      <c r="C10" s="801"/>
      <c r="D10" s="801"/>
      <c r="E10" s="801"/>
      <c r="F10" s="801"/>
      <c r="G10" s="801"/>
    </row>
    <row r="11" spans="2:9">
      <c r="C11" s="21"/>
      <c r="D11" s="21"/>
      <c r="E11" s="21"/>
      <c r="G11" s="21"/>
    </row>
    <row r="12" spans="2:9" ht="12.75">
      <c r="B12" s="15" t="s">
        <v>13813</v>
      </c>
      <c r="C12" s="21"/>
      <c r="D12" s="21"/>
      <c r="E12" s="21"/>
      <c r="G12" s="21"/>
    </row>
    <row r="13" spans="2:9">
      <c r="B13" s="800" t="s">
        <v>13814</v>
      </c>
      <c r="C13" s="800"/>
      <c r="D13" s="800"/>
      <c r="E13" s="800"/>
      <c r="F13" s="800"/>
      <c r="G13" s="800"/>
      <c r="H13" s="20"/>
      <c r="I13" s="20"/>
    </row>
    <row r="14" spans="2:9">
      <c r="C14" s="21"/>
      <c r="D14" s="21"/>
      <c r="E14" s="21"/>
      <c r="G14" s="21"/>
    </row>
    <row r="15" spans="2:9" ht="12.75">
      <c r="B15" s="15" t="s">
        <v>13815</v>
      </c>
      <c r="C15" s="21"/>
      <c r="D15" s="21"/>
      <c r="E15" s="21"/>
      <c r="G15" s="21"/>
    </row>
    <row r="16" spans="2:9" ht="24.75" customHeight="1">
      <c r="B16" s="800" t="s">
        <v>13816</v>
      </c>
      <c r="C16" s="800"/>
      <c r="D16" s="800"/>
      <c r="E16" s="800"/>
      <c r="F16" s="800"/>
      <c r="G16" s="800"/>
      <c r="H16" s="37"/>
      <c r="I16" s="37"/>
    </row>
    <row r="17" spans="2:10">
      <c r="B17" s="21"/>
      <c r="C17" s="21"/>
      <c r="D17" s="21"/>
      <c r="E17" s="21"/>
      <c r="G17" s="21"/>
    </row>
    <row r="18" spans="2:10" ht="12.75">
      <c r="B18" s="15" t="s">
        <v>13678</v>
      </c>
      <c r="C18" s="21"/>
      <c r="D18" s="21"/>
      <c r="E18" s="21"/>
      <c r="G18" s="21"/>
    </row>
    <row r="19" spans="2:10" ht="25.5">
      <c r="B19" s="25" t="s">
        <v>19</v>
      </c>
      <c r="C19" s="25" t="s">
        <v>13817</v>
      </c>
      <c r="D19" s="25" t="s">
        <v>171</v>
      </c>
      <c r="E19" s="25" t="s">
        <v>170</v>
      </c>
      <c r="F19" s="25" t="s">
        <v>20</v>
      </c>
      <c r="G19" s="25" t="s">
        <v>11101</v>
      </c>
      <c r="H19" s="25" t="s">
        <v>13818</v>
      </c>
      <c r="I19" s="25" t="s">
        <v>121</v>
      </c>
      <c r="J19" s="280"/>
    </row>
    <row r="20" spans="2:10" ht="45">
      <c r="B20" s="8" t="s">
        <v>13819</v>
      </c>
      <c r="C20" s="8" t="s">
        <v>12740</v>
      </c>
      <c r="D20" s="8" t="s">
        <v>12691</v>
      </c>
      <c r="E20" s="9" t="s">
        <v>13820</v>
      </c>
      <c r="F20" s="9" t="s">
        <v>13821</v>
      </c>
      <c r="G20" s="8"/>
      <c r="H20" s="9"/>
      <c r="I20" s="9"/>
    </row>
    <row r="21" spans="2:10" ht="67.5">
      <c r="B21" s="8" t="s">
        <v>13819</v>
      </c>
      <c r="C21" s="8" t="s">
        <v>13822</v>
      </c>
      <c r="D21" s="8" t="s">
        <v>12675</v>
      </c>
      <c r="E21" s="9" t="s">
        <v>13820</v>
      </c>
      <c r="F21" s="9" t="s">
        <v>13823</v>
      </c>
      <c r="G21" s="8"/>
      <c r="H21" s="9"/>
      <c r="I21" s="9"/>
    </row>
  </sheetData>
  <autoFilter ref="B19:I19" xr:uid="{00000000-0009-0000-0000-00001B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5" tint="0.39997558519241921"/>
  </sheetPr>
  <dimension ref="B1:I21"/>
  <sheetViews>
    <sheetView showGridLines="0" topLeftCell="B8" workbookViewId="0">
      <selection activeCell="F30" sqref="F30"/>
    </sheetView>
  </sheetViews>
  <sheetFormatPr defaultColWidth="23.5703125" defaultRowHeight="11.25"/>
  <cols>
    <col min="1" max="1" width="3.5703125" style="30" bestFit="1" customWidth="1"/>
    <col min="2" max="2" width="31" style="10" customWidth="1"/>
    <col min="3" max="3" width="53" style="10" customWidth="1"/>
    <col min="4" max="5" width="10.5703125" style="10" customWidth="1"/>
    <col min="6" max="6" width="25.5703125" style="21" customWidth="1"/>
    <col min="7" max="7" width="25.5703125" style="10" customWidth="1"/>
    <col min="8" max="8" width="29" style="21" customWidth="1"/>
    <col min="9" max="9" width="60.5703125" style="21" customWidth="1"/>
    <col min="10" max="16384" width="23.5703125" style="30"/>
  </cols>
  <sheetData>
    <row r="1" spans="2:9">
      <c r="E1" s="21"/>
      <c r="F1" s="10"/>
      <c r="G1" s="21"/>
      <c r="I1" s="30"/>
    </row>
    <row r="2" spans="2:9">
      <c r="E2" s="21"/>
      <c r="F2" s="10"/>
      <c r="G2" s="21"/>
      <c r="I2" s="30"/>
    </row>
    <row r="3" spans="2:9">
      <c r="E3" s="21"/>
      <c r="F3" s="10"/>
      <c r="G3" s="21"/>
      <c r="I3" s="30"/>
    </row>
    <row r="4" spans="2:9">
      <c r="E4" s="21"/>
      <c r="F4" s="10"/>
      <c r="G4" s="21"/>
      <c r="I4" s="30"/>
    </row>
    <row r="5" spans="2:9" ht="12.75">
      <c r="B5" s="35" t="s">
        <v>90</v>
      </c>
    </row>
    <row r="6" spans="2:9" ht="12.75">
      <c r="B6" s="15" t="s">
        <v>13809</v>
      </c>
    </row>
    <row r="7" spans="2:9">
      <c r="B7" s="800" t="s">
        <v>13824</v>
      </c>
      <c r="C7" s="800"/>
      <c r="D7" s="800"/>
      <c r="E7" s="800"/>
      <c r="F7" s="800"/>
      <c r="G7" s="800"/>
      <c r="H7" s="20"/>
      <c r="I7" s="20"/>
    </row>
    <row r="8" spans="2:9">
      <c r="B8" s="21"/>
      <c r="C8" s="21"/>
      <c r="D8" s="21"/>
      <c r="E8" s="21"/>
      <c r="G8" s="21"/>
    </row>
    <row r="9" spans="2:9" ht="12.75">
      <c r="B9" s="15" t="s">
        <v>13811</v>
      </c>
      <c r="C9" s="21"/>
      <c r="D9" s="21"/>
      <c r="E9" s="21"/>
      <c r="G9" s="21"/>
    </row>
    <row r="10" spans="2:9">
      <c r="B10" s="801" t="s">
        <v>13825</v>
      </c>
      <c r="C10" s="801"/>
      <c r="D10" s="801"/>
      <c r="E10" s="801"/>
      <c r="F10" s="801"/>
      <c r="G10" s="801"/>
    </row>
    <row r="11" spans="2:9">
      <c r="C11" s="21"/>
      <c r="D11" s="21"/>
      <c r="E11" s="21"/>
      <c r="G11" s="21"/>
    </row>
    <row r="12" spans="2:9" ht="12.75">
      <c r="B12" s="15" t="s">
        <v>13813</v>
      </c>
      <c r="C12" s="21"/>
      <c r="D12" s="21"/>
      <c r="E12" s="21"/>
      <c r="G12" s="21"/>
    </row>
    <row r="13" spans="2:9">
      <c r="B13" s="800" t="s">
        <v>13814</v>
      </c>
      <c r="C13" s="800"/>
      <c r="D13" s="800"/>
      <c r="E13" s="800"/>
      <c r="F13" s="800"/>
      <c r="G13" s="800"/>
      <c r="H13" s="20"/>
      <c r="I13" s="20"/>
    </row>
    <row r="14" spans="2:9">
      <c r="C14" s="21"/>
      <c r="D14" s="21"/>
      <c r="E14" s="21"/>
      <c r="G14" s="21"/>
    </row>
    <row r="15" spans="2:9" ht="12.75">
      <c r="B15" s="15" t="s">
        <v>13815</v>
      </c>
      <c r="C15" s="21"/>
      <c r="D15" s="21"/>
      <c r="E15" s="21"/>
      <c r="G15" s="21"/>
    </row>
    <row r="16" spans="2:9" ht="24.75" customHeight="1">
      <c r="B16" s="800" t="s">
        <v>13826</v>
      </c>
      <c r="C16" s="800"/>
      <c r="D16" s="800"/>
      <c r="E16" s="800"/>
      <c r="F16" s="800"/>
      <c r="G16" s="800"/>
      <c r="H16" s="37"/>
      <c r="I16" s="37"/>
    </row>
    <row r="17" spans="2:9">
      <c r="B17" s="21"/>
      <c r="C17" s="21"/>
      <c r="D17" s="21"/>
      <c r="E17" s="21"/>
      <c r="G17" s="21"/>
    </row>
    <row r="18" spans="2:9" ht="12.75">
      <c r="B18" s="15" t="s">
        <v>13678</v>
      </c>
      <c r="C18" s="21"/>
      <c r="D18" s="21"/>
      <c r="E18" s="21"/>
      <c r="G18" s="21"/>
    </row>
    <row r="19" spans="2:9" ht="25.5">
      <c r="B19" s="25" t="s">
        <v>19</v>
      </c>
      <c r="C19" s="25" t="s">
        <v>13817</v>
      </c>
      <c r="D19" s="25" t="s">
        <v>171</v>
      </c>
      <c r="E19" s="25" t="s">
        <v>170</v>
      </c>
      <c r="F19" s="25" t="s">
        <v>20</v>
      </c>
      <c r="G19" s="25" t="s">
        <v>11101</v>
      </c>
      <c r="H19" s="25" t="s">
        <v>13818</v>
      </c>
      <c r="I19" s="25" t="s">
        <v>121</v>
      </c>
    </row>
    <row r="20" spans="2:9" ht="67.5">
      <c r="B20" s="8" t="s">
        <v>13827</v>
      </c>
      <c r="C20" s="8" t="s">
        <v>13822</v>
      </c>
      <c r="D20" s="8" t="s">
        <v>12675</v>
      </c>
      <c r="E20" s="9" t="s">
        <v>135</v>
      </c>
      <c r="F20" s="9" t="s">
        <v>13823</v>
      </c>
      <c r="G20" s="8"/>
      <c r="H20" s="9"/>
      <c r="I20" s="9"/>
    </row>
    <row r="21" spans="2:9" ht="22.5">
      <c r="B21" s="8" t="s">
        <v>13827</v>
      </c>
      <c r="C21" s="8" t="s">
        <v>13828</v>
      </c>
      <c r="D21" s="8" t="s">
        <v>13829</v>
      </c>
      <c r="E21" s="9" t="s">
        <v>135</v>
      </c>
      <c r="F21" s="9" t="s">
        <v>13830</v>
      </c>
      <c r="G21" s="9"/>
      <c r="H21" s="9"/>
      <c r="I21" s="9"/>
    </row>
  </sheetData>
  <autoFilter ref="B19:I19" xr:uid="{00000000-0009-0000-0000-00001C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theme="5" tint="0.39997558519241921"/>
  </sheetPr>
  <dimension ref="B1:I21"/>
  <sheetViews>
    <sheetView showGridLines="0" topLeftCell="I15" workbookViewId="0"/>
  </sheetViews>
  <sheetFormatPr defaultColWidth="23.5703125" defaultRowHeight="11.25"/>
  <cols>
    <col min="1" max="1" width="3.5703125" style="30" bestFit="1" customWidth="1"/>
    <col min="2" max="2" width="29" style="10" customWidth="1"/>
    <col min="3" max="3" width="53" style="10" customWidth="1"/>
    <col min="4" max="5" width="10.5703125" style="10" customWidth="1"/>
    <col min="6" max="6" width="25.5703125" style="21" customWidth="1"/>
    <col min="7" max="7" width="25.5703125" style="10" customWidth="1"/>
    <col min="8" max="8" width="29" style="21" customWidth="1"/>
    <col min="9" max="9" width="60.5703125" style="21" customWidth="1"/>
    <col min="10" max="16384" width="23.5703125" style="30"/>
  </cols>
  <sheetData>
    <row r="1" spans="2:9">
      <c r="E1" s="21"/>
      <c r="F1" s="10"/>
      <c r="G1" s="21"/>
      <c r="I1" s="30"/>
    </row>
    <row r="2" spans="2:9">
      <c r="E2" s="21"/>
      <c r="F2" s="10"/>
      <c r="G2" s="21"/>
      <c r="I2" s="30"/>
    </row>
    <row r="3" spans="2:9">
      <c r="E3" s="21"/>
      <c r="F3" s="10"/>
      <c r="G3" s="21"/>
      <c r="I3" s="30"/>
    </row>
    <row r="4" spans="2:9">
      <c r="E4" s="21"/>
      <c r="F4" s="10"/>
      <c r="G4" s="21"/>
      <c r="I4" s="30"/>
    </row>
    <row r="5" spans="2:9" ht="12.75">
      <c r="B5" s="35" t="s">
        <v>13831</v>
      </c>
    </row>
    <row r="6" spans="2:9" ht="12.75">
      <c r="B6" s="15" t="s">
        <v>13809</v>
      </c>
    </row>
    <row r="7" spans="2:9">
      <c r="B7" s="800" t="s">
        <v>13832</v>
      </c>
      <c r="C7" s="800"/>
      <c r="D7" s="800"/>
      <c r="E7" s="800"/>
      <c r="F7" s="800"/>
      <c r="G7" s="800"/>
      <c r="H7" s="20"/>
      <c r="I7" s="20"/>
    </row>
    <row r="8" spans="2:9">
      <c r="B8" s="21"/>
      <c r="C8" s="21"/>
      <c r="D8" s="21"/>
      <c r="E8" s="21"/>
      <c r="G8" s="21"/>
    </row>
    <row r="9" spans="2:9" ht="12.75">
      <c r="B9" s="15" t="s">
        <v>13811</v>
      </c>
      <c r="C9" s="21"/>
      <c r="D9" s="21"/>
      <c r="E9" s="21"/>
      <c r="G9" s="21"/>
    </row>
    <row r="10" spans="2:9">
      <c r="B10" s="801" t="s">
        <v>13825</v>
      </c>
      <c r="C10" s="801"/>
      <c r="D10" s="801"/>
      <c r="E10" s="801"/>
      <c r="F10" s="801"/>
      <c r="G10" s="801"/>
    </row>
    <row r="11" spans="2:9">
      <c r="C11" s="21"/>
      <c r="D11" s="21"/>
      <c r="E11" s="21"/>
      <c r="G11" s="21"/>
    </row>
    <row r="12" spans="2:9" ht="12.75">
      <c r="B12" s="15" t="s">
        <v>13813</v>
      </c>
      <c r="C12" s="21"/>
      <c r="D12" s="21"/>
      <c r="E12" s="21"/>
      <c r="G12" s="21"/>
    </row>
    <row r="13" spans="2:9">
      <c r="B13" s="800" t="s">
        <v>13814</v>
      </c>
      <c r="C13" s="800"/>
      <c r="D13" s="800"/>
      <c r="E13" s="800"/>
      <c r="F13" s="800"/>
      <c r="G13" s="800"/>
      <c r="H13" s="20"/>
      <c r="I13" s="20"/>
    </row>
    <row r="14" spans="2:9">
      <c r="C14" s="21"/>
      <c r="D14" s="21"/>
      <c r="E14" s="21"/>
      <c r="G14" s="21"/>
    </row>
    <row r="15" spans="2:9" ht="12.75">
      <c r="B15" s="15" t="s">
        <v>13815</v>
      </c>
      <c r="C15" s="21"/>
      <c r="D15" s="21"/>
      <c r="E15" s="21"/>
      <c r="G15" s="21"/>
    </row>
    <row r="16" spans="2:9" ht="24.75" customHeight="1">
      <c r="B16" s="800" t="s">
        <v>13833</v>
      </c>
      <c r="C16" s="800"/>
      <c r="D16" s="800"/>
      <c r="E16" s="800"/>
      <c r="F16" s="800"/>
      <c r="G16" s="800"/>
      <c r="H16" s="37"/>
      <c r="I16" s="37"/>
    </row>
    <row r="17" spans="2:9">
      <c r="B17" s="21"/>
      <c r="C17" s="21"/>
      <c r="D17" s="21"/>
      <c r="E17" s="21"/>
      <c r="G17" s="21"/>
    </row>
    <row r="18" spans="2:9" ht="12.75">
      <c r="B18" s="15" t="s">
        <v>13678</v>
      </c>
      <c r="C18" s="21"/>
      <c r="D18" s="21"/>
      <c r="E18" s="21"/>
      <c r="G18" s="21"/>
    </row>
    <row r="19" spans="2:9" ht="25.5">
      <c r="B19" s="25" t="s">
        <v>19</v>
      </c>
      <c r="C19" s="25" t="s">
        <v>13817</v>
      </c>
      <c r="D19" s="25" t="s">
        <v>171</v>
      </c>
      <c r="E19" s="25" t="s">
        <v>170</v>
      </c>
      <c r="F19" s="25" t="s">
        <v>20</v>
      </c>
      <c r="G19" s="25" t="s">
        <v>11101</v>
      </c>
      <c r="H19" s="25" t="s">
        <v>13818</v>
      </c>
      <c r="I19" s="25" t="s">
        <v>121</v>
      </c>
    </row>
    <row r="20" spans="2:9" ht="67.5">
      <c r="B20" s="8" t="s">
        <v>13834</v>
      </c>
      <c r="C20" s="8" t="s">
        <v>13822</v>
      </c>
      <c r="D20" s="8" t="s">
        <v>12675</v>
      </c>
      <c r="E20" s="9" t="s">
        <v>135</v>
      </c>
      <c r="F20" s="9" t="s">
        <v>13823</v>
      </c>
      <c r="G20" s="8"/>
      <c r="H20" s="9"/>
      <c r="I20" s="9"/>
    </row>
    <row r="21" spans="2:9" ht="22.5">
      <c r="B21" s="8" t="s">
        <v>13834</v>
      </c>
      <c r="C21" s="8" t="s">
        <v>13067</v>
      </c>
      <c r="D21" s="8" t="s">
        <v>13835</v>
      </c>
      <c r="E21" s="9" t="s">
        <v>135</v>
      </c>
      <c r="F21" s="9" t="s">
        <v>13836</v>
      </c>
      <c r="G21" s="9"/>
      <c r="H21" s="9"/>
      <c r="I21" s="9"/>
    </row>
  </sheetData>
  <autoFilter ref="B19:I19" xr:uid="{00000000-0009-0000-0000-00001D000000}"/>
  <mergeCells count="4">
    <mergeCell ref="B7:G7"/>
    <mergeCell ref="B10:G10"/>
    <mergeCell ref="B13:G13"/>
    <mergeCell ref="B16:G16"/>
  </mergeCells>
  <pageMargins left="0.70866141732283472" right="0.70866141732283472" top="0.74803149606299213" bottom="0.74803149606299213" header="0.31496062992125984" footer="0.31496062992125984"/>
  <pageSetup paperSize="8" scale="9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5" tint="0.39997558519241921"/>
  </sheetPr>
  <dimension ref="B1:I24"/>
  <sheetViews>
    <sheetView showGridLines="0" topLeftCell="A15" workbookViewId="0">
      <selection activeCell="F24" sqref="F24"/>
    </sheetView>
  </sheetViews>
  <sheetFormatPr defaultRowHeight="15"/>
  <cols>
    <col min="1" max="1" width="2.85546875" customWidth="1"/>
    <col min="2" max="2" width="25.5703125" customWidth="1"/>
    <col min="3" max="3" width="48.5703125" customWidth="1"/>
    <col min="4" max="4" width="10.5703125" customWidth="1"/>
    <col min="5" max="5" width="15.5703125" customWidth="1"/>
    <col min="6" max="8" width="25.5703125" customWidth="1"/>
    <col min="9" max="9" width="57.28515625" customWidth="1"/>
  </cols>
  <sheetData>
    <row r="1" spans="2:9" ht="15" customHeight="1">
      <c r="B1" s="807" t="s">
        <v>7</v>
      </c>
      <c r="C1" s="807"/>
      <c r="D1" s="807"/>
      <c r="E1" s="807"/>
      <c r="F1" s="807"/>
      <c r="G1" s="807"/>
      <c r="H1" s="807"/>
      <c r="I1" s="807"/>
    </row>
    <row r="2" spans="2:9" s="30" customFormat="1" ht="12.75">
      <c r="B2" s="35" t="s">
        <v>13837</v>
      </c>
      <c r="C2" s="10"/>
      <c r="D2" s="10"/>
      <c r="E2" s="10"/>
      <c r="F2" s="21"/>
      <c r="G2" s="10"/>
      <c r="H2" s="21"/>
      <c r="I2" s="21"/>
    </row>
    <row r="3" spans="2:9" s="30" customFormat="1" ht="12.75">
      <c r="B3" s="15" t="s">
        <v>13809</v>
      </c>
      <c r="C3" s="10"/>
      <c r="D3" s="10"/>
      <c r="E3" s="10"/>
      <c r="F3" s="21"/>
      <c r="G3" s="10"/>
      <c r="H3" s="21"/>
      <c r="I3" s="21"/>
    </row>
    <row r="4" spans="2:9" s="30" customFormat="1" ht="68.25" customHeight="1">
      <c r="B4" s="805" t="s">
        <v>13838</v>
      </c>
      <c r="C4" s="805"/>
      <c r="D4" s="805"/>
      <c r="E4" s="805"/>
      <c r="F4" s="805"/>
      <c r="G4" s="805"/>
      <c r="H4" s="805"/>
      <c r="I4" s="805"/>
    </row>
    <row r="5" spans="2:9" s="30" customFormat="1" ht="15" customHeight="1">
      <c r="B5" s="21"/>
      <c r="C5" s="21"/>
      <c r="D5" s="21"/>
      <c r="E5" s="21"/>
      <c r="F5" s="21"/>
      <c r="G5" s="21"/>
      <c r="H5" s="21"/>
      <c r="I5" s="21"/>
    </row>
    <row r="6" spans="2:9" s="30" customFormat="1" ht="12" customHeight="1">
      <c r="B6" s="15" t="s">
        <v>13811</v>
      </c>
      <c r="C6" s="21"/>
      <c r="D6" s="21"/>
      <c r="E6" s="21"/>
      <c r="F6" s="21"/>
      <c r="G6" s="21"/>
      <c r="H6" s="21"/>
      <c r="I6" s="21"/>
    </row>
    <row r="7" spans="2:9" s="30" customFormat="1" ht="59.25" customHeight="1">
      <c r="B7" s="805" t="s">
        <v>13839</v>
      </c>
      <c r="C7" s="805"/>
      <c r="D7" s="805"/>
      <c r="E7" s="805"/>
      <c r="F7" s="805"/>
      <c r="G7" s="805"/>
      <c r="H7" s="805"/>
      <c r="I7" s="805"/>
    </row>
    <row r="8" spans="2:9" s="30" customFormat="1" ht="12" customHeight="1">
      <c r="B8" s="10"/>
      <c r="C8" s="21"/>
      <c r="D8" s="21"/>
      <c r="E8" s="21"/>
      <c r="F8" s="21"/>
      <c r="G8" s="21"/>
      <c r="H8" s="21"/>
      <c r="I8" s="21"/>
    </row>
    <row r="9" spans="2:9" s="30" customFormat="1" ht="12" customHeight="1">
      <c r="B9" s="15" t="s">
        <v>13813</v>
      </c>
      <c r="C9" s="21"/>
      <c r="D9" s="21"/>
      <c r="E9" s="21"/>
      <c r="F9" s="21"/>
      <c r="G9" s="21"/>
      <c r="H9" s="21"/>
      <c r="I9" s="21"/>
    </row>
    <row r="10" spans="2:9" s="30" customFormat="1" ht="23.25" customHeight="1">
      <c r="B10" s="806" t="s">
        <v>13814</v>
      </c>
      <c r="C10" s="805"/>
      <c r="D10" s="805"/>
      <c r="E10" s="805"/>
      <c r="F10" s="805"/>
      <c r="G10" s="805"/>
      <c r="H10" s="805"/>
      <c r="I10" s="805"/>
    </row>
    <row r="11" spans="2:9" s="30" customFormat="1" ht="12" customHeight="1">
      <c r="B11" s="10"/>
      <c r="C11" s="21"/>
      <c r="D11" s="21"/>
      <c r="E11" s="21"/>
      <c r="F11" s="21"/>
      <c r="G11" s="21"/>
      <c r="H11" s="21"/>
      <c r="I11" s="21"/>
    </row>
    <row r="12" spans="2:9" s="30" customFormat="1" ht="12" customHeight="1">
      <c r="B12" s="15" t="s">
        <v>13815</v>
      </c>
      <c r="C12" s="21"/>
      <c r="D12" s="21"/>
      <c r="E12" s="21"/>
      <c r="F12" s="21"/>
      <c r="G12" s="21"/>
      <c r="H12" s="21"/>
      <c r="I12" s="21"/>
    </row>
    <row r="13" spans="2:9" s="30" customFormat="1" ht="21.75" customHeight="1">
      <c r="B13" s="805" t="s">
        <v>13840</v>
      </c>
      <c r="C13" s="805"/>
      <c r="D13" s="805"/>
      <c r="E13" s="805"/>
      <c r="F13" s="805"/>
      <c r="G13" s="805"/>
      <c r="H13" s="805"/>
      <c r="I13" s="805"/>
    </row>
    <row r="14" spans="2:9" s="30" customFormat="1" ht="12" customHeight="1">
      <c r="B14" s="21"/>
      <c r="C14" s="21"/>
      <c r="D14" s="21"/>
      <c r="E14" s="21"/>
      <c r="F14" s="21"/>
      <c r="G14" s="21"/>
      <c r="H14" s="21"/>
    </row>
    <row r="15" spans="2:9" s="30" customFormat="1" ht="12" customHeight="1">
      <c r="B15" s="21"/>
      <c r="C15" s="21"/>
      <c r="D15" s="21"/>
      <c r="E15" s="21"/>
      <c r="F15" s="21"/>
      <c r="G15" s="21"/>
      <c r="H15" s="21"/>
    </row>
    <row r="16" spans="2:9" s="30" customFormat="1" ht="12" customHeight="1">
      <c r="B16" s="21"/>
      <c r="C16" s="21"/>
      <c r="D16" s="21"/>
      <c r="E16" s="21"/>
      <c r="F16" s="21"/>
      <c r="G16" s="21"/>
      <c r="H16" s="21"/>
    </row>
    <row r="17" spans="2:9" s="30" customFormat="1" ht="12" customHeight="1">
      <c r="B17" s="21"/>
      <c r="C17" s="21"/>
      <c r="D17" s="21"/>
      <c r="E17" s="21"/>
      <c r="F17" s="21"/>
      <c r="G17" s="21"/>
      <c r="H17" s="21"/>
    </row>
    <row r="18" spans="2:9" s="30" customFormat="1" ht="12.75" customHeight="1">
      <c r="B18" s="15" t="s">
        <v>13678</v>
      </c>
      <c r="C18" s="21"/>
      <c r="D18" s="21"/>
      <c r="E18" s="21"/>
      <c r="F18" s="21"/>
      <c r="G18" s="21"/>
      <c r="H18" s="21"/>
      <c r="I18" s="21"/>
    </row>
    <row r="19" spans="2:9" ht="25.5">
      <c r="B19" s="25" t="s">
        <v>19</v>
      </c>
      <c r="C19" s="25" t="s">
        <v>13817</v>
      </c>
      <c r="D19" s="25" t="s">
        <v>171</v>
      </c>
      <c r="E19" s="25" t="s">
        <v>13841</v>
      </c>
      <c r="F19" s="25" t="s">
        <v>20</v>
      </c>
      <c r="G19" s="25" t="s">
        <v>11101</v>
      </c>
      <c r="H19" s="25" t="s">
        <v>13818</v>
      </c>
      <c r="I19" s="25" t="s">
        <v>121</v>
      </c>
    </row>
    <row r="20" spans="2:9" ht="22.5">
      <c r="B20" s="8" t="s">
        <v>13842</v>
      </c>
      <c r="C20" s="8" t="s">
        <v>13843</v>
      </c>
      <c r="D20" s="8" t="s">
        <v>13829</v>
      </c>
      <c r="E20" s="8" t="s">
        <v>13844</v>
      </c>
      <c r="F20" s="9" t="s">
        <v>13845</v>
      </c>
      <c r="G20" s="8"/>
      <c r="H20" s="9" t="s">
        <v>13846</v>
      </c>
      <c r="I20" s="9" t="s">
        <v>13847</v>
      </c>
    </row>
    <row r="21" spans="2:9">
      <c r="B21" s="8" t="s">
        <v>13842</v>
      </c>
      <c r="C21" s="8" t="s">
        <v>11371</v>
      </c>
      <c r="D21" s="8" t="s">
        <v>12816</v>
      </c>
      <c r="E21" s="8" t="s">
        <v>13844</v>
      </c>
      <c r="F21" s="9" t="s">
        <v>13848</v>
      </c>
      <c r="G21" s="8"/>
      <c r="H21" s="802" t="s">
        <v>13849</v>
      </c>
      <c r="I21" s="9" t="s">
        <v>13850</v>
      </c>
    </row>
    <row r="22" spans="2:9">
      <c r="B22" s="8" t="s">
        <v>13842</v>
      </c>
      <c r="C22" s="8" t="s">
        <v>13851</v>
      </c>
      <c r="D22" s="8" t="s">
        <v>12816</v>
      </c>
      <c r="E22" s="8" t="s">
        <v>13844</v>
      </c>
      <c r="F22" s="9" t="s">
        <v>13852</v>
      </c>
      <c r="G22" s="8"/>
      <c r="H22" s="803"/>
      <c r="I22" s="9" t="s">
        <v>13850</v>
      </c>
    </row>
    <row r="23" spans="2:9">
      <c r="B23" s="8" t="s">
        <v>13842</v>
      </c>
      <c r="C23" s="8" t="s">
        <v>13853</v>
      </c>
      <c r="D23" s="8" t="s">
        <v>13854</v>
      </c>
      <c r="E23" s="8" t="s">
        <v>13844</v>
      </c>
      <c r="F23" s="9" t="s">
        <v>13855</v>
      </c>
      <c r="G23" s="9" t="s">
        <v>13856</v>
      </c>
      <c r="H23" s="803"/>
      <c r="I23" s="9"/>
    </row>
    <row r="24" spans="2:9" ht="33.75">
      <c r="B24" s="8" t="s">
        <v>13842</v>
      </c>
      <c r="C24" s="8" t="s">
        <v>13857</v>
      </c>
      <c r="D24" s="8" t="s">
        <v>12691</v>
      </c>
      <c r="E24" s="8" t="s">
        <v>13844</v>
      </c>
      <c r="F24" s="9" t="s">
        <v>13858</v>
      </c>
      <c r="G24" s="9" t="s">
        <v>787</v>
      </c>
      <c r="H24" s="804"/>
      <c r="I24" s="9"/>
    </row>
  </sheetData>
  <mergeCells count="6">
    <mergeCell ref="H21:H24"/>
    <mergeCell ref="B4:I4"/>
    <mergeCell ref="B10:I10"/>
    <mergeCell ref="B13:I13"/>
    <mergeCell ref="B1:I1"/>
    <mergeCell ref="B7:I7"/>
  </mergeCells>
  <pageMargins left="0.70866141732283472" right="0.70866141732283472" top="0.74803149606299213" bottom="0.74803149606299213" header="0.31496062992125984" footer="0.31496062992125984"/>
  <pageSetup paperSize="9" scale="90"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5" tint="0.39997558519241921"/>
    <pageSetUpPr fitToPage="1"/>
  </sheetPr>
  <dimension ref="B2:I24"/>
  <sheetViews>
    <sheetView showGridLines="0" topLeftCell="A11" workbookViewId="0"/>
  </sheetViews>
  <sheetFormatPr defaultRowHeight="15"/>
  <cols>
    <col min="1" max="1" width="2.85546875" customWidth="1"/>
    <col min="2" max="2" width="25.5703125" customWidth="1"/>
    <col min="3" max="3" width="48.5703125" customWidth="1"/>
    <col min="4" max="4" width="10.5703125" customWidth="1"/>
    <col min="5" max="5" width="15.5703125" customWidth="1"/>
    <col min="6" max="8" width="25.5703125" customWidth="1"/>
    <col min="9" max="9" width="57.28515625" customWidth="1"/>
  </cols>
  <sheetData>
    <row r="2" spans="2:9" s="30" customFormat="1" ht="12.75">
      <c r="B2" s="35" t="s">
        <v>13859</v>
      </c>
      <c r="C2" s="10"/>
      <c r="D2" s="10"/>
      <c r="E2" s="10"/>
      <c r="F2" s="21"/>
      <c r="G2" s="10"/>
      <c r="H2" s="21"/>
      <c r="I2" s="21"/>
    </row>
    <row r="3" spans="2:9" s="30" customFormat="1" ht="12.75">
      <c r="B3" s="15" t="s">
        <v>13809</v>
      </c>
      <c r="C3" s="10"/>
      <c r="D3" s="10"/>
      <c r="E3" s="10"/>
      <c r="F3" s="21"/>
      <c r="G3" s="10"/>
      <c r="H3" s="21"/>
      <c r="I3" s="21"/>
    </row>
    <row r="4" spans="2:9" s="30" customFormat="1" ht="66.75" customHeight="1">
      <c r="B4" s="805" t="s">
        <v>13860</v>
      </c>
      <c r="C4" s="805"/>
      <c r="D4" s="805"/>
      <c r="E4" s="805"/>
      <c r="F4" s="805"/>
      <c r="G4" s="805"/>
      <c r="H4" s="805"/>
      <c r="I4" s="805"/>
    </row>
    <row r="5" spans="2:9" s="30" customFormat="1" ht="10.5" customHeight="1">
      <c r="B5" s="21"/>
      <c r="C5" s="21"/>
      <c r="D5" s="21"/>
      <c r="E5" s="21"/>
      <c r="F5" s="21"/>
      <c r="G5" s="21"/>
      <c r="H5" s="21"/>
      <c r="I5" s="21"/>
    </row>
    <row r="6" spans="2:9" s="30" customFormat="1" ht="12" customHeight="1">
      <c r="B6" s="15" t="s">
        <v>13811</v>
      </c>
      <c r="C6" s="21"/>
      <c r="D6" s="21"/>
      <c r="E6" s="21"/>
      <c r="F6" s="21"/>
      <c r="G6" s="21"/>
      <c r="H6" s="21"/>
      <c r="I6" s="21"/>
    </row>
    <row r="7" spans="2:9" s="30" customFormat="1" ht="46.5" customHeight="1">
      <c r="B7" s="805" t="s">
        <v>13861</v>
      </c>
      <c r="C7" s="805"/>
      <c r="D7" s="805"/>
      <c r="E7" s="805"/>
      <c r="F7" s="805"/>
      <c r="G7" s="805"/>
      <c r="H7" s="805"/>
      <c r="I7" s="805"/>
    </row>
    <row r="8" spans="2:9" s="30" customFormat="1" ht="12" customHeight="1">
      <c r="B8" s="10"/>
      <c r="C8" s="21"/>
      <c r="D8" s="21"/>
      <c r="E8" s="21"/>
      <c r="F8" s="21"/>
      <c r="G8" s="21"/>
      <c r="H8" s="21"/>
      <c r="I8" s="21"/>
    </row>
    <row r="9" spans="2:9" s="30" customFormat="1" ht="12" customHeight="1">
      <c r="B9" s="15" t="s">
        <v>13813</v>
      </c>
      <c r="C9" s="21"/>
      <c r="D9" s="21"/>
      <c r="E9" s="21"/>
      <c r="F9" s="21"/>
      <c r="G9" s="21"/>
      <c r="H9" s="21"/>
      <c r="I9" s="21"/>
    </row>
    <row r="10" spans="2:9" s="30" customFormat="1" ht="93" customHeight="1">
      <c r="B10" s="805" t="s">
        <v>13862</v>
      </c>
      <c r="C10" s="805"/>
      <c r="D10" s="805"/>
      <c r="E10" s="805"/>
      <c r="F10" s="805"/>
      <c r="G10" s="805"/>
      <c r="H10" s="805"/>
      <c r="I10" s="805"/>
    </row>
    <row r="11" spans="2:9" s="30" customFormat="1" ht="12" customHeight="1">
      <c r="B11" s="10"/>
      <c r="C11" s="21"/>
      <c r="D11" s="21"/>
      <c r="E11" s="21"/>
      <c r="F11" s="21"/>
      <c r="G11" s="21"/>
      <c r="H11" s="21"/>
      <c r="I11" s="21"/>
    </row>
    <row r="12" spans="2:9" s="30" customFormat="1" ht="12" customHeight="1">
      <c r="B12" s="15" t="s">
        <v>13815</v>
      </c>
      <c r="C12" s="21"/>
      <c r="D12" s="21"/>
      <c r="E12" s="21"/>
      <c r="F12" s="21"/>
      <c r="G12" s="21"/>
      <c r="H12" s="21"/>
      <c r="I12" s="21"/>
    </row>
    <row r="13" spans="2:9" s="30" customFormat="1" ht="21.75" customHeight="1">
      <c r="B13" s="805" t="s">
        <v>13863</v>
      </c>
      <c r="C13" s="805"/>
      <c r="D13" s="805"/>
      <c r="E13" s="805"/>
      <c r="F13" s="805"/>
      <c r="G13" s="805"/>
      <c r="H13" s="805"/>
      <c r="I13" s="805"/>
    </row>
    <row r="14" spans="2:9" s="30" customFormat="1" ht="21.75" customHeight="1">
      <c r="B14" s="21"/>
      <c r="C14" s="21"/>
      <c r="D14" s="21"/>
      <c r="E14" s="21"/>
      <c r="F14" s="21"/>
      <c r="G14" s="21"/>
      <c r="H14" s="21"/>
    </row>
    <row r="15" spans="2:9" s="30" customFormat="1" ht="21.75" customHeight="1">
      <c r="B15" s="21"/>
      <c r="C15" s="21"/>
      <c r="D15" s="21"/>
      <c r="E15" s="21"/>
      <c r="F15" s="21"/>
      <c r="G15" s="21"/>
      <c r="H15" s="21"/>
    </row>
    <row r="16" spans="2:9" s="30" customFormat="1" ht="21.75" customHeight="1">
      <c r="B16" s="21"/>
      <c r="C16" s="21"/>
      <c r="D16" s="21"/>
      <c r="E16" s="21"/>
      <c r="F16" s="21"/>
      <c r="G16" s="21"/>
      <c r="H16" s="21"/>
    </row>
    <row r="17" spans="2:9" s="30" customFormat="1" ht="12" customHeight="1">
      <c r="B17" s="21"/>
      <c r="C17" s="21"/>
      <c r="D17" s="21"/>
      <c r="E17" s="21"/>
      <c r="F17" s="21"/>
      <c r="G17" s="21"/>
      <c r="H17" s="21"/>
    </row>
    <row r="18" spans="2:9" s="30" customFormat="1" ht="12.75" customHeight="1">
      <c r="B18" s="15" t="s">
        <v>13678</v>
      </c>
      <c r="C18" s="21"/>
      <c r="D18" s="21"/>
      <c r="E18" s="21"/>
      <c r="F18" s="21"/>
      <c r="G18" s="21"/>
      <c r="H18" s="21"/>
      <c r="I18" s="21"/>
    </row>
    <row r="19" spans="2:9" ht="25.5">
      <c r="B19" s="25" t="s">
        <v>19</v>
      </c>
      <c r="C19" s="25" t="s">
        <v>13817</v>
      </c>
      <c r="D19" s="25" t="s">
        <v>171</v>
      </c>
      <c r="E19" s="25" t="s">
        <v>13841</v>
      </c>
      <c r="F19" s="25" t="s">
        <v>20</v>
      </c>
      <c r="G19" s="25" t="s">
        <v>11101</v>
      </c>
      <c r="H19" s="25" t="s">
        <v>13818</v>
      </c>
      <c r="I19" s="25" t="s">
        <v>121</v>
      </c>
    </row>
    <row r="20" spans="2:9" ht="22.5">
      <c r="B20" s="9" t="s">
        <v>13864</v>
      </c>
      <c r="C20" s="8" t="s">
        <v>13843</v>
      </c>
      <c r="D20" s="8" t="s">
        <v>13829</v>
      </c>
      <c r="E20" s="8" t="s">
        <v>13865</v>
      </c>
      <c r="F20" s="9" t="s">
        <v>13845</v>
      </c>
      <c r="G20" s="8"/>
      <c r="H20" s="9" t="s">
        <v>13846</v>
      </c>
      <c r="I20" s="9" t="s">
        <v>13866</v>
      </c>
    </row>
    <row r="21" spans="2:9">
      <c r="B21" s="9" t="s">
        <v>13864</v>
      </c>
      <c r="C21" s="8" t="s">
        <v>11371</v>
      </c>
      <c r="D21" s="8" t="s">
        <v>12816</v>
      </c>
      <c r="E21" s="8" t="s">
        <v>13865</v>
      </c>
      <c r="F21" s="9" t="s">
        <v>13867</v>
      </c>
      <c r="G21" s="8"/>
      <c r="H21" s="9" t="s">
        <v>13868</v>
      </c>
      <c r="I21" s="9" t="s">
        <v>13869</v>
      </c>
    </row>
    <row r="22" spans="2:9">
      <c r="B22" s="9" t="s">
        <v>13864</v>
      </c>
      <c r="C22" s="8" t="s">
        <v>13851</v>
      </c>
      <c r="D22" s="8" t="s">
        <v>12816</v>
      </c>
      <c r="E22" s="8" t="s">
        <v>13865</v>
      </c>
      <c r="F22" s="9" t="s">
        <v>13870</v>
      </c>
      <c r="G22" s="8"/>
      <c r="H22" s="9" t="s">
        <v>13868</v>
      </c>
      <c r="I22" s="9" t="s">
        <v>13869</v>
      </c>
    </row>
    <row r="23" spans="2:9" ht="33.75">
      <c r="B23" s="9" t="s">
        <v>13864</v>
      </c>
      <c r="C23" s="8" t="s">
        <v>13871</v>
      </c>
      <c r="D23" s="8" t="s">
        <v>13872</v>
      </c>
      <c r="E23" s="8" t="s">
        <v>13865</v>
      </c>
      <c r="F23" s="9" t="s">
        <v>13873</v>
      </c>
      <c r="G23" s="9" t="s">
        <v>787</v>
      </c>
      <c r="H23" s="9"/>
      <c r="I23" s="9"/>
    </row>
    <row r="24" spans="2:9" ht="33.75">
      <c r="B24" s="9" t="s">
        <v>13864</v>
      </c>
      <c r="C24" s="8" t="s">
        <v>13874</v>
      </c>
      <c r="D24" s="8" t="s">
        <v>13872</v>
      </c>
      <c r="E24" s="8" t="s">
        <v>13865</v>
      </c>
      <c r="F24" s="9" t="s">
        <v>13875</v>
      </c>
      <c r="G24" s="9" t="s">
        <v>787</v>
      </c>
      <c r="H24" s="9"/>
      <c r="I24" s="9"/>
    </row>
  </sheetData>
  <mergeCells count="4">
    <mergeCell ref="B4:I4"/>
    <mergeCell ref="B13:I13"/>
    <mergeCell ref="B10:I10"/>
    <mergeCell ref="B7:I7"/>
  </mergeCells>
  <pageMargins left="0.70866141732283472" right="0.70866141732283472" top="0.74803149606299213" bottom="0.74803149606299213" header="0.31496062992125984" footer="0.31496062992125984"/>
  <pageSetup paperSize="9" scale="77"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5" tint="0.39997558519241921"/>
  </sheetPr>
  <dimension ref="B5:J40"/>
  <sheetViews>
    <sheetView showGridLines="0" topLeftCell="A20" workbookViewId="0"/>
  </sheetViews>
  <sheetFormatPr defaultRowHeight="15"/>
  <cols>
    <col min="1" max="1" width="2.85546875" customWidth="1"/>
    <col min="2" max="2" width="25.5703125" customWidth="1"/>
    <col min="3" max="3" width="48.5703125" customWidth="1"/>
    <col min="4" max="4" width="10.5703125" customWidth="1"/>
    <col min="5" max="5" width="15.5703125" customWidth="1"/>
    <col min="6" max="8" width="25.5703125" customWidth="1"/>
    <col min="9" max="9" width="57.28515625" customWidth="1"/>
  </cols>
  <sheetData>
    <row r="5" spans="2:9" s="30" customFormat="1" ht="12.75">
      <c r="B5" s="35" t="s">
        <v>13876</v>
      </c>
      <c r="C5" s="10"/>
      <c r="D5" s="10"/>
      <c r="E5" s="10"/>
      <c r="F5" s="21"/>
      <c r="G5" s="10"/>
      <c r="H5" s="21"/>
      <c r="I5" s="21"/>
    </row>
    <row r="6" spans="2:9" s="30" customFormat="1" ht="12.75">
      <c r="B6" s="15" t="s">
        <v>13809</v>
      </c>
      <c r="C6" s="10"/>
      <c r="D6" s="10"/>
      <c r="E6" s="10"/>
      <c r="F6" s="21"/>
      <c r="G6" s="10"/>
      <c r="H6" s="21"/>
      <c r="I6" s="21"/>
    </row>
    <row r="7" spans="2:9" s="30" customFormat="1" ht="100.5" customHeight="1">
      <c r="B7" s="805" t="s">
        <v>13877</v>
      </c>
      <c r="C7" s="805"/>
      <c r="D7" s="805"/>
      <c r="E7" s="805"/>
      <c r="F7" s="805"/>
      <c r="G7" s="805"/>
      <c r="H7" s="805"/>
      <c r="I7" s="805"/>
    </row>
    <row r="8" spans="2:9" s="30" customFormat="1" ht="10.5" customHeight="1">
      <c r="B8" s="21"/>
      <c r="C8" s="21"/>
      <c r="D8" s="21"/>
      <c r="E8" s="21"/>
      <c r="F8" s="21"/>
      <c r="G8" s="21"/>
      <c r="H8" s="21"/>
      <c r="I8" s="21"/>
    </row>
    <row r="9" spans="2:9" s="30" customFormat="1" ht="12" customHeight="1">
      <c r="B9" s="15" t="s">
        <v>13811</v>
      </c>
      <c r="C9" s="21"/>
      <c r="D9" s="21"/>
      <c r="E9" s="21"/>
      <c r="F9" s="21"/>
      <c r="G9" s="21"/>
      <c r="H9" s="21"/>
      <c r="I9" s="21"/>
    </row>
    <row r="10" spans="2:9" s="30" customFormat="1" ht="39.75" customHeight="1">
      <c r="B10" s="805" t="s">
        <v>13878</v>
      </c>
      <c r="C10" s="805"/>
      <c r="D10" s="805"/>
      <c r="E10" s="805"/>
      <c r="F10" s="805"/>
      <c r="G10" s="805"/>
      <c r="H10" s="805"/>
      <c r="I10" s="805"/>
    </row>
    <row r="11" spans="2:9" s="30" customFormat="1" ht="12" customHeight="1">
      <c r="B11" s="10"/>
      <c r="C11" s="21"/>
      <c r="D11" s="21"/>
      <c r="E11" s="21"/>
      <c r="F11" s="21"/>
      <c r="G11" s="21"/>
      <c r="H11" s="21"/>
      <c r="I11" s="21"/>
    </row>
    <row r="12" spans="2:9" s="30" customFormat="1" ht="12" customHeight="1">
      <c r="B12" s="15" t="s">
        <v>13813</v>
      </c>
      <c r="C12" s="21"/>
      <c r="D12" s="21"/>
      <c r="E12" s="21"/>
      <c r="F12" s="21"/>
      <c r="G12" s="21"/>
      <c r="H12" s="21"/>
      <c r="I12" s="21"/>
    </row>
    <row r="13" spans="2:9" s="30" customFormat="1" ht="67.5" customHeight="1">
      <c r="B13" s="805" t="s">
        <v>13879</v>
      </c>
      <c r="C13" s="805"/>
      <c r="D13" s="805"/>
      <c r="E13" s="805"/>
      <c r="F13" s="805"/>
      <c r="G13" s="805"/>
      <c r="H13" s="805"/>
      <c r="I13" s="805"/>
    </row>
    <row r="14" spans="2:9" s="30" customFormat="1" ht="12" customHeight="1">
      <c r="B14" s="10"/>
      <c r="C14" s="21"/>
      <c r="D14" s="21"/>
      <c r="E14" s="21"/>
      <c r="F14" s="21"/>
      <c r="G14" s="21"/>
      <c r="H14" s="21"/>
      <c r="I14" s="21"/>
    </row>
    <row r="15" spans="2:9" s="30" customFormat="1" ht="12" customHeight="1">
      <c r="B15" s="15" t="s">
        <v>13815</v>
      </c>
      <c r="C15" s="21"/>
      <c r="D15" s="21"/>
      <c r="E15" s="21"/>
      <c r="F15" s="21"/>
      <c r="G15" s="21"/>
      <c r="H15" s="21"/>
      <c r="I15" s="21"/>
    </row>
    <row r="16" spans="2:9" s="30" customFormat="1" ht="21.75" customHeight="1">
      <c r="B16" s="805" t="s">
        <v>13880</v>
      </c>
      <c r="C16" s="805"/>
      <c r="D16" s="805"/>
      <c r="E16" s="805"/>
      <c r="F16" s="805"/>
      <c r="G16" s="805"/>
      <c r="H16" s="805"/>
      <c r="I16" s="805"/>
    </row>
    <row r="17" spans="2:10" s="30" customFormat="1" ht="12" customHeight="1">
      <c r="B17" s="21"/>
      <c r="C17" s="21"/>
      <c r="D17" s="21"/>
      <c r="E17" s="21"/>
      <c r="F17" s="21"/>
      <c r="G17" s="21"/>
      <c r="H17" s="21"/>
      <c r="I17" s="21"/>
    </row>
    <row r="18" spans="2:10" s="30" customFormat="1" ht="12.75" customHeight="1">
      <c r="B18" s="15" t="s">
        <v>13678</v>
      </c>
      <c r="C18" s="21"/>
      <c r="D18" s="21"/>
      <c r="E18" s="21"/>
      <c r="F18" s="21"/>
      <c r="G18" s="21"/>
      <c r="H18" s="21"/>
      <c r="I18" s="21"/>
    </row>
    <row r="19" spans="2:10" ht="25.5">
      <c r="B19" s="25" t="s">
        <v>19</v>
      </c>
      <c r="C19" s="25" t="s">
        <v>13817</v>
      </c>
      <c r="D19" s="25" t="s">
        <v>171</v>
      </c>
      <c r="E19" s="25" t="s">
        <v>13841</v>
      </c>
      <c r="F19" s="25" t="s">
        <v>20</v>
      </c>
      <c r="G19" s="25" t="s">
        <v>11101</v>
      </c>
      <c r="H19" s="25" t="s">
        <v>13818</v>
      </c>
      <c r="I19" s="25" t="s">
        <v>121</v>
      </c>
    </row>
    <row r="20" spans="2:10" ht="22.5">
      <c r="B20" s="8" t="s">
        <v>13881</v>
      </c>
      <c r="C20" s="8" t="s">
        <v>13882</v>
      </c>
      <c r="D20" s="8" t="s">
        <v>13829</v>
      </c>
      <c r="E20" s="8" t="s">
        <v>13883</v>
      </c>
      <c r="F20" s="9" t="s">
        <v>13845</v>
      </c>
      <c r="G20" s="8"/>
      <c r="H20" s="9" t="s">
        <v>13846</v>
      </c>
      <c r="I20" s="9" t="s">
        <v>13884</v>
      </c>
    </row>
    <row r="21" spans="2:10" ht="22.5">
      <c r="B21" s="8" t="s">
        <v>13881</v>
      </c>
      <c r="C21" s="8" t="s">
        <v>13885</v>
      </c>
      <c r="D21" s="8" t="s">
        <v>12691</v>
      </c>
      <c r="E21" s="8" t="s">
        <v>13883</v>
      </c>
      <c r="F21" s="9" t="s">
        <v>13886</v>
      </c>
      <c r="G21" s="8" t="s">
        <v>13887</v>
      </c>
      <c r="H21" s="36" t="s">
        <v>13888</v>
      </c>
      <c r="I21" s="36" t="s">
        <v>13889</v>
      </c>
    </row>
    <row r="22" spans="2:10" ht="22.5">
      <c r="B22" s="8" t="s">
        <v>13881</v>
      </c>
      <c r="C22" s="8" t="s">
        <v>13890</v>
      </c>
      <c r="D22" s="8" t="s">
        <v>12691</v>
      </c>
      <c r="E22" s="8" t="s">
        <v>13883</v>
      </c>
      <c r="F22" s="9" t="s">
        <v>13891</v>
      </c>
      <c r="G22" s="8" t="s">
        <v>13892</v>
      </c>
      <c r="H22" s="9" t="s">
        <v>13888</v>
      </c>
      <c r="I22" s="9" t="s">
        <v>13893</v>
      </c>
    </row>
    <row r="23" spans="2:10" s="532" customFormat="1" ht="33.75" customHeight="1">
      <c r="B23" s="675" t="s">
        <v>13881</v>
      </c>
      <c r="C23" s="675" t="s">
        <v>13894</v>
      </c>
      <c r="D23" s="675"/>
      <c r="E23" s="809" t="s">
        <v>13895</v>
      </c>
      <c r="F23" s="675" t="s">
        <v>13896</v>
      </c>
      <c r="G23" s="675"/>
      <c r="H23" s="675"/>
      <c r="I23" s="675" t="s">
        <v>13897</v>
      </c>
      <c r="J23" s="808"/>
    </row>
    <row r="24" spans="2:10" s="532" customFormat="1" ht="36.75" customHeight="1">
      <c r="B24" s="675" t="s">
        <v>13881</v>
      </c>
      <c r="C24" s="675" t="s">
        <v>13898</v>
      </c>
      <c r="D24" s="675"/>
      <c r="E24" s="810"/>
      <c r="F24" s="675" t="s">
        <v>13899</v>
      </c>
      <c r="G24" s="675"/>
      <c r="H24" s="675"/>
      <c r="I24" s="675"/>
      <c r="J24" s="808"/>
    </row>
    <row r="25" spans="2:10" s="532" customFormat="1" ht="36.75" customHeight="1">
      <c r="B25" s="675" t="s">
        <v>13881</v>
      </c>
      <c r="C25" s="675" t="s">
        <v>13900</v>
      </c>
      <c r="D25" s="675"/>
      <c r="E25" s="810"/>
      <c r="F25" s="675" t="s">
        <v>13901</v>
      </c>
      <c r="G25" s="675"/>
      <c r="H25" s="675"/>
      <c r="I25" s="675"/>
      <c r="J25" s="808"/>
    </row>
    <row r="26" spans="2:10" s="677" customFormat="1" ht="33.75" customHeight="1">
      <c r="B26" s="675" t="s">
        <v>13881</v>
      </c>
      <c r="C26" s="675" t="s">
        <v>13902</v>
      </c>
      <c r="D26" s="675" t="s">
        <v>12691</v>
      </c>
      <c r="E26" s="810"/>
      <c r="F26" s="675" t="s">
        <v>13903</v>
      </c>
      <c r="G26" s="675"/>
      <c r="H26" s="675" t="s">
        <v>13904</v>
      </c>
      <c r="I26" s="675" t="s">
        <v>13905</v>
      </c>
      <c r="J26" s="808"/>
    </row>
    <row r="27" spans="2:10" s="677" customFormat="1" ht="56.25">
      <c r="B27" s="675" t="s">
        <v>13881</v>
      </c>
      <c r="C27" s="675" t="s">
        <v>13906</v>
      </c>
      <c r="D27" s="675"/>
      <c r="E27" s="810"/>
      <c r="F27" s="675" t="s">
        <v>13907</v>
      </c>
      <c r="G27" s="675"/>
      <c r="H27" s="675" t="s">
        <v>13904</v>
      </c>
      <c r="I27" s="675" t="s">
        <v>13908</v>
      </c>
      <c r="J27" s="808"/>
    </row>
    <row r="28" spans="2:10" s="677" customFormat="1" ht="22.5">
      <c r="B28" s="675" t="s">
        <v>13881</v>
      </c>
      <c r="C28" s="675" t="s">
        <v>13909</v>
      </c>
      <c r="D28" s="675"/>
      <c r="E28" s="810"/>
      <c r="F28" s="675" t="s">
        <v>13910</v>
      </c>
      <c r="G28" s="675"/>
      <c r="H28" s="675" t="s">
        <v>13904</v>
      </c>
      <c r="I28" s="675" t="s">
        <v>13911</v>
      </c>
      <c r="J28" s="808"/>
    </row>
    <row r="29" spans="2:10" s="677" customFormat="1" ht="33.75">
      <c r="B29" s="675" t="s">
        <v>13881</v>
      </c>
      <c r="C29" s="675" t="s">
        <v>13912</v>
      </c>
      <c r="D29" s="675"/>
      <c r="E29" s="810"/>
      <c r="F29" s="675" t="s">
        <v>13913</v>
      </c>
      <c r="G29" s="675"/>
      <c r="H29" s="675" t="s">
        <v>13904</v>
      </c>
      <c r="I29" s="675"/>
      <c r="J29" s="808"/>
    </row>
    <row r="30" spans="2:10" s="677" customFormat="1" ht="33.75">
      <c r="B30" s="675" t="s">
        <v>13881</v>
      </c>
      <c r="C30" s="675" t="s">
        <v>13914</v>
      </c>
      <c r="D30" s="675"/>
      <c r="E30" s="810"/>
      <c r="F30" s="675" t="s">
        <v>13915</v>
      </c>
      <c r="G30" s="675"/>
      <c r="H30" s="675" t="s">
        <v>13904</v>
      </c>
      <c r="I30" s="675"/>
      <c r="J30" s="808"/>
    </row>
    <row r="31" spans="2:10" s="532" customFormat="1" ht="45">
      <c r="B31" s="675" t="s">
        <v>13881</v>
      </c>
      <c r="C31" s="675" t="s">
        <v>13916</v>
      </c>
      <c r="D31" s="675"/>
      <c r="E31" s="810"/>
      <c r="F31" s="675" t="s">
        <v>13917</v>
      </c>
      <c r="G31" s="675"/>
      <c r="H31" s="675" t="s">
        <v>13904</v>
      </c>
      <c r="I31" s="675" t="s">
        <v>13918</v>
      </c>
      <c r="J31" s="808"/>
    </row>
    <row r="32" spans="2:10" s="532" customFormat="1" ht="78.75">
      <c r="B32" s="675" t="s">
        <v>13881</v>
      </c>
      <c r="C32" s="675" t="s">
        <v>13919</v>
      </c>
      <c r="D32" s="675"/>
      <c r="E32" s="810"/>
      <c r="F32" s="675" t="s">
        <v>13920</v>
      </c>
      <c r="G32" s="675"/>
      <c r="H32" s="675" t="s">
        <v>13904</v>
      </c>
      <c r="I32" s="690" t="s">
        <v>13921</v>
      </c>
      <c r="J32" s="808"/>
    </row>
    <row r="33" spans="2:10" s="532" customFormat="1" ht="33.75">
      <c r="B33" s="675" t="s">
        <v>13881</v>
      </c>
      <c r="C33" s="675" t="s">
        <v>13922</v>
      </c>
      <c r="D33" s="675"/>
      <c r="E33" s="810"/>
      <c r="F33" s="675" t="s">
        <v>13923</v>
      </c>
      <c r="G33" s="675"/>
      <c r="H33" s="675" t="s">
        <v>13904</v>
      </c>
      <c r="I33" s="675"/>
      <c r="J33" s="808"/>
    </row>
    <row r="34" spans="2:10" s="532" customFormat="1" ht="33.75">
      <c r="B34" s="675" t="s">
        <v>13881</v>
      </c>
      <c r="C34" s="675" t="s">
        <v>13924</v>
      </c>
      <c r="D34" s="675"/>
      <c r="E34" s="810"/>
      <c r="F34" s="675" t="s">
        <v>13925</v>
      </c>
      <c r="G34" s="675"/>
      <c r="H34" s="675" t="s">
        <v>13904</v>
      </c>
      <c r="I34" s="675" t="s">
        <v>13926</v>
      </c>
      <c r="J34" s="808"/>
    </row>
    <row r="35" spans="2:10" s="679" customFormat="1" ht="30" customHeight="1">
      <c r="B35" s="675" t="s">
        <v>13881</v>
      </c>
      <c r="C35" s="675" t="s">
        <v>13927</v>
      </c>
      <c r="D35" s="675" t="s">
        <v>12691</v>
      </c>
      <c r="E35" s="810"/>
      <c r="F35" s="675" t="s">
        <v>13928</v>
      </c>
      <c r="G35" s="675"/>
      <c r="H35" s="675" t="s">
        <v>13904</v>
      </c>
      <c r="I35" s="675" t="s">
        <v>13929</v>
      </c>
      <c r="J35" s="808"/>
    </row>
    <row r="36" spans="2:10" s="679" customFormat="1" ht="30" customHeight="1">
      <c r="B36" s="675" t="s">
        <v>13881</v>
      </c>
      <c r="C36" s="675" t="s">
        <v>13930</v>
      </c>
      <c r="D36" s="675" t="s">
        <v>12681</v>
      </c>
      <c r="E36" s="811"/>
      <c r="F36" s="675" t="s">
        <v>13931</v>
      </c>
      <c r="G36" s="675"/>
      <c r="H36" s="675" t="s">
        <v>13904</v>
      </c>
      <c r="I36" s="675" t="s">
        <v>13932</v>
      </c>
      <c r="J36" s="808"/>
    </row>
    <row r="38" spans="2:10">
      <c r="E38" s="527"/>
    </row>
    <row r="39" spans="2:10">
      <c r="E39" s="527"/>
    </row>
    <row r="40" spans="2:10">
      <c r="E40" s="527"/>
    </row>
  </sheetData>
  <mergeCells count="6">
    <mergeCell ref="B7:I7"/>
    <mergeCell ref="B16:I16"/>
    <mergeCell ref="B13:I13"/>
    <mergeCell ref="B10:I10"/>
    <mergeCell ref="J23:J36"/>
    <mergeCell ref="E23:E36"/>
  </mergeCells>
  <pageMargins left="0.70866141732283472" right="0.70866141732283472" top="0.74803149606299213" bottom="0.74803149606299213" header="0.31496062992125984" footer="0.31496062992125984"/>
  <pageSetup paperSize="9" scale="90"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1E8B-1E69-4570-B750-2D60BA47DBE8}">
  <sheetPr>
    <tabColor theme="5" tint="0.39997558519241921"/>
  </sheetPr>
  <dimension ref="B1:I29"/>
  <sheetViews>
    <sheetView topLeftCell="A17" zoomScale="85" zoomScaleNormal="85" workbookViewId="0"/>
  </sheetViews>
  <sheetFormatPr defaultColWidth="9" defaultRowHeight="15"/>
  <cols>
    <col min="1" max="1" width="4.85546875" style="530" customWidth="1"/>
    <col min="2" max="2" width="27" style="530" bestFit="1" customWidth="1"/>
    <col min="3" max="3" width="61" style="530" customWidth="1"/>
    <col min="4" max="4" width="9" style="530"/>
    <col min="5" max="5" width="25" style="531" bestFit="1" customWidth="1"/>
    <col min="6" max="6" width="50.28515625" style="530" customWidth="1"/>
    <col min="7" max="16384" width="9" style="530"/>
  </cols>
  <sheetData>
    <row r="1" spans="2:9" customFormat="1"/>
    <row r="2" spans="2:9" customFormat="1"/>
    <row r="3" spans="2:9" customFormat="1"/>
    <row r="4" spans="2:9" customFormat="1"/>
    <row r="5" spans="2:9" s="30" customFormat="1" ht="12.75">
      <c r="B5" s="35" t="s">
        <v>13933</v>
      </c>
      <c r="C5" s="10"/>
      <c r="D5" s="10"/>
      <c r="E5" s="10"/>
      <c r="F5" s="21"/>
      <c r="G5" s="10"/>
      <c r="H5" s="21"/>
      <c r="I5" s="21"/>
    </row>
    <row r="6" spans="2:9" s="30" customFormat="1" ht="12.75">
      <c r="B6" s="15" t="s">
        <v>13809</v>
      </c>
      <c r="C6" s="10"/>
      <c r="D6" s="10"/>
      <c r="E6" s="10"/>
      <c r="F6" s="21"/>
      <c r="G6" s="10"/>
      <c r="H6" s="21"/>
      <c r="I6" s="21"/>
    </row>
    <row r="7" spans="2:9" s="30" customFormat="1" ht="11.25">
      <c r="B7" s="805" t="s">
        <v>105</v>
      </c>
      <c r="C7" s="805"/>
      <c r="D7" s="805"/>
      <c r="E7" s="805"/>
      <c r="F7" s="805"/>
      <c r="G7" s="805"/>
      <c r="H7" s="805"/>
      <c r="I7" s="805"/>
    </row>
    <row r="8" spans="2:9" s="30" customFormat="1" ht="11.25">
      <c r="B8" s="21"/>
      <c r="C8" s="21"/>
      <c r="D8" s="21"/>
      <c r="E8" s="21"/>
      <c r="F8" s="21"/>
      <c r="G8" s="21"/>
      <c r="H8" s="21"/>
      <c r="I8" s="21"/>
    </row>
    <row r="9" spans="2:9" s="30" customFormat="1" ht="12.75">
      <c r="B9" s="15" t="s">
        <v>13811</v>
      </c>
      <c r="C9" s="21"/>
      <c r="D9" s="21"/>
      <c r="E9" s="21"/>
      <c r="F9" s="21"/>
      <c r="G9" s="21"/>
      <c r="H9" s="21"/>
      <c r="I9" s="21"/>
    </row>
    <row r="10" spans="2:9" s="30" customFormat="1" ht="27" customHeight="1">
      <c r="B10" s="805" t="s">
        <v>13934</v>
      </c>
      <c r="C10" s="805"/>
      <c r="D10" s="805"/>
      <c r="E10" s="805"/>
      <c r="F10" s="805"/>
      <c r="G10" s="805"/>
      <c r="H10" s="805"/>
      <c r="I10" s="805"/>
    </row>
    <row r="11" spans="2:9" s="30" customFormat="1" ht="11.25">
      <c r="B11" s="10"/>
      <c r="C11" s="21"/>
      <c r="D11" s="21"/>
      <c r="E11" s="21"/>
      <c r="F11" s="21"/>
      <c r="G11" s="21"/>
      <c r="H11" s="21"/>
      <c r="I11" s="21"/>
    </row>
    <row r="12" spans="2:9" s="30" customFormat="1" ht="12.75">
      <c r="B12" s="15" t="s">
        <v>13813</v>
      </c>
      <c r="C12" s="21"/>
      <c r="D12" s="21"/>
      <c r="E12" s="21"/>
      <c r="F12" s="21"/>
      <c r="G12" s="21"/>
      <c r="H12" s="21"/>
      <c r="I12" s="21"/>
    </row>
    <row r="13" spans="2:9" s="30" customFormat="1" ht="27.75" customHeight="1">
      <c r="B13" s="805" t="s">
        <v>13935</v>
      </c>
      <c r="C13" s="805"/>
      <c r="D13" s="805"/>
      <c r="E13" s="805"/>
      <c r="F13" s="805"/>
      <c r="G13" s="805"/>
      <c r="H13" s="805"/>
      <c r="I13" s="805"/>
    </row>
    <row r="14" spans="2:9" s="30" customFormat="1" ht="11.25">
      <c r="B14" s="10"/>
      <c r="C14" s="21"/>
      <c r="D14" s="21"/>
      <c r="E14" s="21"/>
      <c r="F14" s="21"/>
      <c r="G14" s="21"/>
      <c r="H14" s="21"/>
      <c r="I14" s="21"/>
    </row>
    <row r="15" spans="2:9" s="30" customFormat="1" ht="12.75">
      <c r="B15" s="15" t="s">
        <v>13815</v>
      </c>
      <c r="C15" s="21"/>
      <c r="D15" s="21"/>
      <c r="E15" s="21"/>
      <c r="F15" s="21"/>
      <c r="G15" s="21"/>
      <c r="H15" s="21"/>
      <c r="I15" s="21"/>
    </row>
    <row r="16" spans="2:9" s="30" customFormat="1" ht="11.25">
      <c r="B16" s="805" t="s">
        <v>13936</v>
      </c>
      <c r="C16" s="805"/>
      <c r="D16" s="805"/>
      <c r="E16" s="805"/>
      <c r="F16" s="805"/>
      <c r="G16" s="805"/>
      <c r="H16" s="805"/>
      <c r="I16" s="805"/>
    </row>
    <row r="17" spans="2:9" s="30" customFormat="1" ht="11.25">
      <c r="B17" s="21"/>
      <c r="C17" s="21"/>
      <c r="D17" s="21"/>
      <c r="E17" s="21"/>
      <c r="F17" s="21"/>
      <c r="G17" s="21"/>
      <c r="H17" s="21"/>
      <c r="I17" s="21"/>
    </row>
    <row r="18" spans="2:9" s="30" customFormat="1" ht="12.75">
      <c r="B18" s="15" t="s">
        <v>13678</v>
      </c>
      <c r="C18" s="21"/>
      <c r="D18" s="21"/>
      <c r="E18" s="21"/>
      <c r="F18" s="21"/>
      <c r="G18" s="21"/>
      <c r="H18" s="21"/>
      <c r="I18" s="21"/>
    </row>
    <row r="19" spans="2:9" customFormat="1" ht="25.5">
      <c r="B19" s="25" t="s">
        <v>19</v>
      </c>
      <c r="C19" s="25" t="s">
        <v>13817</v>
      </c>
      <c r="D19" s="25" t="s">
        <v>171</v>
      </c>
      <c r="E19" s="25" t="s">
        <v>13841</v>
      </c>
      <c r="F19" s="25" t="s">
        <v>20</v>
      </c>
      <c r="G19" s="25" t="s">
        <v>11101</v>
      </c>
      <c r="H19" s="25" t="s">
        <v>13818</v>
      </c>
      <c r="I19" s="25" t="s">
        <v>121</v>
      </c>
    </row>
    <row r="20" spans="2:9" s="676" customFormat="1" ht="22.5">
      <c r="B20" s="675" t="s">
        <v>13937</v>
      </c>
      <c r="C20" s="675" t="s">
        <v>13938</v>
      </c>
      <c r="D20" s="675" t="s">
        <v>13939</v>
      </c>
      <c r="E20" s="809" t="s">
        <v>13940</v>
      </c>
      <c r="F20" s="675" t="s">
        <v>13941</v>
      </c>
      <c r="G20" s="675"/>
      <c r="H20" s="675" t="s">
        <v>13942</v>
      </c>
      <c r="I20" s="675"/>
    </row>
    <row r="21" spans="2:9" s="676" customFormat="1">
      <c r="B21" s="675" t="s">
        <v>13937</v>
      </c>
      <c r="C21" s="675" t="s">
        <v>13943</v>
      </c>
      <c r="D21" s="675" t="s">
        <v>13939</v>
      </c>
      <c r="E21" s="810"/>
      <c r="F21" s="675" t="s">
        <v>13944</v>
      </c>
      <c r="G21" s="675"/>
      <c r="H21" s="675" t="s">
        <v>13942</v>
      </c>
      <c r="I21" s="675"/>
    </row>
    <row r="22" spans="2:9" s="676" customFormat="1">
      <c r="B22" s="675" t="s">
        <v>13937</v>
      </c>
      <c r="C22" s="675" t="s">
        <v>13945</v>
      </c>
      <c r="D22" s="675" t="s">
        <v>13939</v>
      </c>
      <c r="E22" s="810"/>
      <c r="F22" s="675" t="s">
        <v>13946</v>
      </c>
      <c r="G22" s="675"/>
      <c r="H22" s="675" t="s">
        <v>13942</v>
      </c>
      <c r="I22" s="675"/>
    </row>
    <row r="23" spans="2:9" s="676" customFormat="1">
      <c r="B23" s="675" t="s">
        <v>13937</v>
      </c>
      <c r="C23" s="675" t="s">
        <v>13947</v>
      </c>
      <c r="D23" s="675" t="s">
        <v>13939</v>
      </c>
      <c r="E23" s="810"/>
      <c r="F23" s="675" t="s">
        <v>13948</v>
      </c>
      <c r="G23" s="675"/>
      <c r="H23" s="675" t="s">
        <v>13942</v>
      </c>
      <c r="I23" s="675"/>
    </row>
    <row r="24" spans="2:9" s="676" customFormat="1">
      <c r="B24" s="675" t="s">
        <v>13937</v>
      </c>
      <c r="C24" s="675" t="s">
        <v>13949</v>
      </c>
      <c r="D24" s="675" t="s">
        <v>7387</v>
      </c>
      <c r="E24" s="810"/>
      <c r="F24" s="675" t="s">
        <v>13950</v>
      </c>
      <c r="G24" s="675"/>
      <c r="H24" s="675" t="s">
        <v>13942</v>
      </c>
      <c r="I24" s="675"/>
    </row>
    <row r="25" spans="2:9" s="676" customFormat="1">
      <c r="B25" s="675" t="s">
        <v>13937</v>
      </c>
      <c r="C25" s="675" t="s">
        <v>13951</v>
      </c>
      <c r="D25" s="675" t="s">
        <v>13952</v>
      </c>
      <c r="E25" s="810"/>
      <c r="F25" s="675" t="s">
        <v>13953</v>
      </c>
      <c r="G25" s="675"/>
      <c r="H25" s="675" t="s">
        <v>13942</v>
      </c>
      <c r="I25" s="675"/>
    </row>
    <row r="26" spans="2:9" s="676" customFormat="1">
      <c r="B26" s="675" t="s">
        <v>13937</v>
      </c>
      <c r="C26" s="675" t="s">
        <v>13954</v>
      </c>
      <c r="D26" s="675" t="s">
        <v>13952</v>
      </c>
      <c r="E26" s="810"/>
      <c r="F26" s="675" t="s">
        <v>13955</v>
      </c>
      <c r="G26" s="675"/>
      <c r="H26" s="675" t="s">
        <v>13942</v>
      </c>
      <c r="I26" s="675"/>
    </row>
    <row r="27" spans="2:9" s="676" customFormat="1">
      <c r="B27" s="675" t="s">
        <v>13937</v>
      </c>
      <c r="C27" s="675" t="s">
        <v>13956</v>
      </c>
      <c r="D27" s="675" t="s">
        <v>13939</v>
      </c>
      <c r="E27" s="810"/>
      <c r="F27" s="675" t="s">
        <v>13957</v>
      </c>
      <c r="G27" s="675"/>
      <c r="H27" s="675" t="s">
        <v>13942</v>
      </c>
      <c r="I27" s="675"/>
    </row>
    <row r="28" spans="2:9" s="676" customFormat="1" ht="33.75">
      <c r="B28" s="675" t="s">
        <v>13937</v>
      </c>
      <c r="C28" s="675" t="s">
        <v>13958</v>
      </c>
      <c r="D28" s="675" t="s">
        <v>13939</v>
      </c>
      <c r="E28" s="811"/>
      <c r="F28" s="675" t="s">
        <v>13959</v>
      </c>
      <c r="G28" s="675" t="s">
        <v>13960</v>
      </c>
      <c r="H28" s="675" t="s">
        <v>13942</v>
      </c>
      <c r="I28" s="675"/>
    </row>
    <row r="29" spans="2:9">
      <c r="E29" s="530"/>
      <c r="F29" s="531"/>
    </row>
  </sheetData>
  <mergeCells count="5">
    <mergeCell ref="B7:I7"/>
    <mergeCell ref="B10:I10"/>
    <mergeCell ref="B13:I13"/>
    <mergeCell ref="B16:I16"/>
    <mergeCell ref="E20:E28"/>
  </mergeCell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5" tint="0.39997558519241921"/>
  </sheetPr>
  <dimension ref="B5:I26"/>
  <sheetViews>
    <sheetView showGridLines="0" topLeftCell="C11" workbookViewId="0"/>
  </sheetViews>
  <sheetFormatPr defaultRowHeight="15"/>
  <cols>
    <col min="1" max="1" width="2.85546875" customWidth="1"/>
    <col min="2" max="2" width="25.5703125" customWidth="1"/>
    <col min="3" max="3" width="48.5703125" customWidth="1"/>
    <col min="4" max="4" width="10.5703125" customWidth="1"/>
    <col min="5" max="5" width="15.5703125" customWidth="1"/>
    <col min="6" max="8" width="25.5703125" customWidth="1"/>
    <col min="9" max="9" width="57.28515625" customWidth="1"/>
  </cols>
  <sheetData>
    <row r="5" spans="2:9">
      <c r="E5" s="545"/>
    </row>
    <row r="6" spans="2:9" s="30" customFormat="1" ht="12.75">
      <c r="B6" s="35" t="s">
        <v>13961</v>
      </c>
      <c r="C6" s="10"/>
      <c r="D6" s="10"/>
      <c r="E6" s="10"/>
      <c r="F6" s="21"/>
      <c r="G6" s="10"/>
      <c r="H6" s="21"/>
      <c r="I6" s="21"/>
    </row>
    <row r="7" spans="2:9" s="30" customFormat="1" ht="12.75">
      <c r="B7" s="15" t="s">
        <v>13809</v>
      </c>
      <c r="C7" s="10"/>
      <c r="D7" s="10"/>
      <c r="E7" s="10"/>
      <c r="F7" s="21"/>
      <c r="G7" s="10"/>
      <c r="H7" s="21"/>
      <c r="I7" s="21"/>
    </row>
    <row r="8" spans="2:9" s="30" customFormat="1" ht="26.25" customHeight="1">
      <c r="B8" s="805" t="s">
        <v>13962</v>
      </c>
      <c r="C8" s="805"/>
      <c r="D8" s="805"/>
      <c r="E8" s="805"/>
      <c r="F8" s="805"/>
      <c r="G8" s="805"/>
      <c r="H8" s="805"/>
      <c r="I8" s="805"/>
    </row>
    <row r="9" spans="2:9" s="30" customFormat="1" ht="10.5" customHeight="1">
      <c r="B9" s="21"/>
      <c r="C9" s="21"/>
      <c r="D9" s="21"/>
      <c r="E9" s="21"/>
      <c r="F9" s="21"/>
      <c r="G9" s="21"/>
      <c r="H9" s="21"/>
      <c r="I9" s="21"/>
    </row>
    <row r="10" spans="2:9" s="30" customFormat="1" ht="12" customHeight="1">
      <c r="B10" s="15" t="s">
        <v>13811</v>
      </c>
      <c r="C10" s="21"/>
      <c r="D10" s="21"/>
      <c r="E10" s="21"/>
      <c r="F10" s="21"/>
      <c r="G10" s="21"/>
      <c r="H10" s="21"/>
      <c r="I10" s="21"/>
    </row>
    <row r="11" spans="2:9" s="30" customFormat="1" ht="24.75" customHeight="1">
      <c r="B11" s="805" t="s">
        <v>13963</v>
      </c>
      <c r="C11" s="805"/>
      <c r="D11" s="805"/>
      <c r="E11" s="805"/>
      <c r="F11" s="805"/>
      <c r="G11" s="805"/>
      <c r="H11" s="805"/>
      <c r="I11" s="805"/>
    </row>
    <row r="12" spans="2:9" s="30" customFormat="1" ht="12" customHeight="1">
      <c r="B12" s="10"/>
      <c r="C12" s="21"/>
      <c r="D12" s="21"/>
      <c r="E12" s="21"/>
      <c r="F12" s="21"/>
      <c r="G12" s="21"/>
      <c r="H12" s="21"/>
      <c r="I12" s="21"/>
    </row>
    <row r="13" spans="2:9" s="30" customFormat="1" ht="12" customHeight="1">
      <c r="B13" s="15" t="s">
        <v>13813</v>
      </c>
      <c r="C13" s="21"/>
      <c r="D13" s="21"/>
      <c r="E13" s="21"/>
      <c r="F13" s="21"/>
      <c r="G13" s="21"/>
      <c r="H13" s="21"/>
      <c r="I13" s="21"/>
    </row>
    <row r="14" spans="2:9" s="30" customFormat="1" ht="23.25" customHeight="1">
      <c r="B14" s="805" t="s">
        <v>13964</v>
      </c>
      <c r="C14" s="805"/>
      <c r="D14" s="805"/>
      <c r="E14" s="805"/>
      <c r="F14" s="805"/>
      <c r="G14" s="805"/>
      <c r="H14" s="805"/>
      <c r="I14" s="805"/>
    </row>
    <row r="15" spans="2:9" s="30" customFormat="1" ht="12" customHeight="1">
      <c r="B15" s="10"/>
      <c r="C15" s="21"/>
      <c r="D15" s="21"/>
      <c r="E15" s="21"/>
      <c r="F15" s="21"/>
      <c r="G15" s="21"/>
      <c r="H15" s="21"/>
      <c r="I15" s="21"/>
    </row>
    <row r="16" spans="2:9" s="30" customFormat="1" ht="12" customHeight="1">
      <c r="B16" s="15" t="s">
        <v>13815</v>
      </c>
      <c r="C16" s="21"/>
      <c r="D16" s="21"/>
      <c r="E16" s="21"/>
      <c r="F16" s="21"/>
      <c r="G16" s="21"/>
      <c r="H16" s="21"/>
      <c r="I16" s="21"/>
    </row>
    <row r="17" spans="2:9" s="30" customFormat="1" ht="21.75" customHeight="1">
      <c r="B17" s="805" t="s">
        <v>13965</v>
      </c>
      <c r="C17" s="805"/>
      <c r="D17" s="805"/>
      <c r="E17" s="805"/>
      <c r="F17" s="805"/>
      <c r="G17" s="805"/>
      <c r="H17" s="805"/>
      <c r="I17" s="805"/>
    </row>
    <row r="18" spans="2:9" s="30" customFormat="1" ht="12" customHeight="1">
      <c r="B18" s="21"/>
      <c r="C18" s="21"/>
      <c r="D18" s="21"/>
      <c r="E18" s="21"/>
      <c r="F18" s="21"/>
      <c r="G18" s="21"/>
      <c r="H18" s="21"/>
      <c r="I18" s="21"/>
    </row>
    <row r="19" spans="2:9" s="30" customFormat="1" ht="12.75" customHeight="1">
      <c r="B19" s="15" t="s">
        <v>13678</v>
      </c>
      <c r="C19" s="21"/>
      <c r="D19" s="21"/>
      <c r="E19" s="21"/>
      <c r="F19" s="21"/>
      <c r="G19" s="21"/>
      <c r="H19" s="21"/>
      <c r="I19" s="21"/>
    </row>
    <row r="20" spans="2:9" ht="25.5">
      <c r="B20" s="25" t="s">
        <v>19</v>
      </c>
      <c r="C20" s="25" t="s">
        <v>13817</v>
      </c>
      <c r="D20" s="25" t="s">
        <v>171</v>
      </c>
      <c r="E20" s="25" t="s">
        <v>13841</v>
      </c>
      <c r="F20" s="25" t="s">
        <v>20</v>
      </c>
      <c r="G20" s="25" t="s">
        <v>11101</v>
      </c>
      <c r="H20" s="25" t="s">
        <v>13818</v>
      </c>
      <c r="I20" s="25" t="s">
        <v>121</v>
      </c>
    </row>
    <row r="21" spans="2:9" ht="22.5">
      <c r="B21" s="8" t="s">
        <v>13966</v>
      </c>
      <c r="C21" s="8" t="s">
        <v>13882</v>
      </c>
      <c r="D21" s="8" t="s">
        <v>13829</v>
      </c>
      <c r="E21" s="8" t="s">
        <v>13967</v>
      </c>
      <c r="F21" s="9" t="s">
        <v>13845</v>
      </c>
      <c r="G21" s="8"/>
      <c r="H21" s="9" t="s">
        <v>13846</v>
      </c>
      <c r="I21" s="9" t="s">
        <v>13968</v>
      </c>
    </row>
    <row r="22" spans="2:9" ht="22.5">
      <c r="B22" s="8" t="s">
        <v>13966</v>
      </c>
      <c r="C22" s="8" t="s">
        <v>13885</v>
      </c>
      <c r="D22" s="8" t="s">
        <v>12691</v>
      </c>
      <c r="E22" s="8" t="s">
        <v>13967</v>
      </c>
      <c r="F22" s="9" t="s">
        <v>13969</v>
      </c>
      <c r="G22" s="29" t="s">
        <v>13970</v>
      </c>
      <c r="H22" s="36" t="s">
        <v>13971</v>
      </c>
      <c r="I22" s="36" t="s">
        <v>13972</v>
      </c>
    </row>
    <row r="23" spans="2:9">
      <c r="B23" s="8" t="s">
        <v>13966</v>
      </c>
      <c r="C23" s="8" t="s">
        <v>13973</v>
      </c>
      <c r="D23" s="8" t="s">
        <v>12691</v>
      </c>
      <c r="E23" s="8" t="s">
        <v>13967</v>
      </c>
      <c r="F23" s="9" t="s">
        <v>13974</v>
      </c>
      <c r="G23" s="9" t="s">
        <v>13975</v>
      </c>
      <c r="H23" s="9" t="s">
        <v>13971</v>
      </c>
      <c r="I23" s="9"/>
    </row>
    <row r="24" spans="2:9" ht="45">
      <c r="B24" s="8" t="s">
        <v>13966</v>
      </c>
      <c r="C24" s="8" t="s">
        <v>13976</v>
      </c>
      <c r="D24" s="8" t="s">
        <v>12691</v>
      </c>
      <c r="E24" s="8" t="s">
        <v>13967</v>
      </c>
      <c r="F24" s="9" t="s">
        <v>13977</v>
      </c>
      <c r="G24" s="9" t="s">
        <v>13978</v>
      </c>
      <c r="H24" s="9" t="s">
        <v>13971</v>
      </c>
      <c r="I24" s="9"/>
    </row>
    <row r="25" spans="2:9" ht="45">
      <c r="B25" s="8" t="s">
        <v>13966</v>
      </c>
      <c r="C25" s="8" t="s">
        <v>13979</v>
      </c>
      <c r="D25" s="8" t="s">
        <v>12691</v>
      </c>
      <c r="E25" s="8" t="s">
        <v>13967</v>
      </c>
      <c r="F25" s="9" t="s">
        <v>13980</v>
      </c>
      <c r="G25" s="9" t="s">
        <v>13978</v>
      </c>
      <c r="H25" s="9" t="s">
        <v>13971</v>
      </c>
      <c r="I25" s="9"/>
    </row>
    <row r="26" spans="2:9" ht="45">
      <c r="B26" s="8" t="s">
        <v>13966</v>
      </c>
      <c r="C26" s="8" t="s">
        <v>13981</v>
      </c>
      <c r="D26" s="8" t="s">
        <v>12691</v>
      </c>
      <c r="E26" s="8" t="s">
        <v>13967</v>
      </c>
      <c r="F26" s="9" t="s">
        <v>13982</v>
      </c>
      <c r="G26" s="9" t="s">
        <v>13978</v>
      </c>
      <c r="H26" s="9" t="s">
        <v>13971</v>
      </c>
      <c r="I26" s="9"/>
    </row>
  </sheetData>
  <mergeCells count="4">
    <mergeCell ref="B8:I8"/>
    <mergeCell ref="B11:I11"/>
    <mergeCell ref="B14:I14"/>
    <mergeCell ref="B17:I17"/>
  </mergeCells>
  <pageMargins left="0.70866141732283472" right="0.70866141732283472" top="0.74803149606299213" bottom="0.74803149606299213" header="0.31496062992125984" footer="0.31496062992125984"/>
  <pageSetup paperSize="9" scale="90"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A289-4E62-4126-8292-6038D337A7B2}">
  <sheetPr>
    <tabColor theme="5" tint="0.39997558519241921"/>
  </sheetPr>
  <dimension ref="B5:I29"/>
  <sheetViews>
    <sheetView showGridLines="0" topLeftCell="A17" workbookViewId="0"/>
  </sheetViews>
  <sheetFormatPr defaultRowHeight="15"/>
  <cols>
    <col min="1" max="1" width="2.85546875" customWidth="1"/>
    <col min="2" max="2" width="25.5703125" customWidth="1"/>
    <col min="3" max="3" width="29" customWidth="1"/>
    <col min="4" max="4" width="10.5703125" customWidth="1"/>
    <col min="5" max="5" width="15.5703125" customWidth="1"/>
    <col min="6" max="6" width="25.5703125" customWidth="1"/>
    <col min="7" max="7" width="20" customWidth="1"/>
    <col min="8" max="8" width="21.28515625" customWidth="1"/>
    <col min="9" max="9" width="57.28515625" customWidth="1"/>
  </cols>
  <sheetData>
    <row r="5" spans="2:9" s="30" customFormat="1" ht="12.75">
      <c r="B5" s="35" t="s">
        <v>13876</v>
      </c>
      <c r="C5" s="10"/>
      <c r="D5" s="10"/>
      <c r="E5" s="10"/>
      <c r="F5" s="21"/>
      <c r="G5" s="10"/>
      <c r="H5" s="21"/>
      <c r="I5" s="21"/>
    </row>
    <row r="6" spans="2:9" s="30" customFormat="1" ht="12.75">
      <c r="B6" s="15" t="s">
        <v>13809</v>
      </c>
      <c r="C6" s="10"/>
      <c r="D6" s="10"/>
      <c r="E6" s="10"/>
      <c r="F6" s="21"/>
      <c r="G6" s="10"/>
      <c r="H6" s="21"/>
      <c r="I6" s="21"/>
    </row>
    <row r="7" spans="2:9" s="30" customFormat="1" ht="11.25">
      <c r="B7" s="805" t="s">
        <v>13983</v>
      </c>
      <c r="C7" s="805"/>
      <c r="D7" s="805"/>
      <c r="E7" s="805"/>
      <c r="F7" s="805"/>
      <c r="G7" s="805"/>
      <c r="H7" s="805"/>
      <c r="I7" s="805"/>
    </row>
    <row r="8" spans="2:9" s="30" customFormat="1" ht="10.5" customHeight="1">
      <c r="B8" s="21"/>
      <c r="C8" s="21"/>
      <c r="D8" s="21"/>
      <c r="E8" s="21"/>
      <c r="F8" s="21"/>
      <c r="G8" s="21"/>
      <c r="H8" s="21"/>
      <c r="I8" s="21"/>
    </row>
    <row r="9" spans="2:9" s="30" customFormat="1" ht="12" customHeight="1">
      <c r="B9" s="15" t="s">
        <v>13811</v>
      </c>
      <c r="C9" s="21"/>
      <c r="D9" s="21"/>
      <c r="E9" s="21"/>
      <c r="F9" s="21"/>
      <c r="G9" s="21"/>
      <c r="H9" s="21"/>
      <c r="I9" s="21"/>
    </row>
    <row r="10" spans="2:9" s="30" customFormat="1" ht="11.25">
      <c r="B10" s="805" t="s">
        <v>13984</v>
      </c>
      <c r="C10" s="805"/>
      <c r="D10" s="805"/>
      <c r="E10" s="805"/>
      <c r="F10" s="805"/>
      <c r="G10" s="805"/>
      <c r="H10" s="805"/>
      <c r="I10" s="805"/>
    </row>
    <row r="11" spans="2:9" s="30" customFormat="1" ht="12" customHeight="1">
      <c r="B11" s="10"/>
      <c r="C11" s="21"/>
      <c r="D11" s="21"/>
      <c r="E11" s="21"/>
      <c r="F11" s="21"/>
      <c r="G11" s="21"/>
      <c r="H11" s="21"/>
      <c r="I11" s="21"/>
    </row>
    <row r="12" spans="2:9" s="30" customFormat="1" ht="12" customHeight="1">
      <c r="B12" s="15" t="s">
        <v>13813</v>
      </c>
      <c r="C12" s="21"/>
      <c r="D12" s="21"/>
      <c r="E12" s="21"/>
      <c r="F12" s="21"/>
      <c r="G12" s="21"/>
      <c r="H12" s="21"/>
      <c r="I12" s="21"/>
    </row>
    <row r="13" spans="2:9" s="30" customFormat="1" ht="21.75" customHeight="1">
      <c r="B13" s="806" t="s">
        <v>639</v>
      </c>
      <c r="C13" s="805"/>
      <c r="D13" s="805"/>
      <c r="E13" s="805"/>
      <c r="F13" s="805"/>
      <c r="G13" s="805"/>
      <c r="H13" s="805"/>
      <c r="I13" s="805"/>
    </row>
    <row r="14" spans="2:9" s="30" customFormat="1" ht="12" customHeight="1">
      <c r="B14" s="10"/>
      <c r="C14" s="21"/>
      <c r="D14" s="21"/>
      <c r="E14" s="21"/>
      <c r="F14" s="21"/>
      <c r="G14" s="21"/>
      <c r="H14" s="21"/>
      <c r="I14" s="21"/>
    </row>
    <row r="15" spans="2:9" s="30" customFormat="1" ht="12" customHeight="1">
      <c r="B15" s="15" t="s">
        <v>13815</v>
      </c>
      <c r="C15" s="21"/>
      <c r="D15" s="21"/>
      <c r="E15" s="21"/>
      <c r="F15" s="21"/>
      <c r="G15" s="21"/>
      <c r="H15" s="21"/>
      <c r="I15" s="21"/>
    </row>
    <row r="16" spans="2:9" s="30" customFormat="1" ht="21.75" customHeight="1">
      <c r="B16" s="805" t="s">
        <v>13985</v>
      </c>
      <c r="C16" s="805"/>
      <c r="D16" s="805"/>
      <c r="E16" s="805"/>
      <c r="F16" s="805"/>
      <c r="G16" s="805"/>
      <c r="H16" s="805"/>
      <c r="I16" s="805"/>
    </row>
    <row r="17" spans="2:9" s="30" customFormat="1" ht="12" customHeight="1">
      <c r="B17" s="21"/>
      <c r="C17" s="21"/>
      <c r="D17" s="21"/>
      <c r="E17" s="21"/>
      <c r="F17" s="21"/>
      <c r="G17" s="21"/>
      <c r="H17" s="21"/>
      <c r="I17" s="21"/>
    </row>
    <row r="18" spans="2:9" s="30" customFormat="1" ht="12.75" customHeight="1">
      <c r="B18" s="15" t="s">
        <v>13678</v>
      </c>
      <c r="C18" s="21"/>
      <c r="D18" s="21"/>
      <c r="E18" s="21"/>
      <c r="F18" s="21"/>
      <c r="G18" s="21"/>
      <c r="H18" s="21"/>
      <c r="I18" s="21"/>
    </row>
    <row r="19" spans="2:9" ht="25.5">
      <c r="B19" s="25" t="s">
        <v>19</v>
      </c>
      <c r="C19" s="25" t="s">
        <v>13817</v>
      </c>
      <c r="D19" s="25" t="s">
        <v>171</v>
      </c>
      <c r="E19" s="25" t="s">
        <v>13841</v>
      </c>
      <c r="F19" s="25" t="s">
        <v>20</v>
      </c>
      <c r="G19" s="25" t="s">
        <v>11101</v>
      </c>
      <c r="H19" s="25" t="s">
        <v>13818</v>
      </c>
      <c r="I19" s="25" t="s">
        <v>121</v>
      </c>
    </row>
    <row r="20" spans="2:9" s="532" customFormat="1" ht="22.5">
      <c r="B20" s="675" t="s">
        <v>13986</v>
      </c>
      <c r="C20" s="675" t="s">
        <v>13828</v>
      </c>
      <c r="D20" s="675" t="s">
        <v>13939</v>
      </c>
      <c r="E20" s="675"/>
      <c r="F20" s="675" t="s">
        <v>13987</v>
      </c>
      <c r="G20" s="675"/>
      <c r="H20" s="809" t="s">
        <v>13988</v>
      </c>
      <c r="I20" s="675" t="s">
        <v>13989</v>
      </c>
    </row>
    <row r="21" spans="2:9" s="532" customFormat="1" ht="22.5">
      <c r="B21" s="675" t="s">
        <v>13986</v>
      </c>
      <c r="C21" s="675" t="s">
        <v>13990</v>
      </c>
      <c r="D21" s="675" t="s">
        <v>13991</v>
      </c>
      <c r="E21" s="675"/>
      <c r="F21" s="675" t="s">
        <v>13992</v>
      </c>
      <c r="G21" s="675" t="s">
        <v>13993</v>
      </c>
      <c r="H21" s="810"/>
      <c r="I21" s="675" t="s">
        <v>13994</v>
      </c>
    </row>
    <row r="22" spans="2:9" s="532" customFormat="1" ht="33.75" customHeight="1">
      <c r="B22" s="675" t="s">
        <v>13986</v>
      </c>
      <c r="C22" s="675" t="s">
        <v>13995</v>
      </c>
      <c r="D22" s="675" t="s">
        <v>13939</v>
      </c>
      <c r="E22" s="675"/>
      <c r="F22" s="675" t="s">
        <v>13996</v>
      </c>
      <c r="G22" s="675"/>
      <c r="H22" s="810"/>
      <c r="I22" s="675" t="s">
        <v>13997</v>
      </c>
    </row>
    <row r="23" spans="2:9" s="532" customFormat="1" ht="36.75" customHeight="1">
      <c r="B23" s="675" t="s">
        <v>13986</v>
      </c>
      <c r="C23" s="675" t="s">
        <v>13998</v>
      </c>
      <c r="D23" s="675" t="s">
        <v>13939</v>
      </c>
      <c r="E23" s="675"/>
      <c r="F23" s="675" t="s">
        <v>13999</v>
      </c>
      <c r="G23" s="675"/>
      <c r="H23" s="810"/>
      <c r="I23" s="675" t="s">
        <v>13997</v>
      </c>
    </row>
    <row r="24" spans="2:9" s="532" customFormat="1" ht="36.75" customHeight="1">
      <c r="B24" s="675" t="s">
        <v>13986</v>
      </c>
      <c r="C24" s="675" t="s">
        <v>14000</v>
      </c>
      <c r="D24" s="675" t="s">
        <v>13991</v>
      </c>
      <c r="E24" s="675"/>
      <c r="F24" s="675" t="s">
        <v>14001</v>
      </c>
      <c r="G24" s="675"/>
      <c r="H24" s="810"/>
      <c r="I24" s="675" t="s">
        <v>13997</v>
      </c>
    </row>
    <row r="25" spans="2:9" s="677" customFormat="1" ht="33.75" customHeight="1">
      <c r="B25" s="675" t="s">
        <v>13986</v>
      </c>
      <c r="C25" s="675" t="s">
        <v>14002</v>
      </c>
      <c r="D25" s="675" t="s">
        <v>13991</v>
      </c>
      <c r="E25" s="675"/>
      <c r="F25" s="675" t="s">
        <v>14003</v>
      </c>
      <c r="G25" s="675"/>
      <c r="H25" s="811"/>
      <c r="I25" s="675" t="s">
        <v>13997</v>
      </c>
    </row>
    <row r="27" spans="2:9">
      <c r="E27" s="527"/>
    </row>
    <row r="28" spans="2:9">
      <c r="E28" s="527"/>
    </row>
    <row r="29" spans="2:9">
      <c r="E29" s="527"/>
    </row>
  </sheetData>
  <mergeCells count="5">
    <mergeCell ref="B7:I7"/>
    <mergeCell ref="B10:I10"/>
    <mergeCell ref="B13:I13"/>
    <mergeCell ref="B16:I16"/>
    <mergeCell ref="H20:H25"/>
  </mergeCells>
  <pageMargins left="0.70866141732283472" right="0.70866141732283472" top="0.74803149606299213" bottom="0.74803149606299213" header="0.31496062992125984" footer="0.31496062992125984"/>
  <pageSetup paperSize="9" scale="90"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85E6-9D71-41C2-9093-0371DEF646D4}">
  <sheetPr>
    <tabColor theme="5" tint="0.39997558519241921"/>
  </sheetPr>
  <dimension ref="B5:I29"/>
  <sheetViews>
    <sheetView showGridLines="0" topLeftCell="A22" workbookViewId="0"/>
  </sheetViews>
  <sheetFormatPr defaultRowHeight="15"/>
  <cols>
    <col min="1" max="1" width="2.85546875" customWidth="1"/>
    <col min="2" max="2" width="25.5703125" customWidth="1"/>
    <col min="3" max="3" width="29" customWidth="1"/>
    <col min="4" max="4" width="10.5703125" customWidth="1"/>
    <col min="5" max="5" width="15.5703125" customWidth="1"/>
    <col min="6" max="6" width="25.5703125" customWidth="1"/>
    <col min="7" max="7" width="20" customWidth="1"/>
    <col min="8" max="8" width="21.28515625" customWidth="1"/>
    <col min="9" max="9" width="57.28515625" customWidth="1"/>
  </cols>
  <sheetData>
    <row r="5" spans="2:9" s="30" customFormat="1" ht="12.75">
      <c r="B5" s="35" t="s">
        <v>13876</v>
      </c>
      <c r="C5" s="10"/>
      <c r="D5" s="10"/>
      <c r="E5" s="10"/>
      <c r="F5" s="21"/>
      <c r="G5" s="10"/>
      <c r="H5" s="21"/>
      <c r="I5" s="21"/>
    </row>
    <row r="6" spans="2:9" s="30" customFormat="1" ht="12.75">
      <c r="B6" s="15" t="s">
        <v>13809</v>
      </c>
      <c r="C6" s="10"/>
      <c r="D6" s="10"/>
      <c r="E6" s="10"/>
      <c r="F6" s="21"/>
      <c r="G6" s="10"/>
      <c r="H6" s="21"/>
      <c r="I6" s="21"/>
    </row>
    <row r="7" spans="2:9" s="30" customFormat="1" ht="11.25">
      <c r="B7" s="805" t="s">
        <v>14004</v>
      </c>
      <c r="C7" s="805"/>
      <c r="D7" s="805"/>
      <c r="E7" s="805"/>
      <c r="F7" s="805"/>
      <c r="G7" s="805"/>
      <c r="H7" s="805"/>
      <c r="I7" s="805"/>
    </row>
    <row r="8" spans="2:9" s="30" customFormat="1" ht="10.5" customHeight="1">
      <c r="B8" s="21"/>
      <c r="C8" s="21"/>
      <c r="D8" s="21"/>
      <c r="E8" s="21"/>
      <c r="F8" s="21"/>
      <c r="G8" s="21"/>
      <c r="H8" s="21"/>
      <c r="I8" s="21"/>
    </row>
    <row r="9" spans="2:9" s="30" customFormat="1" ht="12" customHeight="1">
      <c r="B9" s="15" t="s">
        <v>13811</v>
      </c>
      <c r="C9" s="21"/>
      <c r="D9" s="21"/>
      <c r="E9" s="21"/>
      <c r="F9" s="21"/>
      <c r="G9" s="21"/>
      <c r="H9" s="21"/>
      <c r="I9" s="21"/>
    </row>
    <row r="10" spans="2:9" s="30" customFormat="1" ht="11.25">
      <c r="B10" s="805" t="s">
        <v>13984</v>
      </c>
      <c r="C10" s="805"/>
      <c r="D10" s="805"/>
      <c r="E10" s="805"/>
      <c r="F10" s="805"/>
      <c r="G10" s="805"/>
      <c r="H10" s="805"/>
      <c r="I10" s="805"/>
    </row>
    <row r="11" spans="2:9" s="30" customFormat="1" ht="12" customHeight="1">
      <c r="B11" s="10"/>
      <c r="C11" s="21"/>
      <c r="D11" s="21"/>
      <c r="E11" s="21"/>
      <c r="F11" s="21"/>
      <c r="G11" s="21"/>
      <c r="H11" s="21"/>
      <c r="I11" s="21"/>
    </row>
    <row r="12" spans="2:9" s="30" customFormat="1" ht="12" customHeight="1">
      <c r="B12" s="15" t="s">
        <v>13813</v>
      </c>
      <c r="C12" s="21"/>
      <c r="D12" s="21"/>
      <c r="E12" s="21"/>
      <c r="F12" s="21"/>
      <c r="G12" s="21"/>
      <c r="H12" s="21"/>
      <c r="I12" s="21"/>
    </row>
    <row r="13" spans="2:9" s="30" customFormat="1" ht="21.75" customHeight="1">
      <c r="B13" s="806" t="s">
        <v>13814</v>
      </c>
      <c r="C13" s="805"/>
      <c r="D13" s="805"/>
      <c r="E13" s="805"/>
      <c r="F13" s="805"/>
      <c r="G13" s="805"/>
      <c r="H13" s="805"/>
      <c r="I13" s="805"/>
    </row>
    <row r="14" spans="2:9" s="30" customFormat="1" ht="12" customHeight="1">
      <c r="B14" s="10"/>
      <c r="C14" s="21"/>
      <c r="D14" s="21"/>
      <c r="E14" s="21"/>
      <c r="F14" s="21"/>
      <c r="G14" s="21"/>
      <c r="H14" s="21"/>
      <c r="I14" s="21"/>
    </row>
    <row r="15" spans="2:9" s="30" customFormat="1" ht="12" customHeight="1">
      <c r="B15" s="15" t="s">
        <v>13815</v>
      </c>
      <c r="C15" s="21"/>
      <c r="D15" s="21"/>
      <c r="E15" s="21"/>
      <c r="F15" s="21"/>
      <c r="G15" s="21"/>
      <c r="H15" s="21"/>
      <c r="I15" s="21"/>
    </row>
    <row r="16" spans="2:9" s="30" customFormat="1" ht="21.75" customHeight="1">
      <c r="B16" s="805" t="s">
        <v>14005</v>
      </c>
      <c r="C16" s="805"/>
      <c r="D16" s="805"/>
      <c r="E16" s="805"/>
      <c r="F16" s="805"/>
      <c r="G16" s="805"/>
      <c r="H16" s="805"/>
      <c r="I16" s="805"/>
    </row>
    <row r="17" spans="2:9" s="30" customFormat="1" ht="12" customHeight="1">
      <c r="B17" s="21"/>
      <c r="C17" s="21"/>
      <c r="D17" s="21"/>
      <c r="E17" s="21"/>
      <c r="F17" s="21"/>
      <c r="G17" s="21"/>
      <c r="H17" s="21"/>
      <c r="I17" s="21"/>
    </row>
    <row r="18" spans="2:9" s="30" customFormat="1" ht="12.75" customHeight="1">
      <c r="B18" s="15" t="s">
        <v>13678</v>
      </c>
      <c r="C18" s="21"/>
      <c r="D18" s="21"/>
      <c r="E18" s="21"/>
      <c r="F18" s="21"/>
      <c r="G18" s="21"/>
      <c r="H18" s="21"/>
      <c r="I18" s="21"/>
    </row>
    <row r="19" spans="2:9" ht="25.5">
      <c r="B19" s="25" t="s">
        <v>19</v>
      </c>
      <c r="C19" s="25" t="s">
        <v>13817</v>
      </c>
      <c r="D19" s="25" t="s">
        <v>171</v>
      </c>
      <c r="E19" s="25" t="s">
        <v>13841</v>
      </c>
      <c r="F19" s="25" t="s">
        <v>20</v>
      </c>
      <c r="G19" s="25" t="s">
        <v>11101</v>
      </c>
      <c r="H19" s="25" t="s">
        <v>13818</v>
      </c>
      <c r="I19" s="25" t="s">
        <v>121</v>
      </c>
    </row>
    <row r="20" spans="2:9" s="532" customFormat="1" ht="22.5">
      <c r="B20" s="675" t="s">
        <v>13986</v>
      </c>
      <c r="C20" s="675" t="s">
        <v>13828</v>
      </c>
      <c r="D20" s="675" t="s">
        <v>13939</v>
      </c>
      <c r="E20" s="675"/>
      <c r="F20" s="675" t="s">
        <v>13987</v>
      </c>
      <c r="G20" s="675"/>
      <c r="H20" s="809" t="s">
        <v>13988</v>
      </c>
      <c r="I20" s="675" t="s">
        <v>13989</v>
      </c>
    </row>
    <row r="21" spans="2:9" s="532" customFormat="1">
      <c r="B21" s="675" t="s">
        <v>13986</v>
      </c>
      <c r="C21" s="675" t="s">
        <v>13990</v>
      </c>
      <c r="D21" s="675" t="s">
        <v>13991</v>
      </c>
      <c r="E21" s="675"/>
      <c r="F21" s="675" t="s">
        <v>13992</v>
      </c>
      <c r="G21" s="675">
        <v>202021</v>
      </c>
      <c r="H21" s="810"/>
      <c r="I21" s="675" t="s">
        <v>14006</v>
      </c>
    </row>
    <row r="22" spans="2:9" s="532" customFormat="1" ht="33.75" customHeight="1">
      <c r="B22" s="675" t="s">
        <v>13986</v>
      </c>
      <c r="C22" s="675" t="s">
        <v>14007</v>
      </c>
      <c r="D22" s="675" t="s">
        <v>13991</v>
      </c>
      <c r="E22" s="675"/>
      <c r="F22" s="675" t="s">
        <v>14008</v>
      </c>
      <c r="G22" s="675"/>
      <c r="H22" s="810"/>
      <c r="I22" s="675" t="s">
        <v>14009</v>
      </c>
    </row>
    <row r="23" spans="2:9" s="532" customFormat="1" ht="36.75" customHeight="1">
      <c r="B23" s="675" t="s">
        <v>13986</v>
      </c>
      <c r="C23" s="675" t="s">
        <v>14010</v>
      </c>
      <c r="D23" s="675" t="s">
        <v>13991</v>
      </c>
      <c r="E23" s="675"/>
      <c r="F23" s="675" t="s">
        <v>14011</v>
      </c>
      <c r="G23" s="675"/>
      <c r="H23" s="810"/>
      <c r="I23" s="675" t="s">
        <v>14009</v>
      </c>
    </row>
    <row r="24" spans="2:9" s="532" customFormat="1" ht="36.75" customHeight="1">
      <c r="B24" s="675" t="s">
        <v>13986</v>
      </c>
      <c r="C24" s="675" t="s">
        <v>14012</v>
      </c>
      <c r="D24" s="675" t="s">
        <v>13939</v>
      </c>
      <c r="E24" s="675"/>
      <c r="F24" s="675" t="s">
        <v>14013</v>
      </c>
      <c r="G24" s="675"/>
      <c r="H24" s="810"/>
      <c r="I24" s="675" t="s">
        <v>14009</v>
      </c>
    </row>
    <row r="25" spans="2:9" s="677" customFormat="1" ht="33.75" customHeight="1">
      <c r="B25" s="675" t="s">
        <v>13986</v>
      </c>
      <c r="C25" s="675" t="s">
        <v>14014</v>
      </c>
      <c r="D25" s="675" t="s">
        <v>13939</v>
      </c>
      <c r="E25" s="675"/>
      <c r="F25" s="675" t="s">
        <v>14015</v>
      </c>
      <c r="G25" s="675"/>
      <c r="H25" s="811"/>
      <c r="I25" s="675" t="s">
        <v>14009</v>
      </c>
    </row>
    <row r="27" spans="2:9">
      <c r="E27" s="527"/>
    </row>
    <row r="28" spans="2:9">
      <c r="E28" s="527"/>
    </row>
    <row r="29" spans="2:9">
      <c r="E29" s="527"/>
    </row>
  </sheetData>
  <mergeCells count="5">
    <mergeCell ref="B7:I7"/>
    <mergeCell ref="B10:I10"/>
    <mergeCell ref="B13:I13"/>
    <mergeCell ref="B16:I16"/>
    <mergeCell ref="H20:H25"/>
  </mergeCells>
  <pageMargins left="0.70866141732283472" right="0.70866141732283472" top="0.74803149606299213" bottom="0.74803149606299213" header="0.31496062992125984" footer="0.31496062992125984"/>
  <pageSetup paperSize="9" scale="9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5" tint="0.39997558519241921"/>
  </sheetPr>
  <dimension ref="A1:I29"/>
  <sheetViews>
    <sheetView showGridLines="0" topLeftCell="A13" zoomScale="85" zoomScaleNormal="85" workbookViewId="0">
      <selection activeCell="B16" sqref="B16:I16"/>
    </sheetView>
  </sheetViews>
  <sheetFormatPr defaultRowHeight="15"/>
  <cols>
    <col min="1" max="1" width="2.85546875" customWidth="1"/>
    <col min="2" max="2" width="25.5703125" customWidth="1"/>
    <col min="3" max="3" width="86.28515625" customWidth="1"/>
    <col min="4" max="4" width="10.5703125" customWidth="1"/>
    <col min="5" max="5" width="15.5703125" customWidth="1"/>
    <col min="6" max="8" width="25.5703125" customWidth="1"/>
    <col min="9" max="9" width="57.28515625" customWidth="1"/>
  </cols>
  <sheetData>
    <row r="1" spans="1:9">
      <c r="A1" s="18"/>
    </row>
    <row r="2" spans="1:9">
      <c r="A2" s="18"/>
    </row>
    <row r="3" spans="1:9">
      <c r="A3" s="18"/>
    </row>
    <row r="4" spans="1:9">
      <c r="A4" s="18"/>
    </row>
    <row r="5" spans="1:9" s="30" customFormat="1" ht="12.75">
      <c r="B5" s="35" t="s">
        <v>14016</v>
      </c>
      <c r="C5" s="10"/>
      <c r="D5" s="10"/>
      <c r="E5" s="10"/>
      <c r="F5" s="21"/>
      <c r="G5" s="10"/>
      <c r="H5" s="21"/>
      <c r="I5" s="21"/>
    </row>
    <row r="6" spans="1:9" s="30" customFormat="1" ht="37.5" customHeight="1">
      <c r="B6" s="15" t="s">
        <v>13809</v>
      </c>
      <c r="C6" s="10"/>
      <c r="D6" s="10"/>
      <c r="E6" s="10"/>
      <c r="F6" s="21"/>
      <c r="G6" s="10"/>
      <c r="H6" s="21"/>
      <c r="I6" s="21"/>
    </row>
    <row r="7" spans="1:9" s="30" customFormat="1" ht="11.25">
      <c r="B7" s="805" t="s">
        <v>14017</v>
      </c>
      <c r="C7" s="805"/>
      <c r="D7" s="805"/>
      <c r="E7" s="805"/>
      <c r="F7" s="805"/>
      <c r="G7" s="805"/>
      <c r="H7" s="805"/>
      <c r="I7" s="805"/>
    </row>
    <row r="8" spans="1:9" s="30" customFormat="1" ht="10.5" customHeight="1">
      <c r="B8" s="21"/>
      <c r="C8" s="21"/>
      <c r="D8" s="21"/>
      <c r="E8" s="21"/>
      <c r="F8" s="21"/>
      <c r="G8" s="21"/>
      <c r="H8" s="21"/>
      <c r="I8" s="21"/>
    </row>
    <row r="9" spans="1:9" s="30" customFormat="1" ht="12" customHeight="1">
      <c r="B9" s="15" t="s">
        <v>13811</v>
      </c>
      <c r="C9" s="21"/>
      <c r="D9" s="21"/>
      <c r="E9" s="21"/>
      <c r="F9" s="21"/>
      <c r="G9" s="21"/>
      <c r="H9" s="21"/>
      <c r="I9" s="21"/>
    </row>
    <row r="10" spans="1:9" s="30" customFormat="1" ht="55.5" customHeight="1">
      <c r="B10" s="805" t="s">
        <v>14018</v>
      </c>
      <c r="C10" s="805"/>
      <c r="D10" s="805"/>
      <c r="E10" s="805"/>
      <c r="F10" s="805"/>
      <c r="G10" s="805"/>
      <c r="H10" s="805"/>
      <c r="I10" s="805"/>
    </row>
    <row r="11" spans="1:9" s="30" customFormat="1" ht="12" customHeight="1">
      <c r="B11" s="21"/>
      <c r="C11" s="21"/>
      <c r="D11" s="21"/>
      <c r="E11" s="21"/>
      <c r="F11" s="21"/>
      <c r="G11" s="21"/>
      <c r="H11" s="21"/>
      <c r="I11" s="21"/>
    </row>
    <row r="12" spans="1:9" s="30" customFormat="1" ht="12" customHeight="1">
      <c r="B12" s="28" t="s">
        <v>13813</v>
      </c>
      <c r="C12" s="21"/>
      <c r="D12" s="21"/>
      <c r="E12" s="21"/>
      <c r="F12" s="21"/>
      <c r="G12" s="21"/>
      <c r="H12" s="21"/>
      <c r="I12" s="21"/>
    </row>
    <row r="13" spans="1:9" s="30" customFormat="1" ht="97.5" customHeight="1">
      <c r="B13" s="805" t="s">
        <v>14019</v>
      </c>
      <c r="C13" s="805"/>
      <c r="D13" s="805"/>
      <c r="E13" s="805"/>
      <c r="F13" s="805"/>
      <c r="G13" s="805"/>
      <c r="H13" s="805"/>
      <c r="I13" s="805"/>
    </row>
    <row r="14" spans="1:9" s="30" customFormat="1" ht="12" customHeight="1">
      <c r="B14" s="10"/>
      <c r="C14" s="21"/>
      <c r="D14" s="21"/>
      <c r="E14" s="21"/>
      <c r="F14" s="21"/>
      <c r="G14" s="21"/>
      <c r="H14" s="21"/>
      <c r="I14" s="21"/>
    </row>
    <row r="15" spans="1:9" s="30" customFormat="1" ht="12" customHeight="1">
      <c r="B15" s="15" t="s">
        <v>13815</v>
      </c>
      <c r="C15" s="21"/>
      <c r="D15" s="21"/>
      <c r="E15" s="21"/>
      <c r="F15" s="21"/>
      <c r="G15" s="21"/>
      <c r="H15" s="21"/>
      <c r="I15" s="21"/>
    </row>
    <row r="16" spans="1:9" s="30" customFormat="1" ht="21.75" customHeight="1">
      <c r="B16" s="805" t="s">
        <v>14020</v>
      </c>
      <c r="C16" s="805"/>
      <c r="D16" s="805"/>
      <c r="E16" s="805"/>
      <c r="F16" s="805"/>
      <c r="G16" s="805"/>
      <c r="H16" s="805"/>
      <c r="I16" s="805"/>
    </row>
    <row r="17" spans="2:9" s="30" customFormat="1" ht="12" customHeight="1">
      <c r="B17" s="21"/>
      <c r="C17" s="21"/>
      <c r="D17" s="21"/>
      <c r="E17" s="21"/>
      <c r="F17" s="21"/>
      <c r="G17" s="21"/>
      <c r="H17" s="21"/>
      <c r="I17" s="21"/>
    </row>
    <row r="18" spans="2:9" s="30" customFormat="1" ht="12.75" customHeight="1">
      <c r="B18" s="15" t="s">
        <v>13678</v>
      </c>
      <c r="C18" s="21"/>
      <c r="D18" s="21"/>
      <c r="E18" s="21"/>
      <c r="F18" s="21"/>
      <c r="G18" s="21"/>
      <c r="H18" s="21"/>
      <c r="I18" s="21"/>
    </row>
    <row r="19" spans="2:9" ht="25.5">
      <c r="B19" s="25" t="s">
        <v>19</v>
      </c>
      <c r="C19" s="25" t="s">
        <v>13817</v>
      </c>
      <c r="D19" s="25" t="s">
        <v>171</v>
      </c>
      <c r="E19" s="25" t="s">
        <v>13841</v>
      </c>
      <c r="F19" s="25" t="s">
        <v>20</v>
      </c>
      <c r="G19" s="25" t="s">
        <v>11101</v>
      </c>
      <c r="H19" s="25" t="s">
        <v>13818</v>
      </c>
      <c r="I19" s="25" t="s">
        <v>121</v>
      </c>
    </row>
    <row r="20" spans="2:9" ht="22.5">
      <c r="B20" s="8" t="s">
        <v>14021</v>
      </c>
      <c r="C20" s="19" t="s">
        <v>13882</v>
      </c>
      <c r="D20" s="6" t="s">
        <v>13829</v>
      </c>
      <c r="E20" s="8" t="s">
        <v>14022</v>
      </c>
      <c r="F20" s="9" t="s">
        <v>13845</v>
      </c>
      <c r="G20" s="8"/>
      <c r="H20" s="9" t="s">
        <v>13846</v>
      </c>
      <c r="I20" s="9" t="s">
        <v>13884</v>
      </c>
    </row>
    <row r="21" spans="2:9" ht="22.5">
      <c r="B21" s="8" t="s">
        <v>14021</v>
      </c>
      <c r="C21" s="19" t="s">
        <v>13885</v>
      </c>
      <c r="D21" s="6" t="s">
        <v>12691</v>
      </c>
      <c r="E21" s="8" t="s">
        <v>14022</v>
      </c>
      <c r="F21" s="9" t="s">
        <v>14023</v>
      </c>
      <c r="G21" s="8" t="s">
        <v>14024</v>
      </c>
      <c r="H21" s="36" t="s">
        <v>14025</v>
      </c>
      <c r="I21" s="36" t="s">
        <v>13889</v>
      </c>
    </row>
    <row r="22" spans="2:9" ht="22.5">
      <c r="B22" s="8" t="s">
        <v>14021</v>
      </c>
      <c r="C22" s="19" t="s">
        <v>14026</v>
      </c>
      <c r="D22" s="6" t="s">
        <v>14027</v>
      </c>
      <c r="E22" s="8" t="s">
        <v>14022</v>
      </c>
      <c r="F22" s="9" t="s">
        <v>14028</v>
      </c>
      <c r="G22" s="8"/>
      <c r="H22" s="36" t="s">
        <v>14025</v>
      </c>
      <c r="I22" s="9"/>
    </row>
    <row r="23" spans="2:9" s="532" customFormat="1" ht="90">
      <c r="B23" s="678" t="s">
        <v>14021</v>
      </c>
      <c r="C23" s="680" t="s">
        <v>14029</v>
      </c>
      <c r="D23" s="681" t="s">
        <v>14027</v>
      </c>
      <c r="E23" s="678" t="s">
        <v>14022</v>
      </c>
      <c r="F23" s="682" t="s">
        <v>14030</v>
      </c>
      <c r="G23" s="683"/>
      <c r="H23" s="617" t="s">
        <v>14025</v>
      </c>
      <c r="I23" s="683"/>
    </row>
    <row r="24" spans="2:9" ht="22.5">
      <c r="B24" s="8" t="s">
        <v>14021</v>
      </c>
      <c r="C24" s="19" t="s">
        <v>14031</v>
      </c>
      <c r="D24" s="6" t="s">
        <v>14027</v>
      </c>
      <c r="E24" s="8" t="s">
        <v>14022</v>
      </c>
      <c r="F24" s="7" t="s">
        <v>14032</v>
      </c>
      <c r="G24" s="7"/>
      <c r="H24" s="36" t="s">
        <v>14025</v>
      </c>
      <c r="I24" s="19"/>
    </row>
    <row r="25" spans="2:9">
      <c r="B25" s="8" t="s">
        <v>14021</v>
      </c>
      <c r="C25" s="19" t="s">
        <v>14033</v>
      </c>
      <c r="D25" s="6" t="s">
        <v>14034</v>
      </c>
      <c r="E25" s="8" t="s">
        <v>14022</v>
      </c>
      <c r="F25" s="7" t="s">
        <v>14035</v>
      </c>
      <c r="G25" s="7"/>
      <c r="H25" s="36" t="s">
        <v>14025</v>
      </c>
      <c r="I25" s="19"/>
    </row>
    <row r="26" spans="2:9">
      <c r="B26" s="8" t="s">
        <v>14021</v>
      </c>
      <c r="C26" s="19" t="s">
        <v>12752</v>
      </c>
      <c r="D26" s="6" t="s">
        <v>14027</v>
      </c>
      <c r="E26" s="8" t="s">
        <v>14022</v>
      </c>
      <c r="F26" s="7" t="s">
        <v>14036</v>
      </c>
      <c r="G26" s="7"/>
      <c r="H26" s="36" t="s">
        <v>14025</v>
      </c>
      <c r="I26" s="19"/>
    </row>
    <row r="27" spans="2:9">
      <c r="B27" s="8" t="s">
        <v>14021</v>
      </c>
      <c r="C27" s="19" t="s">
        <v>14037</v>
      </c>
      <c r="D27" s="6" t="s">
        <v>14038</v>
      </c>
      <c r="E27" s="8" t="s">
        <v>14022</v>
      </c>
      <c r="F27" s="7" t="s">
        <v>14039</v>
      </c>
      <c r="G27" s="7"/>
      <c r="H27" s="36" t="s">
        <v>14025</v>
      </c>
      <c r="I27" s="19"/>
    </row>
    <row r="28" spans="2:9" ht="22.5">
      <c r="B28" s="8" t="s">
        <v>14021</v>
      </c>
      <c r="C28" s="19" t="s">
        <v>14040</v>
      </c>
      <c r="D28" s="6" t="s">
        <v>14027</v>
      </c>
      <c r="E28" s="8" t="s">
        <v>14022</v>
      </c>
      <c r="F28" s="7" t="s">
        <v>14041</v>
      </c>
      <c r="G28" s="7"/>
      <c r="H28" s="36" t="s">
        <v>14025</v>
      </c>
      <c r="I28" s="19"/>
    </row>
    <row r="29" spans="2:9">
      <c r="B29" s="8" t="s">
        <v>14021</v>
      </c>
      <c r="C29" s="19" t="s">
        <v>14042</v>
      </c>
      <c r="D29" s="6" t="s">
        <v>14043</v>
      </c>
      <c r="E29" s="8" t="s">
        <v>14022</v>
      </c>
      <c r="F29" s="7" t="s">
        <v>14044</v>
      </c>
      <c r="G29" s="7"/>
      <c r="H29" s="36" t="s">
        <v>14025</v>
      </c>
      <c r="I29" s="19" t="s">
        <v>14045</v>
      </c>
    </row>
  </sheetData>
  <mergeCells count="4">
    <mergeCell ref="B7:I7"/>
    <mergeCell ref="B10:I10"/>
    <mergeCell ref="B13:I13"/>
    <mergeCell ref="B16:I16"/>
  </mergeCells>
  <pageMargins left="0.70866141732283472" right="0.70866141732283472" top="0.74803149606299213" bottom="0.74803149606299213" header="0.31496062992125984" footer="0.31496062992125984"/>
  <pageSetup paperSize="9" scale="9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3aeeece8-b15a-4c45-88bc-5078a17e9f04">
      <Terms xmlns="http://schemas.microsoft.com/office/infopath/2007/PartnerControls"/>
    </lcf76f155ced4ddcb4097134ff3c332f>
    <ReferenceNumber xmlns="3aeeece8-b15a-4c45-88bc-5078a17e9f04">GR-4156</ReferenceNumber>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F60F967318F2014E9F4ABA5ABBF62408" ma:contentTypeVersion="12" ma:contentTypeDescription="Create a new document." ma:contentTypeScope="" ma:versionID="a93e6ae24e2d31425d6217ddeb9b80c1">
  <xsd:schema xmlns:xsd="http://www.w3.org/2001/XMLSchema" xmlns:xs="http://www.w3.org/2001/XMLSchema" xmlns:p="http://schemas.microsoft.com/office/2006/metadata/properties" xmlns:ns2="3aeeece8-b15a-4c45-88bc-5078a17e9f04" xmlns:ns3="96a98433-1569-4222-be80-afd48d89a184" targetNamespace="http://schemas.microsoft.com/office/2006/metadata/properties" ma:root="true" ma:fieldsID="e7f8546bb76565f5e3b1c5cdc96c47ea" ns2:_="" ns3:_="">
    <xsd:import namespace="3aeeece8-b15a-4c45-88bc-5078a17e9f04"/>
    <xsd:import namespace="96a98433-1569-4222-be80-afd48d89a184"/>
    <xsd:element name="properties">
      <xsd:complexType>
        <xsd:sequence>
          <xsd:element name="documentManagement">
            <xsd:complexType>
              <xsd:all>
                <xsd:element ref="ns2:ReferenceNumber" minOccurs="0"/>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eeece8-b15a-4c45-88bc-5078a17e9f0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0875B0A-BF14-49AE-957F-328EE758D2F6}"/>
</file>

<file path=customXml/itemProps2.xml><?xml version="1.0" encoding="utf-8"?>
<ds:datastoreItem xmlns:ds="http://schemas.openxmlformats.org/officeDocument/2006/customXml" ds:itemID="{B1EE1EEF-A284-4ACA-AFB4-4926F5AB9CD8}"/>
</file>

<file path=customXml/itemProps3.xml><?xml version="1.0" encoding="utf-8"?>
<ds:datastoreItem xmlns:ds="http://schemas.openxmlformats.org/officeDocument/2006/customXml" ds:itemID="{44178A87-788B-4A84-8EA3-C241F95570C3}"/>
</file>

<file path=customXml/itemProps4.xml><?xml version="1.0" encoding="utf-8"?>
<ds:datastoreItem xmlns:ds="http://schemas.openxmlformats.org/officeDocument/2006/customXml" ds:itemID="{05EBDF9C-ABDE-47D9-AFCF-08D5DD7A15F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LEO I2SE Variable Request Form v2.4 EXEMPLAR VRF_.xlsx</dc:title>
  <dc:subject/>
  <dc:creator>Mullis, Rachel</dc:creator>
  <cp:keywords/>
  <dc:description/>
  <cp:lastModifiedBy/>
  <cp:revision/>
  <dcterms:created xsi:type="dcterms:W3CDTF">2021-04-07T16:34:06Z</dcterms:created>
  <dcterms:modified xsi:type="dcterms:W3CDTF">2025-05-14T11:03:07Z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0x010100F60F967318F2014E9F4ABA5ABBF62408</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bool>false</vt:bool>
  </property>
  <property fmtid="{D5CDD505-2E9C-101B-9397-08002B2CF9AE}" pid="9" name="Order">
    <vt:r8>22300</vt:r8>
  </property>
  <property fmtid="{D5CDD505-2E9C-101B-9397-08002B2CF9AE}" pid="10" name="MediaServiceImageTags">
    <vt:lpwstr/>
  </property>
</Properties>
</file>