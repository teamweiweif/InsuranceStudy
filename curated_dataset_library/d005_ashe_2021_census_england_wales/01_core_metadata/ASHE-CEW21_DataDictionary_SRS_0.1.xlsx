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ityuni-my.sharepoint.com/personal/john_forth_city_ac_uk/Documents/ASHE SIP/Census 2021 UKRI/User documents/"/>
    </mc:Choice>
  </mc:AlternateContent>
  <xr:revisionPtr revIDLastSave="14" documentId="8_{7172CF81-99FC-4EFD-B7AB-18824EAA6391}" xr6:coauthVersionLast="47" xr6:coauthVersionMax="47" xr10:uidLastSave="{1B8EB581-C0D8-4C80-A92D-706FE0EF42C6}"/>
  <bookViews>
    <workbookView xWindow="-120" yWindow="-120" windowWidth="29040" windowHeight="15720" xr2:uid="{C3FB082C-1192-4595-9092-4BB67F9F5B10}"/>
  </bookViews>
  <sheets>
    <sheet name="Dataset Details" sheetId="3" r:id="rId1"/>
    <sheet name="Data Dictionary" sheetId="2" r:id="rId2"/>
    <sheet name="Reference" sheetId="4" r:id="rId3"/>
    <sheet name="ASHE Codebook" sheetId="6" r:id="rId4"/>
    <sheet name="Census Individual Codebook" sheetId="7" r:id="rId5"/>
    <sheet name="Census Household Codebook" sheetId="11" r:id="rId6"/>
    <sheet name="Census Relationship Codebook" sheetId="12" r:id="rId7"/>
    <sheet name="Codebook_Country" sheetId="8" r:id="rId8"/>
    <sheet name="Codebook_Nationality" sheetId="9" r:id="rId9"/>
    <sheet name="Codebook_Language" sheetId="10" r:id="rId10"/>
  </sheets>
  <externalReferences>
    <externalReference r:id="rId11"/>
    <externalReference r:id="rId12"/>
  </externalReferences>
  <definedNames>
    <definedName name="_xlnm._FilterDatabase" localSheetId="3" hidden="1">'ASHE Codebook'!$A$1:$C$1</definedName>
    <definedName name="_xlnm._FilterDatabase" localSheetId="1" hidden="1">'Data Dictionary'!$A$1:$O$327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5" i="2" l="1"/>
  <c r="G254" i="2"/>
  <c r="G253" i="2"/>
  <c r="G251" i="2"/>
  <c r="G250" i="2"/>
  <c r="G249" i="2"/>
  <c r="G248" i="2"/>
  <c r="G246" i="2"/>
  <c r="G245" i="2"/>
  <c r="G244" i="2"/>
  <c r="G243" i="2"/>
  <c r="G242" i="2"/>
  <c r="G241"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09" i="2"/>
  <c r="G208" i="2"/>
  <c r="G207" i="2"/>
  <c r="G206" i="2"/>
  <c r="G205" i="2"/>
  <c r="G203" i="2"/>
  <c r="G202" i="2"/>
  <c r="G201" i="2"/>
  <c r="G200"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2" i="2"/>
  <c r="G131"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3" i="2"/>
  <c r="G52" i="2"/>
  <c r="G51" i="2"/>
  <c r="G50" i="2"/>
  <c r="G49" i="2"/>
  <c r="G48" i="2"/>
  <c r="G47" i="2"/>
  <c r="G46" i="2"/>
  <c r="G45" i="2"/>
  <c r="G44" i="2"/>
  <c r="G43" i="2"/>
  <c r="G42" i="2"/>
  <c r="G41" i="2"/>
  <c r="G40" i="2"/>
  <c r="G39" i="2"/>
  <c r="G38" i="2"/>
  <c r="G37" i="2"/>
  <c r="G36" i="2"/>
  <c r="G35" i="2"/>
  <c r="G34" i="2"/>
  <c r="G33" i="2"/>
  <c r="G32" i="2"/>
  <c r="G31" i="2"/>
  <c r="G30" i="2"/>
  <c r="G29" i="2"/>
  <c r="G27" i="2"/>
  <c r="G26" i="2"/>
  <c r="G25" i="2"/>
  <c r="G24" i="2"/>
  <c r="G23" i="2"/>
  <c r="G22" i="2"/>
  <c r="G21" i="2"/>
  <c r="G20" i="2"/>
  <c r="G18" i="2"/>
  <c r="G17" i="2"/>
  <c r="G16" i="2"/>
  <c r="G15" i="2"/>
  <c r="G14" i="2"/>
  <c r="G13" i="2"/>
  <c r="G12" i="2"/>
  <c r="G11" i="2"/>
  <c r="G10" i="2"/>
  <c r="G9" i="2"/>
  <c r="G8" i="2"/>
  <c r="G6" i="2"/>
  <c r="G5" i="2"/>
  <c r="G4" i="2"/>
  <c r="F8" i="2"/>
</calcChain>
</file>

<file path=xl/sharedStrings.xml><?xml version="1.0" encoding="utf-8"?>
<sst xmlns="http://schemas.openxmlformats.org/spreadsheetml/2006/main" count="6451" uniqueCount="3642">
  <si>
    <t>Date of completion:</t>
  </si>
  <si>
    <t>DATASET INFORMATION:</t>
  </si>
  <si>
    <t>Dataset name</t>
  </si>
  <si>
    <t>Dataset acronym</t>
  </si>
  <si>
    <t>Time period covered</t>
  </si>
  <si>
    <t>Dataset description</t>
  </si>
  <si>
    <t>Method of data collection</t>
  </si>
  <si>
    <t>Delivery frequency</t>
  </si>
  <si>
    <t>Expected date of first delivery</t>
  </si>
  <si>
    <t>Expected date of future deliveries</t>
  </si>
  <si>
    <t>Number of files delivered per delivery</t>
  </si>
  <si>
    <t>Mode of data delivery</t>
  </si>
  <si>
    <t>Inclusion in SRS Data Catalogue</t>
  </si>
  <si>
    <t>Permission to share the Data Dictionary outside the SRS</t>
  </si>
  <si>
    <t>METADATA INFORMATION:</t>
  </si>
  <si>
    <t>Metadata version number (if applicable)</t>
  </si>
  <si>
    <t>Wave(s)/Time period overed by metadta</t>
  </si>
  <si>
    <t>SOURCE FILE INFORMATION - Please complete for each file delivered</t>
  </si>
  <si>
    <t>File 1</t>
  </si>
  <si>
    <t>File 2</t>
  </si>
  <si>
    <t>File 3</t>
  </si>
  <si>
    <t>File 4</t>
  </si>
  <si>
    <t>File 5</t>
  </si>
  <si>
    <t>File name</t>
  </si>
  <si>
    <t>File description</t>
  </si>
  <si>
    <t>Size of file</t>
  </si>
  <si>
    <t>File format</t>
  </si>
  <si>
    <t>Frequency of file delivery (if differs)</t>
  </si>
  <si>
    <t>Number of tables per file</t>
  </si>
  <si>
    <t>Number of variables</t>
  </si>
  <si>
    <t>Number of observations</t>
  </si>
  <si>
    <t>Country coverage</t>
  </si>
  <si>
    <t>Levels of geography</t>
  </si>
  <si>
    <t>Temporal coverage</t>
  </si>
  <si>
    <t xml:space="preserve">Are NULL values accepted and how are they denoted? </t>
  </si>
  <si>
    <t>MISC:</t>
  </si>
  <si>
    <t>Additional comments on changes (if any)</t>
  </si>
  <si>
    <t>Any other metadata provided (excluding the current file)</t>
  </si>
  <si>
    <t>Table Name</t>
  </si>
  <si>
    <t>Table Description</t>
  </si>
  <si>
    <t>Variable Name</t>
  </si>
  <si>
    <t>Variable Description</t>
  </si>
  <si>
    <t>Data Type</t>
  </si>
  <si>
    <t>Values (optional)</t>
  </si>
  <si>
    <t>Length</t>
  </si>
  <si>
    <t>Additional Notes</t>
  </si>
  <si>
    <t>Internal use only-
 Comments</t>
  </si>
  <si>
    <t>String</t>
  </si>
  <si>
    <t>Data Type descriptions:</t>
  </si>
  <si>
    <t>Name</t>
  </si>
  <si>
    <t>Data type</t>
  </si>
  <si>
    <t>Description</t>
  </si>
  <si>
    <t>Integer</t>
  </si>
  <si>
    <t>INT64</t>
  </si>
  <si>
    <t>Numeric values without fractional components</t>
  </si>
  <si>
    <t>Floating point</t>
  </si>
  <si>
    <t>FLOAT64</t>
  </si>
  <si>
    <t>Approximate numeric values with fractional components</t>
  </si>
  <si>
    <t>Numeric</t>
  </si>
  <si>
    <t>NUMERIC</t>
  </si>
  <si>
    <t>Exact numeric values with fractional components</t>
  </si>
  <si>
    <t>BigNumeric</t>
  </si>
  <si>
    <t>BIGNUMERIC</t>
  </si>
  <si>
    <t>Boolean</t>
  </si>
  <si>
    <t>BOOL</t>
  </si>
  <si>
    <t>TRUE or FALSE (case insensitive)</t>
  </si>
  <si>
    <t>STRING</t>
  </si>
  <si>
    <t>Variable-length character (Unicode) data</t>
  </si>
  <si>
    <t>Bytes</t>
  </si>
  <si>
    <t>BYTES</t>
  </si>
  <si>
    <t>Variable-length binary data</t>
  </si>
  <si>
    <t>Date</t>
  </si>
  <si>
    <t>DATE</t>
  </si>
  <si>
    <t>A logical calendar date</t>
  </si>
  <si>
    <t>Date/Time</t>
  </si>
  <si>
    <t>DATETIME</t>
  </si>
  <si>
    <t>A year, month, day, hour, minute, second, and subsecond</t>
  </si>
  <si>
    <t>Time</t>
  </si>
  <si>
    <t>TIME</t>
  </si>
  <si>
    <t>A time, independent of a specific date</t>
  </si>
  <si>
    <t>Timestamp</t>
  </si>
  <si>
    <t>TIMESTAMP</t>
  </si>
  <si>
    <t>An absolute point in time, with microsecond precision</t>
  </si>
  <si>
    <t>Struct (Record)</t>
  </si>
  <si>
    <t>STRUCT</t>
  </si>
  <si>
    <t>Container of ordered fields each with a type (required) and field name (optional)</t>
  </si>
  <si>
    <t>Geography</t>
  </si>
  <si>
    <t>GEOGRAPHY</t>
  </si>
  <si>
    <t>A pointset on the Earth's surface (a set of points, lines and polygons on the WGS84 reference spheroid, with geodesic edges)</t>
  </si>
  <si>
    <t>CENSUS</t>
  </si>
  <si>
    <t/>
  </si>
  <si>
    <t>Employment status of persons aged 66 and over</t>
  </si>
  <si>
    <t>66+ Indicator</t>
  </si>
  <si>
    <t>acthrs_ashe</t>
  </si>
  <si>
    <t>actual hours worked if an employee was furloughed</t>
  </si>
  <si>
    <t>ASHE</t>
  </si>
  <si>
    <t>activity_last_week_cen</t>
  </si>
  <si>
    <t>Activity last week</t>
  </si>
  <si>
    <t>adr_ashe</t>
  </si>
  <si>
    <t>adult rate marker</t>
  </si>
  <si>
    <t>adr_id_ashe</t>
  </si>
  <si>
    <t>anonymised version of National Insurance number</t>
  </si>
  <si>
    <t>age_ashe</t>
  </si>
  <si>
    <t>age at the survey reference date</t>
  </si>
  <si>
    <t>age_arrival_uk_cen</t>
  </si>
  <si>
    <t>Age of arrival in the UK</t>
  </si>
  <si>
    <t>agenew_ashe</t>
  </si>
  <si>
    <t>derived from age</t>
  </si>
  <si>
    <t>agetemp_ashe</t>
  </si>
  <si>
    <t>agp_ashe</t>
  </si>
  <si>
    <t>annual gross pay</t>
  </si>
  <si>
    <t>agpox_ashe</t>
  </si>
  <si>
    <t>gross weekly pay excluding overtime</t>
  </si>
  <si>
    <t>al_ashe</t>
  </si>
  <si>
    <t>annual leave boolean</t>
  </si>
  <si>
    <t>alday_ashe</t>
  </si>
  <si>
    <t>annual leave days</t>
  </si>
  <si>
    <t>aldh_ashe</t>
  </si>
  <si>
    <t>alternative_address_country_cen</t>
  </si>
  <si>
    <t>Second address (Outside UK)</t>
  </si>
  <si>
    <t>Second address (Indicator)</t>
  </si>
  <si>
    <t>alternative_address_type_cen</t>
  </si>
  <si>
    <t>Second address type</t>
  </si>
  <si>
    <t>anipay_ashe</t>
  </si>
  <si>
    <t>annual incentive pay</t>
  </si>
  <si>
    <t>app_ashe</t>
  </si>
  <si>
    <t>apprentice marker</t>
  </si>
  <si>
    <t>appdate_ashe</t>
  </si>
  <si>
    <t>apprenticeship start date</t>
  </si>
  <si>
    <t>appmonth_ashe</t>
  </si>
  <si>
    <t>apprenticeship start month</t>
  </si>
  <si>
    <t>appmonthchar_ashe</t>
  </si>
  <si>
    <t>derived from age appmonth</t>
  </si>
  <si>
    <t>appyear_ashe</t>
  </si>
  <si>
    <t>apprenticeship year</t>
  </si>
  <si>
    <t>appyearchar_ashe</t>
  </si>
  <si>
    <t>derived from appyear</t>
  </si>
  <si>
    <t>autopen_ashe</t>
  </si>
  <si>
    <t>auto-enrolement in to pension schemes</t>
  </si>
  <si>
    <t>available_for_work_cen</t>
  </si>
  <si>
    <t>If a job became available now, could you start it within two weeks</t>
  </si>
  <si>
    <t>away_student_ind_cen</t>
  </si>
  <si>
    <t>Students living away from home during term time indicator</t>
  </si>
  <si>
    <t>bhours_ashe</t>
  </si>
  <si>
    <t>normal basic hours</t>
  </si>
  <si>
    <t>bhr_ashe</t>
  </si>
  <si>
    <t>basic paid hours</t>
  </si>
  <si>
    <t>bhr_x_ashe</t>
  </si>
  <si>
    <t>derived from bhr</t>
  </si>
  <si>
    <t>bik_ashe</t>
  </si>
  <si>
    <t>benefits in kind</t>
  </si>
  <si>
    <t>bikfilter_ashe</t>
  </si>
  <si>
    <t>bpay_ashe</t>
  </si>
  <si>
    <t>basic pay</t>
  </si>
  <si>
    <t>bpayinc_ashe</t>
  </si>
  <si>
    <t>basic pay including other pay</t>
  </si>
  <si>
    <t>calwght_ashe</t>
  </si>
  <si>
    <t>weights used to calibrate ashe returns to jobs totals from the lfs</t>
  </si>
  <si>
    <t>ce_id_cen</t>
  </si>
  <si>
    <t>Communal Establishment unique identifier</t>
  </si>
  <si>
    <t>child_family_status_cen</t>
  </si>
  <si>
    <t>Child Family Status</t>
  </si>
  <si>
    <t>colag_ashe</t>
  </si>
  <si>
    <t>collective agreement</t>
  </si>
  <si>
    <t>compay_ashe</t>
  </si>
  <si>
    <t>employer pension contributions</t>
  </si>
  <si>
    <t>compay_old_ashe</t>
  </si>
  <si>
    <t>previous compay</t>
  </si>
  <si>
    <t>comperc_ashe</t>
  </si>
  <si>
    <t>percentage of employer's contributions made in the pay period</t>
  </si>
  <si>
    <t>cornish_ind_cen</t>
  </si>
  <si>
    <t>Cornish identity indicator</t>
  </si>
  <si>
    <t>cosp_ashe</t>
  </si>
  <si>
    <t>contracted out of state second pension</t>
  </si>
  <si>
    <t>cosp_old_ashe</t>
  </si>
  <si>
    <t>previous cosp</t>
  </si>
  <si>
    <t>country_of_birth_cen</t>
  </si>
  <si>
    <t>Country of birth</t>
  </si>
  <si>
    <t>dependent_child_ind_cen</t>
  </si>
  <si>
    <t>Dependent Child Indicator</t>
  </si>
  <si>
    <t>disability_cen</t>
  </si>
  <si>
    <t>Long-term health problem or disability</t>
  </si>
  <si>
    <t>distance_to_work_cen</t>
  </si>
  <si>
    <t>Distance travelled to work</t>
  </si>
  <si>
    <t>djob_ashe</t>
  </si>
  <si>
    <t>double job marker</t>
  </si>
  <si>
    <t>dweight_ashe</t>
  </si>
  <si>
    <t>calibration weight based on stratum</t>
  </si>
  <si>
    <t>economic_activity_cen</t>
  </si>
  <si>
    <t>Economic Activity</t>
  </si>
  <si>
    <t>economic_category_cen</t>
  </si>
  <si>
    <t>Economic category</t>
  </si>
  <si>
    <t>economic_inactive_status_cen</t>
  </si>
  <si>
    <t>Employment inactivity last week (Indicator)</t>
  </si>
  <si>
    <t>employed_last_week_indicator_cen</t>
  </si>
  <si>
    <t>Employment group (Indicator)</t>
  </si>
  <si>
    <t>employment_status_cen</t>
  </si>
  <si>
    <t>Employment status</t>
  </si>
  <si>
    <t>empsta_ashe</t>
  </si>
  <si>
    <t>month and year in which employee started working for the organisation</t>
  </si>
  <si>
    <t>english_language_proficiency_cen</t>
  </si>
  <si>
    <t>English language proficiency</t>
  </si>
  <si>
    <t>english_proficiency_cen</t>
  </si>
  <si>
    <t>English Proficiency</t>
  </si>
  <si>
    <t>entref_ashe</t>
  </si>
  <si>
    <t>enterprise unit reference</t>
  </si>
  <si>
    <t>ethnic_group_cen</t>
  </si>
  <si>
    <t>Ethnic group</t>
  </si>
  <si>
    <t>ethnic_group_tb_cen</t>
  </si>
  <si>
    <t>ethnic05_20_cen</t>
  </si>
  <si>
    <t xml:space="preserve">Ethnic group variable to the five high level categories </t>
  </si>
  <si>
    <t>family_reference_person_ind_cen</t>
  </si>
  <si>
    <t>Family Reference Person Indicator</t>
  </si>
  <si>
    <t>family_status_cen</t>
  </si>
  <si>
    <t>Family Status</t>
  </si>
  <si>
    <t>firstyear_ashe</t>
  </si>
  <si>
    <t>boolean indicating first year appearing in data</t>
  </si>
  <si>
    <t>ft_ashe</t>
  </si>
  <si>
    <t>full time marker</t>
  </si>
  <si>
    <t>generation_cen</t>
  </si>
  <si>
    <t>Generation</t>
  </si>
  <si>
    <t>gpay_ashe</t>
  </si>
  <si>
    <t>average gross weekly earnings for the reference period</t>
  </si>
  <si>
    <t>gpox_ashe</t>
  </si>
  <si>
    <t>average gross weekly earnings excluding overtime for the reference period</t>
  </si>
  <si>
    <t>gpp_ashe</t>
  </si>
  <si>
    <t>gross period pay</t>
  </si>
  <si>
    <t>gsp_ashe</t>
  </si>
  <si>
    <t>gross standard pay excluding overtime</t>
  </si>
  <si>
    <t>gweight_ashe</t>
  </si>
  <si>
    <t>calibration weight based on lfs population totals</t>
  </si>
  <si>
    <t>has_ever_worked_cen</t>
  </si>
  <si>
    <t>Everworked indicator</t>
  </si>
  <si>
    <t>hbpay_ashe</t>
  </si>
  <si>
    <t>gross hourly basic pay</t>
  </si>
  <si>
    <t>he_ashe</t>
  </si>
  <si>
    <t>average hourly earnings</t>
  </si>
  <si>
    <t>health_in_general_cen</t>
  </si>
  <si>
    <t>General health</t>
  </si>
  <si>
    <t>hexo_ashe</t>
  </si>
  <si>
    <t>average hourly earnings for the reference period excluding overtime</t>
  </si>
  <si>
    <t>hh_reference_person_ind_cen</t>
  </si>
  <si>
    <t>Household Reference Person (HRP) indicator</t>
  </si>
  <si>
    <t>highest_qualification_cen</t>
  </si>
  <si>
    <t>Highest level of qualification</t>
  </si>
  <si>
    <t>hours_per_week_worked_cen</t>
  </si>
  <si>
    <t>Hours worked</t>
  </si>
  <si>
    <t>household_id_cen</t>
  </si>
  <si>
    <t>Census household ID</t>
  </si>
  <si>
    <t>household_person_number_cen</t>
  </si>
  <si>
    <t>Household Person Number</t>
  </si>
  <si>
    <t>hpay_ashe</t>
  </si>
  <si>
    <t>hourly rate of pay as stated by respondent</t>
  </si>
  <si>
    <t>hpayfilter_ashe</t>
  </si>
  <si>
    <t>stated hourly rate of pay, derived variable</t>
  </si>
  <si>
    <t>hrpay_ashe</t>
  </si>
  <si>
    <t>hourly rate pay used in the low pay calculation, the same as hrpay</t>
  </si>
  <si>
    <t>hrpayx_ashe</t>
  </si>
  <si>
    <t>derived hourly rate used in the low pay calculation</t>
  </si>
  <si>
    <t>idbrnemp_ashe</t>
  </si>
  <si>
    <t>number of employees in the enterprise on the idbr</t>
  </si>
  <si>
    <t>idbrsta_ashe</t>
  </si>
  <si>
    <t>legal status of the enterprise on the idbr</t>
  </si>
  <si>
    <t>imp_ashe</t>
  </si>
  <si>
    <t>imputation flag</t>
  </si>
  <si>
    <t>impcos_ashe</t>
  </si>
  <si>
    <t>imputed contracted out of state second pension</t>
  </si>
  <si>
    <t>imppen_ashe</t>
  </si>
  <si>
    <t>pension with imputation</t>
  </si>
  <si>
    <t>in_full_time_education_cen</t>
  </si>
  <si>
    <t>Schoolchild or full-time student indicator</t>
  </si>
  <si>
    <t>industry_business_extn_cen</t>
  </si>
  <si>
    <t>Industry of Business (extended manufacturing)</t>
  </si>
  <si>
    <t>intention_to_stay_cen</t>
  </si>
  <si>
    <t>Intention to stay</t>
  </si>
  <si>
    <t>ipay_ashe</t>
  </si>
  <si>
    <t>incentive pay paid in this pay period</t>
  </si>
  <si>
    <t>ipayall_ashe</t>
  </si>
  <si>
    <t>total incentive pay paid in this pay period</t>
  </si>
  <si>
    <t>ipayin_ashe</t>
  </si>
  <si>
    <t>incentive pay paid in this period relating to the pay period</t>
  </si>
  <si>
    <t>ipin_ashe</t>
  </si>
  <si>
    <t>incentive pay in this pay period</t>
  </si>
  <si>
    <t>ipop_ashe</t>
  </si>
  <si>
    <t>incentive pay outside this pay period</t>
  </si>
  <si>
    <t>is_carer_cen</t>
  </si>
  <si>
    <t>Provision of unpaid care</t>
  </si>
  <si>
    <t>is_hh_term_time_address_cen</t>
  </si>
  <si>
    <t>Term time address (Indicator)</t>
  </si>
  <si>
    <t>isco08_ashe</t>
  </si>
  <si>
    <t>isco88_ashe</t>
  </si>
  <si>
    <t>jain_ind_cen</t>
  </si>
  <si>
    <t>Jain identity indicator</t>
  </si>
  <si>
    <t>jewish_ind_cen</t>
  </si>
  <si>
    <t>Jewish identity indicator</t>
  </si>
  <si>
    <t>legal_partnership_status_cen</t>
  </si>
  <si>
    <t xml:space="preserve">Marital Status collapsed </t>
  </si>
  <si>
    <t>lgbtq_ind_cen</t>
  </si>
  <si>
    <t xml:space="preserve">
LGBTQ+ Indicator</t>
  </si>
  <si>
    <t>living_arrangements_cen</t>
  </si>
  <si>
    <t>Living arrangements</t>
  </si>
  <si>
    <t>looking_for_work_cen</t>
  </si>
  <si>
    <t>In the last four weeks, were you actively looking for any kind of paid work</t>
  </si>
  <si>
    <t>lop_ashe</t>
  </si>
  <si>
    <t>loss of pay marker</t>
  </si>
  <si>
    <t>lopf_ashe</t>
  </si>
  <si>
    <t>Loss of pay -only available for 2021</t>
  </si>
  <si>
    <t>lpcalwght_ashe</t>
  </si>
  <si>
    <t>calibration weight</t>
  </si>
  <si>
    <t>lpdweight_ashe</t>
  </si>
  <si>
    <t>design weights</t>
  </si>
  <si>
    <t>lpdweightf_ashe</t>
  </si>
  <si>
    <t>Low pay calibration weight -only available for 2021</t>
  </si>
  <si>
    <t>lpgweight_ashe</t>
  </si>
  <si>
    <t>calibration factor</t>
  </si>
  <si>
    <t>lpgweightf_ashe</t>
  </si>
  <si>
    <t>main_language_cen</t>
  </si>
  <si>
    <t>main language</t>
  </si>
  <si>
    <t>main_language_detailed_cen</t>
  </si>
  <si>
    <t>Main language (detailed)</t>
  </si>
  <si>
    <t>marital_status_cen</t>
  </si>
  <si>
    <t>Marriage and civil partnership status (Derived)</t>
  </si>
  <si>
    <t>migrant_ind_cen</t>
  </si>
  <si>
    <t>Migrant indicator</t>
  </si>
  <si>
    <t>migrant_origin_country_cen</t>
  </si>
  <si>
    <t>Migrant country of origin</t>
  </si>
  <si>
    <t>migrant_origin_oa_cen</t>
  </si>
  <si>
    <t>Specifying the output area of migrant origin</t>
  </si>
  <si>
    <t>mjob_ashe</t>
  </si>
  <si>
    <t>main job marker</t>
  </si>
  <si>
    <t>month_of_arrival_in_country_cen</t>
  </si>
  <si>
    <t>Month of arrival in UK</t>
  </si>
  <si>
    <t>moving_group_number_cen</t>
  </si>
  <si>
    <t>Moving group number</t>
  </si>
  <si>
    <t>Moving group reference person</t>
  </si>
  <si>
    <t>moving_group_size_cen</t>
  </si>
  <si>
    <t>Number of people in a person’s moving group</t>
  </si>
  <si>
    <t>multi_passports_cen</t>
  </si>
  <si>
    <t>Multiple passports held</t>
  </si>
  <si>
    <t>nat_id_British_cen</t>
  </si>
  <si>
    <t>British National Identity</t>
  </si>
  <si>
    <t>nat_id_cornish_cen</t>
  </si>
  <si>
    <t>Cornish National Identity</t>
  </si>
  <si>
    <t>nat_id_english_cen</t>
  </si>
  <si>
    <t>English National Identity</t>
  </si>
  <si>
    <t>nat_id_irish_cen</t>
  </si>
  <si>
    <t>Irish national identity</t>
  </si>
  <si>
    <t>nat_id_northern_irish_cen</t>
  </si>
  <si>
    <t>Northern Irish National Identity</t>
  </si>
  <si>
    <t>nat_id_other_cen</t>
  </si>
  <si>
    <t>Other National Identity</t>
  </si>
  <si>
    <t>nat_id_scottish_cen</t>
  </si>
  <si>
    <t>Scottish National Identity</t>
  </si>
  <si>
    <t>nat_id_ulster_scots_cen</t>
  </si>
  <si>
    <t>Ulster-Scots National Identity</t>
  </si>
  <si>
    <t>nat_id_welsh_cen</t>
  </si>
  <si>
    <t>Welsh National Identity</t>
  </si>
  <si>
    <t>national_identity_all_cen</t>
  </si>
  <si>
    <t>National Identity</t>
  </si>
  <si>
    <t>national_identity_row_cen</t>
  </si>
  <si>
    <t>National identity</t>
  </si>
  <si>
    <t>national_identity_uk_cen</t>
  </si>
  <si>
    <t>National identity (UK)</t>
  </si>
  <si>
    <t>nlpflag_ashe</t>
  </si>
  <si>
    <t>not low pay' flag used in the low pay calculation</t>
  </si>
  <si>
    <t>ns_sec_cen</t>
  </si>
  <si>
    <t>National Statistics Socio-Economic Classification</t>
  </si>
  <si>
    <t>occ00_ashe</t>
  </si>
  <si>
    <t>occ10_ashe</t>
  </si>
  <si>
    <t>occ20_ashe</t>
  </si>
  <si>
    <t>occ90_ashe</t>
  </si>
  <si>
    <t>occupation_flat_cen</t>
  </si>
  <si>
    <t>Occupation (Flat)</t>
  </si>
  <si>
    <t>other_passport_held_cen</t>
  </si>
  <si>
    <t>Passports held (Text response)</t>
  </si>
  <si>
    <t>othpay_ashe</t>
  </si>
  <si>
    <t>pay received in the pay period for other reasons</t>
  </si>
  <si>
    <t>ovhours_ashe</t>
  </si>
  <si>
    <t>overtime hours</t>
  </si>
  <si>
    <t>ovhrs_ashe</t>
  </si>
  <si>
    <t>average weekly paid overtime hours worked during the reference period</t>
  </si>
  <si>
    <t>ovhrs_x_ashe</t>
  </si>
  <si>
    <t>paid overtime hours</t>
  </si>
  <si>
    <t>ovmins_ashe</t>
  </si>
  <si>
    <t>overtime minutes, derived variable</t>
  </si>
  <si>
    <t>ovpay_ashe</t>
  </si>
  <si>
    <t>average weekly overtime pay for the pay period</t>
  </si>
  <si>
    <t>ownpay_ashe</t>
  </si>
  <si>
    <t>weekly employee's pension contributions</t>
  </si>
  <si>
    <t>ownperc_ashe</t>
  </si>
  <si>
    <t>the percentage of employee's contributions made in the pay period</t>
  </si>
  <si>
    <t>passport_cen</t>
  </si>
  <si>
    <t>Passports held (Tickbox response)</t>
  </si>
  <si>
    <t>passports_all_cen</t>
  </si>
  <si>
    <t>All passports held (detailed)</t>
  </si>
  <si>
    <t>passports_held_irish_cen</t>
  </si>
  <si>
    <t>Passports held</t>
  </si>
  <si>
    <t>passports_held_none_cen</t>
  </si>
  <si>
    <t>passports_held_other_cen</t>
  </si>
  <si>
    <t>passports_held_uk_cen</t>
  </si>
  <si>
    <t>payp_ashe</t>
  </si>
  <si>
    <t>type of pay period that original returned data was based on</t>
  </si>
  <si>
    <t>payperc_ashe</t>
  </si>
  <si>
    <t>percentage of pay the employee received from the employer if they were furloughed</t>
  </si>
  <si>
    <t>pcflag_ashe</t>
  </si>
  <si>
    <t>payroll calculator flag</t>
  </si>
  <si>
    <t>penpay_ashe</t>
  </si>
  <si>
    <t>the amount of employee's weekly pay that was pensionable</t>
  </si>
  <si>
    <t>place_of_work_ind_cen</t>
  </si>
  <si>
    <t>Place of work indicator</t>
  </si>
  <si>
    <t>position_in_ce_cen</t>
  </si>
  <si>
    <t>Position in communal establishment</t>
  </si>
  <si>
    <t>ppstart_ashe</t>
  </si>
  <si>
    <t>start of the employee's pay period</t>
  </si>
  <si>
    <t>proxy_answer_cen</t>
  </si>
  <si>
    <t>Answered on behalf of</t>
  </si>
  <si>
    <t>pt_ashe</t>
  </si>
  <si>
    <t>permanent / temporary marker</t>
  </si>
  <si>
    <t>public_transport_users_cen</t>
  </si>
  <si>
    <t>Public transport users in household</t>
  </si>
  <si>
    <t>pubpriv_ashe</t>
  </si>
  <si>
    <t>public / private</t>
  </si>
  <si>
    <t>qualifications_cen</t>
  </si>
  <si>
    <t>Qualifications</t>
  </si>
  <si>
    <t>qualifications01_cen</t>
  </si>
  <si>
    <t>Creates columns QUALIFICATIONS01 to QUALIFICATIONS12</t>
  </si>
  <si>
    <t>qualifications02_cen</t>
  </si>
  <si>
    <t>qualifications03_cen</t>
  </si>
  <si>
    <t>qualifications04_cen</t>
  </si>
  <si>
    <t>qualifications05_cen</t>
  </si>
  <si>
    <t>qualifications06_cen</t>
  </si>
  <si>
    <t>qualifications07_cen</t>
  </si>
  <si>
    <t>qualifications08_cen</t>
  </si>
  <si>
    <t>qualifications09_cen</t>
  </si>
  <si>
    <t>qualifications10_cen</t>
  </si>
  <si>
    <t>qualifications11_cen</t>
  </si>
  <si>
    <t>qualifications12_cen</t>
  </si>
  <si>
    <t>religion_cen</t>
  </si>
  <si>
    <t>Religion</t>
  </si>
  <si>
    <t>religion_tb_cen</t>
  </si>
  <si>
    <t>residence_length_cen</t>
  </si>
  <si>
    <t>Length of residence in the UK</t>
  </si>
  <si>
    <t>residence_type_cen</t>
  </si>
  <si>
    <t>Residence Type</t>
  </si>
  <si>
    <t>resident_age_cen</t>
  </si>
  <si>
    <t>age</t>
  </si>
  <si>
    <t>resident_id_cen</t>
  </si>
  <si>
    <t>Resident unique identifier</t>
  </si>
  <si>
    <t>resident_month_of_birth_cen</t>
  </si>
  <si>
    <t>Date of birth month</t>
  </si>
  <si>
    <t>resident_record_key_cen</t>
  </si>
  <si>
    <t>Resident Record Key</t>
  </si>
  <si>
    <t>resident_response_mode_20_cen</t>
  </si>
  <si>
    <t>Resident Response Mode</t>
  </si>
  <si>
    <t>resident_year_of_birth_cen</t>
  </si>
  <si>
    <t>Date of birth year</t>
  </si>
  <si>
    <t>response_id_cen</t>
  </si>
  <si>
    <t>Response unique identifier</t>
  </si>
  <si>
    <t>salsac_ashe</t>
  </si>
  <si>
    <t>salary sacrifice</t>
  </si>
  <si>
    <t>sam_ashe</t>
  </si>
  <si>
    <t>years in sample</t>
  </si>
  <si>
    <t>sano_ashe</t>
  </si>
  <si>
    <t>special arrangement number</t>
  </si>
  <si>
    <t>second_address_country_cen</t>
  </si>
  <si>
    <t>Stay at second address by country of second address</t>
  </si>
  <si>
    <t>second_address_type_priority_cen</t>
  </si>
  <si>
    <t>Second address type priority</t>
  </si>
  <si>
    <t>serno_ashe</t>
  </si>
  <si>
    <t>uniquely identifies records within each year within the ons datasets (unsupported)</t>
  </si>
  <si>
    <t>sernol_ashe</t>
  </si>
  <si>
    <t>serial number (unsupported)</t>
  </si>
  <si>
    <t>sex_ashe</t>
  </si>
  <si>
    <t>sex</t>
  </si>
  <si>
    <t>sex_cen</t>
  </si>
  <si>
    <t>sexual_orientation_cen</t>
  </si>
  <si>
    <t xml:space="preserve">
Sexual orientation (coded)</t>
  </si>
  <si>
    <t>sic_cen</t>
  </si>
  <si>
    <t>Industry description</t>
  </si>
  <si>
    <t>sic03_ashe</t>
  </si>
  <si>
    <t>sic07_ashe</t>
  </si>
  <si>
    <t>sikh_ind_cen</t>
  </si>
  <si>
    <t>Sikh identity indicator</t>
  </si>
  <si>
    <t>sjd_ashe</t>
  </si>
  <si>
    <t>has the employee worked in the same job for more than one year</t>
  </si>
  <si>
    <t>sm_ashe</t>
  </si>
  <si>
    <t>manage role</t>
  </si>
  <si>
    <t>soc_cen</t>
  </si>
  <si>
    <t>Occupation description</t>
  </si>
  <si>
    <t>spayd_ashe</t>
  </si>
  <si>
    <t>stakeholder payment marker</t>
  </si>
  <si>
    <t>spens_ashe</t>
  </si>
  <si>
    <t>stakeholder pensions marker</t>
  </si>
  <si>
    <t>sppay_ashe</t>
  </si>
  <si>
    <t>shift and premium payments</t>
  </si>
  <si>
    <t>staddr_flag_20_cen</t>
  </si>
  <si>
    <t>Indicator for students who are completing the form at their address during term-time</t>
  </si>
  <si>
    <t>stratum_ashe</t>
  </si>
  <si>
    <t>stratum</t>
  </si>
  <si>
    <t>student_accommodation_cen</t>
  </si>
  <si>
    <t>Student accommodation</t>
  </si>
  <si>
    <t>supervises_or_manages_cen</t>
  </si>
  <si>
    <t>Supervisor of employees</t>
  </si>
  <si>
    <t>term_time_address_flag_cen</t>
  </si>
  <si>
    <t>Term Time Address</t>
  </si>
  <si>
    <t>thrs_ashe</t>
  </si>
  <si>
    <t>average total paid hours worked during the reference period</t>
  </si>
  <si>
    <t>thrs_x_ashe</t>
  </si>
  <si>
    <t>total hours</t>
  </si>
  <si>
    <t>tpay_ashe</t>
  </si>
  <si>
    <t>total pay as stated by respondent</t>
  </si>
  <si>
    <t>tpen_ashe</t>
  </si>
  <si>
    <t>type of pension scheme</t>
  </si>
  <si>
    <t>transport_to_work_cen</t>
  </si>
  <si>
    <t>Method of travel to work</t>
  </si>
  <si>
    <t>transport_to_workplace_cen</t>
  </si>
  <si>
    <t>Method of travel to workplace</t>
  </si>
  <si>
    <t>type_of_establishment_cen</t>
  </si>
  <si>
    <t>Type of Establishment</t>
  </si>
  <si>
    <t>uk_armed_forces_cen</t>
  </si>
  <si>
    <t>Previous service in UK Armed Forces</t>
  </si>
  <si>
    <t>usual_resident_ind_cen</t>
  </si>
  <si>
    <t>Usual resident indicator</t>
  </si>
  <si>
    <t>waiting_for_work_cen</t>
  </si>
  <si>
    <t>In the last seven days, were you waiting to start a job already accepted</t>
  </si>
  <si>
    <t>welsh_language_proficiency_cen</t>
  </si>
  <si>
    <t>Welsh language</t>
  </si>
  <si>
    <t>welsh_skills_all_cen</t>
  </si>
  <si>
    <t>Welsh language skills</t>
  </si>
  <si>
    <t>welsh_skills_read_cen</t>
  </si>
  <si>
    <t>Ability to read Welsh</t>
  </si>
  <si>
    <t>welsh_skills_speak_cen</t>
  </si>
  <si>
    <t>Ability to speak Welsh</t>
  </si>
  <si>
    <t>welsh_skills_understand_cen</t>
  </si>
  <si>
    <t>Ability to understand Welsh</t>
  </si>
  <si>
    <t>welsh_skills_write_cen</t>
  </si>
  <si>
    <t>Ability to write in Welsh</t>
  </si>
  <si>
    <t>welsh_speaking_3_plus_cen</t>
  </si>
  <si>
    <t>Welsh speaking indicator for people aged 3 and over</t>
  </si>
  <si>
    <t>Dependent children aged 3 and over living in a family and their ability to speak Welsh</t>
  </si>
  <si>
    <t>working_age_ind_cen</t>
  </si>
  <si>
    <t>Working Age Indicator</t>
  </si>
  <si>
    <t>workplace_address_country_cen</t>
  </si>
  <si>
    <t>Workplace (Outside UK)</t>
  </si>
  <si>
    <t>workplace_travel_cen</t>
  </si>
  <si>
    <t>Distance travelled to work and place of work</t>
  </si>
  <si>
    <t>workplace_type_cen</t>
  </si>
  <si>
    <t>Workplace address (Indicator)</t>
  </si>
  <si>
    <t>year_ashe</t>
  </si>
  <si>
    <t>year of survey</t>
  </si>
  <si>
    <t>year_arrival_uk_cen</t>
  </si>
  <si>
    <t>Year of arrival in the UK</t>
  </si>
  <si>
    <t>year_of_arrival_in_country_cen</t>
  </si>
  <si>
    <t>Year of arrival in UK</t>
  </si>
  <si>
    <t>yob_ashe</t>
  </si>
  <si>
    <t>year of birth</t>
  </si>
  <si>
    <t>Source Dataset</t>
  </si>
  <si>
    <t>TBC</t>
  </si>
  <si>
    <t>ashe_nino_adr_id_ashe</t>
  </si>
  <si>
    <t>generated ID that facilitates the joining of data to other data with NINo, based on obscuring NINo.  Based on the first 8 digits of NINo with a unique random ID for every potential ASHE sample NINo</t>
  </si>
  <si>
    <t>ashefurlough_ashe</t>
  </si>
  <si>
    <t>flag if someone is furloughed as taken from the ASHE form</t>
  </si>
  <si>
    <t>benefits in kind filter</t>
  </si>
  <si>
    <t>ldweight_ashe</t>
  </si>
  <si>
    <t>lpcalwghtf_ashe</t>
  </si>
  <si>
    <t xml:space="preserve">New employee job between January and April </t>
  </si>
  <si>
    <t>Employee changed job between January and April</t>
  </si>
  <si>
    <t>Main despatch (employee in the same job between January (initial sample date) and April (survey reference date))</t>
  </si>
  <si>
    <t>Special arrangements for large employers</t>
  </si>
  <si>
    <t>does not have SP</t>
  </si>
  <si>
    <t>spens</t>
  </si>
  <si>
    <t>has SP</t>
  </si>
  <si>
    <t>SP not paid through payroll deductions</t>
  </si>
  <si>
    <t>spayd</t>
  </si>
  <si>
    <t>SP paid through payroll deductions</t>
  </si>
  <si>
    <t>No</t>
  </si>
  <si>
    <t>salsac</t>
  </si>
  <si>
    <t>Yes</t>
  </si>
  <si>
    <t>Missing</t>
  </si>
  <si>
    <t>ppfilter</t>
  </si>
  <si>
    <t>Subject to a different payroll calculation</t>
  </si>
  <si>
    <t>pcflag</t>
  </si>
  <si>
    <t>Not identified as being subject to a different payroll calculation</t>
  </si>
  <si>
    <t>Not low pay</t>
  </si>
  <si>
    <t>nlpflag</t>
  </si>
  <si>
    <t xml:space="preserve">Other </t>
  </si>
  <si>
    <t>Earnings were not affected by absence, or employee was furloughed</t>
  </si>
  <si>
    <t>lopf</t>
  </si>
  <si>
    <t>Not furloughed but earnings were affected by absence</t>
  </si>
  <si>
    <t>bikfilter</t>
  </si>
  <si>
    <t>autopen</t>
  </si>
  <si>
    <t>Northern Ireland</t>
  </si>
  <si>
    <t>wgor</t>
  </si>
  <si>
    <t>Scotland</t>
  </si>
  <si>
    <t>Wales</t>
  </si>
  <si>
    <t>South East</t>
  </si>
  <si>
    <t>London</t>
  </si>
  <si>
    <t>East</t>
  </si>
  <si>
    <t>South West</t>
  </si>
  <si>
    <t>West Midlands</t>
  </si>
  <si>
    <t>East Midlands</t>
  </si>
  <si>
    <t>Yorkshire and The Humber</t>
  </si>
  <si>
    <t>North West</t>
  </si>
  <si>
    <t>North East</t>
  </si>
  <si>
    <t>category unknown</t>
  </si>
  <si>
    <t>tpen</t>
  </si>
  <si>
    <t>national employment savings trust</t>
  </si>
  <si>
    <t>group self invested personal</t>
  </si>
  <si>
    <t>group stakeholder</t>
  </si>
  <si>
    <t>group personal</t>
  </si>
  <si>
    <t>defined contribution</t>
  </si>
  <si>
    <t>defined benefit</t>
  </si>
  <si>
    <t>no pension with employer</t>
  </si>
  <si>
    <t>info not available</t>
  </si>
  <si>
    <t>sm</t>
  </si>
  <si>
    <t>no</t>
  </si>
  <si>
    <t>yes</t>
  </si>
  <si>
    <t>not same job</t>
  </si>
  <si>
    <t>sjd</t>
  </si>
  <si>
    <t>same job &gt;1 year</t>
  </si>
  <si>
    <t>Female</t>
  </si>
  <si>
    <t>Male</t>
  </si>
  <si>
    <t>unclassified</t>
  </si>
  <si>
    <t>pubpriv</t>
  </si>
  <si>
    <t>private</t>
  </si>
  <si>
    <t>public</t>
  </si>
  <si>
    <t>temporary</t>
  </si>
  <si>
    <t>pt</t>
  </si>
  <si>
    <t>permanent</t>
  </si>
  <si>
    <t>calendar month</t>
  </si>
  <si>
    <t>payp</t>
  </si>
  <si>
    <t>four weeks</t>
  </si>
  <si>
    <t>two weeks</t>
  </si>
  <si>
    <t>one week</t>
  </si>
  <si>
    <t>06- series w/ spec arrngmnts</t>
  </si>
  <si>
    <t>numstrata</t>
  </si>
  <si>
    <t>04-06 series incl suppl info</t>
  </si>
  <si>
    <t>97-04 series excl suppl info</t>
  </si>
  <si>
    <t>main job</t>
  </si>
  <si>
    <t>mjob</t>
  </si>
  <si>
    <t>not main job</t>
  </si>
  <si>
    <t>not affected</t>
  </si>
  <si>
    <t>lop</t>
  </si>
  <si>
    <t>earnings affected by absence</t>
  </si>
  <si>
    <t>Non-profit making body</t>
  </si>
  <si>
    <t>idbrsta</t>
  </si>
  <si>
    <t>Local authority</t>
  </si>
  <si>
    <t>Central government body</t>
  </si>
  <si>
    <t>Public corporation</t>
  </si>
  <si>
    <t>Partnership</t>
  </si>
  <si>
    <t>Sole proprietor</t>
  </si>
  <si>
    <t>Private company</t>
  </si>
  <si>
    <t>hgor</t>
  </si>
  <si>
    <t>part time</t>
  </si>
  <si>
    <t>ft</t>
  </si>
  <si>
    <t>full time</t>
  </si>
  <si>
    <t>multiple jobs</t>
  </si>
  <si>
    <t>djob</t>
  </si>
  <si>
    <t>one job</t>
  </si>
  <si>
    <t>cosp</t>
  </si>
  <si>
    <t>Nat/ind plus other type</t>
  </si>
  <si>
    <t>colag</t>
  </si>
  <si>
    <t>Workplace agreement</t>
  </si>
  <si>
    <t>Organisational agreement</t>
  </si>
  <si>
    <t>Sub-national agreement</t>
  </si>
  <si>
    <t>National or industry agreement</t>
  </si>
  <si>
    <t>Error code invalid</t>
  </si>
  <si>
    <t>app</t>
  </si>
  <si>
    <t>No apprentice</t>
  </si>
  <si>
    <t>Yes apprentice</t>
  </si>
  <si>
    <t>trainee/junior rate</t>
  </si>
  <si>
    <t>adr</t>
  </si>
  <si>
    <t>full adult rate</t>
  </si>
  <si>
    <t>valuelabel</t>
  </si>
  <si>
    <t>value</t>
  </si>
  <si>
    <t>variable</t>
  </si>
  <si>
    <t>No passport held</t>
  </si>
  <si>
    <t>passports_all</t>
  </si>
  <si>
    <t>British Overseas Territories</t>
  </si>
  <si>
    <t>Antarctica and Oceania: Other Oceania</t>
  </si>
  <si>
    <t>Antarctica and Oceania: Australasia: New Zealand</t>
  </si>
  <si>
    <t>Antarctica and Oceania: Australasia: Australia</t>
  </si>
  <si>
    <t>The Americas and the Caribbean: The Caribbean: Other Caribbean</t>
  </si>
  <si>
    <t>The Americas and the Caribbean: The Caribbean: Jamaica</t>
  </si>
  <si>
    <t>The Americas and the Caribbean: South America</t>
  </si>
  <si>
    <t>The Americas and the Caribbean: Central America</t>
  </si>
  <si>
    <t>The Americas and the Caribbean: North America: United States</t>
  </si>
  <si>
    <t>The Americas and the Caribbean: North America: Canada</t>
  </si>
  <si>
    <t>Middle East and Asia: Central Asia</t>
  </si>
  <si>
    <t>Middle East and Asia: South-East Asia: Other South-East Asia</t>
  </si>
  <si>
    <t>Middle East and Asia: South-East Asia: Singapore</t>
  </si>
  <si>
    <t>Middle East and Asia: South-East Asia: Philippines</t>
  </si>
  <si>
    <t>Middle East and Asia: South-East Asia: Malaysia</t>
  </si>
  <si>
    <t>Middle East and Asia: Southern Asia: Other Southern Asia</t>
  </si>
  <si>
    <t>Middle East and Asia: Southern Asia: Sri Lanka</t>
  </si>
  <si>
    <t>Middle East and Asia: Southern Asia: Pakistan</t>
  </si>
  <si>
    <t>Middle East and Asia: Southern Asia: India</t>
  </si>
  <si>
    <t>Middle East and Asia: Southern Asia: Bangladesh</t>
  </si>
  <si>
    <t>Middle East and Asia: Southern Asia: Afghanistan</t>
  </si>
  <si>
    <t>Middle East and Asia: Eastern Asia: Other Eastern Asia</t>
  </si>
  <si>
    <t xml:space="preserve"> Middle East and Asia: Eastern Asia: Japan</t>
  </si>
  <si>
    <t>Middle East and Asia: Eastern Asia: Hong Kong (Special Administrative Region of China)</t>
  </si>
  <si>
    <t>Middle East and Asia: Eastern Asia: China</t>
  </si>
  <si>
    <t>Middle East and Asia: Middle East: Other Middle East</t>
  </si>
  <si>
    <t>Middle East and Asia: Middle East: Iraq</t>
  </si>
  <si>
    <t>Middle East and Asia: Middle East: Iran</t>
  </si>
  <si>
    <t>Africa: South and Eastern Africa: Other South and Eastern Africa</t>
  </si>
  <si>
    <t>Africa: South and Eastern Africa: Zimbabwe</t>
  </si>
  <si>
    <t>Africa: South and Eastern Africa: South Africa</t>
  </si>
  <si>
    <t>Africa: South and Eastern Africa: Somalia</t>
  </si>
  <si>
    <t>Africa: South and Eastern Africa: Kenya</t>
  </si>
  <si>
    <t>Africa: Central and Western Africa: Other Central and Western Africa</t>
  </si>
  <si>
    <t>Africa: Central and Western Africa: Nigeria</t>
  </si>
  <si>
    <t>Africa: Central and Western Africa: Ghana</t>
  </si>
  <si>
    <t>Africa: North Africa</t>
  </si>
  <si>
    <t>Europe: Other Europe: Rest of Europe: Other Europe</t>
  </si>
  <si>
    <t>Europe: Other Europe: Rest of Europe: Turkey</t>
  </si>
  <si>
    <t>Europe: Other Europe: EU countries: Accession countries April 2001 to March 2021: Other EU accession countries</t>
  </si>
  <si>
    <t>Europe: Other Europe: EU countries: Accession countries April 2001 to March 2021: Romania</t>
  </si>
  <si>
    <t>Europe: Other Europe: EU countries: Accession countries April 2001 to March 2021: Poland</t>
  </si>
  <si>
    <t>Europe: Other Europe: EU countries: Accession countries April 2001 to March 2021: Lithuania</t>
  </si>
  <si>
    <t>Europe: Other Europe: EU countries: Member countries in March 2001: Other member countries in March 2001</t>
  </si>
  <si>
    <t>Europe: Other Europe: EU countries: Member countries in March 2001: Spain</t>
  </si>
  <si>
    <t>Europe: Other Europe: EU countries: Member countries in March 2001: Portugal</t>
  </si>
  <si>
    <t>Europe: Other Europe: EU countries: Member countries in March 2001: Italy</t>
  </si>
  <si>
    <t>Europe: Other Europe: EU countries: Member countries in March 2001: Germany</t>
  </si>
  <si>
    <t>Europe: Other Europe: EU countries: Member countries in March 2001: France</t>
  </si>
  <si>
    <t>Europe: Ireland</t>
  </si>
  <si>
    <t>Europe: United Kingdom</t>
  </si>
  <si>
    <t>English, Welsh, Scottish, Northern Irish, British and Other</t>
  </si>
  <si>
    <t>national_identity_uk</t>
  </si>
  <si>
    <t>English, Welsh, Scottish, Northern Irish and Other</t>
  </si>
  <si>
    <t>Welsh, Scottish, Northern Irish, British and Other</t>
  </si>
  <si>
    <t>English, Scottish, Northern Irish, British and Other</t>
  </si>
  <si>
    <t>English, Welsh, Northern Irish, British and Other</t>
  </si>
  <si>
    <t>English, Welsh, Scottish, British and Other</t>
  </si>
  <si>
    <t>English, Welsh, Scottish, Northern Irish and British</t>
  </si>
  <si>
    <t>Welsh, Scottish, Northern Irish and Other</t>
  </si>
  <si>
    <t>English, Scottish, Northern Irish and Other</t>
  </si>
  <si>
    <t>English, Welsh, Northern Irish and Other</t>
  </si>
  <si>
    <t>English, Welsh, Scottish and Other</t>
  </si>
  <si>
    <t>English, Welsh, Scottish and Northern Irish</t>
  </si>
  <si>
    <t>Scottish, Northern Irish, British and Other</t>
  </si>
  <si>
    <t>Welsh, Northern Irish, British and Other</t>
  </si>
  <si>
    <t>Welsh, Scottish, British and Other</t>
  </si>
  <si>
    <t>Welsh, Scottish, Northern Irish and British</t>
  </si>
  <si>
    <t>English, Northern Irish, British and Other</t>
  </si>
  <si>
    <t>English, Scottish, British and Other</t>
  </si>
  <si>
    <t>English, Scottish, Northern Irish and British</t>
  </si>
  <si>
    <t>English, Welsh, British and Other</t>
  </si>
  <si>
    <t>English, Welsh, Northern Irish and British</t>
  </si>
  <si>
    <t>English, Welsh, Scottish and British</t>
  </si>
  <si>
    <t>Scottish, Northern Irish and Other</t>
  </si>
  <si>
    <t>Welsh, Northern Irish and Other</t>
  </si>
  <si>
    <t>Welsh, Scottish and Other</t>
  </si>
  <si>
    <t>Welsh, Scottish and Northern Irish</t>
  </si>
  <si>
    <t>English, Northern Irish and Other</t>
  </si>
  <si>
    <t>English, Scottish and Other</t>
  </si>
  <si>
    <t>English, Scottish and Northern Irish</t>
  </si>
  <si>
    <t>English, Welsh and Other</t>
  </si>
  <si>
    <t>English, Welsh and Northern Irish</t>
  </si>
  <si>
    <t>English, Welsh and Scottish</t>
  </si>
  <si>
    <t>Northern Irish, British and Other</t>
  </si>
  <si>
    <t>Scottish, British and Other</t>
  </si>
  <si>
    <t>Scottish, Northern Irish and British</t>
  </si>
  <si>
    <t xml:space="preserve">Welsh, British and Other </t>
  </si>
  <si>
    <t>Welsh, Northern Irish and British</t>
  </si>
  <si>
    <t>Welsh, Scottish and British</t>
  </si>
  <si>
    <t>English, British and Other</t>
  </si>
  <si>
    <t>English, Northern Irish and British</t>
  </si>
  <si>
    <t>English, Scottish and British</t>
  </si>
  <si>
    <t>English, Welsh and British</t>
  </si>
  <si>
    <t>Northern Irish and Other</t>
  </si>
  <si>
    <t>Scottish and Other</t>
  </si>
  <si>
    <t>Scottish and Northern Irish</t>
  </si>
  <si>
    <t>Welsh and Other</t>
  </si>
  <si>
    <t>Welsh and Northern Irish</t>
  </si>
  <si>
    <t>Welsh and Scottish</t>
  </si>
  <si>
    <t>English and Other</t>
  </si>
  <si>
    <t>English and Northern Irish</t>
  </si>
  <si>
    <t>English and Scottish</t>
  </si>
  <si>
    <t>English and Welsh</t>
  </si>
  <si>
    <t>British and Other</t>
  </si>
  <si>
    <t>Northern Irish and British</t>
  </si>
  <si>
    <t>Scottish and British</t>
  </si>
  <si>
    <t>Welsh and British</t>
  </si>
  <si>
    <t>English and British</t>
  </si>
  <si>
    <t>Other</t>
  </si>
  <si>
    <t>Northern Irish</t>
  </si>
  <si>
    <t>Scottish</t>
  </si>
  <si>
    <t>Welsh</t>
  </si>
  <si>
    <t>English</t>
  </si>
  <si>
    <t>British</t>
  </si>
  <si>
    <t>Other identity and at least one UK identity</t>
  </si>
  <si>
    <t>national_identity_all</t>
  </si>
  <si>
    <t>Other identity only</t>
  </si>
  <si>
    <t>Irish and at least one UK identity</t>
  </si>
  <si>
    <t>Irish only identity</t>
  </si>
  <si>
    <t>Any other combination of UK identities (UK only)</t>
  </si>
  <si>
    <t>Cornish and British only identity</t>
  </si>
  <si>
    <t>Cornish only identity</t>
  </si>
  <si>
    <t>Northern Irish and British only identity</t>
  </si>
  <si>
    <t>Northern Irish only identity</t>
  </si>
  <si>
    <t>Scottish and British only identity</t>
  </si>
  <si>
    <t>Scottish only identity</t>
  </si>
  <si>
    <t>Welsh and British only identity</t>
  </si>
  <si>
    <t>Welsh only identity</t>
  </si>
  <si>
    <t>English and British only identity</t>
  </si>
  <si>
    <t>English only identity</t>
  </si>
  <si>
    <t>British only identity</t>
  </si>
  <si>
    <t>multi_passports</t>
  </si>
  <si>
    <t>UK, Irish, and Other passport</t>
  </si>
  <si>
    <t>Irish and Other passport: Antarctica and Oceania (including Australia)</t>
  </si>
  <si>
    <t>Irish and Other passport: The Americas and Caribbean</t>
  </si>
  <si>
    <t>Irish and Other passport: Middle East and Asian</t>
  </si>
  <si>
    <t>Irish and Other passport: African</t>
  </si>
  <si>
    <t>Irish and Other passport: Europe, Other Europe</t>
  </si>
  <si>
    <t>Irish and Other passport: Europe, European Union</t>
  </si>
  <si>
    <t>UK and Other passport: Antarctica and Oceania (including Australia)</t>
  </si>
  <si>
    <t>UK and Other passport: The Americas and Caribbean</t>
  </si>
  <si>
    <t>UK and Other passport: Middle East and Asian</t>
  </si>
  <si>
    <t>UK and Other passport: African</t>
  </si>
  <si>
    <t>UK and Other passport: Europe, Other Europe</t>
  </si>
  <si>
    <t>UK and Other passport: Europe, European Union</t>
  </si>
  <si>
    <t>UK and Irish passport</t>
  </si>
  <si>
    <t>Other passport only: Antarctica and Oceania (including Australia)</t>
  </si>
  <si>
    <t>Other passport only: The Americas and Caribbean</t>
  </si>
  <si>
    <t>Other passport only: Middle East and Asian</t>
  </si>
  <si>
    <t>Other passport only: African</t>
  </si>
  <si>
    <t>Other passport only: Europe, Other Europe</t>
  </si>
  <si>
    <t>Other passport only: Europe, European Union</t>
  </si>
  <si>
    <t>Irish passport only</t>
  </si>
  <si>
    <t>UK passport only</t>
  </si>
  <si>
    <t>Other language</t>
  </si>
  <si>
    <t>main_language_detailed</t>
  </si>
  <si>
    <t>Sign language: Any Sign communication system</t>
  </si>
  <si>
    <t>Sign language: Sign language (all other)</t>
  </si>
  <si>
    <t>Sign language: British Sign Language</t>
  </si>
  <si>
    <t>African language: African language (all other)</t>
  </si>
  <si>
    <t>African language: West African language (all other)</t>
  </si>
  <si>
    <t>African language: Any other Nigerian language</t>
  </si>
  <si>
    <t>African language: Afrikaans</t>
  </si>
  <si>
    <t>African language: Shona</t>
  </si>
  <si>
    <t>African language: Lingala</t>
  </si>
  <si>
    <t>African language: Luganda</t>
  </si>
  <si>
    <t>African language: Swahili/Kiswahili</t>
  </si>
  <si>
    <t>African language: Igbo</t>
  </si>
  <si>
    <t>African language: Yoruba</t>
  </si>
  <si>
    <t>African language: Akan</t>
  </si>
  <si>
    <t>African language: Krio</t>
  </si>
  <si>
    <t>African language: Somali</t>
  </si>
  <si>
    <t>African language: Tigrinya</t>
  </si>
  <si>
    <t>African language: Amharic</t>
  </si>
  <si>
    <t>Caribbean Creole: Caribbean Creole (all other)</t>
  </si>
  <si>
    <t>Caribbean Creole: Caribbean Creole (English-based)</t>
  </si>
  <si>
    <t>North/South American language (any)</t>
  </si>
  <si>
    <t>Oceanic/Australian language (any)</t>
  </si>
  <si>
    <t>East Asian language: East Asian language (all other)</t>
  </si>
  <si>
    <t>East Asian language: Tagalog/Filipino</t>
  </si>
  <si>
    <t>East Asian language: Malay</t>
  </si>
  <si>
    <t>East Asian language: Thai</t>
  </si>
  <si>
    <t>East Asian language: Vietnamese</t>
  </si>
  <si>
    <t>East Asian language: Korean</t>
  </si>
  <si>
    <t>East Asian language: Japanese</t>
  </si>
  <si>
    <t>East Asian language: All other Chinese</t>
  </si>
  <si>
    <t>East Asian language: Cantonese Chinese</t>
  </si>
  <si>
    <t>East Asian language: Mandarin Chinese</t>
  </si>
  <si>
    <t>South Asian language: South Asian language (all other)</t>
  </si>
  <si>
    <t>South Asian language: Nepalese</t>
  </si>
  <si>
    <t>South Asian language: Sinhala</t>
  </si>
  <si>
    <t>South Asian language: Malayalam</t>
  </si>
  <si>
    <t>South Asian language: Tamil</t>
  </si>
  <si>
    <t>South Asian language: Telugu</t>
  </si>
  <si>
    <t>South Asian language: Marathi</t>
  </si>
  <si>
    <t>South Asian language: Gujarati</t>
  </si>
  <si>
    <t>South Asian language: Bengali (with Sylheti and Chatgaya)</t>
  </si>
  <si>
    <t>South Asian language: Pakistani Pahari (with Mirpuri and Potwari)</t>
  </si>
  <si>
    <t>South Asian language: Panjabi</t>
  </si>
  <si>
    <t>South Asian language: Hindi</t>
  </si>
  <si>
    <t>South Asian language: Urdu</t>
  </si>
  <si>
    <t>West/Central Asian language: West/Central Asian language (all other)</t>
  </si>
  <si>
    <t>West/Central Asian language: Pashto</t>
  </si>
  <si>
    <t>West/Central Asian language: Persian/Farsi</t>
  </si>
  <si>
    <t>West/Central Asian language: Kurdish</t>
  </si>
  <si>
    <t>West/Central Asian language: Hebrew</t>
  </si>
  <si>
    <t>Arabic</t>
  </si>
  <si>
    <t>Turkish</t>
  </si>
  <si>
    <t>Russian</t>
  </si>
  <si>
    <t>Other European language (non-national): Yiddish</t>
  </si>
  <si>
    <t>Other European language (non-national): Romani language (any)</t>
  </si>
  <si>
    <t>Other European language (combination of EU and non-EU):Bosnian, Croatian, Serbian, and Montenegrian</t>
  </si>
  <si>
    <t>Other European language (non EU): Northern European language (non EU)</t>
  </si>
  <si>
    <t>Other European language (non EU): Any other Eastern European language (non EU)</t>
  </si>
  <si>
    <t>Other European language (non EU): Ukrainian</t>
  </si>
  <si>
    <t>Other European language (non EU): Albanian</t>
  </si>
  <si>
    <t>Other European language (EU): Any other European language (EU)</t>
  </si>
  <si>
    <t>Other European language (EU): Maltese</t>
  </si>
  <si>
    <t>Other European language (EU): Slovenian</t>
  </si>
  <si>
    <t>Other European language (EU): Estonian</t>
  </si>
  <si>
    <t>Other European language (EU): Finnish</t>
  </si>
  <si>
    <t>Other European language (EU): Danish</t>
  </si>
  <si>
    <t>Other European language (EU): Swedish</t>
  </si>
  <si>
    <t>‘Other European language (EU): Dutch</t>
  </si>
  <si>
    <t>Other European language (EU): Greek</t>
  </si>
  <si>
    <t>Other European language (EU): Bulgarian</t>
  </si>
  <si>
    <t>Other European language (EU): Hungarian</t>
  </si>
  <si>
    <t>Other European language (EU): Latvian</t>
  </si>
  <si>
    <t>Other European language (EU): Lithuanian</t>
  </si>
  <si>
    <t>Other European language (EU): Romanian</t>
  </si>
  <si>
    <t>Other European language (EU): Czech</t>
  </si>
  <si>
    <t>Other European language (EU): Slovak</t>
  </si>
  <si>
    <t>Other European language (EU): Polish</t>
  </si>
  <si>
    <t>Other European language (EU): German</t>
  </si>
  <si>
    <t>Other European language (EU): Italian</t>
  </si>
  <si>
    <t>Spanish</t>
  </si>
  <si>
    <t>Portuguese</t>
  </si>
  <si>
    <t>French</t>
  </si>
  <si>
    <t>Other UK language: Irish Traveller Cant</t>
  </si>
  <si>
    <t>Other UK language: Romany English</t>
  </si>
  <si>
    <t>Other UK language: Ulster Scots</t>
  </si>
  <si>
    <t>Other UK language: Scots</t>
  </si>
  <si>
    <t>Other UK language: Cornish</t>
  </si>
  <si>
    <t>Other UK language: Gaelic (Not otherwise specified)</t>
  </si>
  <si>
    <t>Other UK language: Manx Gaelic</t>
  </si>
  <si>
    <t>Other UK language: Gaelic (Scottish)</t>
  </si>
  <si>
    <t>Other UK language: Gaelic (Irish)</t>
  </si>
  <si>
    <t>Welsh/Cymraeg (in England only)</t>
  </si>
  <si>
    <t>English (English or Welsh in Wales)</t>
  </si>
  <si>
    <t>Not living in a couple: Survived partner from civil partnership</t>
  </si>
  <si>
    <t>living_arrangements</t>
  </si>
  <si>
    <t>Not living in a couple: Widowed partner from marriage</t>
  </si>
  <si>
    <t>Not living in a couple: Dissolved civil partnership</t>
  </si>
  <si>
    <t>Not living in a couple: Divorced marriage</t>
  </si>
  <si>
    <t>Not living in a couple: Separated (including those who are married and those who are in civil partnerships)</t>
  </si>
  <si>
    <t>Not living in a couple: Same-sex marriage or civil partnership</t>
  </si>
  <si>
    <t>Not living in a couple: Opposite-sex marriage or civil partnership</t>
  </si>
  <si>
    <t>Not living in a couple: Single (Never married or never registered in a same-sex civil partnership)</t>
  </si>
  <si>
    <t>Living in a couple: Same-sex cohabiting couple</t>
  </si>
  <si>
    <t>Living in a couple: Opposite-sex cohabiting couple</t>
  </si>
  <si>
    <t>Living in a couple: Separated, but in a civil partnership</t>
  </si>
  <si>
    <t>Living in a couple: Separated, but still married</t>
  </si>
  <si>
    <t>Living in a couple: Same-sex civil partnership</t>
  </si>
  <si>
    <t>Living in a couple: Opposite-sex civil partnership</t>
  </si>
  <si>
    <t>Living in a couple: Same-sex marriage</t>
  </si>
  <si>
    <t>Living in a couple: Opposite-sex marriage</t>
  </si>
  <si>
    <t>Activities of Extra-Territorial Organisations and Bodies</t>
  </si>
  <si>
    <t>industry_business_extn</t>
  </si>
  <si>
    <t>Activities of Household as Employers; Undifferentiated Goods- and Services- Producing Activities of Households for Own Use</t>
  </si>
  <si>
    <t>Other Service Activities</t>
  </si>
  <si>
    <t>Arts, Entertainment and recreation</t>
  </si>
  <si>
    <t>Human Health and Social Work Activities</t>
  </si>
  <si>
    <t>Education</t>
  </si>
  <si>
    <t>Public Administration and Defence; Compulsory Social Security</t>
  </si>
  <si>
    <t>Administrative and Support Service Activities</t>
  </si>
  <si>
    <t>Professional Scientific and Technical Activities</t>
  </si>
  <si>
    <t>Real Estate Activities</t>
  </si>
  <si>
    <t>Financial and Insurance Activities</t>
  </si>
  <si>
    <t>Information and Communication</t>
  </si>
  <si>
    <t>Accommodation and Food Service Activities</t>
  </si>
  <si>
    <t>Transportation and Storage</t>
  </si>
  <si>
    <t>Wholesale and Retail trade; Repair of Motor Vehicles and Motorcycles</t>
  </si>
  <si>
    <t>Construction</t>
  </si>
  <si>
    <t>Water Supply; Sewerage; Waste Management and Remediation activities</t>
  </si>
  <si>
    <t>Electricity, Gas, Steam and Air Conditioning Supply</t>
  </si>
  <si>
    <t>Manufacturing – Other Manufacture</t>
  </si>
  <si>
    <t>Manufacturing – High Tech Manufacture</t>
  </si>
  <si>
    <t>Manufacturing – Low Tech Manufacture</t>
  </si>
  <si>
    <t>Manufacturing – Manufacture of Chemicals and Rubber</t>
  </si>
  <si>
    <t>Manufacturing – Manufacture of wood paper and paper products</t>
  </si>
  <si>
    <t>Manufacturing – Manufacture of Textiles, Wearing Apparel &amp; Leather and related products</t>
  </si>
  <si>
    <t>Manufacturing – Manufacture of Food, Beverages &amp; Tobacco</t>
  </si>
  <si>
    <t>Mining &amp; Quarrying</t>
  </si>
  <si>
    <t>Agriculture; Forestry; Fishing</t>
  </si>
  <si>
    <t>Surviving partner from civil partnership- Same sex</t>
  </si>
  <si>
    <t>marital_status</t>
  </si>
  <si>
    <t>Surviving partner from civil partnership- Opposite sex</t>
  </si>
  <si>
    <t>Widowed- Same sex</t>
  </si>
  <si>
    <t>Widowed- Opposite sex</t>
  </si>
  <si>
    <t>Formerly in a civil partnership which is now legally dissolved- Same sex</t>
  </si>
  <si>
    <t>Formerly in a civil partnership which is now legally dissolved- Opposite sex</t>
  </si>
  <si>
    <t>Divorced- Same sex</t>
  </si>
  <si>
    <t>Divorced- Opposite sex</t>
  </si>
  <si>
    <t>Separated, but still legally in a civil partnership- Same sex</t>
  </si>
  <si>
    <t>Separated, but still legally in a civil partnership- Opposite sex</t>
  </si>
  <si>
    <t>Separated, but still legally married- Same Sex</t>
  </si>
  <si>
    <t>Separated, but still legally married- Opposite sex</t>
  </si>
  <si>
    <t>In a registered civil partnership- Same sex</t>
  </si>
  <si>
    <t>In a registered civil partnership- Opposite sex</t>
  </si>
  <si>
    <t>Married- Same sex</t>
  </si>
  <si>
    <t>Married- Opposite sex</t>
  </si>
  <si>
    <t>Never married and never registered a civil partnership</t>
  </si>
  <si>
    <t>Economically Inactive, Other</t>
  </si>
  <si>
    <t>economic_activity</t>
  </si>
  <si>
    <t>Economically Inactive, Permanently sick/disabled</t>
  </si>
  <si>
    <t>Economically Inactive, Looking after home/family</t>
  </si>
  <si>
    <t>Economically Inactive, Student</t>
  </si>
  <si>
    <t>Economically Inactive, Retired</t>
  </si>
  <si>
    <t>Economically Active Full-time Students, Unemployed, Seeking work and ready to start in 2 weeks, and Waiting to start a job already obtained and available to start within 2 weeks</t>
  </si>
  <si>
    <t>Economically Active Full-time Students, In Employment, Self-employed without employees, Full-time</t>
  </si>
  <si>
    <t>Economically Active Full-time Students, In Employment, Self-employed without employees, Part-time</t>
  </si>
  <si>
    <t>Economically Active Full-time Students, In Employment, Self-employed with employees, Full-time</t>
  </si>
  <si>
    <t>Economically Active Full-time Students, In Employment, Self-employed with employees, Part-time</t>
  </si>
  <si>
    <t>Economically Active Full-time Students, In Employment, Employee, Full-time</t>
  </si>
  <si>
    <t>Economically Active Full-time Students, In Employment, Employee, Part-time</t>
  </si>
  <si>
    <t>Economically Active (excluding Full-time Students), Unemployed, Seeking work and ready to start in 2 weeks, and Waiting to start a job already obtained and available to start within 2 weeks</t>
  </si>
  <si>
    <t>Economically Active (excluding Full-time Students), In Employment, Self-employed without employees, Full-time</t>
  </si>
  <si>
    <t>Economically Active (excluding Full-time Students), In Employment, Self-employed without employees, Part-time</t>
  </si>
  <si>
    <t>Economically Active (excluding Full-time Students), In Employment, Self-employed with employees, Full-time</t>
  </si>
  <si>
    <t>Economically Active (excluding Full-time Students), In Employment, Self-employed with employees, Part-time</t>
  </si>
  <si>
    <t>Economically Active (excluding Full-time Students), In Employment, Employee, Full-time</t>
  </si>
  <si>
    <t>Economically Active (excluding Full-time Students), In Employment, Employee, Part-time</t>
  </si>
  <si>
    <t xml:space="preserve"> Output Area code of person with a second address outside the UK</t>
  </si>
  <si>
    <t>second_address_oa</t>
  </si>
  <si>
    <t xml:space="preserve"> Output Area code of person with a second address in the UK</t>
  </si>
  <si>
    <t xml:space="preserve">OA Code </t>
  </si>
  <si>
    <t xml:space="preserve"> Arrived 2020-2021</t>
  </si>
  <si>
    <t>year_arrival_uk</t>
  </si>
  <si>
    <t xml:space="preserve"> Arrived 2017-2019</t>
  </si>
  <si>
    <t xml:space="preserve"> Arrived 2014-2016</t>
  </si>
  <si>
    <t xml:space="preserve"> Arrived 2011-2013</t>
  </si>
  <si>
    <t xml:space="preserve"> Arrived 2001-2010</t>
  </si>
  <si>
    <t xml:space="preserve"> Arrived 1991-2000</t>
  </si>
  <si>
    <t xml:space="preserve"> Arrived 1981-1990</t>
  </si>
  <si>
    <t xml:space="preserve"> Arrived 1971-1980</t>
  </si>
  <si>
    <t xml:space="preserve"> Arrived 1961-1970</t>
  </si>
  <si>
    <t xml:space="preserve"> Arrived 1951-1960</t>
  </si>
  <si>
    <t xml:space="preserve"> Arrived before 1951</t>
  </si>
  <si>
    <t xml:space="preserve"> Born in the UK</t>
  </si>
  <si>
    <t xml:space="preserve"> No fixed place</t>
  </si>
  <si>
    <t>workplace_type</t>
  </si>
  <si>
    <t xml:space="preserve"> An offshore installation</t>
  </si>
  <si>
    <t xml:space="preserve"> At or from home</t>
  </si>
  <si>
    <t xml:space="preserve"> At a workplace or report to a depot</t>
  </si>
  <si>
    <t xml:space="preserve"> Work mainly at an offshore installation, in no fixed place, or outside the UK</t>
  </si>
  <si>
    <t>workplace_travel</t>
  </si>
  <si>
    <t xml:space="preserve"> Work mainly at or from home</t>
  </si>
  <si>
    <t xml:space="preserve"> 60km or over</t>
  </si>
  <si>
    <t xml:space="preserve"> 40km to 60km</t>
  </si>
  <si>
    <t xml:space="preserve"> 30km to 40km</t>
  </si>
  <si>
    <t xml:space="preserve"> 20km to 30km</t>
  </si>
  <si>
    <t xml:space="preserve"> 10km to 20km</t>
  </si>
  <si>
    <t xml:space="preserve"> 5km to less than 10km</t>
  </si>
  <si>
    <t xml:space="preserve"> 2km to less than 5km</t>
  </si>
  <si>
    <t xml:space="preserve"> Less than 2km</t>
  </si>
  <si>
    <t xml:space="preserve"> Country index code</t>
  </si>
  <si>
    <t xml:space="preserve">Matched to COB  </t>
  </si>
  <si>
    <t>workplace_address_country</t>
  </si>
  <si>
    <t xml:space="preserve"> Matched address</t>
  </si>
  <si>
    <t xml:space="preserve">Matched Address </t>
  </si>
  <si>
    <t>workplace_address</t>
  </si>
  <si>
    <t xml:space="preserve"> Not of working age</t>
  </si>
  <si>
    <t>working_age_ind</t>
  </si>
  <si>
    <t xml:space="preserve"> Working age</t>
  </si>
  <si>
    <t xml:space="preserve"> Child cannot speak Welsh: aged 16-18 years</t>
  </si>
  <si>
    <t xml:space="preserve"> Child cannot speak Welsh: aged 12-15 years</t>
  </si>
  <si>
    <t xml:space="preserve"> Child cannot speak Welsh: aged 5-11 years</t>
  </si>
  <si>
    <t xml:space="preserve"> Child cannot speak Welsh: aged 3-4 years</t>
  </si>
  <si>
    <t xml:space="preserve"> Child can speak Welsh: aged 16-18 years</t>
  </si>
  <si>
    <t xml:space="preserve">  Child can speak Welsh: aged 12-15 years</t>
  </si>
  <si>
    <t xml:space="preserve"> Child can speak Welsh: aged 5-11 years</t>
  </si>
  <si>
    <t xml:space="preserve"> Child can speak Welsh: aged 3-4 years</t>
  </si>
  <si>
    <t xml:space="preserve"> Speaks Welsh</t>
  </si>
  <si>
    <t>welsh_speaking_3_plus</t>
  </si>
  <si>
    <t xml:space="preserve"> Does not speak Welsh</t>
  </si>
  <si>
    <t xml:space="preserve"> Able to write Welsh</t>
  </si>
  <si>
    <t>welsh_skills_write</t>
  </si>
  <si>
    <t xml:space="preserve"> Not able to write Welsh</t>
  </si>
  <si>
    <t xml:space="preserve"> Able to understand spoken Welsh</t>
  </si>
  <si>
    <t>welsh_skills_understand</t>
  </si>
  <si>
    <t xml:space="preserve"> Not able to understand spoken Welsh</t>
  </si>
  <si>
    <t xml:space="preserve"> Able to speak Welsh</t>
  </si>
  <si>
    <t>welsh_skills_speak</t>
  </si>
  <si>
    <t xml:space="preserve"> Not able to speak Welsh</t>
  </si>
  <si>
    <t xml:space="preserve"> Able to read Welsh</t>
  </si>
  <si>
    <t>welsh_skills_read</t>
  </si>
  <si>
    <t xml:space="preserve"> Not able to read Welsh</t>
  </si>
  <si>
    <t xml:space="preserve"> No skills in Welsh</t>
  </si>
  <si>
    <t>welsh_skills_all</t>
  </si>
  <si>
    <t xml:space="preserve"> Other combination of skills in Welsh</t>
  </si>
  <si>
    <t xml:space="preserve"> Reads and writes but does not speak Welsh</t>
  </si>
  <si>
    <t xml:space="preserve"> Writes but does not speak or read Welsh</t>
  </si>
  <si>
    <t xml:space="preserve"> Reads but does not speak or write Welsh</t>
  </si>
  <si>
    <t xml:space="preserve"> Speaks and reads but does not write Welsh</t>
  </si>
  <si>
    <t xml:space="preserve"> Speaks but does not read or write Welsh</t>
  </si>
  <si>
    <t xml:space="preserve"> Speaks, reads and writes Welsh</t>
  </si>
  <si>
    <t xml:space="preserve"> Understands spoken Welsh only</t>
  </si>
  <si>
    <t xml:space="preserve"> None of the above </t>
  </si>
  <si>
    <t>welsh_language_proficiency</t>
  </si>
  <si>
    <t xml:space="preserve"> Write Welsh</t>
  </si>
  <si>
    <t xml:space="preserve"> Read Welsh</t>
  </si>
  <si>
    <t xml:space="preserve"> Speak Welsh</t>
  </si>
  <si>
    <t xml:space="preserve"> Understand spoken Welsh</t>
  </si>
  <si>
    <t xml:space="preserve"> No</t>
  </si>
  <si>
    <t>waiting_for_work</t>
  </si>
  <si>
    <t xml:space="preserve"> Yes</t>
  </si>
  <si>
    <t>supervises_or_manages</t>
  </si>
  <si>
    <t xml:space="preserve"> Student living in a communal establishment</t>
  </si>
  <si>
    <t>student_accommodation</t>
  </si>
  <si>
    <t xml:space="preserve"> Other household type – in a multiple family unit household</t>
  </si>
  <si>
    <t xml:space="preserve"> Other household type – in a one family unit household with spouse, partner or offspring</t>
  </si>
  <si>
    <t xml:space="preserve"> Living with parent(s) – in a multiple family unit household</t>
  </si>
  <si>
    <t xml:space="preserve"> Living with parent(s) – in a one family unit household</t>
  </si>
  <si>
    <t xml:space="preserve"> All student household – in a multiple family unit household</t>
  </si>
  <si>
    <t xml:space="preserve"> All student household – in a one family unit household, with spouse, partner, or offspring</t>
  </si>
  <si>
    <t xml:space="preserve"> Student living alone</t>
  </si>
  <si>
    <t xml:space="preserve"> At another address/ address in question 5</t>
  </si>
  <si>
    <t>staddr_flag_20</t>
  </si>
  <si>
    <t xml:space="preserve">  At the address on the front of the questionnaire</t>
  </si>
  <si>
    <t xml:space="preserve"> Individual holds a Sikh identity: Both Sikh religion and Sikh ethnic group</t>
  </si>
  <si>
    <t>sikh_ind</t>
  </si>
  <si>
    <t xml:space="preserve"> Individual holds a Sikh identity: Sikh religion only</t>
  </si>
  <si>
    <t xml:space="preserve"> Individual holds a Sikh identity: Sikh ethnic group only</t>
  </si>
  <si>
    <t xml:space="preserve"> Individual does not hold a Sikh identity</t>
  </si>
  <si>
    <t xml:space="preserve"> Prefer not to say</t>
  </si>
  <si>
    <t>sexual_orientation</t>
  </si>
  <si>
    <t xml:space="preserve"> Another sexual orientation</t>
  </si>
  <si>
    <t xml:space="preserve"> Queer</t>
  </si>
  <si>
    <t xml:space="preserve"> Asexual</t>
  </si>
  <si>
    <t xml:space="preserve"> Pansexual</t>
  </si>
  <si>
    <t xml:space="preserve"> Bisexual</t>
  </si>
  <si>
    <t xml:space="preserve"> Gay or Lesbian</t>
  </si>
  <si>
    <t xml:space="preserve"> Straight or Heterosexual</t>
  </si>
  <si>
    <t xml:space="preserve"> Male</t>
  </si>
  <si>
    <t xml:space="preserve"> Female</t>
  </si>
  <si>
    <t xml:space="preserve"> Second address type not specified</t>
  </si>
  <si>
    <t>second_address_type_priority</t>
  </si>
  <si>
    <t xml:space="preserve"> Other</t>
  </si>
  <si>
    <t xml:space="preserve"> Partner’s address</t>
  </si>
  <si>
    <t xml:space="preserve"> Another parent or guardian’s address</t>
  </si>
  <si>
    <t xml:space="preserve"> Student’s home address</t>
  </si>
  <si>
    <t xml:space="preserve"> Student’s term time address</t>
  </si>
  <si>
    <t xml:space="preserve"> Holiday home</t>
  </si>
  <si>
    <t xml:space="preserve"> Another address when working away from home</t>
  </si>
  <si>
    <t xml:space="preserve"> Armed forces base address</t>
  </si>
  <si>
    <t xml:space="preserve"> Stays at a second address – second address is outside the UK</t>
  </si>
  <si>
    <t>second_address_country</t>
  </si>
  <si>
    <t xml:space="preserve"> Stays at a second address – second address is in Northern Ireland</t>
  </si>
  <si>
    <t xml:space="preserve"> Stays at a second address – second address is in Scotland</t>
  </si>
  <si>
    <t xml:space="preserve"> Stays at a second address – second address is in Wales</t>
  </si>
  <si>
    <t xml:space="preserve"> Stays at a second address – second address is in England</t>
  </si>
  <si>
    <t xml:space="preserve"> Does not stay at a second address</t>
  </si>
  <si>
    <t xml:space="preserve"> Unique value used to generate unique security key</t>
  </si>
  <si>
    <t xml:space="preserve">17 digit character string </t>
  </si>
  <si>
    <t>response_id</t>
  </si>
  <si>
    <t xml:space="preserve">  Date of birth year</t>
  </si>
  <si>
    <t xml:space="preserve">1906-2021 </t>
  </si>
  <si>
    <t>resident_year_of_birth</t>
  </si>
  <si>
    <t xml:space="preserve"> Paper</t>
  </si>
  <si>
    <t>Resident_Response_Mode_20</t>
  </si>
  <si>
    <t xml:space="preserve"> Online </t>
  </si>
  <si>
    <t xml:space="preserve"> Record Key</t>
  </si>
  <si>
    <t xml:space="preserve">0-255 </t>
  </si>
  <si>
    <t>resident_record_key</t>
  </si>
  <si>
    <t xml:space="preserve"> Dec</t>
  </si>
  <si>
    <t>resident_month_of_birth</t>
  </si>
  <si>
    <t xml:space="preserve"> Nov</t>
  </si>
  <si>
    <t xml:space="preserve"> Oct</t>
  </si>
  <si>
    <t xml:space="preserve"> Sep</t>
  </si>
  <si>
    <t xml:space="preserve"> Aug</t>
  </si>
  <si>
    <t xml:space="preserve"> Jul</t>
  </si>
  <si>
    <t xml:space="preserve"> Jun</t>
  </si>
  <si>
    <t xml:space="preserve"> May</t>
  </si>
  <si>
    <t xml:space="preserve"> Apr</t>
  </si>
  <si>
    <t xml:space="preserve"> March</t>
  </si>
  <si>
    <t xml:space="preserve"> Feb </t>
  </si>
  <si>
    <t xml:space="preserve"> January</t>
  </si>
  <si>
    <t xml:space="preserve"> Age in years</t>
  </si>
  <si>
    <t xml:space="preserve">000-115 </t>
  </si>
  <si>
    <t>resident_age</t>
  </si>
  <si>
    <t xml:space="preserve"> Communal establishment </t>
  </si>
  <si>
    <t>residence_type</t>
  </si>
  <si>
    <t xml:space="preserve"> Household </t>
  </si>
  <si>
    <t xml:space="preserve"> 10 years or more</t>
  </si>
  <si>
    <t>residence_length</t>
  </si>
  <si>
    <t xml:space="preserve"> 5 years or more and less than 10 years</t>
  </si>
  <si>
    <t xml:space="preserve"> 2 years or more and less than 5 years</t>
  </si>
  <si>
    <t xml:space="preserve"> Less than 2 years</t>
  </si>
  <si>
    <t xml:space="preserve"> Not stated</t>
  </si>
  <si>
    <t>religion_tb</t>
  </si>
  <si>
    <t xml:space="preserve"> Other religion</t>
  </si>
  <si>
    <t xml:space="preserve"> Sikh</t>
  </si>
  <si>
    <t xml:space="preserve"> Muslim</t>
  </si>
  <si>
    <t xml:space="preserve"> Jewish</t>
  </si>
  <si>
    <t xml:space="preserve"> Hindu</t>
  </si>
  <si>
    <t xml:space="preserve"> Buddhist</t>
  </si>
  <si>
    <t xml:space="preserve"> Christian (all denominations)</t>
  </si>
  <si>
    <t xml:space="preserve"> No religion</t>
  </si>
  <si>
    <t>Yes (Individual has this level of qualification)</t>
  </si>
  <si>
    <t>QUALIFICATIONS(01-12)</t>
  </si>
  <si>
    <t>No (Individual does not have this level of qualification)</t>
  </si>
  <si>
    <t xml:space="preserve"> No qualifications </t>
  </si>
  <si>
    <t>qualifications</t>
  </si>
  <si>
    <t xml:space="preserve"> Any other qualifications, equivalent unknown </t>
  </si>
  <si>
    <t xml:space="preserve"> NVQ level 1</t>
  </si>
  <si>
    <t xml:space="preserve"> NVQ level 2, BTEC General, City and Guilds Craft</t>
  </si>
  <si>
    <t xml:space="preserve"> NVQ level 3, BTEC National, OND or ONC, City and guilds Advanced Craft</t>
  </si>
  <si>
    <t xml:space="preserve"> 1 AS Level </t>
  </si>
  <si>
    <t xml:space="preserve"> 1 A level, 2-3 AS levels</t>
  </si>
  <si>
    <t xml:space="preserve"> 2 or more A levels, 4 or more AS levels or Advanced Welsh Baccalaureate</t>
  </si>
  <si>
    <t xml:space="preserve"> Any other GCSEs, O levels or CSEs (any grades), Basic skills course or Foundation Welsh Baccalaureate</t>
  </si>
  <si>
    <t xml:space="preserve"> 5 or more GCSEs (A*-C, 9-4), O level (passes) or CSEs (grade 1) or Intermediate Welsh Baccalaureate </t>
  </si>
  <si>
    <t xml:space="preserve"> Degree level or above</t>
  </si>
  <si>
    <t xml:space="preserve"> Not a public transport user</t>
  </si>
  <si>
    <t>public_transport_users</t>
  </si>
  <si>
    <t xml:space="preserve"> Public transport user: household has no access to cars or vans</t>
  </si>
  <si>
    <t xml:space="preserve"> Public transport user: household has 1 or more car(s) or van(s)</t>
  </si>
  <si>
    <t xml:space="preserve"> Answering for myself</t>
  </si>
  <si>
    <t>proxy_answer</t>
  </si>
  <si>
    <t xml:space="preserve"> Answering on behalf of another person</t>
  </si>
  <si>
    <t xml:space="preserve"> Staying temporarily (no usual UK address)</t>
  </si>
  <si>
    <t>position_in_ce</t>
  </si>
  <si>
    <t xml:space="preserve"> Family member or partner of staff  or owner</t>
  </si>
  <si>
    <t xml:space="preserve"> Staff or owner</t>
  </si>
  <si>
    <t xml:space="preserve"> Resident (for example, student, member of armed forces, patient, detainee)</t>
  </si>
  <si>
    <t xml:space="preserve"> Working inside UK with associated postcode</t>
  </si>
  <si>
    <t>place_of_work_ind</t>
  </si>
  <si>
    <t xml:space="preserve"> Working outside UK with associated country code</t>
  </si>
  <si>
    <t xml:space="preserve"> Offshore installation</t>
  </si>
  <si>
    <t xml:space="preserve"> Mainly work at or from home</t>
  </si>
  <si>
    <t xml:space="preserve"> Does hold a UK passport</t>
  </si>
  <si>
    <t>passports_held_uk</t>
  </si>
  <si>
    <t xml:space="preserve"> Does not hold a UK passport</t>
  </si>
  <si>
    <t xml:space="preserve"> Does hold an ‘other’ passport</t>
  </si>
  <si>
    <t>passports_held_other</t>
  </si>
  <si>
    <t xml:space="preserve"> Does not hold an ‘other’ passport</t>
  </si>
  <si>
    <t xml:space="preserve"> Does not hold a passport</t>
  </si>
  <si>
    <t>passports_held_none</t>
  </si>
  <si>
    <t xml:space="preserve"> Does hold a passport</t>
  </si>
  <si>
    <t xml:space="preserve"> Does hold an Irish passport</t>
  </si>
  <si>
    <t>passports_held_irish</t>
  </si>
  <si>
    <t xml:space="preserve"> Does not hold an Irish passport</t>
  </si>
  <si>
    <t xml:space="preserve"> None</t>
  </si>
  <si>
    <t>passport</t>
  </si>
  <si>
    <t xml:space="preserve"> Other, write in </t>
  </si>
  <si>
    <t xml:space="preserve"> Ireland</t>
  </si>
  <si>
    <t xml:space="preserve"> United Kingdom</t>
  </si>
  <si>
    <t xml:space="preserve"> Citizenship index code</t>
  </si>
  <si>
    <t xml:space="preserve">000-999 </t>
  </si>
  <si>
    <t>other_passport_held</t>
  </si>
  <si>
    <t xml:space="preserve"> SOC values with different levels of hierarchy</t>
  </si>
  <si>
    <t xml:space="preserve">1111-9269  </t>
  </si>
  <si>
    <t>occupation_flat</t>
  </si>
  <si>
    <t xml:space="preserve"> Full-Time students</t>
  </si>
  <si>
    <t>ns_sec</t>
  </si>
  <si>
    <t xml:space="preserve"> Long-term unemployed</t>
  </si>
  <si>
    <t xml:space="preserve"> Never worked</t>
  </si>
  <si>
    <t xml:space="preserve"> Routine occupations</t>
  </si>
  <si>
    <t xml:space="preserve"> Semi-routine occupations</t>
  </si>
  <si>
    <t xml:space="preserve"> Lower technical occupations</t>
  </si>
  <si>
    <t xml:space="preserve"> Lower supervisory occupations</t>
  </si>
  <si>
    <t xml:space="preserve"> Own account workers</t>
  </si>
  <si>
    <t xml:space="preserve"> Employers in small establishments</t>
  </si>
  <si>
    <t xml:space="preserve"> Intermediate occupations</t>
  </si>
  <si>
    <t xml:space="preserve"> Higher supervisory occupations</t>
  </si>
  <si>
    <t xml:space="preserve"> Lower managerial and administrative occupations</t>
  </si>
  <si>
    <t xml:space="preserve"> Lower professional and higher technical occupations</t>
  </si>
  <si>
    <t xml:space="preserve"> Higher professional occupations</t>
  </si>
  <si>
    <t xml:space="preserve"> Higher managerial and administrative occupations</t>
  </si>
  <si>
    <t xml:space="preserve"> Employers in large establishments </t>
  </si>
  <si>
    <t xml:space="preserve"> Person with second address outside UK</t>
  </si>
  <si>
    <t>non_termtime_oa</t>
  </si>
  <si>
    <t xml:space="preserve"> Person with second address in Northern Ireland</t>
  </si>
  <si>
    <t xml:space="preserve">N92000002 </t>
  </si>
  <si>
    <t xml:space="preserve">  Person with second address in Scotland</t>
  </si>
  <si>
    <t xml:space="preserve">S92000003 </t>
  </si>
  <si>
    <t xml:space="preserve">  Output Area (OA) of person with second address in England or Wales</t>
  </si>
  <si>
    <t xml:space="preserve">OA code </t>
  </si>
  <si>
    <t xml:space="preserve"> No Welsh identity</t>
  </si>
  <si>
    <t>nat_id_welsh</t>
  </si>
  <si>
    <t xml:space="preserve"> Other Welsh combined background identity</t>
  </si>
  <si>
    <t xml:space="preserve"> Welsh and British only identity</t>
  </si>
  <si>
    <t xml:space="preserve"> Welsh only identity</t>
  </si>
  <si>
    <t xml:space="preserve"> No Ulster-Scots identity</t>
  </si>
  <si>
    <t>nat_id_ulster_scots</t>
  </si>
  <si>
    <t xml:space="preserve"> Ulster-Scots and at least one of English/Welsh/Scottish/Irish (with or without British or Northern Irish)</t>
  </si>
  <si>
    <t xml:space="preserve"> Ulster-Scots, British and Northern Irish only identity</t>
  </si>
  <si>
    <t xml:space="preserve"> Ulster-Scots and Northern Irish only identity</t>
  </si>
  <si>
    <t xml:space="preserve"> Ulster-Scots and British only identity</t>
  </si>
  <si>
    <t xml:space="preserve"> Ulster-Scots only identity</t>
  </si>
  <si>
    <t xml:space="preserve"> No Scottish identity</t>
  </si>
  <si>
    <t>nat_id_scottish</t>
  </si>
  <si>
    <t xml:space="preserve"> Other Scottish combined background identity</t>
  </si>
  <si>
    <t xml:space="preserve"> Scottish and British only identity</t>
  </si>
  <si>
    <t xml:space="preserve"> Scottish only identity</t>
  </si>
  <si>
    <t xml:space="preserve"> At least one of English/Welsh/Scottish/Northern Irish/British only</t>
  </si>
  <si>
    <t>nat_id_other</t>
  </si>
  <si>
    <t xml:space="preserve"> Other identities and at least one of English/Welsh/Scottish/Northern Irish/British only</t>
  </si>
  <si>
    <t xml:space="preserve"> Other only identity</t>
  </si>
  <si>
    <t xml:space="preserve"> No Northern Irish identity</t>
  </si>
  <si>
    <t>nat_id_northern_irish</t>
  </si>
  <si>
    <t xml:space="preserve"> Other Northern Irish combined background identity</t>
  </si>
  <si>
    <t xml:space="preserve"> Northern Irish and British only identity</t>
  </si>
  <si>
    <t xml:space="preserve"> Northern Irish only identity</t>
  </si>
  <si>
    <t xml:space="preserve"> No Irish identity</t>
  </si>
  <si>
    <t>nat_id_irish</t>
  </si>
  <si>
    <t xml:space="preserve"> Irish, Northern Irish and at least one of English/Welsh/Scottish (with or without British) identity</t>
  </si>
  <si>
    <t xml:space="preserve"> Irish and at least one of English/Welsh/ Scottish (with or without British) identity</t>
  </si>
  <si>
    <t xml:space="preserve"> Irish, Northern Irish and British only identity</t>
  </si>
  <si>
    <t xml:space="preserve"> Irish and Northern Irish only identity</t>
  </si>
  <si>
    <t xml:space="preserve"> Irish and British only identity</t>
  </si>
  <si>
    <t xml:space="preserve"> Irish only identity</t>
  </si>
  <si>
    <t xml:space="preserve"> No English identity</t>
  </si>
  <si>
    <t>nat_id_english</t>
  </si>
  <si>
    <t xml:space="preserve"> Other English combined background identity</t>
  </si>
  <si>
    <t xml:space="preserve"> English and British only identity</t>
  </si>
  <si>
    <t xml:space="preserve"> English only identity</t>
  </si>
  <si>
    <t xml:space="preserve"> No Cornish identity</t>
  </si>
  <si>
    <t>nat_id_cornish</t>
  </si>
  <si>
    <t xml:space="preserve"> Cornish and at least one of English/Welsh/Scottish/Northern Irish (with or without British)</t>
  </si>
  <si>
    <t xml:space="preserve"> Cornish and British only identity</t>
  </si>
  <si>
    <t xml:space="preserve"> Cornish only identity</t>
  </si>
  <si>
    <t xml:space="preserve"> No British identity</t>
  </si>
  <si>
    <t>nat_id_British</t>
  </si>
  <si>
    <t xml:space="preserve"> British and any other identity</t>
  </si>
  <si>
    <t xml:space="preserve"> British only identity</t>
  </si>
  <si>
    <t>month_of_arrival_in_country</t>
  </si>
  <si>
    <t xml:space="preserve">  Count of persons in moving group, ranging from 1 to 4000</t>
  </si>
  <si>
    <t xml:space="preserve">0001-9999  </t>
  </si>
  <si>
    <t>moving_group_size</t>
  </si>
  <si>
    <t xml:space="preserve"> Moving Group Reference Person</t>
  </si>
  <si>
    <t xml:space="preserve"> Not Moving Group Reference Person’</t>
  </si>
  <si>
    <t xml:space="preserve"> Identification number assigned to moving group</t>
  </si>
  <si>
    <t>moving_group_number</t>
  </si>
  <si>
    <t xml:space="preserve"> Person with migrant origin outside UK</t>
  </si>
  <si>
    <t>migrant_origin_oa</t>
  </si>
  <si>
    <t xml:space="preserve">  Person with migrant origin in UK</t>
  </si>
  <si>
    <t xml:space="preserve">  Country code of migrant origin</t>
  </si>
  <si>
    <t>migrant_origin_country</t>
  </si>
  <si>
    <t xml:space="preserve">Postcode/Country code </t>
  </si>
  <si>
    <t>migrant_origin</t>
  </si>
  <si>
    <t xml:space="preserve"> Migrant from outside UK</t>
  </si>
  <si>
    <t>migrant_ind</t>
  </si>
  <si>
    <t xml:space="preserve"> Migrant from within UK</t>
  </si>
  <si>
    <t xml:space="preserve"> Student term-time/boarding school address</t>
  </si>
  <si>
    <t xml:space="preserve"> Same as the address of enumeration</t>
  </si>
  <si>
    <t>looking_for_work</t>
  </si>
  <si>
    <t xml:space="preserve"> Unknown: Insufficient information given</t>
  </si>
  <si>
    <t>lgbtq_ind</t>
  </si>
  <si>
    <t xml:space="preserve"> Unknown: No response given / Missing</t>
  </si>
  <si>
    <t xml:space="preserve"> Individual is LGBTQ+</t>
  </si>
  <si>
    <t xml:space="preserve">  Individual is not LGBTQ+</t>
  </si>
  <si>
    <t xml:space="preserve"> Surviving partner from civil partnership​</t>
  </si>
  <si>
    <t>legal_partnership_status</t>
  </si>
  <si>
    <t xml:space="preserve"> Widowed</t>
  </si>
  <si>
    <t xml:space="preserve"> Formerly in a civil partnership now legally dissolved​</t>
  </si>
  <si>
    <t xml:space="preserve"> Divorced</t>
  </si>
  <si>
    <t xml:space="preserve"> Separated, but in a civil partnership​</t>
  </si>
  <si>
    <t xml:space="preserve"> Separated, but still married</t>
  </si>
  <si>
    <t xml:space="preserve"> In a registered civil partnership: Same sex</t>
  </si>
  <si>
    <t xml:space="preserve"> In a registered civil partnership: Opposite sex</t>
  </si>
  <si>
    <t xml:space="preserve"> Married: Same sex</t>
  </si>
  <si>
    <t xml:space="preserve"> Married: Opposite sex</t>
  </si>
  <si>
    <t xml:space="preserve"> Never married and never registered a civil partnership</t>
  </si>
  <si>
    <t xml:space="preserve"> Individual holds a Jewish identity: Both Jewish ethnic group and Jewish religion</t>
  </si>
  <si>
    <t>jewish_ind</t>
  </si>
  <si>
    <t xml:space="preserve"> Individual holds a Jewish identity: Jewish religion only</t>
  </si>
  <si>
    <t xml:space="preserve"> Individual holds a Jewish identity: Jewish ethnic group only</t>
  </si>
  <si>
    <t xml:space="preserve"> Individual does not hold a Jewish identity</t>
  </si>
  <si>
    <t xml:space="preserve"> Individual holds a Jain identity: Both Jain ethnic group and Jain religion</t>
  </si>
  <si>
    <t>jain_ind</t>
  </si>
  <si>
    <t xml:space="preserve"> Individual holds a Jain identity: Jain religion only</t>
  </si>
  <si>
    <t xml:space="preserve"> Individual holds a Jain identity: Jain ethnic group only</t>
  </si>
  <si>
    <t xml:space="preserve"> Individual does not hold a Jain identity</t>
  </si>
  <si>
    <t xml:space="preserve"> At another address</t>
  </si>
  <si>
    <t>is_hh_term_time_address</t>
  </si>
  <si>
    <t xml:space="preserve"> At the address in question 6 (the alternative address)</t>
  </si>
  <si>
    <t xml:space="preserve"> At the address on the front of this questionnaire</t>
  </si>
  <si>
    <t xml:space="preserve"> Yes, 50 or more hours a week</t>
  </si>
  <si>
    <t>is_carer</t>
  </si>
  <si>
    <t xml:space="preserve"> Yes, 35 to 49 hours a week</t>
  </si>
  <si>
    <t xml:space="preserve"> Yes, 20 to 34 hours a week</t>
  </si>
  <si>
    <t xml:space="preserve"> Yes, 10 to 19 hours a week</t>
  </si>
  <si>
    <t xml:space="preserve"> Yes, 9 hours a week or less</t>
  </si>
  <si>
    <t xml:space="preserve"> Not a carer</t>
  </si>
  <si>
    <t xml:space="preserve"> Will stay in UK more than 12 months</t>
  </si>
  <si>
    <t>intention_to_stay</t>
  </si>
  <si>
    <t xml:space="preserve"> Will stay in UK less than 12 months</t>
  </si>
  <si>
    <t xml:space="preserve">  Not a student</t>
  </si>
  <si>
    <t>in_full_time_education</t>
  </si>
  <si>
    <t xml:space="preserve">  Student</t>
  </si>
  <si>
    <t xml:space="preserve"> Sequential number of person in the residence</t>
  </si>
  <si>
    <t xml:space="preserve">0-9999 </t>
  </si>
  <si>
    <t>household_person_number</t>
  </si>
  <si>
    <t xml:space="preserve"> Census household ID</t>
  </si>
  <si>
    <t>household_id</t>
  </si>
  <si>
    <t xml:space="preserve"> 49 or more</t>
  </si>
  <si>
    <t>hours_per_week_worked</t>
  </si>
  <si>
    <t xml:space="preserve"> 31 to 48</t>
  </si>
  <si>
    <t xml:space="preserve"> 16 to 30</t>
  </si>
  <si>
    <t xml:space="preserve"> 0 to 15</t>
  </si>
  <si>
    <t xml:space="preserve"> Other: Vocational/Work-related qualifications, Foreign qualifications, other qualifications achieved in England or Wales, qualifications achieved outside England or Wales (equivalent not stated/unknown)</t>
  </si>
  <si>
    <t>highest_qualification</t>
  </si>
  <si>
    <t xml:space="preserve"> Level 4 qualifications and above: Degree (BA, BSc), Higher Degree (MA, PhD, PGCE), NVQ Level 4-5, HNC, HND, RSA Higher Diploma, BTEC Higher level, Professional Qualifications (Teaching, Nursing, Accountancy)</t>
  </si>
  <si>
    <t xml:space="preserve"> Level 3 qualifications: 2+ A Levels/VCEs, 4+ AS Levels, Higher School Certificate, Progression/Advanced Diploma, Welsh Baccalaureate Advance Diploma, NVQ Level 3; Advanced GNVQ, City and Guilds Advanced Craft, ONC, OND, BTEC National, RSA Advanced Diploma</t>
  </si>
  <si>
    <t xml:space="preserve"> Apprenticeship</t>
  </si>
  <si>
    <t xml:space="preserve"> Level 2 qualifications: 5+ GCSEs (A*-C or 9-4)/O Levels (passes)/CSEs (grade 1), School Certification, 1 A level/2-3 AS Levels/VCEs, Intermediate/Higher Diploma, Welsh Baccalaureate Intermediate Diploma, NVQ level 2, Intermediate GNVQ, City and Guilds Craft, BTEC First/General Diploma, RSA Diploma</t>
  </si>
  <si>
    <t xml:space="preserve"> Level 1 qualifications: 1-4 GCSEs/O levels/CSEs (any grades), 1 AS Level, Entry Level, NVQ level 1, Foundation GNVQ, Basic/Essential Skills</t>
  </si>
  <si>
    <t xml:space="preserve"> No qualifications</t>
  </si>
  <si>
    <t xml:space="preserve"> Household reference person</t>
  </si>
  <si>
    <t>hh_reference_person_ind</t>
  </si>
  <si>
    <t xml:space="preserve"> Not household reference person</t>
  </si>
  <si>
    <t xml:space="preserve"> Very bad health</t>
  </si>
  <si>
    <t>health_in_general</t>
  </si>
  <si>
    <t xml:space="preserve"> Bad health</t>
  </si>
  <si>
    <t xml:space="preserve"> Fair health</t>
  </si>
  <si>
    <t xml:space="preserve"> Good health</t>
  </si>
  <si>
    <t xml:space="preserve"> Very good health</t>
  </si>
  <si>
    <t xml:space="preserve"> No, have never worked </t>
  </si>
  <si>
    <t>has_ever_worked</t>
  </si>
  <si>
    <t xml:space="preserve"> Yes, but not in the last 12 months</t>
  </si>
  <si>
    <t xml:space="preserve"> Yes, in the last 12 months</t>
  </si>
  <si>
    <t xml:space="preserve"> Unknown generational division</t>
  </si>
  <si>
    <t>generation</t>
  </si>
  <si>
    <t xml:space="preserve"> A child or step-child (any age) in a family</t>
  </si>
  <si>
    <t xml:space="preserve"> A member of a couple or a lone parent or grandparent</t>
  </si>
  <si>
    <t xml:space="preserve"> An ungrouped individual; this category will include ungrouped persons aged 16</t>
  </si>
  <si>
    <t>gender_identity</t>
  </si>
  <si>
    <t xml:space="preserve"> Another Gender Identity</t>
  </si>
  <si>
    <t xml:space="preserve"> Non-Gendered or Neutral Gender Identity</t>
  </si>
  <si>
    <t xml:space="preserve"> Queer Gender Identity</t>
  </si>
  <si>
    <t xml:space="preserve"> Non-binary Gender Identity (Not otherwise specified)</t>
  </si>
  <si>
    <t xml:space="preserve"> Trans Gender Identity (Not otherwise specified)</t>
  </si>
  <si>
    <t xml:space="preserve"> Trans Gender Identity: Man</t>
  </si>
  <si>
    <t xml:space="preserve"> Trans Gender Identity: Woman</t>
  </si>
  <si>
    <t xml:space="preserve"> Gender Identity different from sex registered at birth (Not otherwise specified)</t>
  </si>
  <si>
    <t xml:space="preserve"> Gender Identity the same as sex registered at birth</t>
  </si>
  <si>
    <t xml:space="preserve"> Not in a household / Living in a communal establishment</t>
  </si>
  <si>
    <t>family_status</t>
  </si>
  <si>
    <t xml:space="preserve"> In a lone parent family – non dependent child of parent</t>
  </si>
  <si>
    <t xml:space="preserve"> In a lone parent family – dependent child of parent</t>
  </si>
  <si>
    <t xml:space="preserve"> In a lone parent family – parent</t>
  </si>
  <si>
    <t xml:space="preserve"> In a couple family – non dependent child of one or both members of the couple</t>
  </si>
  <si>
    <t xml:space="preserve"> In a couple family – dependent child of one or both members of the couple</t>
  </si>
  <si>
    <t xml:space="preserve"> In a couple family – member of couple</t>
  </si>
  <si>
    <t xml:space="preserve"> Not in a family – other</t>
  </si>
  <si>
    <t xml:space="preserve"> Not in a family – age 66 and over</t>
  </si>
  <si>
    <t xml:space="preserve"> Family Reference Person</t>
  </si>
  <si>
    <t>family_reference_person_ind</t>
  </si>
  <si>
    <t xml:space="preserve">  Not a Family Reference Person</t>
  </si>
  <si>
    <t>ethnic05_20</t>
  </si>
  <si>
    <t xml:space="preserve"> Black</t>
  </si>
  <si>
    <t xml:space="preserve"> Asian</t>
  </si>
  <si>
    <t xml:space="preserve"> Mixed</t>
  </si>
  <si>
    <t xml:space="preserve">  White</t>
  </si>
  <si>
    <t xml:space="preserve"> Other ethnic group: Any other ethnic group</t>
  </si>
  <si>
    <t>ethnic_group_tb</t>
  </si>
  <si>
    <t xml:space="preserve"> Other ethnic group: Arab</t>
  </si>
  <si>
    <t xml:space="preserve"> Black/Black Welsh/Black British/Caribbean/African: Other Black</t>
  </si>
  <si>
    <t xml:space="preserve"> Black/Black Welsh/Black British/Caribbean/African: African background</t>
  </si>
  <si>
    <t xml:space="preserve"> Black/Black Welsh/Black British/Caribbean/African: Caribbean</t>
  </si>
  <si>
    <t xml:space="preserve"> Asian/Asian Welsh/Asian British: Other Asian</t>
  </si>
  <si>
    <t xml:space="preserve"> Asian/Asian Welsh/Asian British: Chinese</t>
  </si>
  <si>
    <t xml:space="preserve"> Asian/Asian Welsh/Asian British: Bangladeshi</t>
  </si>
  <si>
    <t xml:space="preserve"> Asian/Asian Welsh/Asian British: Pakistani</t>
  </si>
  <si>
    <t xml:space="preserve"> Asian/Asian Welsh/Asian British: Indian</t>
  </si>
  <si>
    <t xml:space="preserve"> Mixed/multiple ethnic group: Other Mixed</t>
  </si>
  <si>
    <t xml:space="preserve"> Mixed/multiple ethnic group: White and Asian</t>
  </si>
  <si>
    <t xml:space="preserve"> Mixed/multiple ethnic group: White and Black African</t>
  </si>
  <si>
    <t xml:space="preserve"> Mixed/multiple ethnic group: White and Black Caribbean</t>
  </si>
  <si>
    <t xml:space="preserve"> White: Other White</t>
  </si>
  <si>
    <t xml:space="preserve"> White: Roma</t>
  </si>
  <si>
    <t xml:space="preserve"> White: Gypsy or Irish Traveller</t>
  </si>
  <si>
    <t xml:space="preserve"> White: Irish</t>
  </si>
  <si>
    <t xml:space="preserve"> White: English/Welsh/Scottish/Northern Irish/British</t>
  </si>
  <si>
    <t>Output Area code of enumeration address</t>
  </si>
  <si>
    <t>enumeration_address_oa</t>
  </si>
  <si>
    <t xml:space="preserve"> Main Language is not English / Main language is not English or Welsh (Wales) and does not speak English at all</t>
  </si>
  <si>
    <t>english_proficiency</t>
  </si>
  <si>
    <t xml:space="preserve"> Main Language is not English / Main language is not English or Welsh (Wales) and does not speak English well</t>
  </si>
  <si>
    <t xml:space="preserve"> Main Language is not English / Main language is not English or Welsh (Wales) and speaks English well</t>
  </si>
  <si>
    <t xml:space="preserve"> Main Language is not English / Main language is not English or Welsh (Wales) and speaks English very well</t>
  </si>
  <si>
    <t xml:space="preserve"> Main Language is English / Main language is English or Welsh (Wales)</t>
  </si>
  <si>
    <t xml:space="preserve"> Not at all</t>
  </si>
  <si>
    <t>english_language_proficiency</t>
  </si>
  <si>
    <t xml:space="preserve"> Not well</t>
  </si>
  <si>
    <t xml:space="preserve"> Well</t>
  </si>
  <si>
    <t xml:space="preserve"> Very well</t>
  </si>
  <si>
    <t xml:space="preserve"> Self-employed with employees</t>
  </si>
  <si>
    <t>employment_status</t>
  </si>
  <si>
    <t xml:space="preserve"> Self-employed or freelance without employees</t>
  </si>
  <si>
    <t xml:space="preserve"> Employee</t>
  </si>
  <si>
    <t xml:space="preserve"> Not in employment</t>
  </si>
  <si>
    <t>employed_last_week_indicator</t>
  </si>
  <si>
    <t xml:space="preserve"> In employment</t>
  </si>
  <si>
    <t xml:space="preserve"> Inactive – Other</t>
  </si>
  <si>
    <t>economic_category</t>
  </si>
  <si>
    <t xml:space="preserve"> Inactive – Retired</t>
  </si>
  <si>
    <t xml:space="preserve"> Unemployed and full-time student</t>
  </si>
  <si>
    <t xml:space="preserve"> Unemployed and not full-time student</t>
  </si>
  <si>
    <t xml:space="preserve"> Part-time employment and full-time student</t>
  </si>
  <si>
    <t xml:space="preserve"> Part-time employment and not full-time student</t>
  </si>
  <si>
    <t xml:space="preserve"> Full-time employment and full-time student</t>
  </si>
  <si>
    <t xml:space="preserve"> Full-time employment and not full-time student</t>
  </si>
  <si>
    <t>economic_inactive_status</t>
  </si>
  <si>
    <t xml:space="preserve"> Long-term sick or disabled</t>
  </si>
  <si>
    <t xml:space="preserve"> Looking after home or family</t>
  </si>
  <si>
    <t xml:space="preserve"> Studying</t>
  </si>
  <si>
    <t xml:space="preserve"> Retired (whether receiving a pension or not)</t>
  </si>
  <si>
    <t xml:space="preserve"> Actual distance in 0.1 km units (i.e. kilometres to one decimal place)</t>
  </si>
  <si>
    <t xml:space="preserve">00000-12000 – 0-1200 km </t>
  </si>
  <si>
    <t>distance_to_work</t>
  </si>
  <si>
    <t xml:space="preserve"> No </t>
  </si>
  <si>
    <t>disability</t>
  </si>
  <si>
    <t xml:space="preserve"> Yes – not reduced at all</t>
  </si>
  <si>
    <t xml:space="preserve"> Yes – reduced a little</t>
  </si>
  <si>
    <t xml:space="preserve"> Yes – reduced a lot</t>
  </si>
  <si>
    <t xml:space="preserve"> Dependent child</t>
  </si>
  <si>
    <t>dependent_child_ind</t>
  </si>
  <si>
    <t xml:space="preserve"> Not a dependent child</t>
  </si>
  <si>
    <t xml:space="preserve"> Individual holds a Cornish identity: Cornish national identity, Cornish main language, and Cornish ethnic group</t>
  </si>
  <si>
    <t>cornish_ind</t>
  </si>
  <si>
    <t xml:space="preserve"> Individual holds a Cornish identity: Cornish national identity and Cornish main language only</t>
  </si>
  <si>
    <t xml:space="preserve"> Individual holds a Cornish identity: Cornish ethnic group and Cornish main language only</t>
  </si>
  <si>
    <t xml:space="preserve"> Individual holds a Cornish identity: Cornish ethnic group and Cornish national identity only</t>
  </si>
  <si>
    <t xml:space="preserve"> Individual holds a Cornish identity: Cornish main language only</t>
  </si>
  <si>
    <t xml:space="preserve"> Individual holds a Cornish identity: Cornish national identity only</t>
  </si>
  <si>
    <t xml:space="preserve"> Individual holds a Cornish identity: Cornish ethnic group only</t>
  </si>
  <si>
    <t xml:space="preserve"> Individual does not hold a Cornish identity</t>
  </si>
  <si>
    <t xml:space="preserve"> Not in a household/ Living in a Communal Establishment</t>
  </si>
  <si>
    <t>child_family_status</t>
  </si>
  <si>
    <t xml:space="preserve"> Does not have children or is a child within a family</t>
  </si>
  <si>
    <t xml:space="preserve"> Has children – Cohabiting couple family</t>
  </si>
  <si>
    <t xml:space="preserve"> Has children – Civil partnership family</t>
  </si>
  <si>
    <t xml:space="preserve"> Has children – Married couple family</t>
  </si>
  <si>
    <t xml:space="preserve"> Has children – Lone parent family</t>
  </si>
  <si>
    <t xml:space="preserve"> Student lives away from home during term-time: Aged 4 and over</t>
  </si>
  <si>
    <t>away_student_ind</t>
  </si>
  <si>
    <t xml:space="preserve"> Student does not live away from home during term-time: Aged 4 and over</t>
  </si>
  <si>
    <t>available_for_work</t>
  </si>
  <si>
    <t xml:space="preserve"> Yes, outside the UK, write in country</t>
  </si>
  <si>
    <t xml:space="preserve"> Yes, write in other UK address below</t>
  </si>
  <si>
    <t>Alternative_Address_Type</t>
  </si>
  <si>
    <t xml:space="preserve"> Partner's address</t>
  </si>
  <si>
    <t xml:space="preserve"> Another parent or guardian's address</t>
  </si>
  <si>
    <t xml:space="preserve"> Student's term-time address</t>
  </si>
  <si>
    <t xml:space="preserve"> Student's home address</t>
  </si>
  <si>
    <t xml:space="preserve">  Born in the UK</t>
  </si>
  <si>
    <t>age_arrival_uk</t>
  </si>
  <si>
    <t xml:space="preserve"> Age of arrival in UK</t>
  </si>
  <si>
    <t xml:space="preserve">000 - 115 </t>
  </si>
  <si>
    <t xml:space="preserve"> Age 75 and over 2 or more persons in household, with dependent children in household</t>
  </si>
  <si>
    <t>adult_lifestage</t>
  </si>
  <si>
    <t xml:space="preserve"> Age 75 and over 2 or more persons in household, no dependent children in household</t>
  </si>
  <si>
    <t xml:space="preserve"> Age 75 and over  In one person household</t>
  </si>
  <si>
    <t xml:space="preserve"> Age 65 - 74 2 or more persons in household, with dependent children in household</t>
  </si>
  <si>
    <t xml:space="preserve"> Age 65 - 74 2 or more persons in household, no dependent children in household</t>
  </si>
  <si>
    <t xml:space="preserve"> Age 65 - 74 one person household</t>
  </si>
  <si>
    <t xml:space="preserve"> Age 55 - 64 2 or more persons in household, with dependent children in household</t>
  </si>
  <si>
    <t xml:space="preserve"> Age 55 - 64 2 or more persons in household, no dependent children in household</t>
  </si>
  <si>
    <t xml:space="preserve"> Age 55 - 64 In one person household</t>
  </si>
  <si>
    <t xml:space="preserve"> Age 35-54 Youngest dependent child in household age 16 – 18</t>
  </si>
  <si>
    <t xml:space="preserve"> Age 35-54 Youngest dependent child in household age 11 – 15</t>
  </si>
  <si>
    <t xml:space="preserve"> Age 35-54 Youngest dependent child in household age 5 – 10</t>
  </si>
  <si>
    <t xml:space="preserve"> Age 35-54 Youngest dependent child in household age 0 – 4</t>
  </si>
  <si>
    <t xml:space="preserve"> Age 35 - 54 No dependent children in household</t>
  </si>
  <si>
    <t xml:space="preserve"> Age 25-34 Youngest dependent child in household age 16 – 18</t>
  </si>
  <si>
    <t xml:space="preserve"> Age 25-34 Youngest dependent child in household age 11 – 15</t>
  </si>
  <si>
    <t xml:space="preserve"> Age 25-34 Youngest dependent child in household age 5 – 10</t>
  </si>
  <si>
    <t xml:space="preserve"> Age 25-34 Youngest dependent child in household age 0 – 4</t>
  </si>
  <si>
    <t xml:space="preserve"> Age 25 - 34 No dependent children in household</t>
  </si>
  <si>
    <t xml:space="preserve"> Age 16-24 Dependent children in household</t>
  </si>
  <si>
    <t xml:space="preserve"> Age 16-24 No dependent children in household</t>
  </si>
  <si>
    <t xml:space="preserve"> Economically inactive- other</t>
  </si>
  <si>
    <t>Activity_Last_Week</t>
  </si>
  <si>
    <t xml:space="preserve"> Economically inactive- looking after home/family</t>
  </si>
  <si>
    <t xml:space="preserve"> Economically inactive- long term sick or disabled</t>
  </si>
  <si>
    <t xml:space="preserve"> Economically inactive- retired</t>
  </si>
  <si>
    <t xml:space="preserve"> Economically inactive- student</t>
  </si>
  <si>
    <t xml:space="preserve"> Unemployed</t>
  </si>
  <si>
    <t xml:space="preserve"> Working</t>
  </si>
  <si>
    <t xml:space="preserve"> 66 years old or older </t>
  </si>
  <si>
    <t xml:space="preserve"> Under 66 years of age</t>
  </si>
  <si>
    <t xml:space="preserve"> Person is aged 66+ is not working </t>
  </si>
  <si>
    <t xml:space="preserve"> Person is aged 66+ and is working </t>
  </si>
  <si>
    <t xml:space="preserve"> OR outside the UK, write in country,</t>
  </si>
  <si>
    <t>1_year_ago_address_indicator</t>
  </si>
  <si>
    <t xml:space="preserve"> Another address in the UK, write in below, </t>
  </si>
  <si>
    <t xml:space="preserve"> Student term-time/boarding school address in the UK, write in term-time address below,</t>
  </si>
  <si>
    <t xml:space="preserve"> The address on the front of this questionnaire,</t>
  </si>
  <si>
    <t>Netherlands Antilles Not Otherwise Specified</t>
  </si>
  <si>
    <t>In the air</t>
  </si>
  <si>
    <t>At sea</t>
  </si>
  <si>
    <t>Antarctica and Oceania (Not otherwise specified)</t>
  </si>
  <si>
    <t>Caribbean (Not otherwise specified)</t>
  </si>
  <si>
    <t>South America (Not otherwise specified)</t>
  </si>
  <si>
    <t>Central America (Not otherwise specified)</t>
  </si>
  <si>
    <t>North America (Not otherwise specified)</t>
  </si>
  <si>
    <t>Asia (Except Middle East) (Not otherwise specified)</t>
  </si>
  <si>
    <t>Middle East (Not otherwise specified)</t>
  </si>
  <si>
    <t>Africa (Not otherwise specified)</t>
  </si>
  <si>
    <t>Europe (Not otherwise specified)</t>
  </si>
  <si>
    <t>Serbia and Montenegro (Not otherwise specified)</t>
  </si>
  <si>
    <t>Yugoslavia (Not otherwise specified)</t>
  </si>
  <si>
    <t xml:space="preserve">Union of Soviet Socialist Republics (Not otherwise specified) </t>
  </si>
  <si>
    <t>Czechoslovakia (Not otherwise specified)</t>
  </si>
  <si>
    <t>Kosovo</t>
  </si>
  <si>
    <t>Channel Islands (Not otherwise specified)</t>
  </si>
  <si>
    <t>United Kingdom (Not otherwise specified)</t>
  </si>
  <si>
    <t>Great Britain (Not otherwise specified)</t>
  </si>
  <si>
    <t>England</t>
  </si>
  <si>
    <t>Spain (Not otherwise specified)</t>
  </si>
  <si>
    <t>Canary Islands</t>
  </si>
  <si>
    <t>Spain (Except Canary Islands)</t>
  </si>
  <si>
    <t>Cyprus (Not otherwise specified)</t>
  </si>
  <si>
    <t>Cyprus (Non-European Union)</t>
  </si>
  <si>
    <t>Cyprus (European Union)</t>
  </si>
  <si>
    <t>Zambia</t>
  </si>
  <si>
    <t>Yemen</t>
  </si>
  <si>
    <t>Samoa</t>
  </si>
  <si>
    <t>Wallis and Futuna</t>
  </si>
  <si>
    <t>Venezuela</t>
  </si>
  <si>
    <t>Uzbekistan</t>
  </si>
  <si>
    <t>Uruguay</t>
  </si>
  <si>
    <t>Burkina Faso</t>
  </si>
  <si>
    <t>United States Virgin Islands</t>
  </si>
  <si>
    <t>United States</t>
  </si>
  <si>
    <t>Tanzania</t>
  </si>
  <si>
    <t>Isle of Man</t>
  </si>
  <si>
    <t>Jersey</t>
  </si>
  <si>
    <t>Guernsey</t>
  </si>
  <si>
    <t>Egypt</t>
  </si>
  <si>
    <t>Macedonia</t>
  </si>
  <si>
    <t>Ukraine</t>
  </si>
  <si>
    <t>Uganda</t>
  </si>
  <si>
    <t>Tuvalu</t>
  </si>
  <si>
    <t>Turks and Caicos Islands</t>
  </si>
  <si>
    <t>Turkmenistan</t>
  </si>
  <si>
    <t>Turkey</t>
  </si>
  <si>
    <t>Tunisia</t>
  </si>
  <si>
    <t>United Arab Emirates</t>
  </si>
  <si>
    <t>Trinidad and Tobago</t>
  </si>
  <si>
    <t>Tonga</t>
  </si>
  <si>
    <t>Tokelau</t>
  </si>
  <si>
    <t>Togo</t>
  </si>
  <si>
    <t>Thailand</t>
  </si>
  <si>
    <t>Tajikistan</t>
  </si>
  <si>
    <t>Syria</t>
  </si>
  <si>
    <t>Switzerland</t>
  </si>
  <si>
    <t>Sweden</t>
  </si>
  <si>
    <t>Eswatini</t>
  </si>
  <si>
    <t>Svalbard and Jan Mayen</t>
  </si>
  <si>
    <t>Suriname</t>
  </si>
  <si>
    <t>Western Sahara</t>
  </si>
  <si>
    <t>Sudan</t>
  </si>
  <si>
    <t>South Sudan</t>
  </si>
  <si>
    <t>Zimbabwe</t>
  </si>
  <si>
    <t>South Africa</t>
  </si>
  <si>
    <t>Somalia</t>
  </si>
  <si>
    <t>Slovenia</t>
  </si>
  <si>
    <t>Vietnam</t>
  </si>
  <si>
    <t>Slovakia</t>
  </si>
  <si>
    <t>Singapore</t>
  </si>
  <si>
    <t>Sierra Leone</t>
  </si>
  <si>
    <t>Seychelles</t>
  </si>
  <si>
    <t>Serbia</t>
  </si>
  <si>
    <t>Senegal</t>
  </si>
  <si>
    <t>Saudi Arabia</t>
  </si>
  <si>
    <t>Sao Tome and Principe</t>
  </si>
  <si>
    <t>San Marino</t>
  </si>
  <si>
    <t>St Vincent and the Grenadines</t>
  </si>
  <si>
    <t>St Pierre and Miquelon</t>
  </si>
  <si>
    <t>St Martin (French part)</t>
  </si>
  <si>
    <t>St Lucia</t>
  </si>
  <si>
    <t>Anguilla</t>
  </si>
  <si>
    <t>St Kitts and Nevis</t>
  </si>
  <si>
    <t>St Helena, Ascension and Tristan da Cunha</t>
  </si>
  <si>
    <t>St Barthélemy</t>
  </si>
  <si>
    <t>Rwanda</t>
  </si>
  <si>
    <t>Russia</t>
  </si>
  <si>
    <t>Romania</t>
  </si>
  <si>
    <t>Réunion</t>
  </si>
  <si>
    <t>Qatar</t>
  </si>
  <si>
    <t>Puerto Rico</t>
  </si>
  <si>
    <t>East Timor</t>
  </si>
  <si>
    <t>Guinea-Bissau</t>
  </si>
  <si>
    <t>Portugal</t>
  </si>
  <si>
    <t>Poland</t>
  </si>
  <si>
    <t>Pitcairn, Henderson, Ducie and Oeno Islands</t>
  </si>
  <si>
    <t>Philippines</t>
  </si>
  <si>
    <t>Peru</t>
  </si>
  <si>
    <t>Paraguay</t>
  </si>
  <si>
    <t>Papua New Guinea</t>
  </si>
  <si>
    <t>Panama</t>
  </si>
  <si>
    <t>Pakistan</t>
  </si>
  <si>
    <t>Palau</t>
  </si>
  <si>
    <t>Marshall Islands</t>
  </si>
  <si>
    <t>Micronesia</t>
  </si>
  <si>
    <t>United States minor outlying islands</t>
  </si>
  <si>
    <t>Northern Mariana Islands</t>
  </si>
  <si>
    <t>Norway</t>
  </si>
  <si>
    <t>Norfolk Island</t>
  </si>
  <si>
    <t>Niue</t>
  </si>
  <si>
    <t>Nigeria</t>
  </si>
  <si>
    <t>Niger</t>
  </si>
  <si>
    <t>Nicaragua</t>
  </si>
  <si>
    <t>New Zealand</t>
  </si>
  <si>
    <t>Vanuatu</t>
  </si>
  <si>
    <t>New Caledonia</t>
  </si>
  <si>
    <t>Bonaire, Sint Eustatius and Saba</t>
  </si>
  <si>
    <t>Sint Maarten (Dutch Part)</t>
  </si>
  <si>
    <t>Aruba</t>
  </si>
  <si>
    <t>Curacao</t>
  </si>
  <si>
    <t>Netherlands</t>
  </si>
  <si>
    <t>Nepal</t>
  </si>
  <si>
    <t>Nauru</t>
  </si>
  <si>
    <t>Namibia</t>
  </si>
  <si>
    <t>Oman</t>
  </si>
  <si>
    <t>Mozambique</t>
  </si>
  <si>
    <t>Morocco</t>
  </si>
  <si>
    <t>Montserrat</t>
  </si>
  <si>
    <t>Montenegro</t>
  </si>
  <si>
    <t>Moldova</t>
  </si>
  <si>
    <t>Mongolia</t>
  </si>
  <si>
    <t>Monaco</t>
  </si>
  <si>
    <t>Mexico</t>
  </si>
  <si>
    <t>Mauritius</t>
  </si>
  <si>
    <t>Mauritania</t>
  </si>
  <si>
    <t>Martinique</t>
  </si>
  <si>
    <t>Malta</t>
  </si>
  <si>
    <t>Mali</t>
  </si>
  <si>
    <t>Maldives</t>
  </si>
  <si>
    <t>Malaysia</t>
  </si>
  <si>
    <t>Malawi</t>
  </si>
  <si>
    <t>Madagascar</t>
  </si>
  <si>
    <t>Macao (Special administrative region of China)</t>
  </si>
  <si>
    <t>Luxembourg</t>
  </si>
  <si>
    <t>Lithuania</t>
  </si>
  <si>
    <t>Liechtenstein</t>
  </si>
  <si>
    <t>Libya</t>
  </si>
  <si>
    <t>Liberia</t>
  </si>
  <si>
    <t>Latvia</t>
  </si>
  <si>
    <t>Lesotho</t>
  </si>
  <si>
    <t>Lebanon</t>
  </si>
  <si>
    <t>Laos</t>
  </si>
  <si>
    <t>Kyrgyzstan</t>
  </si>
  <si>
    <t>Kuwait</t>
  </si>
  <si>
    <t>Korea (South)</t>
  </si>
  <si>
    <t>Korea (North)</t>
  </si>
  <si>
    <t>Kenya</t>
  </si>
  <si>
    <t>Jordan</t>
  </si>
  <si>
    <t>Kazakhstan</t>
  </si>
  <si>
    <t>Japan</t>
  </si>
  <si>
    <t>Jamaica</t>
  </si>
  <si>
    <t>Ivory Coast</t>
  </si>
  <si>
    <t>Italy</t>
  </si>
  <si>
    <t>Israel</t>
  </si>
  <si>
    <t>Island of Ireland (Not otherwise specified)</t>
  </si>
  <si>
    <t>Ireland</t>
  </si>
  <si>
    <t>Iraq</t>
  </si>
  <si>
    <t>Iran</t>
  </si>
  <si>
    <t>Indonesia</t>
  </si>
  <si>
    <t>India</t>
  </si>
  <si>
    <t>Iceland</t>
  </si>
  <si>
    <t>Hungary</t>
  </si>
  <si>
    <t>Hong Kong (Special administrative region of China)</t>
  </si>
  <si>
    <t>Honduras</t>
  </si>
  <si>
    <t>Vatican City</t>
  </si>
  <si>
    <t>Heard Island and McDonald Islands</t>
  </si>
  <si>
    <t>Haiti</t>
  </si>
  <si>
    <t>Guyana</t>
  </si>
  <si>
    <t>Guinea</t>
  </si>
  <si>
    <t>Guatemala</t>
  </si>
  <si>
    <t>Guam</t>
  </si>
  <si>
    <t>Guadeloupe</t>
  </si>
  <si>
    <t>Grenada</t>
  </si>
  <si>
    <t>Greenland</t>
  </si>
  <si>
    <t>Greece</t>
  </si>
  <si>
    <t>Kiribati</t>
  </si>
  <si>
    <t>Gibraltar</t>
  </si>
  <si>
    <t>Ghana</t>
  </si>
  <si>
    <t>Germany</t>
  </si>
  <si>
    <t>Occupied Palestinian Territories</t>
  </si>
  <si>
    <t>Gambia, The</t>
  </si>
  <si>
    <t>Georgia</t>
  </si>
  <si>
    <t>Gabon</t>
  </si>
  <si>
    <t>Djibouti</t>
  </si>
  <si>
    <t>French Southern Territories</t>
  </si>
  <si>
    <t>French Polynesia</t>
  </si>
  <si>
    <t>French Guiana</t>
  </si>
  <si>
    <t>France</t>
  </si>
  <si>
    <t>Åland Islands</t>
  </si>
  <si>
    <t>Finland</t>
  </si>
  <si>
    <t>Fiji</t>
  </si>
  <si>
    <t>South Georgia and the South Sandwich Islands</t>
  </si>
  <si>
    <t>Falkland Islands</t>
  </si>
  <si>
    <t>Faroe Islands</t>
  </si>
  <si>
    <t>Estonia</t>
  </si>
  <si>
    <t>Eritrea</t>
  </si>
  <si>
    <t>Ethiopia</t>
  </si>
  <si>
    <t>Equatorial Guinea</t>
  </si>
  <si>
    <t>El Salvador</t>
  </si>
  <si>
    <t>Ecuador</t>
  </si>
  <si>
    <t>Dominican Republic</t>
  </si>
  <si>
    <t>Dominica</t>
  </si>
  <si>
    <t>Denmark</t>
  </si>
  <si>
    <t>Benin</t>
  </si>
  <si>
    <t>Czechia</t>
  </si>
  <si>
    <t>Cuba</t>
  </si>
  <si>
    <t>Croatia</t>
  </si>
  <si>
    <t>Costa Rica</t>
  </si>
  <si>
    <t>Cook Islands</t>
  </si>
  <si>
    <t>Congo (Democratic Republic)</t>
  </si>
  <si>
    <t>Congo</t>
  </si>
  <si>
    <t>Mayotte</t>
  </si>
  <si>
    <t>Comoros</t>
  </si>
  <si>
    <t>Colombia</t>
  </si>
  <si>
    <t>Cocos (Keeling) Islands</t>
  </si>
  <si>
    <t>Christmas Island</t>
  </si>
  <si>
    <t>Taiwan</t>
  </si>
  <si>
    <t>China</t>
  </si>
  <si>
    <t>Chile</t>
  </si>
  <si>
    <t>Chad</t>
  </si>
  <si>
    <t>Sri Lanka</t>
  </si>
  <si>
    <t>Central African Republic</t>
  </si>
  <si>
    <t>Cayman Islands</t>
  </si>
  <si>
    <t>Cape Verde</t>
  </si>
  <si>
    <t>Canada</t>
  </si>
  <si>
    <t>Cameroon</t>
  </si>
  <si>
    <t>Cambodia</t>
  </si>
  <si>
    <t>Belarus</t>
  </si>
  <si>
    <t>Burundi</t>
  </si>
  <si>
    <t>Myanmar (Burma)</t>
  </si>
  <si>
    <t>Bulgaria</t>
  </si>
  <si>
    <t>Brunei</t>
  </si>
  <si>
    <t>British Virgin Islands</t>
  </si>
  <si>
    <t>Solomon Islands</t>
  </si>
  <si>
    <t>British Indian Ocean Territory</t>
  </si>
  <si>
    <t>Belize</t>
  </si>
  <si>
    <t>Brazil</t>
  </si>
  <si>
    <t>Bouvet Island</t>
  </si>
  <si>
    <t>Botswana</t>
  </si>
  <si>
    <t>Bosnia and Herzegovina</t>
  </si>
  <si>
    <t>Bolivia</t>
  </si>
  <si>
    <t>Bhutan</t>
  </si>
  <si>
    <t>Bermuda</t>
  </si>
  <si>
    <t>Belgium</t>
  </si>
  <si>
    <t>Barbados</t>
  </si>
  <si>
    <t>Armenia</t>
  </si>
  <si>
    <t>Bangladesh</t>
  </si>
  <si>
    <t>Bahrain</t>
  </si>
  <si>
    <t>Bahamas, The</t>
  </si>
  <si>
    <t>Austria</t>
  </si>
  <si>
    <t>Australia</t>
  </si>
  <si>
    <t>Argentina</t>
  </si>
  <si>
    <t>Azerbaijan</t>
  </si>
  <si>
    <t>Antigua and Barbuda</t>
  </si>
  <si>
    <t>Angola</t>
  </si>
  <si>
    <t>Andorra</t>
  </si>
  <si>
    <t>American Samoa</t>
  </si>
  <si>
    <t>Algeria</t>
  </si>
  <si>
    <t>Antarctica</t>
  </si>
  <si>
    <t>Albania</t>
  </si>
  <si>
    <t>Afghanistan</t>
  </si>
  <si>
    <t>Elsewhere</t>
  </si>
  <si>
    <t>Kurdish</t>
  </si>
  <si>
    <t>Dutch Antillean</t>
  </si>
  <si>
    <t>999</t>
  </si>
  <si>
    <t>Mixed</t>
  </si>
  <si>
    <t>Australasian (not otherwise specified)</t>
  </si>
  <si>
    <t>989</t>
  </si>
  <si>
    <t>Caribbean (not otherwise specified)</t>
  </si>
  <si>
    <t>South American (not otherwise specified)</t>
  </si>
  <si>
    <t>Central American (not otherwise specified)</t>
  </si>
  <si>
    <t>986</t>
  </si>
  <si>
    <t>North American (not otherwise specified)</t>
  </si>
  <si>
    <t>985</t>
  </si>
  <si>
    <t>Asian (not otherwise specified)</t>
  </si>
  <si>
    <t>Middle Eastern (not otherwise specified)</t>
  </si>
  <si>
    <t>African (not otherwise specified)</t>
  </si>
  <si>
    <t>982</t>
  </si>
  <si>
    <t>European (not otherwise specified)</t>
  </si>
  <si>
    <t>Arab (not otherwise specified)</t>
  </si>
  <si>
    <t>Serbian and Montenegrin</t>
  </si>
  <si>
    <t>974</t>
  </si>
  <si>
    <t>Yugoslav</t>
  </si>
  <si>
    <t>973</t>
  </si>
  <si>
    <t>Soviet</t>
  </si>
  <si>
    <t>972</t>
  </si>
  <si>
    <t>Czechoslovakian</t>
  </si>
  <si>
    <t>971</t>
  </si>
  <si>
    <t>970</t>
  </si>
  <si>
    <t>969</t>
  </si>
  <si>
    <t>968</t>
  </si>
  <si>
    <t>967</t>
  </si>
  <si>
    <t>966</t>
  </si>
  <si>
    <t>965</t>
  </si>
  <si>
    <t>964</t>
  </si>
  <si>
    <t>963</t>
  </si>
  <si>
    <t>962</t>
  </si>
  <si>
    <t>961</t>
  </si>
  <si>
    <t>960</t>
  </si>
  <si>
    <t>959</t>
  </si>
  <si>
    <t>958</t>
  </si>
  <si>
    <t>957</t>
  </si>
  <si>
    <t>956</t>
  </si>
  <si>
    <t>955</t>
  </si>
  <si>
    <t>Kosovan</t>
  </si>
  <si>
    <t>950</t>
  </si>
  <si>
    <t>949</t>
  </si>
  <si>
    <t>948</t>
  </si>
  <si>
    <t>946</t>
  </si>
  <si>
    <t>945</t>
  </si>
  <si>
    <t>944</t>
  </si>
  <si>
    <t>943</t>
  </si>
  <si>
    <t>942</t>
  </si>
  <si>
    <t>941</t>
  </si>
  <si>
    <t>Romany</t>
  </si>
  <si>
    <t>935</t>
  </si>
  <si>
    <t>Gaelic</t>
  </si>
  <si>
    <t>933</t>
  </si>
  <si>
    <t>Ulster Scots</t>
  </si>
  <si>
    <t>932</t>
  </si>
  <si>
    <t>Channel Islander</t>
  </si>
  <si>
    <t>931</t>
  </si>
  <si>
    <t>British Overseas Territories Citizen</t>
  </si>
  <si>
    <t>929</t>
  </si>
  <si>
    <t>Cornish</t>
  </si>
  <si>
    <t>927</t>
  </si>
  <si>
    <t>926</t>
  </si>
  <si>
    <t>924</t>
  </si>
  <si>
    <t>923</t>
  </si>
  <si>
    <t>922</t>
  </si>
  <si>
    <t>921</t>
  </si>
  <si>
    <t>Breton</t>
  </si>
  <si>
    <t>916</t>
  </si>
  <si>
    <t>Frisian</t>
  </si>
  <si>
    <t>915</t>
  </si>
  <si>
    <t>Basque</t>
  </si>
  <si>
    <t>914</t>
  </si>
  <si>
    <t>Canary Islander</t>
  </si>
  <si>
    <t>912</t>
  </si>
  <si>
    <t>Cypriot (not otherwise specified)</t>
  </si>
  <si>
    <t>903</t>
  </si>
  <si>
    <t>Turkish Cypriot</t>
  </si>
  <si>
    <t>902</t>
  </si>
  <si>
    <t>Greek Cypriot</t>
  </si>
  <si>
    <t>Zambian</t>
  </si>
  <si>
    <t>894</t>
  </si>
  <si>
    <t>Yemeni</t>
  </si>
  <si>
    <t>887</t>
  </si>
  <si>
    <t>Samoan</t>
  </si>
  <si>
    <t>882</t>
  </si>
  <si>
    <t>Futun</t>
  </si>
  <si>
    <t>878</t>
  </si>
  <si>
    <t>Wallisian</t>
  </si>
  <si>
    <t>877</t>
  </si>
  <si>
    <t>Wallis and Futuna Islander</t>
  </si>
  <si>
    <t>876</t>
  </si>
  <si>
    <t>Venezuelan</t>
  </si>
  <si>
    <t>862</t>
  </si>
  <si>
    <t>Uzbekistani</t>
  </si>
  <si>
    <t>860</t>
  </si>
  <si>
    <t>Uruguayan</t>
  </si>
  <si>
    <t>858</t>
  </si>
  <si>
    <t>Burkinabe</t>
  </si>
  <si>
    <t>854</t>
  </si>
  <si>
    <t>US Virgin Islander</t>
  </si>
  <si>
    <t>850</t>
  </si>
  <si>
    <t>US Citizen</t>
  </si>
  <si>
    <t>Tanzanian</t>
  </si>
  <si>
    <t>834</t>
  </si>
  <si>
    <t>Manx</t>
  </si>
  <si>
    <t>833</t>
  </si>
  <si>
    <t>Jersey Islander</t>
  </si>
  <si>
    <t>832</t>
  </si>
  <si>
    <t>Guernsey Islander</t>
  </si>
  <si>
    <t>831</t>
  </si>
  <si>
    <t>Egyptian</t>
  </si>
  <si>
    <t>Macedonian</t>
  </si>
  <si>
    <t>807</t>
  </si>
  <si>
    <t>Ukrainian</t>
  </si>
  <si>
    <t>804</t>
  </si>
  <si>
    <t>Ugandan</t>
  </si>
  <si>
    <t>800</t>
  </si>
  <si>
    <t>Tuvaluan</t>
  </si>
  <si>
    <t>798</t>
  </si>
  <si>
    <t>Turks and Caicos Islander</t>
  </si>
  <si>
    <t>796</t>
  </si>
  <si>
    <t>Turkmenistani</t>
  </si>
  <si>
    <t>792</t>
  </si>
  <si>
    <t>Tunisian</t>
  </si>
  <si>
    <t>788</t>
  </si>
  <si>
    <t>Emirati</t>
  </si>
  <si>
    <t>784</t>
  </si>
  <si>
    <t>Tobagonian</t>
  </si>
  <si>
    <t>782</t>
  </si>
  <si>
    <t>Trinidadian</t>
  </si>
  <si>
    <t>781</t>
  </si>
  <si>
    <t>Trinidadian and Tobagonian</t>
  </si>
  <si>
    <t>780</t>
  </si>
  <si>
    <t>Tongan</t>
  </si>
  <si>
    <t>776</t>
  </si>
  <si>
    <t>Tokelauan</t>
  </si>
  <si>
    <t>772</t>
  </si>
  <si>
    <t>Togolese</t>
  </si>
  <si>
    <t>768</t>
  </si>
  <si>
    <t>Thai</t>
  </si>
  <si>
    <t>Tajikistani</t>
  </si>
  <si>
    <t>762</t>
  </si>
  <si>
    <t>Syrian</t>
  </si>
  <si>
    <t>760</t>
  </si>
  <si>
    <t>Swiss</t>
  </si>
  <si>
    <t>Swedish</t>
  </si>
  <si>
    <t>Swazi</t>
  </si>
  <si>
    <t>748</t>
  </si>
  <si>
    <t>Svalbard and Jan Mayen Islander</t>
  </si>
  <si>
    <t>744</t>
  </si>
  <si>
    <t>Surinamese</t>
  </si>
  <si>
    <t>740</t>
  </si>
  <si>
    <t>Sahraouian Sahrawi Sahrawian</t>
  </si>
  <si>
    <t>732</t>
  </si>
  <si>
    <t>Sudanese</t>
  </si>
  <si>
    <t>729</t>
  </si>
  <si>
    <t>South Sudanese</t>
  </si>
  <si>
    <t>728</t>
  </si>
  <si>
    <t>Zimbabwean</t>
  </si>
  <si>
    <t>South African</t>
  </si>
  <si>
    <t>710</t>
  </si>
  <si>
    <t>Somalilander</t>
  </si>
  <si>
    <t>707</t>
  </si>
  <si>
    <t>Somali</t>
  </si>
  <si>
    <t>706</t>
  </si>
  <si>
    <t>Slovenian</t>
  </si>
  <si>
    <t>705</t>
  </si>
  <si>
    <t>Vietnamese</t>
  </si>
  <si>
    <t>704</t>
  </si>
  <si>
    <t>Slovak Slovakian</t>
  </si>
  <si>
    <t>703</t>
  </si>
  <si>
    <t>Singaporean</t>
  </si>
  <si>
    <t>702</t>
  </si>
  <si>
    <t>Sierra Leonean</t>
  </si>
  <si>
    <t>694</t>
  </si>
  <si>
    <t>Seychellois</t>
  </si>
  <si>
    <t>690</t>
  </si>
  <si>
    <t>Serbian</t>
  </si>
  <si>
    <t>688</t>
  </si>
  <si>
    <t>Senegalese</t>
  </si>
  <si>
    <t>686</t>
  </si>
  <si>
    <t>Saudi Arabian</t>
  </si>
  <si>
    <t>682</t>
  </si>
  <si>
    <t>Sao Tomean</t>
  </si>
  <si>
    <t>678</t>
  </si>
  <si>
    <t>Sammarinese</t>
  </si>
  <si>
    <t>674</t>
  </si>
  <si>
    <t>670</t>
  </si>
  <si>
    <t>St Martin French</t>
  </si>
  <si>
    <t>663</t>
  </si>
  <si>
    <t>St Lucian</t>
  </si>
  <si>
    <t>Anguillian</t>
  </si>
  <si>
    <t>660</t>
  </si>
  <si>
    <t>Kittitian and Nevisian</t>
  </si>
  <si>
    <t>659</t>
  </si>
  <si>
    <t>Nevisian</t>
  </si>
  <si>
    <t>658</t>
  </si>
  <si>
    <t>Kittitian</t>
  </si>
  <si>
    <t>657</t>
  </si>
  <si>
    <t>St Helenian</t>
  </si>
  <si>
    <t>654</t>
  </si>
  <si>
    <t>St Barthélemy French</t>
  </si>
  <si>
    <t>652</t>
  </si>
  <si>
    <t>Rwandan</t>
  </si>
  <si>
    <t>646</t>
  </si>
  <si>
    <t>643</t>
  </si>
  <si>
    <t>Romanian</t>
  </si>
  <si>
    <t>642</t>
  </si>
  <si>
    <t>Réunion French</t>
  </si>
  <si>
    <t>638</t>
  </si>
  <si>
    <t>Qatari</t>
  </si>
  <si>
    <t>634</t>
  </si>
  <si>
    <t>Puerto Rican</t>
  </si>
  <si>
    <t>630</t>
  </si>
  <si>
    <t>East Timorese</t>
  </si>
  <si>
    <t>626</t>
  </si>
  <si>
    <t>Guinean (Guinea-Bissau)</t>
  </si>
  <si>
    <t>624</t>
  </si>
  <si>
    <t>Polish</t>
  </si>
  <si>
    <t>Pitcairn Islander</t>
  </si>
  <si>
    <t>612</t>
  </si>
  <si>
    <t>Filipino</t>
  </si>
  <si>
    <t>Peruvian</t>
  </si>
  <si>
    <t>Paraguayan</t>
  </si>
  <si>
    <t>600</t>
  </si>
  <si>
    <t>Papua New Guinean</t>
  </si>
  <si>
    <t>598</t>
  </si>
  <si>
    <t>Panamanian</t>
  </si>
  <si>
    <t>591</t>
  </si>
  <si>
    <t>Pakistani</t>
  </si>
  <si>
    <t>Palauan</t>
  </si>
  <si>
    <t>585</t>
  </si>
  <si>
    <t>Marshallese</t>
  </si>
  <si>
    <t>584</t>
  </si>
  <si>
    <t>Micronesian</t>
  </si>
  <si>
    <t>583</t>
  </si>
  <si>
    <t>Northern Mariana Islander</t>
  </si>
  <si>
    <t>580</t>
  </si>
  <si>
    <t>Norwegian</t>
  </si>
  <si>
    <t>578</t>
  </si>
  <si>
    <t>Norfolk Islander</t>
  </si>
  <si>
    <t>574</t>
  </si>
  <si>
    <t>Niuean</t>
  </si>
  <si>
    <t>570</t>
  </si>
  <si>
    <t>Nigerian</t>
  </si>
  <si>
    <t>Nigerien (Niger)</t>
  </si>
  <si>
    <t>562</t>
  </si>
  <si>
    <t>Nicaraguan</t>
  </si>
  <si>
    <t>558</t>
  </si>
  <si>
    <t>Maori</t>
  </si>
  <si>
    <t>555</t>
  </si>
  <si>
    <t>New Zealander</t>
  </si>
  <si>
    <t>554</t>
  </si>
  <si>
    <t>Ni-Vanuatu</t>
  </si>
  <si>
    <t>548</t>
  </si>
  <si>
    <t>New Caledonian</t>
  </si>
  <si>
    <t>540</t>
  </si>
  <si>
    <t>Bonaire, Sint Eustasius and Saba</t>
  </si>
  <si>
    <t>535</t>
  </si>
  <si>
    <t>Sint Maartener</t>
  </si>
  <si>
    <t>534</t>
  </si>
  <si>
    <t>Aruban</t>
  </si>
  <si>
    <t>533</t>
  </si>
  <si>
    <t>Curacaoan</t>
  </si>
  <si>
    <t>531</t>
  </si>
  <si>
    <t>Dutch</t>
  </si>
  <si>
    <t>Nepali</t>
  </si>
  <si>
    <t>524</t>
  </si>
  <si>
    <t>Nauruan</t>
  </si>
  <si>
    <t>520</t>
  </si>
  <si>
    <t>Namibian</t>
  </si>
  <si>
    <t>516</t>
  </si>
  <si>
    <t>Omani</t>
  </si>
  <si>
    <t>512</t>
  </si>
  <si>
    <t>Mozambican</t>
  </si>
  <si>
    <t>508</t>
  </si>
  <si>
    <t>Moroccan</t>
  </si>
  <si>
    <t>504</t>
  </si>
  <si>
    <t>Montserratian</t>
  </si>
  <si>
    <t>500</t>
  </si>
  <si>
    <t>Montenegrin</t>
  </si>
  <si>
    <t>499</t>
  </si>
  <si>
    <t>Moldovian</t>
  </si>
  <si>
    <t>498</t>
  </si>
  <si>
    <t>Mongolian</t>
  </si>
  <si>
    <t>496</t>
  </si>
  <si>
    <t>Monacan</t>
  </si>
  <si>
    <t>492</t>
  </si>
  <si>
    <t>Mexican</t>
  </si>
  <si>
    <t>484</t>
  </si>
  <si>
    <t>Mauritian</t>
  </si>
  <si>
    <t>480</t>
  </si>
  <si>
    <t>Mauritanian</t>
  </si>
  <si>
    <t>478</t>
  </si>
  <si>
    <t>Martinique French</t>
  </si>
  <si>
    <t>474</t>
  </si>
  <si>
    <t>Maltese</t>
  </si>
  <si>
    <t>470</t>
  </si>
  <si>
    <t>Malian</t>
  </si>
  <si>
    <t>466</t>
  </si>
  <si>
    <t>Maldivan</t>
  </si>
  <si>
    <t>462</t>
  </si>
  <si>
    <t>Malaysian</t>
  </si>
  <si>
    <t>458</t>
  </si>
  <si>
    <t>Malawian</t>
  </si>
  <si>
    <t>454</t>
  </si>
  <si>
    <t>Madagascan Malagasy</t>
  </si>
  <si>
    <t>450</t>
  </si>
  <si>
    <t>Macao Chinese</t>
  </si>
  <si>
    <t>446</t>
  </si>
  <si>
    <t>Luxembourger</t>
  </si>
  <si>
    <t>442</t>
  </si>
  <si>
    <t>Lithuanian</t>
  </si>
  <si>
    <t>440</t>
  </si>
  <si>
    <t>Liechtensteiner</t>
  </si>
  <si>
    <t>438</t>
  </si>
  <si>
    <t>Libyan</t>
  </si>
  <si>
    <t>Liberian</t>
  </si>
  <si>
    <t>430</t>
  </si>
  <si>
    <t>Latvian</t>
  </si>
  <si>
    <t>428</t>
  </si>
  <si>
    <t>Basotho</t>
  </si>
  <si>
    <t>426</t>
  </si>
  <si>
    <t>Lebanese</t>
  </si>
  <si>
    <t>422</t>
  </si>
  <si>
    <t>Laotian</t>
  </si>
  <si>
    <t>418</t>
  </si>
  <si>
    <t>Kyrgyzstani</t>
  </si>
  <si>
    <t>Kuwaiti</t>
  </si>
  <si>
    <t>414</t>
  </si>
  <si>
    <t>Korean (South Korea)</t>
  </si>
  <si>
    <t>410</t>
  </si>
  <si>
    <t>Korean (not otherwise specified)</t>
  </si>
  <si>
    <t>409</t>
  </si>
  <si>
    <t>Korean (North Korea)</t>
  </si>
  <si>
    <t>408</t>
  </si>
  <si>
    <t>Kenyan</t>
  </si>
  <si>
    <t>404</t>
  </si>
  <si>
    <t>Jordanian</t>
  </si>
  <si>
    <t>400</t>
  </si>
  <si>
    <t>Kazakhstani</t>
  </si>
  <si>
    <t>Japanese</t>
  </si>
  <si>
    <t>Jamaican</t>
  </si>
  <si>
    <t>388</t>
  </si>
  <si>
    <t>Ivorian</t>
  </si>
  <si>
    <t>384</t>
  </si>
  <si>
    <t>Italian</t>
  </si>
  <si>
    <t>Israeli</t>
  </si>
  <si>
    <t>376</t>
  </si>
  <si>
    <t>Irish</t>
  </si>
  <si>
    <t>Iraqi</t>
  </si>
  <si>
    <t>368</t>
  </si>
  <si>
    <t>Iranian</t>
  </si>
  <si>
    <t>Indonesian</t>
  </si>
  <si>
    <t>360</t>
  </si>
  <si>
    <t>Indian</t>
  </si>
  <si>
    <t>Icelandic</t>
  </si>
  <si>
    <t>352</t>
  </si>
  <si>
    <t>Hungarian</t>
  </si>
  <si>
    <t>348</t>
  </si>
  <si>
    <t>Hong Kong Chinese</t>
  </si>
  <si>
    <t>344</t>
  </si>
  <si>
    <t>Honduran</t>
  </si>
  <si>
    <t>340</t>
  </si>
  <si>
    <t>Haredi</t>
  </si>
  <si>
    <t>333</t>
  </si>
  <si>
    <t>Haitian</t>
  </si>
  <si>
    <t>332</t>
  </si>
  <si>
    <t>Guyanan, Guyanese</t>
  </si>
  <si>
    <t>328</t>
  </si>
  <si>
    <t>Gurkha</t>
  </si>
  <si>
    <t>326</t>
  </si>
  <si>
    <t>Guinean (not otherwise specified)</t>
  </si>
  <si>
    <t>325</t>
  </si>
  <si>
    <t>Guinean (Guinea)</t>
  </si>
  <si>
    <t>324</t>
  </si>
  <si>
    <t>Guatemalan</t>
  </si>
  <si>
    <t>320</t>
  </si>
  <si>
    <t>Guamanian</t>
  </si>
  <si>
    <t>316</t>
  </si>
  <si>
    <t>Guadeloupean</t>
  </si>
  <si>
    <t>312</t>
  </si>
  <si>
    <t>Grenadian</t>
  </si>
  <si>
    <t>308</t>
  </si>
  <si>
    <t>Greenlander</t>
  </si>
  <si>
    <t>304</t>
  </si>
  <si>
    <t>Greek</t>
  </si>
  <si>
    <t>I-Kiribati</t>
  </si>
  <si>
    <t>296</t>
  </si>
  <si>
    <t>Gibraltese</t>
  </si>
  <si>
    <t>292</t>
  </si>
  <si>
    <t>Ghanaian, Ghanian</t>
  </si>
  <si>
    <t>288</t>
  </si>
  <si>
    <t>German</t>
  </si>
  <si>
    <t>Palestinian</t>
  </si>
  <si>
    <t>275</t>
  </si>
  <si>
    <t>Gambian</t>
  </si>
  <si>
    <t>270</t>
  </si>
  <si>
    <t>Georgian</t>
  </si>
  <si>
    <t>268</t>
  </si>
  <si>
    <t>Gabonese</t>
  </si>
  <si>
    <t>266</t>
  </si>
  <si>
    <t>Djiboutian</t>
  </si>
  <si>
    <t>262</t>
  </si>
  <si>
    <t>French Polynesian</t>
  </si>
  <si>
    <t>258</t>
  </si>
  <si>
    <t>Guianese</t>
  </si>
  <si>
    <t>254</t>
  </si>
  <si>
    <t>Ǻland Islander</t>
  </si>
  <si>
    <t>248</t>
  </si>
  <si>
    <t>Finnish</t>
  </si>
  <si>
    <t>Fijian</t>
  </si>
  <si>
    <t>242</t>
  </si>
  <si>
    <t>Falkland Islander</t>
  </si>
  <si>
    <t>238</t>
  </si>
  <si>
    <t>Faroese</t>
  </si>
  <si>
    <t>234</t>
  </si>
  <si>
    <t>Estonian</t>
  </si>
  <si>
    <t>233</t>
  </si>
  <si>
    <t>Eritrean</t>
  </si>
  <si>
    <t>232</t>
  </si>
  <si>
    <t>Ethiopian</t>
  </si>
  <si>
    <t>231</t>
  </si>
  <si>
    <t>Equatorial Guinean</t>
  </si>
  <si>
    <t>226</t>
  </si>
  <si>
    <t>Salvadoran</t>
  </si>
  <si>
    <t>222</t>
  </si>
  <si>
    <t>Ecuadorian</t>
  </si>
  <si>
    <t>218</t>
  </si>
  <si>
    <t>Dominican (Dominican Republic)</t>
  </si>
  <si>
    <t>214</t>
  </si>
  <si>
    <t>Dominican (Dominica)</t>
  </si>
  <si>
    <t>212</t>
  </si>
  <si>
    <t>Danish</t>
  </si>
  <si>
    <t>Beninese</t>
  </si>
  <si>
    <t>204</t>
  </si>
  <si>
    <t>Czech</t>
  </si>
  <si>
    <t>Cuban</t>
  </si>
  <si>
    <t>192</t>
  </si>
  <si>
    <t>Croatian</t>
  </si>
  <si>
    <t>191</t>
  </si>
  <si>
    <t>Costa Rican</t>
  </si>
  <si>
    <t>188</t>
  </si>
  <si>
    <t>Cook Islander</t>
  </si>
  <si>
    <t>184</t>
  </si>
  <si>
    <t>Congolese (Democratic Republic of Congo)</t>
  </si>
  <si>
    <t>180</t>
  </si>
  <si>
    <t>Congolese (not otherwise specified)</t>
  </si>
  <si>
    <t>179</t>
  </si>
  <si>
    <t>Congolese (Republic of Congo)</t>
  </si>
  <si>
    <t>178</t>
  </si>
  <si>
    <t>Mahoran</t>
  </si>
  <si>
    <t>175</t>
  </si>
  <si>
    <t>Comoran</t>
  </si>
  <si>
    <t>174</t>
  </si>
  <si>
    <t>Colombian</t>
  </si>
  <si>
    <t>Cocos Islander</t>
  </si>
  <si>
    <t>166</t>
  </si>
  <si>
    <t>Christmas Islander</t>
  </si>
  <si>
    <t>162</t>
  </si>
  <si>
    <t>Taiwanese</t>
  </si>
  <si>
    <t>158</t>
  </si>
  <si>
    <t>Chinese</t>
  </si>
  <si>
    <t>Chilean</t>
  </si>
  <si>
    <t>152</t>
  </si>
  <si>
    <t>Chadian</t>
  </si>
  <si>
    <t>148</t>
  </si>
  <si>
    <t>British, Irish, Northern Irish, English, Scottish, Welsh and Other</t>
  </si>
  <si>
    <t>141</t>
  </si>
  <si>
    <t>Central African</t>
  </si>
  <si>
    <t>140</t>
  </si>
  <si>
    <t>British, Irish, English, Scottish, Welsh and Other</t>
  </si>
  <si>
    <t>139</t>
  </si>
  <si>
    <t>British, Irish, Northern Irish, Scottish, Welsh and Other</t>
  </si>
  <si>
    <t>138</t>
  </si>
  <si>
    <t>British, Irish, Northern Irish, English, Welsh and Other</t>
  </si>
  <si>
    <t>137</t>
  </si>
  <si>
    <t>Caymanian</t>
  </si>
  <si>
    <t>136</t>
  </si>
  <si>
    <t>Irish, Northern Irish, English, Scottish, Welsh and Other</t>
  </si>
  <si>
    <t>135</t>
  </si>
  <si>
    <t>British, Irish, Northern Irish, English, Scottish and Other</t>
  </si>
  <si>
    <t>134</t>
  </si>
  <si>
    <t>British, Irish, Northern Irish, English and Other</t>
  </si>
  <si>
    <t>133</t>
  </si>
  <si>
    <t>Cape Verdean</t>
  </si>
  <si>
    <t>132</t>
  </si>
  <si>
    <t>British, Irish, Northern Irish, Scottish and Other</t>
  </si>
  <si>
    <t>131</t>
  </si>
  <si>
    <t>British, Irish, Northern Irish, Welsh and Other</t>
  </si>
  <si>
    <t>130</t>
  </si>
  <si>
    <t>British, Irish, English, Scottish and Other</t>
  </si>
  <si>
    <t>129</t>
  </si>
  <si>
    <t>British, Irish, English, Welsh and Other</t>
  </si>
  <si>
    <t>128</t>
  </si>
  <si>
    <t>British, Irish, Scottish, Welsh and Other</t>
  </si>
  <si>
    <t>127</t>
  </si>
  <si>
    <t>Irish, Northern Irish, English, Scottish and Other</t>
  </si>
  <si>
    <t>126</t>
  </si>
  <si>
    <t>Irish, Northern Irish, English, Welsh and Other</t>
  </si>
  <si>
    <t>125</t>
  </si>
  <si>
    <t>Canadian</t>
  </si>
  <si>
    <t>Irish, Northern Irish, Scottish, Welsh and Other</t>
  </si>
  <si>
    <t>123</t>
  </si>
  <si>
    <t>Irish, English, Scottish, Welsh and Other</t>
  </si>
  <si>
    <t>122</t>
  </si>
  <si>
    <t>Irish, Scottish, Welsh and Other</t>
  </si>
  <si>
    <t>121</t>
  </si>
  <si>
    <t>Cameroonian</t>
  </si>
  <si>
    <t>120</t>
  </si>
  <si>
    <t>Irish, English, Welsh and Other</t>
  </si>
  <si>
    <t>119</t>
  </si>
  <si>
    <t>Irish, English, Scottish and Other</t>
  </si>
  <si>
    <t>118</t>
  </si>
  <si>
    <t>Irish, Northern Irish, Welsh and Other</t>
  </si>
  <si>
    <t>117</t>
  </si>
  <si>
    <t>Cambodian</t>
  </si>
  <si>
    <t>116</t>
  </si>
  <si>
    <t>Irish, Northern Irish, Scottish and Other</t>
  </si>
  <si>
    <t>115</t>
  </si>
  <si>
    <t>Irish, Northern Irish, English and Other</t>
  </si>
  <si>
    <t>114</t>
  </si>
  <si>
    <t>British, Irish, Welsh and Other</t>
  </si>
  <si>
    <t>113</t>
  </si>
  <si>
    <t>Belarusian</t>
  </si>
  <si>
    <t>112</t>
  </si>
  <si>
    <t>British, Irish, Scottish and Other</t>
  </si>
  <si>
    <t>111</t>
  </si>
  <si>
    <t>British, Irish, English and Other</t>
  </si>
  <si>
    <t>110</t>
  </si>
  <si>
    <t>British, Irish, Northern Irish and Other</t>
  </si>
  <si>
    <t>109</t>
  </si>
  <si>
    <t>Burundian</t>
  </si>
  <si>
    <t>108</t>
  </si>
  <si>
    <t>Irish, Welsh and Other</t>
  </si>
  <si>
    <t>107</t>
  </si>
  <si>
    <t>Irish, Scottish and Other</t>
  </si>
  <si>
    <t>106</t>
  </si>
  <si>
    <t>Irish, English and Other</t>
  </si>
  <si>
    <t>105</t>
  </si>
  <si>
    <t>Burmese</t>
  </si>
  <si>
    <t>Irish, Northern Irish and Other</t>
  </si>
  <si>
    <t>103</t>
  </si>
  <si>
    <t>British, Irish and Other</t>
  </si>
  <si>
    <t>102</t>
  </si>
  <si>
    <t>Irish and Other</t>
  </si>
  <si>
    <t>101</t>
  </si>
  <si>
    <t>Bulgarian</t>
  </si>
  <si>
    <t>100</t>
  </si>
  <si>
    <t>097</t>
  </si>
  <si>
    <t>Bruneian</t>
  </si>
  <si>
    <t>096</t>
  </si>
  <si>
    <t>095</t>
  </si>
  <si>
    <t>094</t>
  </si>
  <si>
    <t>093</t>
  </si>
  <si>
    <t>British Virgin Islander</t>
  </si>
  <si>
    <t>092</t>
  </si>
  <si>
    <t>091</t>
  </si>
  <si>
    <t>Solomon Islander</t>
  </si>
  <si>
    <t>090</t>
  </si>
  <si>
    <t>089</t>
  </si>
  <si>
    <t>088</t>
  </si>
  <si>
    <t>087</t>
  </si>
  <si>
    <t>Chagos Islander, Chagossian</t>
  </si>
  <si>
    <t>086</t>
  </si>
  <si>
    <t>085</t>
  </si>
  <si>
    <t>Belizean</t>
  </si>
  <si>
    <t>084</t>
  </si>
  <si>
    <t>083</t>
  </si>
  <si>
    <t>082</t>
  </si>
  <si>
    <t>081</t>
  </si>
  <si>
    <t>080</t>
  </si>
  <si>
    <t>079</t>
  </si>
  <si>
    <t>078</t>
  </si>
  <si>
    <t>077</t>
  </si>
  <si>
    <t>Brazilian</t>
  </si>
  <si>
    <t>076</t>
  </si>
  <si>
    <t>075</t>
  </si>
  <si>
    <t>074</t>
  </si>
  <si>
    <t>073</t>
  </si>
  <si>
    <t>Motswana</t>
  </si>
  <si>
    <t>072</t>
  </si>
  <si>
    <t>Herzegovinian</t>
  </si>
  <si>
    <t>071</t>
  </si>
  <si>
    <t>Bosnian and Herzegovinian</t>
  </si>
  <si>
    <t>070</t>
  </si>
  <si>
    <t>Bosnian</t>
  </si>
  <si>
    <t>069</t>
  </si>
  <si>
    <t>Bolivian</t>
  </si>
  <si>
    <t>068</t>
  </si>
  <si>
    <t>067</t>
  </si>
  <si>
    <t>066</t>
  </si>
  <si>
    <t>065</t>
  </si>
  <si>
    <t>Bhutanese</t>
  </si>
  <si>
    <t>064</t>
  </si>
  <si>
    <t>063</t>
  </si>
  <si>
    <t>062</t>
  </si>
  <si>
    <t>061</t>
  </si>
  <si>
    <t>Bermudian</t>
  </si>
  <si>
    <t>060</t>
  </si>
  <si>
    <t>059</t>
  </si>
  <si>
    <t>058</t>
  </si>
  <si>
    <t>057</t>
  </si>
  <si>
    <t>Belgian</t>
  </si>
  <si>
    <t>056</t>
  </si>
  <si>
    <t>055</t>
  </si>
  <si>
    <t>054</t>
  </si>
  <si>
    <t>053</t>
  </si>
  <si>
    <t>Barbadian</t>
  </si>
  <si>
    <t>052</t>
  </si>
  <si>
    <t>Armenian</t>
  </si>
  <si>
    <t>051</t>
  </si>
  <si>
    <t>Bangladeshi</t>
  </si>
  <si>
    <t>050</t>
  </si>
  <si>
    <t>Bahraini</t>
  </si>
  <si>
    <t>048</t>
  </si>
  <si>
    <t>British, Irish, Northern Irish, English, Scottish and Welsh</t>
  </si>
  <si>
    <t>046</t>
  </si>
  <si>
    <t>Irish, Northern Irish, English, Scottish and Welsh</t>
  </si>
  <si>
    <t>045</t>
  </si>
  <si>
    <t>Bahamian</t>
  </si>
  <si>
    <t>044</t>
  </si>
  <si>
    <t>British, Irish, English, Scottish and Welsh</t>
  </si>
  <si>
    <t>043</t>
  </si>
  <si>
    <t>British, Irish, Northern Irish, Scottish and Welsh</t>
  </si>
  <si>
    <t>042</t>
  </si>
  <si>
    <t>British, Irish, Northern Irish, English and Welsh</t>
  </si>
  <si>
    <t>041</t>
  </si>
  <si>
    <t>Austrian</t>
  </si>
  <si>
    <t>040</t>
  </si>
  <si>
    <t>British, Irish, Northern Irish, English and Scottish</t>
  </si>
  <si>
    <t>039</t>
  </si>
  <si>
    <t>Irish, English, Scottish and Welsh</t>
  </si>
  <si>
    <t>038</t>
  </si>
  <si>
    <t>Australian Aboriginal</t>
  </si>
  <si>
    <t>037</t>
  </si>
  <si>
    <t>Australian</t>
  </si>
  <si>
    <t>036</t>
  </si>
  <si>
    <t>Irish, Northern Irish, Scottish and Welsh</t>
  </si>
  <si>
    <t>035</t>
  </si>
  <si>
    <t>Irish, Northern Irish, English and Welsh</t>
  </si>
  <si>
    <t>034</t>
  </si>
  <si>
    <t>Irish, Northern Irish, English and Scottish</t>
  </si>
  <si>
    <t>033</t>
  </si>
  <si>
    <t>Argentinian</t>
  </si>
  <si>
    <t>032</t>
  </si>
  <si>
    <t>Azerbaijani</t>
  </si>
  <si>
    <t>031</t>
  </si>
  <si>
    <t>Barbudan</t>
  </si>
  <si>
    <t>030</t>
  </si>
  <si>
    <t>Antiguan</t>
  </si>
  <si>
    <t>029</t>
  </si>
  <si>
    <t>Antiguan and Barbudan</t>
  </si>
  <si>
    <t>028</t>
  </si>
  <si>
    <t>British, Irish, Scottish and Welsh</t>
  </si>
  <si>
    <t>027</t>
  </si>
  <si>
    <t>British, Irish, English and Welsh</t>
  </si>
  <si>
    <t>026</t>
  </si>
  <si>
    <t>British, Irish, English and Scottish</t>
  </si>
  <si>
    <t>025</t>
  </si>
  <si>
    <t>Angolan</t>
  </si>
  <si>
    <t>024</t>
  </si>
  <si>
    <t>British, Irish, Northern Irish and Welsh</t>
  </si>
  <si>
    <t>023</t>
  </si>
  <si>
    <t>British, Irish, Northern Irish and Scottish</t>
  </si>
  <si>
    <t>022</t>
  </si>
  <si>
    <t>British, Irish, Northern Irish and English</t>
  </si>
  <si>
    <t>021</t>
  </si>
  <si>
    <t>Andorran</t>
  </si>
  <si>
    <t>020</t>
  </si>
  <si>
    <t>Irish, Scottish and Welsh</t>
  </si>
  <si>
    <t>019</t>
  </si>
  <si>
    <t>Irish, English and Welsh</t>
  </si>
  <si>
    <t>018</t>
  </si>
  <si>
    <t>Irish, English and Scottish</t>
  </si>
  <si>
    <t>017</t>
  </si>
  <si>
    <t>American Samoan</t>
  </si>
  <si>
    <t>016</t>
  </si>
  <si>
    <t>Irish, Northern Irish and Welsh</t>
  </si>
  <si>
    <t>015</t>
  </si>
  <si>
    <t>Irish, Northern Irish and Scottish</t>
  </si>
  <si>
    <t>014</t>
  </si>
  <si>
    <t>Irish, Northern Irish and English</t>
  </si>
  <si>
    <t>013</t>
  </si>
  <si>
    <t>Algerian</t>
  </si>
  <si>
    <t>012</t>
  </si>
  <si>
    <t>British, Irish and Welsh</t>
  </si>
  <si>
    <t>011</t>
  </si>
  <si>
    <t>British, Irish and Scottish</t>
  </si>
  <si>
    <t>010</t>
  </si>
  <si>
    <t>British, Irish and English</t>
  </si>
  <si>
    <t>009</t>
  </si>
  <si>
    <t>Albanian</t>
  </si>
  <si>
    <t>008</t>
  </si>
  <si>
    <t>British, Irish and Northern Irish</t>
  </si>
  <si>
    <t>007</t>
  </si>
  <si>
    <t xml:space="preserve">Irish and Welsh </t>
  </si>
  <si>
    <t>006</t>
  </si>
  <si>
    <t xml:space="preserve">Irish and Scottish </t>
  </si>
  <si>
    <t>005</t>
  </si>
  <si>
    <t>Afghan</t>
  </si>
  <si>
    <t>004</t>
  </si>
  <si>
    <t xml:space="preserve">Irish and English </t>
  </si>
  <si>
    <t>003</t>
  </si>
  <si>
    <t xml:space="preserve">Irish and Northern Irish </t>
  </si>
  <si>
    <t>002</t>
  </si>
  <si>
    <t>British and Irish</t>
  </si>
  <si>
    <t>001</t>
  </si>
  <si>
    <t>Any Other Language</t>
  </si>
  <si>
    <t>Artificial Languages</t>
  </si>
  <si>
    <t>Liturgical Languages</t>
  </si>
  <si>
    <t>Mizo</t>
  </si>
  <si>
    <t>Zaghawa</t>
  </si>
  <si>
    <t>Memoni</t>
  </si>
  <si>
    <t>Khasa</t>
  </si>
  <si>
    <t>Buna</t>
  </si>
  <si>
    <t>Batta (Not otherwise specified)</t>
  </si>
  <si>
    <t>Bari (Not otherwise specified)</t>
  </si>
  <si>
    <t>Tonga (Not otherwise specified)</t>
  </si>
  <si>
    <t>Sign Language (Not otherwise specified)</t>
  </si>
  <si>
    <t>Other Sign Language</t>
  </si>
  <si>
    <t>International Sign Language</t>
  </si>
  <si>
    <t>Pidgin (Not otherwise specified)</t>
  </si>
  <si>
    <t>Creole (Not otherwise specified)</t>
  </si>
  <si>
    <t>Portuguese Creole (Not otherwise specified)</t>
  </si>
  <si>
    <t>French Creole (Not otherwise specified)</t>
  </si>
  <si>
    <t>English Pidgin (Not otherwise specified)</t>
  </si>
  <si>
    <t>English Creole (Not otherwise specified)</t>
  </si>
  <si>
    <t>Hiri Motu</t>
  </si>
  <si>
    <t>Hawaii Creole</t>
  </si>
  <si>
    <t>Australian Kriol</t>
  </si>
  <si>
    <t>Pijin</t>
  </si>
  <si>
    <t>Bislama</t>
  </si>
  <si>
    <t>Tok Pisin</t>
  </si>
  <si>
    <t>Marshallese/Ebon</t>
  </si>
  <si>
    <t xml:space="preserve">Samoan </t>
  </si>
  <si>
    <t>Tiwi</t>
  </si>
  <si>
    <t>Pitjantjatjara</t>
  </si>
  <si>
    <t>Kalaw Lagaw Ya</t>
  </si>
  <si>
    <t>Arrernte</t>
  </si>
  <si>
    <t>Papiamentu</t>
  </si>
  <si>
    <t>Caribbean Creole French (Not otherwise specified)</t>
  </si>
  <si>
    <t>Guyanais</t>
  </si>
  <si>
    <t>Dominica/Saint Lucia Creole</t>
  </si>
  <si>
    <t>Haitian Creole</t>
  </si>
  <si>
    <t>Caribbean Creole English (Not otherwise specified)</t>
  </si>
  <si>
    <t>Belizean Kriol</t>
  </si>
  <si>
    <t>Sranan</t>
  </si>
  <si>
    <t xml:space="preserve">Guyanese Creole </t>
  </si>
  <si>
    <t>Trinidad and Tobago Creole</t>
  </si>
  <si>
    <t xml:space="preserve">Windward Islands Creole </t>
  </si>
  <si>
    <t>Bajan</t>
  </si>
  <si>
    <t xml:space="preserve">Leeward Islands Creole </t>
  </si>
  <si>
    <t>Gullah</t>
  </si>
  <si>
    <t>Bahamian Creole</t>
  </si>
  <si>
    <t>Kalaallisut</t>
  </si>
  <si>
    <t>Inuktitut</t>
  </si>
  <si>
    <t>Navajo</t>
  </si>
  <si>
    <t>Carib/Kalinya</t>
  </si>
  <si>
    <t>Garifuna</t>
  </si>
  <si>
    <t>Cree</t>
  </si>
  <si>
    <t>Guarani</t>
  </si>
  <si>
    <t>Aymara</t>
  </si>
  <si>
    <t>Quechua</t>
  </si>
  <si>
    <t>Maya</t>
  </si>
  <si>
    <t>Kekchi</t>
  </si>
  <si>
    <t>Mam</t>
  </si>
  <si>
    <t>Chol</t>
  </si>
  <si>
    <t>Nahuatl</t>
  </si>
  <si>
    <t>Cued Speech</t>
  </si>
  <si>
    <t>Paget-Gorman Signs</t>
  </si>
  <si>
    <t>Makaton</t>
  </si>
  <si>
    <t>Deaf-Blind Manual Alphabet</t>
  </si>
  <si>
    <t>Sign-Supported English</t>
  </si>
  <si>
    <t>Irish Sign Language</t>
  </si>
  <si>
    <t>British Sign Language</t>
  </si>
  <si>
    <t>Irish Traveller Cant</t>
  </si>
  <si>
    <t>Romany English</t>
  </si>
  <si>
    <t>Romany (Not otherwise specified)</t>
  </si>
  <si>
    <t>Romani</t>
  </si>
  <si>
    <t>Albanian (Not otherwise specified)</t>
  </si>
  <si>
    <t>Arberesh</t>
  </si>
  <si>
    <t>Albanian (Gheg/Kosovan)</t>
  </si>
  <si>
    <t>Albanian (Tosk)</t>
  </si>
  <si>
    <t>Serbo-Croat (Not otherwise specified)</t>
  </si>
  <si>
    <t>Bosnian, Croatian, Serbian and Montenegrian</t>
  </si>
  <si>
    <t>Kashubian</t>
  </si>
  <si>
    <t xml:space="preserve">Polish </t>
  </si>
  <si>
    <t>Slovak</t>
  </si>
  <si>
    <t xml:space="preserve">Ukrainian </t>
  </si>
  <si>
    <t xml:space="preserve">Latvian </t>
  </si>
  <si>
    <t>Tahitian</t>
  </si>
  <si>
    <t>Ossetian</t>
  </si>
  <si>
    <t>Northern Sami</t>
  </si>
  <si>
    <t>Esperanto</t>
  </si>
  <si>
    <t>Chamorro</t>
  </si>
  <si>
    <t xml:space="preserve">Rhaeto-Romance </t>
  </si>
  <si>
    <t>Occitan</t>
  </si>
  <si>
    <t>Catalan</t>
  </si>
  <si>
    <t>Galician</t>
  </si>
  <si>
    <t>Corsican</t>
  </si>
  <si>
    <t>Alemanic</t>
  </si>
  <si>
    <t xml:space="preserve">Scots </t>
  </si>
  <si>
    <t xml:space="preserve">Frisian </t>
  </si>
  <si>
    <t>Yiddish</t>
  </si>
  <si>
    <t>Luxembourgish</t>
  </si>
  <si>
    <t>Swiss German</t>
  </si>
  <si>
    <t xml:space="preserve">Gaelic (Not otherwise specified)  </t>
  </si>
  <si>
    <t>Manx Gaelic</t>
  </si>
  <si>
    <t>Gaelic (Scottish)</t>
  </si>
  <si>
    <t>Gaelic (Irish)</t>
  </si>
  <si>
    <t xml:space="preserve">Cornish </t>
  </si>
  <si>
    <t>Welsh/Cymraeg</t>
  </si>
  <si>
    <t>Basque/Euskara</t>
  </si>
  <si>
    <t>Komi</t>
  </si>
  <si>
    <t xml:space="preserve">Erzya </t>
  </si>
  <si>
    <t>Saami</t>
  </si>
  <si>
    <t>Neo-Aramaic</t>
  </si>
  <si>
    <t>Hebrew</t>
  </si>
  <si>
    <t>Kurdish (Not otherwise specified)</t>
  </si>
  <si>
    <t>Pashto</t>
  </si>
  <si>
    <t>Zazaki</t>
  </si>
  <si>
    <t xml:space="preserve">Gurani </t>
  </si>
  <si>
    <t>Leki</t>
  </si>
  <si>
    <t>Kurdish (Kermanshahi)</t>
  </si>
  <si>
    <t xml:space="preserve">Kurdish (Sorani) </t>
  </si>
  <si>
    <t>Kurdish (Kurmanji)</t>
  </si>
  <si>
    <t>Mazanderani</t>
  </si>
  <si>
    <t xml:space="preserve">Gilaki </t>
  </si>
  <si>
    <t>Luri</t>
  </si>
  <si>
    <t>Persian (Tajiki)</t>
  </si>
  <si>
    <t>Persian/Farsi</t>
  </si>
  <si>
    <t>Abaza</t>
  </si>
  <si>
    <t>Abkhaz</t>
  </si>
  <si>
    <t>Chechen</t>
  </si>
  <si>
    <t>Georgian/Kartuli</t>
  </si>
  <si>
    <t>Chuvash</t>
  </si>
  <si>
    <t>Tatar</t>
  </si>
  <si>
    <t>Bashkir</t>
  </si>
  <si>
    <t>Kirghiz</t>
  </si>
  <si>
    <t>Kazakh</t>
  </si>
  <si>
    <t>Uzbek</t>
  </si>
  <si>
    <t>Turkmen</t>
  </si>
  <si>
    <t>Azeri</t>
  </si>
  <si>
    <t xml:space="preserve">Turkish </t>
  </si>
  <si>
    <t>Meitei</t>
  </si>
  <si>
    <t>Limbu</t>
  </si>
  <si>
    <t>Newar</t>
  </si>
  <si>
    <t>Balti Tibetan</t>
  </si>
  <si>
    <t>Ladakhi</t>
  </si>
  <si>
    <t>Sherpa</t>
  </si>
  <si>
    <t>Sikkimese</t>
  </si>
  <si>
    <t>Dzongkha</t>
  </si>
  <si>
    <t xml:space="preserve">Khasi </t>
  </si>
  <si>
    <t>Munda</t>
  </si>
  <si>
    <t>Korku</t>
  </si>
  <si>
    <t>Sora-Juray</t>
  </si>
  <si>
    <t>Kharia</t>
  </si>
  <si>
    <t>Mundari</t>
  </si>
  <si>
    <t>Ho</t>
  </si>
  <si>
    <t xml:space="preserve">Santali </t>
  </si>
  <si>
    <t>Pahari (Not otherwise specified)</t>
  </si>
  <si>
    <t>Pahari (Pakistan)</t>
  </si>
  <si>
    <t>Bihari</t>
  </si>
  <si>
    <t>Panjabi (Not otherwise specified)</t>
  </si>
  <si>
    <t>Maldivian</t>
  </si>
  <si>
    <t xml:space="preserve">Sinhala </t>
  </si>
  <si>
    <t xml:space="preserve">Oriya </t>
  </si>
  <si>
    <t>Assamese</t>
  </si>
  <si>
    <t>Chatgaya</t>
  </si>
  <si>
    <t>Sylheti</t>
  </si>
  <si>
    <t>Bengali</t>
  </si>
  <si>
    <t xml:space="preserve">Konkani </t>
  </si>
  <si>
    <t xml:space="preserve">Marathi </t>
  </si>
  <si>
    <t>Saurashtra</t>
  </si>
  <si>
    <t>Gujarati</t>
  </si>
  <si>
    <t>Kachchi</t>
  </si>
  <si>
    <t>Sindhi</t>
  </si>
  <si>
    <t>Rajasthani</t>
  </si>
  <si>
    <t>Chhattisgarhi</t>
  </si>
  <si>
    <t>Magahi</t>
  </si>
  <si>
    <t xml:space="preserve">Maithili </t>
  </si>
  <si>
    <t xml:space="preserve">Bhojpuri </t>
  </si>
  <si>
    <t>Hindi</t>
  </si>
  <si>
    <t xml:space="preserve">Urdu </t>
  </si>
  <si>
    <t>Panjabi (India)</t>
  </si>
  <si>
    <t>Panjabi (Pakistan)</t>
  </si>
  <si>
    <t>Potwari</t>
  </si>
  <si>
    <t>Mirpuri</t>
  </si>
  <si>
    <t xml:space="preserve">Saraiki </t>
  </si>
  <si>
    <t>Hindko</t>
  </si>
  <si>
    <t>Kangri</t>
  </si>
  <si>
    <t>Dogri</t>
  </si>
  <si>
    <t>Bhateali</t>
  </si>
  <si>
    <t>Gaddi</t>
  </si>
  <si>
    <t>Churahi</t>
  </si>
  <si>
    <t>Jaunsari</t>
  </si>
  <si>
    <t>Kulu Pahari</t>
  </si>
  <si>
    <t xml:space="preserve">Chambeali </t>
  </si>
  <si>
    <t xml:space="preserve">Bhadrawahi </t>
  </si>
  <si>
    <t>Mandeali</t>
  </si>
  <si>
    <t>Garhwali</t>
  </si>
  <si>
    <t>Kumaoni</t>
  </si>
  <si>
    <t>Nepalese</t>
  </si>
  <si>
    <t>Kashmiri</t>
  </si>
  <si>
    <t xml:space="preserve">Kohistani </t>
  </si>
  <si>
    <t>Khowar</t>
  </si>
  <si>
    <t xml:space="preserve">Balochi </t>
  </si>
  <si>
    <t>Burushaski</t>
  </si>
  <si>
    <t>Brahui</t>
  </si>
  <si>
    <t>Duruwa/Parji</t>
  </si>
  <si>
    <t>Gondi</t>
  </si>
  <si>
    <t>Kodava</t>
  </si>
  <si>
    <t>Tulu</t>
  </si>
  <si>
    <t>Telugu</t>
  </si>
  <si>
    <t>Kannada</t>
  </si>
  <si>
    <t>Malayalam</t>
  </si>
  <si>
    <t>Tamil</t>
  </si>
  <si>
    <t>Chavacano</t>
  </si>
  <si>
    <t>Zhuang (Not otherwise specified)</t>
  </si>
  <si>
    <t>Zhuang (Southern)</t>
  </si>
  <si>
    <t>Shan</t>
  </si>
  <si>
    <t>Isan</t>
  </si>
  <si>
    <t>Lao</t>
  </si>
  <si>
    <t>Mien (Not otherwise specified)</t>
  </si>
  <si>
    <t>Hmong (Not otherwise specified)</t>
  </si>
  <si>
    <t>Kim Mun</t>
  </si>
  <si>
    <t>Iu Mien</t>
  </si>
  <si>
    <t>Hmong Njua</t>
  </si>
  <si>
    <t>Tetun</t>
  </si>
  <si>
    <t>Makasar</t>
  </si>
  <si>
    <t>Bugis</t>
  </si>
  <si>
    <t>Toba Batak</t>
  </si>
  <si>
    <t>Javanese</t>
  </si>
  <si>
    <t>Philippine (Not otherwise specified)</t>
  </si>
  <si>
    <t xml:space="preserve">Bisayan (Not otherwise specified) </t>
  </si>
  <si>
    <t>Tagalog/Filipino</t>
  </si>
  <si>
    <t>Pangasinan</t>
  </si>
  <si>
    <t>Pampangan</t>
  </si>
  <si>
    <t>Maranao</t>
  </si>
  <si>
    <t>Maguindanao</t>
  </si>
  <si>
    <t>Ilocano</t>
  </si>
  <si>
    <t>Waraynon</t>
  </si>
  <si>
    <t>Hiligaynon</t>
  </si>
  <si>
    <t>Cebuano</t>
  </si>
  <si>
    <t>Bikol</t>
  </si>
  <si>
    <t xml:space="preserve">Madura </t>
  </si>
  <si>
    <t>Balinese</t>
  </si>
  <si>
    <t>Sunda</t>
  </si>
  <si>
    <t>Iban</t>
  </si>
  <si>
    <t>Achehnese</t>
  </si>
  <si>
    <t>Indonesian Malay</t>
  </si>
  <si>
    <t>Malay</t>
  </si>
  <si>
    <t>Chinese (Not otherwise specified)</t>
  </si>
  <si>
    <t>Dungan</t>
  </si>
  <si>
    <t>Xiang Chinese</t>
  </si>
  <si>
    <t>Wu Chinese</t>
  </si>
  <si>
    <t>Pu-Xian Chinese</t>
  </si>
  <si>
    <t>Min Nan Chinese</t>
  </si>
  <si>
    <t>Min Dong Chinese</t>
  </si>
  <si>
    <t>Yi</t>
  </si>
  <si>
    <t>Hakka</t>
  </si>
  <si>
    <t>Gan Chinese</t>
  </si>
  <si>
    <t>Cantonese</t>
  </si>
  <si>
    <t>Mandarin Chinese</t>
  </si>
  <si>
    <t>Karen (Not otherwise specified)</t>
  </si>
  <si>
    <t>Karen (S'gaw)</t>
  </si>
  <si>
    <t xml:space="preserve">Arakanese </t>
  </si>
  <si>
    <t>Jingpho</t>
  </si>
  <si>
    <t>Tibetan</t>
  </si>
  <si>
    <t>Cambodian/Khmer</t>
  </si>
  <si>
    <t>Wa-Paraok</t>
  </si>
  <si>
    <t>Uyghur</t>
  </si>
  <si>
    <t>Korean</t>
  </si>
  <si>
    <t>Okinawan</t>
  </si>
  <si>
    <t>Ngola</t>
  </si>
  <si>
    <t>Ganda</t>
  </si>
  <si>
    <t>Egbema</t>
  </si>
  <si>
    <t>Bini (Not otherwise specified)</t>
  </si>
  <si>
    <t>Bassa (Not otherwise specified)</t>
  </si>
  <si>
    <t xml:space="preserve">Angolar </t>
  </si>
  <si>
    <t>Kabuverdianu</t>
  </si>
  <si>
    <t>Seselwa Creole</t>
  </si>
  <si>
    <t>Morisyen</t>
  </si>
  <si>
    <t>West African Creole English</t>
  </si>
  <si>
    <t>Pichinglis</t>
  </si>
  <si>
    <t>Liberian English</t>
  </si>
  <si>
    <t>Kamtok</t>
  </si>
  <si>
    <t>Nigerian Pidgin</t>
  </si>
  <si>
    <t>Krio</t>
  </si>
  <si>
    <t>Malagasy</t>
  </si>
  <si>
    <t xml:space="preserve">Nyole </t>
  </si>
  <si>
    <t>Lunyole</t>
  </si>
  <si>
    <t>Konde</t>
  </si>
  <si>
    <t>Ngoni</t>
  </si>
  <si>
    <t xml:space="preserve">Sotho (Not otherwise specified) </t>
  </si>
  <si>
    <t>Ndebele (Not otherwise specified)</t>
  </si>
  <si>
    <t>Zulu</t>
  </si>
  <si>
    <t>Siswati</t>
  </si>
  <si>
    <t xml:space="preserve">Xhosa </t>
  </si>
  <si>
    <t>Ndebele (South Africa)</t>
  </si>
  <si>
    <t>Ndebele (Zimbabwe)</t>
  </si>
  <si>
    <t>Setswana</t>
  </si>
  <si>
    <t xml:space="preserve">Sotho (Northern) </t>
  </si>
  <si>
    <t>Sotho/Sesotho</t>
  </si>
  <si>
    <t>Lozi</t>
  </si>
  <si>
    <t>Tsonga</t>
  </si>
  <si>
    <t>Venda</t>
  </si>
  <si>
    <t>Nambya</t>
  </si>
  <si>
    <t>Shona</t>
  </si>
  <si>
    <t>Makua</t>
  </si>
  <si>
    <t xml:space="preserve">Sena </t>
  </si>
  <si>
    <t>Nsenga</t>
  </si>
  <si>
    <t>Chichewa/Nyanja</t>
  </si>
  <si>
    <t>Tumbuka</t>
  </si>
  <si>
    <t>Nyakyusa-Ngonde</t>
  </si>
  <si>
    <t>Makonde</t>
  </si>
  <si>
    <t>Chiyao</t>
  </si>
  <si>
    <t>Chingoni</t>
  </si>
  <si>
    <t>Comorian</t>
  </si>
  <si>
    <t>Swahili/Kiswahili</t>
  </si>
  <si>
    <t>Mambwe-Lungu</t>
  </si>
  <si>
    <t>Gogo</t>
  </si>
  <si>
    <t>Kinyamwezi</t>
  </si>
  <si>
    <t>Kisukuma</t>
  </si>
  <si>
    <t>Luhya</t>
  </si>
  <si>
    <t>Masaba/Lugisu</t>
  </si>
  <si>
    <t>Lugwere</t>
  </si>
  <si>
    <t>Lusoga</t>
  </si>
  <si>
    <t>Luganda</t>
  </si>
  <si>
    <t>Runyakitara</t>
  </si>
  <si>
    <t>Haya</t>
  </si>
  <si>
    <t>Kinyarwanda</t>
  </si>
  <si>
    <t>Kirundi</t>
  </si>
  <si>
    <t>Namwanga</t>
  </si>
  <si>
    <t>Chaga</t>
  </si>
  <si>
    <t>Kikamba</t>
  </si>
  <si>
    <t>Kimeru</t>
  </si>
  <si>
    <t>Kiembu</t>
  </si>
  <si>
    <t>Gikuyu</t>
  </si>
  <si>
    <t>Gusii</t>
  </si>
  <si>
    <t>Chitonga</t>
  </si>
  <si>
    <t>Lamba</t>
  </si>
  <si>
    <t>Bemba</t>
  </si>
  <si>
    <t>Kaonde</t>
  </si>
  <si>
    <t>Luba</t>
  </si>
  <si>
    <t>Chilunda</t>
  </si>
  <si>
    <t>Ruund</t>
  </si>
  <si>
    <t>Chokwe</t>
  </si>
  <si>
    <t>Luvale</t>
  </si>
  <si>
    <t>Luyana</t>
  </si>
  <si>
    <t>Herero</t>
  </si>
  <si>
    <t>Ambo/Oshiwambo</t>
  </si>
  <si>
    <t>Umbundu</t>
  </si>
  <si>
    <t>Kimbundu</t>
  </si>
  <si>
    <t>Kikongo</t>
  </si>
  <si>
    <t>Kituba</t>
  </si>
  <si>
    <t>Teke</t>
  </si>
  <si>
    <t>Lusengo</t>
  </si>
  <si>
    <t>Lingala</t>
  </si>
  <si>
    <t>Fang</t>
  </si>
  <si>
    <t>Bulu</t>
  </si>
  <si>
    <t>Ewondo</t>
  </si>
  <si>
    <t>Basaa</t>
  </si>
  <si>
    <t>Duala</t>
  </si>
  <si>
    <t xml:space="preserve">Mungaka </t>
  </si>
  <si>
    <t>Bamileke</t>
  </si>
  <si>
    <t>Lamnso</t>
  </si>
  <si>
    <t>Tiv</t>
  </si>
  <si>
    <t>Ogoni</t>
  </si>
  <si>
    <t>Eggon</t>
  </si>
  <si>
    <t>Olulumo-Ikom</t>
  </si>
  <si>
    <t>Odual</t>
  </si>
  <si>
    <t>Abua</t>
  </si>
  <si>
    <t>Ekit</t>
  </si>
  <si>
    <t>Tyap</t>
  </si>
  <si>
    <t>Jju</t>
  </si>
  <si>
    <t>Kuche</t>
  </si>
  <si>
    <t>Kukele</t>
  </si>
  <si>
    <t>Oring</t>
  </si>
  <si>
    <t>Ogbia</t>
  </si>
  <si>
    <t>Eleme</t>
  </si>
  <si>
    <t>Gokana</t>
  </si>
  <si>
    <t>Khana</t>
  </si>
  <si>
    <t>Efik-Ibibio</t>
  </si>
  <si>
    <t>Igara (Not otherwise specified)</t>
  </si>
  <si>
    <t>Yekhee</t>
  </si>
  <si>
    <t>Emai-luleha-Ora</t>
  </si>
  <si>
    <t>Ekpeye</t>
  </si>
  <si>
    <t>Ikwere</t>
  </si>
  <si>
    <t>Igbo</t>
  </si>
  <si>
    <t>Isoko</t>
  </si>
  <si>
    <t>Urhobo</t>
  </si>
  <si>
    <t>Esan</t>
  </si>
  <si>
    <t>Edo/Bini</t>
  </si>
  <si>
    <t>Igede</t>
  </si>
  <si>
    <t>Idoma</t>
  </si>
  <si>
    <t xml:space="preserve">Ebira </t>
  </si>
  <si>
    <t>Gbagyi</t>
  </si>
  <si>
    <t>Nupe</t>
  </si>
  <si>
    <t xml:space="preserve">Igala </t>
  </si>
  <si>
    <t>Itsekiri</t>
  </si>
  <si>
    <t>Yoruba</t>
  </si>
  <si>
    <t>Ikposo</t>
  </si>
  <si>
    <t>Fon</t>
  </si>
  <si>
    <t>Ewe</t>
  </si>
  <si>
    <t>Adangme</t>
  </si>
  <si>
    <t>Ga</t>
  </si>
  <si>
    <t>Gonja</t>
  </si>
  <si>
    <t>Awutu</t>
  </si>
  <si>
    <t>Akan</t>
  </si>
  <si>
    <t>Ahanta</t>
  </si>
  <si>
    <t>Nzema</t>
  </si>
  <si>
    <t>Anyi-Baoulé</t>
  </si>
  <si>
    <t>Ijo (Not otherwise specified)</t>
  </si>
  <si>
    <t>Nembe Ijo</t>
  </si>
  <si>
    <t>Ibani</t>
  </si>
  <si>
    <t>Kirike</t>
  </si>
  <si>
    <t>Kalabari Ijo</t>
  </si>
  <si>
    <t>Izon</t>
  </si>
  <si>
    <t>Ebuna</t>
  </si>
  <si>
    <t>Mbum</t>
  </si>
  <si>
    <t xml:space="preserve">Sango </t>
  </si>
  <si>
    <t>Banda</t>
  </si>
  <si>
    <t>Ngbaka</t>
  </si>
  <si>
    <t>Gbaya</t>
  </si>
  <si>
    <t>Zande</t>
  </si>
  <si>
    <t>Kasem</t>
  </si>
  <si>
    <t>Kabiye</t>
  </si>
  <si>
    <t>Baatonum</t>
  </si>
  <si>
    <t>Bimoba</t>
  </si>
  <si>
    <t>Gourmanchema</t>
  </si>
  <si>
    <t>Buli (Ghana)</t>
  </si>
  <si>
    <t>Kusaal</t>
  </si>
  <si>
    <t>Mampruli</t>
  </si>
  <si>
    <t>Dagbani</t>
  </si>
  <si>
    <t>Wali</t>
  </si>
  <si>
    <t>Birifor</t>
  </si>
  <si>
    <t>Dagaare</t>
  </si>
  <si>
    <t>Gurenne</t>
  </si>
  <si>
    <t>Moore</t>
  </si>
  <si>
    <t>Kru (Not otherwise specified)</t>
  </si>
  <si>
    <t>Bete</t>
  </si>
  <si>
    <t>Guere</t>
  </si>
  <si>
    <t>Krahn</t>
  </si>
  <si>
    <t>Krumen</t>
  </si>
  <si>
    <t>Grebo</t>
  </si>
  <si>
    <t>Klao</t>
  </si>
  <si>
    <t>Bassa (Liberia)</t>
  </si>
  <si>
    <t>Kisi (West Africa)</t>
  </si>
  <si>
    <t>Temne</t>
  </si>
  <si>
    <t>Limba/Yimba</t>
  </si>
  <si>
    <t>Diola-Fonyi</t>
  </si>
  <si>
    <t>Balanta</t>
  </si>
  <si>
    <t>Wolof</t>
  </si>
  <si>
    <t>Fula</t>
  </si>
  <si>
    <t>Loko</t>
  </si>
  <si>
    <t>Soninke</t>
  </si>
  <si>
    <t>Kpelle</t>
  </si>
  <si>
    <t>Mende</t>
  </si>
  <si>
    <t>Susu</t>
  </si>
  <si>
    <t>Kono</t>
  </si>
  <si>
    <t xml:space="preserve">Vai </t>
  </si>
  <si>
    <t>Kuranko</t>
  </si>
  <si>
    <t>Manding (Dyula)</t>
  </si>
  <si>
    <t>Manding (Bamana)</t>
  </si>
  <si>
    <t>Manding/Mandenkan</t>
  </si>
  <si>
    <t>Nama</t>
  </si>
  <si>
    <t>Songhai</t>
  </si>
  <si>
    <t>Kanuri</t>
  </si>
  <si>
    <t>Lwo (Not otherwise specified)</t>
  </si>
  <si>
    <t>Kakwa</t>
  </si>
  <si>
    <t>Bari-Pojulu</t>
  </si>
  <si>
    <t>Teso</t>
  </si>
  <si>
    <t>Maasai</t>
  </si>
  <si>
    <t>Kalenjin</t>
  </si>
  <si>
    <t>Alur</t>
  </si>
  <si>
    <t>Luo/Dholuo</t>
  </si>
  <si>
    <t>Adhola</t>
  </si>
  <si>
    <t>Lango (Uganda)</t>
  </si>
  <si>
    <t>Acholi</t>
  </si>
  <si>
    <t>Shilluk/Cholo</t>
  </si>
  <si>
    <t>Nuer/Naadh</t>
  </si>
  <si>
    <t>Dinka/Jieng</t>
  </si>
  <si>
    <t>Madi</t>
  </si>
  <si>
    <t>Mangbetu</t>
  </si>
  <si>
    <t>Lugbara</t>
  </si>
  <si>
    <t>Wolaytta</t>
  </si>
  <si>
    <t xml:space="preserve">Somali </t>
  </si>
  <si>
    <t>Rendille</t>
  </si>
  <si>
    <t>Oromo</t>
  </si>
  <si>
    <t>Maay</t>
  </si>
  <si>
    <t>Bilen</t>
  </si>
  <si>
    <t>Afar-Saho</t>
  </si>
  <si>
    <t xml:space="preserve">Tangale </t>
  </si>
  <si>
    <t>Bata/Gbwata</t>
  </si>
  <si>
    <t xml:space="preserve">Hausa </t>
  </si>
  <si>
    <t xml:space="preserve">Tigrinya </t>
  </si>
  <si>
    <t>Tigre</t>
  </si>
  <si>
    <t>Amharic</t>
  </si>
  <si>
    <t>Afrikaans</t>
  </si>
  <si>
    <t xml:space="preserve">Kenuzi Dongola </t>
  </si>
  <si>
    <t>Nobiin</t>
  </si>
  <si>
    <t>Beja/Bedawi</t>
  </si>
  <si>
    <t>Berber (Not otherwise specified)</t>
  </si>
  <si>
    <t>Tamasheq</t>
  </si>
  <si>
    <t>Berber/Tamazight</t>
  </si>
  <si>
    <t>Lebanese Arabic</t>
  </si>
  <si>
    <t>Syrian Arabic</t>
  </si>
  <si>
    <t>Iraqi Arabic</t>
  </si>
  <si>
    <t>Yemeni Arabic</t>
  </si>
  <si>
    <t>Egyptian Arabic</t>
  </si>
  <si>
    <t>Hassaniyya</t>
  </si>
  <si>
    <t>Shuwa/Chad Arabic</t>
  </si>
  <si>
    <t>Sudanese Arabic</t>
  </si>
  <si>
    <t>Maghrebi Arabic</t>
  </si>
  <si>
    <t>1999-2022</t>
  </si>
  <si>
    <t>Survey</t>
  </si>
  <si>
    <t>YES</t>
  </si>
  <si>
    <t>Floating Point</t>
  </si>
  <si>
    <t>Household_ID</t>
  </si>
  <si>
    <t>Household ID</t>
  </si>
  <si>
    <t>Dwelling_ID</t>
  </si>
  <si>
    <t>Dwelling ID</t>
  </si>
  <si>
    <t>Accommodation_Type</t>
  </si>
  <si>
    <t>Accommodation type</t>
  </si>
  <si>
    <t>Self_Contained</t>
  </si>
  <si>
    <t>Self-contained</t>
  </si>
  <si>
    <t>Number_Bedrooms</t>
  </si>
  <si>
    <t>Number of bedrooms</t>
  </si>
  <si>
    <t>VOA_Number_Of_Rooms</t>
  </si>
  <si>
    <t>VOA number of rooms</t>
  </si>
  <si>
    <t>Heating_Type</t>
  </si>
  <si>
    <t>Central heating</t>
  </si>
  <si>
    <t>Ownership_Type</t>
  </si>
  <si>
    <t>Tenure type</t>
  </si>
  <si>
    <t>Landlord</t>
  </si>
  <si>
    <t>Landlord type</t>
  </si>
  <si>
    <t>Number_Of_Cars</t>
  </si>
  <si>
    <t>Number of cars</t>
  </si>
  <si>
    <t>Number_Of_Residents</t>
  </si>
  <si>
    <t>Number of people usually living at household</t>
  </si>
  <si>
    <t>Number_Of_Visitors</t>
  </si>
  <si>
    <t>Number of visitors</t>
  </si>
  <si>
    <t>Who_Usually_Lives_Here</t>
  </si>
  <si>
    <t>Who lives in the household</t>
  </si>
  <si>
    <t>Who_Is_Staying</t>
  </si>
  <si>
    <t>Who else is staying overnight</t>
  </si>
  <si>
    <t>From_Dummy</t>
  </si>
  <si>
    <t>From Dummy</t>
  </si>
  <si>
    <t>Estimated_Residents</t>
  </si>
  <si>
    <t>Estimated Residents</t>
  </si>
  <si>
    <t>Dummy_Source</t>
  </si>
  <si>
    <t>Dummy Source</t>
  </si>
  <si>
    <t>Dummy_Reason</t>
  </si>
  <si>
    <t>Dummy Reason</t>
  </si>
  <si>
    <t>HH_SIZE</t>
  </si>
  <si>
    <t>Household size</t>
  </si>
  <si>
    <t>66_PLUS_HH</t>
  </si>
  <si>
    <t>Households with persons of pensionable age</t>
  </si>
  <si>
    <t>HH_17_PLUS</t>
  </si>
  <si>
    <t>Number of people aged 17 or over in the household</t>
  </si>
  <si>
    <t>HH_ADULT_WELSH_SPEAKERS</t>
  </si>
  <si>
    <t>DVO specifying adult Welsh speakers in household</t>
  </si>
  <si>
    <t>HH_ADULTS_AND_CHILDREN</t>
  </si>
  <si>
    <t>Adults and children in household</t>
  </si>
  <si>
    <t>HH_ADULTS_DISABLED</t>
  </si>
  <si>
    <t>Number of disabled adults in the household</t>
  </si>
  <si>
    <t>HH_ADULTS_EMPLOYMENT</t>
  </si>
  <si>
    <t>Number of adults in employment in household</t>
  </si>
  <si>
    <t>HH_ADULTS_NUM</t>
  </si>
  <si>
    <t>Number of adults in household</t>
  </si>
  <si>
    <t>HH_AWAY_STUDENT</t>
  </si>
  <si>
    <t>Household has students or schoolchildren living away during term-time</t>
  </si>
  <si>
    <t>HH_BEDROOMS_REQUIRED</t>
  </si>
  <si>
    <t xml:space="preserve">Number of bedrooms required by the household </t>
  </si>
  <si>
    <t>HH_CARERS</t>
  </si>
  <si>
    <t>Number of unpaid care providers in the household</t>
  </si>
  <si>
    <t>HH_CARERS_EMPLOYMENT</t>
  </si>
  <si>
    <t>Carers in household and their employment</t>
  </si>
  <si>
    <t>HH_CARERS_HEALTH</t>
  </si>
  <si>
    <t>Unpaid carers in household and their general health</t>
  </si>
  <si>
    <t>HH_COMPOSITION_WELSH</t>
  </si>
  <si>
    <t>Welsh household composition</t>
  </si>
  <si>
    <t>HH_DEPENDENT_CHILDREN</t>
  </si>
  <si>
    <t>Household dependent children</t>
  </si>
  <si>
    <t>HH_DEPRIVATION</t>
  </si>
  <si>
    <t>Classification of household deprivation</t>
  </si>
  <si>
    <t>HH_DEPRIVATION_EDUCATION</t>
  </si>
  <si>
    <t>Household education deprivation</t>
  </si>
  <si>
    <t>HH_DEPRIVATION_EMPLOYMENT</t>
  </si>
  <si>
    <t>Household employment deprivation</t>
  </si>
  <si>
    <t>HH_DEPRIVATION_HEALTH</t>
  </si>
  <si>
    <t>Health and disability deprivation</t>
  </si>
  <si>
    <t>HH_DEPRIVATION_HOUSING</t>
  </si>
  <si>
    <t>Household Housing Deprivation</t>
  </si>
  <si>
    <t>HH_DISABLED</t>
  </si>
  <si>
    <t>Number of disabled people in the household</t>
  </si>
  <si>
    <t>HH_FAMILIES_COUNT</t>
  </si>
  <si>
    <t>Count of families in the household</t>
  </si>
  <si>
    <t>HH_FAMILIES_TYPE</t>
  </si>
  <si>
    <t>Type of families in household</t>
  </si>
  <si>
    <t>HH_FAMILY_COMPOSITION</t>
  </si>
  <si>
    <t>Household family composition</t>
  </si>
  <si>
    <t>HH_LANGUAGE</t>
  </si>
  <si>
    <t>English or Welsh as a household language</t>
  </si>
  <si>
    <t>HH_LIFESTAGE</t>
  </si>
  <si>
    <t>Household Lifestage</t>
  </si>
  <si>
    <t>HH_MULTI_ETHNIC_COMBINATION</t>
  </si>
  <si>
    <t>Multiple ethnic group household combination</t>
  </si>
  <si>
    <t>HH_MULTI_ETHNIC_GROUP</t>
  </si>
  <si>
    <t>Multiple ethnic group household</t>
  </si>
  <si>
    <t>HH_MULTI_LANGUAGE</t>
  </si>
  <si>
    <t>Multiple main languages in household</t>
  </si>
  <si>
    <t>HH_NO_CONDITION</t>
  </si>
  <si>
    <t>Number of people in the household without a long-term health problem</t>
  </si>
  <si>
    <t>HH_NOT_LIMITED</t>
  </si>
  <si>
    <t>Number of people in the household with a long-term health problem not causing limitation</t>
  </si>
  <si>
    <t>HH_NUMBER_LIMITED_LITTLE</t>
  </si>
  <si>
    <t>Number of disabled people in the household who are limited a little in their ability to carry out day-to-day activities</t>
  </si>
  <si>
    <t>HH_NUMBER_LIMITED_LOT</t>
  </si>
  <si>
    <t>Number of disabled people in the household who are limited a lot in their ability to carry out day-to-day activities</t>
  </si>
  <si>
    <t>HH_NUMBER_OF_VISITORS</t>
  </si>
  <si>
    <t>Number of visitors in household</t>
  </si>
  <si>
    <t>HH_PERSONS_PER_BEDROOM</t>
  </si>
  <si>
    <t>Persons per bedroom</t>
  </si>
  <si>
    <t>HH_PERSONS_PER_ROOM</t>
  </si>
  <si>
    <t>Persons per room</t>
  </si>
  <si>
    <t>HH_ROOMS_REQUIRED</t>
  </si>
  <si>
    <t>Number of rooms required by the household</t>
  </si>
  <si>
    <t>HH_SPACE_OCCUPANCY</t>
  </si>
  <si>
    <t>Indicator of unoccupied household space</t>
  </si>
  <si>
    <t>HH_TENURE</t>
  </si>
  <si>
    <t>Tenure of household</t>
  </si>
  <si>
    <t>HH_VETERANS</t>
  </si>
  <si>
    <t>Count of former UK Armed Forces personnel in household</t>
  </si>
  <si>
    <t>HH_WELSH_SPEAK_3_PLUS</t>
  </si>
  <si>
    <t>Number of Welsh speakers aged 3 and over in the household</t>
  </si>
  <si>
    <t>HH_WELSH_SPEAKING_ADULTS</t>
  </si>
  <si>
    <t>Number of Welsh speaking adults in household</t>
  </si>
  <si>
    <t>AWAY_STUDENT_NUM</t>
  </si>
  <si>
    <t>Number of schoolchildren and students in a household living away during term time</t>
  </si>
  <si>
    <t>OCCUPANCY_RATING_BEDROOMS</t>
  </si>
  <si>
    <t>Occupancy rating (bedrooms standard)</t>
  </si>
  <si>
    <t>OCCUPANCY_RATING_ROOMS</t>
  </si>
  <si>
    <t>Occupancy rating (rooms standard)</t>
  </si>
  <si>
    <t>HH_SIZE_ALL_20</t>
  </si>
  <si>
    <t>Number of people in household regardless of resident status</t>
  </si>
  <si>
    <t>ACCOM_GROUP_20</t>
  </si>
  <si>
    <t>Accommodation Type collapsed</t>
  </si>
  <si>
    <t>TENURE_LANDLORD_20</t>
  </si>
  <si>
    <t>Ownership status of the household’s accommodation synchronise the Census and CCS definitions</t>
  </si>
  <si>
    <t>TENHUK_20</t>
  </si>
  <si>
    <t>WORKERS_TRANSPORT</t>
  </si>
  <si>
    <t>Workers in household and their transport to work</t>
  </si>
  <si>
    <t>MOVING_HH_IND</t>
  </si>
  <si>
    <t>Moving household indicator</t>
  </si>
  <si>
    <t>Household table</t>
  </si>
  <si>
    <t>Resident_ID</t>
  </si>
  <si>
    <t>Resident ID</t>
  </si>
  <si>
    <t>Related_Resident_ID</t>
  </si>
  <si>
    <t>Related Resident ID</t>
  </si>
  <si>
    <t>Relationship</t>
  </si>
  <si>
    <t>Relationships</t>
  </si>
  <si>
    <t>Relationship table</t>
  </si>
  <si>
    <t>Dataset main table</t>
  </si>
  <si>
    <t>Partially moving household</t>
  </si>
  <si>
    <t>Wholly moving household</t>
  </si>
  <si>
    <t>Not a wholly or partially moving household</t>
  </si>
  <si>
    <t>Three or more persons working in household: Mixture of driving a car or van, other and working at home</t>
  </si>
  <si>
    <t>Three or more persons working in household: Mixture of other method and working at home</t>
  </si>
  <si>
    <t>Mixture of driving a car or van and working at home</t>
  </si>
  <si>
    <t>Three or more persons working in household: Mixture of driving a car or van and other method</t>
  </si>
  <si>
    <t>Three or more persons working in household: All working at home</t>
  </si>
  <si>
    <t>Three or more persons working in household: All other method of travel to work</t>
  </si>
  <si>
    <t>Three or more persons working in household: All driving cars or vans</t>
  </si>
  <si>
    <t>Two persons working in household: One other method, one working at home</t>
  </si>
  <si>
    <t>Two persons working in household: One driving a car or van, one working at home</t>
  </si>
  <si>
    <t>09</t>
  </si>
  <si>
    <t>Two persons working in household:  One driving a car or van, one other method</t>
  </si>
  <si>
    <t>08</t>
  </si>
  <si>
    <t>Two persons working in household: Both working at home</t>
  </si>
  <si>
    <t>07</t>
  </si>
  <si>
    <t>Two persons working in household: Both other method of travel to work</t>
  </si>
  <si>
    <t>06</t>
  </si>
  <si>
    <t>Two persons working in household: Both driving cars or vans</t>
  </si>
  <si>
    <t>05</t>
  </si>
  <si>
    <t>One person working in household: Works at home</t>
  </si>
  <si>
    <t>04</t>
  </si>
  <si>
    <t>One person working in household: Other method of travel to work</t>
  </si>
  <si>
    <t>03</t>
  </si>
  <si>
    <t>One person working in household: Driving a car or van</t>
  </si>
  <si>
    <t>02</t>
  </si>
  <si>
    <t>No persons working in household</t>
  </si>
  <si>
    <t>01</t>
  </si>
  <si>
    <t>Lives here rent free</t>
  </si>
  <si>
    <t>Rents- Other</t>
  </si>
  <si>
    <t>Rents- Relative or friend of a household member</t>
  </si>
  <si>
    <t>Rents- Employer of a household member</t>
  </si>
  <si>
    <t>Rents- Private landlord or letting agency</t>
  </si>
  <si>
    <t>Rents- Housing Association, Housing Co-operative, Charitable Trust, Registered Social Landlord</t>
  </si>
  <si>
    <t>Rents- Council (Local Authority)</t>
  </si>
  <si>
    <t>Part owns or part rents (shared ownership)</t>
  </si>
  <si>
    <t>Owns with a mortgage or loan</t>
  </si>
  <si>
    <t>Owns outright</t>
  </si>
  <si>
    <t>Rent free- Other</t>
  </si>
  <si>
    <t>Rent free- Relative or friend of a household member</t>
  </si>
  <si>
    <t>Rent free- Employer of a household member</t>
  </si>
  <si>
    <t>Rent free- Private landlord or letting agency</t>
  </si>
  <si>
    <t>Rent free- Council (Local Authority)</t>
  </si>
  <si>
    <t>Rent free- Housing Association, Housing Co-operative, Charitable Trust, Registered Social Landlord</t>
  </si>
  <si>
    <t>Shared ownership- Other</t>
  </si>
  <si>
    <t>Shared ownership- Relative or friend of a household member</t>
  </si>
  <si>
    <t>Shared ownership- Employer of a household member</t>
  </si>
  <si>
    <t>Shared ownership- Private landlord or letting agency</t>
  </si>
  <si>
    <t>Shared ownership- Council (Local Authority)</t>
  </si>
  <si>
    <t>Shared ownership- Housing Association, Housing Co-operative, Charitable Trust, Registered Social Landlord</t>
  </si>
  <si>
    <t>A mobile of temporary structure</t>
  </si>
  <si>
    <t>A flat, maisonette or apartment</t>
  </si>
  <si>
    <t>A whole house or bungalow</t>
  </si>
  <si>
    <t>Occupancy rating (rooms) of -5 or more</t>
  </si>
  <si>
    <t>Occupancy rating (rooms) of -4</t>
  </si>
  <si>
    <t>Occupancy rating (rooms) of -3</t>
  </si>
  <si>
    <t>Occupancy rating (rooms) of -2</t>
  </si>
  <si>
    <t>Occupancy rating (rooms) of -1</t>
  </si>
  <si>
    <t>Occupancy rating (rooms) of 0</t>
  </si>
  <si>
    <t>Occupancy rating (rooms) of +1</t>
  </si>
  <si>
    <t>Occupancy rating (rooms) of +2</t>
  </si>
  <si>
    <t>Occupancy rating (rooms) of +3</t>
  </si>
  <si>
    <t>Occupancy rating (rooms) of +4</t>
  </si>
  <si>
    <t>Occupancy rating (rooms) of +5 or more</t>
  </si>
  <si>
    <t>Occupancy rating (bedrooms) of -5 or more</t>
  </si>
  <si>
    <t>Occupancy rating (bedrooms) of -4</t>
  </si>
  <si>
    <t>Occupancy rating (bedrooms) of -3</t>
  </si>
  <si>
    <t>Occupancy rating (bedrooms) of -2</t>
  </si>
  <si>
    <t>Occupancy rating (bedrooms) of -1</t>
  </si>
  <si>
    <t>Occupancy rating (bedrooms) of 0</t>
  </si>
  <si>
    <t>Occupancy rating (bedrooms) of +1</t>
  </si>
  <si>
    <t>Occupancy rating (bedrooms) of +2</t>
  </si>
  <si>
    <t>Occupancy rating (bedrooms) of +3</t>
  </si>
  <si>
    <t>Occupancy rating (bedrooms) of +4</t>
  </si>
  <si>
    <t>Occupancy rating (bedrooms) of +5 or more</t>
  </si>
  <si>
    <t>Lives rent free</t>
  </si>
  <si>
    <t>Private Rented: Other</t>
  </si>
  <si>
    <t>Private rented: ‘Relative or friend of household member</t>
  </si>
  <si>
    <t>Private rented: ‘Employer of a household member</t>
  </si>
  <si>
    <t>Private rented: ‘Private landlord or letting agency</t>
  </si>
  <si>
    <t>Other social rented</t>
  </si>
  <si>
    <t>Rented from council or local authority</t>
  </si>
  <si>
    <t>Shared ownership</t>
  </si>
  <si>
    <t>Unoccupied household on Census Day (Vacant household, Holiday home or second residence)</t>
  </si>
  <si>
    <t>Refusal Household</t>
  </si>
  <si>
    <t>Non-return household</t>
  </si>
  <si>
    <t>Absent Household</t>
  </si>
  <si>
    <t>Over 1.5 persons per room</t>
  </si>
  <si>
    <t>Over 1.0 and up to 1.5 persons per room</t>
  </si>
  <si>
    <t>Over 0.5 and up to 1.0 persons per room</t>
  </si>
  <si>
    <t>Up to 0.5 persons per room</t>
  </si>
  <si>
    <t>Over 1.5 persons per bedroom</t>
  </si>
  <si>
    <t>Over 1.0 and up to and including 1.5 persons per bedroom</t>
  </si>
  <si>
    <t>Over 0.5 and up to and including 1.0 persons per bedroom</t>
  </si>
  <si>
    <t>Up to and including 0.5 persons per bedroom</t>
  </si>
  <si>
    <t>Any other combination of multiple main languages</t>
  </si>
  <si>
    <t>Main language differs within partnerships (whether or not different main languages also exist between generations)</t>
  </si>
  <si>
    <t>Main language differs between generations, but not within partnerships</t>
  </si>
  <si>
    <t>All household members have the same main language</t>
  </si>
  <si>
    <t>One person household</t>
  </si>
  <si>
    <t>Any other combination of multiple ethnic identities</t>
  </si>
  <si>
    <t>Ethnic groups differ within partnerships (whether or not also different generations)</t>
  </si>
  <si>
    <t>Ethnic groups differ between generations, but not within partnerships</t>
  </si>
  <si>
    <t>All household members have the same ethnic group</t>
  </si>
  <si>
    <t>Combination: Combination of three or more ethnic group categories in the household</t>
  </si>
  <si>
    <t>Combination: Combination of Black and “Other” ethnic groups</t>
  </si>
  <si>
    <t>Combination: Combination of Asian and “Other” ethnic groups</t>
  </si>
  <si>
    <t>Combination: Combination of Asian and Black ethnic groups</t>
  </si>
  <si>
    <t>Combination: Combination of Mixed and “Other” ethnic groups</t>
  </si>
  <si>
    <t>Combination: Combination of Mixed and Black ethnic groups</t>
  </si>
  <si>
    <t>Combination: Combination of Mixed and Asian ethnic groups</t>
  </si>
  <si>
    <t>Combination: Combination of White and 'Other' ethnic groups</t>
  </si>
  <si>
    <t>Combination: Combination of White and Black ethnic groups</t>
  </si>
  <si>
    <t>Combination: Combination of White and Asian ethnic groups</t>
  </si>
  <si>
    <t>Combination: Combination of White and Mixed ethnic groups</t>
  </si>
  <si>
    <t>Other ethnic groups: Combination of multiple 'Other' ethnic groups</t>
  </si>
  <si>
    <t>Other ethnic groups: Same 'Other' ethnic group</t>
  </si>
  <si>
    <t>Black/Black Welsh/Black Caribbean/African: Combination of multiple Black ethnic groups</t>
  </si>
  <si>
    <t>Black/Black Welsh/Black Caribbean/African: Same Black ethnic group</t>
  </si>
  <si>
    <t>Asian/Asian Welsh/Asian British: Combination of multiple Asian ethnic groups</t>
  </si>
  <si>
    <t>Asian/Asian Welsh/Asian British: Same Asian ethnic group</t>
  </si>
  <si>
    <t>Mixed/multiple ethnic groups: Combination of multiple Mixed ethnic groups</t>
  </si>
  <si>
    <t>Mixed/multiple ethnic groups: Same Mixed ethnic group</t>
  </si>
  <si>
    <t>White: Combination of multiple White ethnic groups</t>
  </si>
  <si>
    <t>White: Same White ethnic group: Not including English/Welsh/Scottish/Northern Irish/British</t>
  </si>
  <si>
    <t>White: Same White ethnic group: English/Welsh/Scottish/Northern Irish/British only</t>
  </si>
  <si>
    <t>Age of HRP is 75 and over: Two or more person household – with dependent child(ren)</t>
  </si>
  <si>
    <t>Age of HRP is 75 and over: Two or more person household – no dependent child(ren)</t>
  </si>
  <si>
    <t>Age of HRP is 75 and over: One person household</t>
  </si>
  <si>
    <t>Age of HRP is 66-74: Two or more person household – with dependent child(ren)</t>
  </si>
  <si>
    <t>Age of HRP is 66-74: Two or more person household – no dependent child(ren)</t>
  </si>
  <si>
    <t>Age of HRP is 66-74: One person household</t>
  </si>
  <si>
    <t>Age of HRP is 55-65: Two or more person household – with dependent child(ren)</t>
  </si>
  <si>
    <t>Age of HRP is 55-65: Two or more person household – no dependent child(ren)</t>
  </si>
  <si>
    <t>Age of HRP is 55-65: One person household’</t>
  </si>
  <si>
    <t>Age of HRP is 35-54: Two or more person household – with dependent child(ren)</t>
  </si>
  <si>
    <t>Age of HRP is 35-54: Two or more person household – no dependent child(ren)</t>
  </si>
  <si>
    <t>Age of HRP is 35-54: One person household</t>
  </si>
  <si>
    <t>Age of HRP is 25-34: Two or more person household – with dependent child(ren)</t>
  </si>
  <si>
    <t>Age of HRP is 25-34: Two or more person household – no dependent child(ren)</t>
  </si>
  <si>
    <t>Age of HRP is 25-34: One person household</t>
  </si>
  <si>
    <t>Age of HRP is 16-24: Two or more person household – with dependent child(ren)</t>
  </si>
  <si>
    <t>Age of HRP is 16-24: Two or more person household – no dependent child(ren)</t>
  </si>
  <si>
    <t>Age of HRP is 16-24: One person household</t>
  </si>
  <si>
    <t>Age of HRP is 0-15: Two or more person household – with dependent child(ren)</t>
  </si>
  <si>
    <t>Age of HRP is 0-15: Two or more person household – no dependent child(ren)</t>
  </si>
  <si>
    <t>Age of HRP is 0-15: One person household</t>
  </si>
  <si>
    <t>No people in household have English* as a main language</t>
  </si>
  <si>
    <t>No people aged 16 and over in household, but at least one person aged 3 to 15, has English* as a main language</t>
  </si>
  <si>
    <t>At least one but not all people aged 16 and over in household have English* as a main language</t>
  </si>
  <si>
    <t>All people aged 16 and over in household have English* as a main language</t>
  </si>
  <si>
    <t>Multiple-family household: Other family composition</t>
  </si>
  <si>
    <t>Multiple-family household: All aged 66 and over</t>
  </si>
  <si>
    <t>Multiple-family household: All in full-time education</t>
  </si>
  <si>
    <t>Multiple-family household: With two or more dependent children</t>
  </si>
  <si>
    <t>Multiple-family household: With one dependent child</t>
  </si>
  <si>
    <t>Other family composition</t>
  </si>
  <si>
    <t>Lone parent family (male): All children non-dependent</t>
  </si>
  <si>
    <t>Lone parent family (male): With two or more dependent children</t>
  </si>
  <si>
    <t>Lone parent family (male): With one dependent child</t>
  </si>
  <si>
    <t>Lone parent family (female): All children non-dependent</t>
  </si>
  <si>
    <t>Lone parent family (female): With two or more dependent children</t>
  </si>
  <si>
    <t>Lone parent family (female): With one dependent child</t>
  </si>
  <si>
    <t>Same-sex cohabiting couple family (male): All children non-dependent</t>
  </si>
  <si>
    <t>Same-sex cohabiting couple family (male): With two or more dependent children</t>
  </si>
  <si>
    <t>Same-sex cohabiting couple family (male): With one dependent child</t>
  </si>
  <si>
    <t>Same-sex cohabiting couple family (male): No children</t>
  </si>
  <si>
    <t>Same-sex cohabiting couple family (female): All children non-dependent</t>
  </si>
  <si>
    <t>Same-sex cohabiting couple family (female): With two or more dependent children</t>
  </si>
  <si>
    <t>Same-sex cohabiting couple family (female): With one dependent child</t>
  </si>
  <si>
    <t>Same-sex cohabiting couple family (female): No children</t>
  </si>
  <si>
    <t>Opposite-sex cohabiting couple family: All children non-dependent</t>
  </si>
  <si>
    <t>Opposite-sex cohabiting couple family: With two or more dependent children</t>
  </si>
  <si>
    <t>Opposite-sex cohabiting couple family: With one dependent child</t>
  </si>
  <si>
    <t>Opposite-sex cohabiting couple family: No children</t>
  </si>
  <si>
    <t>Same-sex civil partnership couple family (male): All children non-dependent</t>
  </si>
  <si>
    <t>Same-sex civil partnership couple family (male): With two or more dependent children</t>
  </si>
  <si>
    <t>Same-sex civil partnership couple family (male): With one dependent child</t>
  </si>
  <si>
    <t>Same-sex civil partnership couple family (male): No children</t>
  </si>
  <si>
    <t>Same-sex civil partnership couple family (female): All children non-dependent</t>
  </si>
  <si>
    <t>Same-sex civil partnership couple family (female): With two or more dependent children</t>
  </si>
  <si>
    <t>Same-sex civil partnership couple family (female): With one dependent child</t>
  </si>
  <si>
    <t>Same-sex civil partnership couple family (female): No children</t>
  </si>
  <si>
    <t>Opposite-sex civil partnership couple family: All children non-dependent</t>
  </si>
  <si>
    <t>Opposite-sex civil partnership couple family: With two or more dependent children</t>
  </si>
  <si>
    <t>Opposite-sex civil partnership couple family: With one dependent child</t>
  </si>
  <si>
    <t>Opposite-sex civil partnership couple family: No children</t>
  </si>
  <si>
    <t>Same-sex married couple family (male): All children non-dependent</t>
  </si>
  <si>
    <t>Same-sex married couple family (male): With two or more dependent children</t>
  </si>
  <si>
    <t>Same-sex married couple family (male): With one dependent child</t>
  </si>
  <si>
    <t>Same-sex married couple family (male): No children</t>
  </si>
  <si>
    <t>Same-sex married couple family (female): All children non-dependent</t>
  </si>
  <si>
    <t>Same-sex married couple family (female): With two or more dependent children</t>
  </si>
  <si>
    <t>Same-sex married couple family (female): With one dependent child</t>
  </si>
  <si>
    <t>Same-sex married couple family (female): No children</t>
  </si>
  <si>
    <t>Opposite sex married couple family: All children non-dependent</t>
  </si>
  <si>
    <t>Opposite sex married couple family: With two or more dependent children</t>
  </si>
  <si>
    <t>Opposite sex married couple family: With one dependent child</t>
  </si>
  <si>
    <t>Opposite sex married couple family: No children</t>
  </si>
  <si>
    <t>All aged 66 and over</t>
  </si>
  <si>
    <t>One-person household: Other</t>
  </si>
  <si>
    <t>One-person household: Aged 66 and over</t>
  </si>
  <si>
    <t>Multi person household, other</t>
  </si>
  <si>
    <t>Multi-person household, all students</t>
  </si>
  <si>
    <t>Lone parent household with no dependent children</t>
  </si>
  <si>
    <t>Lone parent household with dependent child(ren)</t>
  </si>
  <si>
    <t>Same-sex cohabiting couple (Same sex) household with no dependent children</t>
  </si>
  <si>
    <t>Same-sex cohabiting couple (Same sex) household with dependent child(ren)</t>
  </si>
  <si>
    <t>‘Opposite-sex cohabiting couple household with no dependent children’</t>
  </si>
  <si>
    <t>Opposite-sex cohabiting couple household with dependent child(ren)</t>
  </si>
  <si>
    <t>Same-sex civil partnership couple household with no dependent children</t>
  </si>
  <si>
    <t>Same-sex civil partnership couple household with dependent child(ren)</t>
  </si>
  <si>
    <t>Opposite-sex civil partnership couple household with no dependent children</t>
  </si>
  <si>
    <t>Opposite-sex civil partnership couple household with dependent child(ren)</t>
  </si>
  <si>
    <t>Same-sex married couple household with no dependent children</t>
  </si>
  <si>
    <t>Same-sex married couple household with dependent child(ren)</t>
  </si>
  <si>
    <t>Opposite-sex married couple household with no dependent children</t>
  </si>
  <si>
    <t>Opposite-sex married couple household with dependent child(ren)</t>
  </si>
  <si>
    <t>6 or more families</t>
  </si>
  <si>
    <t>5 families</t>
  </si>
  <si>
    <t>4 families</t>
  </si>
  <si>
    <t>3 families</t>
  </si>
  <si>
    <t>2 families</t>
  </si>
  <si>
    <t>1 family</t>
  </si>
  <si>
    <t>No families</t>
  </si>
  <si>
    <t>Deprived in the housing dimension</t>
  </si>
  <si>
    <t>Not deprived in the housing dimension</t>
  </si>
  <si>
    <t>Deprived in health and disability dimension</t>
  </si>
  <si>
    <t>Not deprived in health and disability dimension</t>
  </si>
  <si>
    <t>Deprived in the employment dimension</t>
  </si>
  <si>
    <t>Not deprived in the employment dimension</t>
  </si>
  <si>
    <t>Deprived in education dimension</t>
  </si>
  <si>
    <t>Not deprived in education dimension</t>
  </si>
  <si>
    <t>Household is deprived in 4 dimensions</t>
  </si>
  <si>
    <t>Household is deprived in 3 dimensions</t>
  </si>
  <si>
    <t>Household is deprived in 2 dimensions</t>
  </si>
  <si>
    <t>Household is deprived in 1 dimension</t>
  </si>
  <si>
    <t>Household not deprived in any dimension</t>
  </si>
  <si>
    <t>Three or more dependent children, youngest aged 16-18</t>
  </si>
  <si>
    <t>Three or more dependent children, youngest aged 12-15</t>
  </si>
  <si>
    <t>Three or more dependent children, youngest aged 10-11</t>
  </si>
  <si>
    <t>Three or more dependent children, youngest aged 8-9</t>
  </si>
  <si>
    <t>Three or more dependent children, youngest aged 5-7</t>
  </si>
  <si>
    <t>Three or more dependent children, youngest aged 0-4</t>
  </si>
  <si>
    <t>Two dependent children, youngest aged 16-18</t>
  </si>
  <si>
    <t>Two dependent children, youngest aged 12-15</t>
  </si>
  <si>
    <t>Two dependent children, youngest aged 10-11</t>
  </si>
  <si>
    <t>Two dependent children, youngest aged 8-9</t>
  </si>
  <si>
    <t>Two dependent children, youngest aged 5-7</t>
  </si>
  <si>
    <t>Two dependent children, youngest aged 0-4</t>
  </si>
  <si>
    <t>One dependent child aged 16-18</t>
  </si>
  <si>
    <t>One dependent child aged 12-15</t>
  </si>
  <si>
    <t>One dependent child aged 10-11</t>
  </si>
  <si>
    <t>One dependent child aged 8-9</t>
  </si>
  <si>
    <t>One dependent child aged 5-7</t>
  </si>
  <si>
    <t>One dependent child aged 0-4</t>
  </si>
  <si>
    <t>No dependent children in household / All children in household non-dependent</t>
  </si>
  <si>
    <t>No children in household</t>
  </si>
  <si>
    <t>00</t>
  </si>
  <si>
    <t>Some but not all Welsh speakers are adults</t>
  </si>
  <si>
    <t>All Welsh speakers are adults</t>
  </si>
  <si>
    <t>No Welsh speaking adults, but one or more Welsh speaking dependent child(ren)</t>
  </si>
  <si>
    <t>No Welsh speaking persons</t>
  </si>
  <si>
    <t>Two or more Welsh speaking adults</t>
  </si>
  <si>
    <t>One Welsh speaking adult</t>
  </si>
  <si>
    <t>Three or more Welsh speaking adults</t>
  </si>
  <si>
    <t>Two Welsh speaking adults</t>
  </si>
  <si>
    <t>No Welsh speaking adults, but one or more Welsh speaking dependent child(ren’</t>
  </si>
  <si>
    <t>Welsh speaker</t>
  </si>
  <si>
    <t>Not Welsh speaker</t>
  </si>
  <si>
    <t>Two or more carers in household</t>
  </si>
  <si>
    <t>One carer in household: Very bad health</t>
  </si>
  <si>
    <t>One carer in household: Bad health</t>
  </si>
  <si>
    <t>One carer in household: Fair health</t>
  </si>
  <si>
    <t>One carer in household: Good health</t>
  </si>
  <si>
    <t>One carer in household: Very good health</t>
  </si>
  <si>
    <t>No carers in household</t>
  </si>
  <si>
    <t>Two or more carers in Household</t>
  </si>
  <si>
    <t>One carer in Household: Economically inactive</t>
  </si>
  <si>
    <t>One carer in Household: Economically active full-time student</t>
  </si>
  <si>
    <t>One carer in Household: Unemployed</t>
  </si>
  <si>
    <t>One carer in Household: Working full-time at home</t>
  </si>
  <si>
    <t>One carer in Household: Working full-time outside the home</t>
  </si>
  <si>
    <t>One carer in Household: Working part-time at home</t>
  </si>
  <si>
    <t>One carer in Household: Working part-time outside the home</t>
  </si>
  <si>
    <t>Household has three or more students away: All aged 18 and over</t>
  </si>
  <si>
    <t>Household has three or more students away: Combination of aged 5 to 17 and 18 and over</t>
  </si>
  <si>
    <t>Household has three or more students away: All aged 5 to 17</t>
  </si>
  <si>
    <t>Household has two students away: Both aged 18 and over</t>
  </si>
  <si>
    <t>Household has two students away: One aged 5 to 17 and one aged 18 and over</t>
  </si>
  <si>
    <t>Household has two students away: Both aged 5 to 17</t>
  </si>
  <si>
    <t>Household has one student away: Aged 18 and over</t>
  </si>
  <si>
    <t>Household has one student away; Aged 5 to 17</t>
  </si>
  <si>
    <t>Household has no students or no students away: Aged 5 and over</t>
  </si>
  <si>
    <t>Three or more adults of any age and no children</t>
  </si>
  <si>
    <t>Three or more adults of any age and one or more children</t>
  </si>
  <si>
    <t>Two adults of any age and three or more children</t>
  </si>
  <si>
    <t>Two adults of any age and one or two children</t>
  </si>
  <si>
    <t>Two adults aged 65 or under and no children</t>
  </si>
  <si>
    <t>Two adults aged 66 or above and no children</t>
  </si>
  <si>
    <t>One adult aged 65 or under and one adult aged 66 or above and no children</t>
  </si>
  <si>
    <t>One adult of any age and one or more children</t>
  </si>
  <si>
    <t>No adults</t>
  </si>
  <si>
    <t>One Person Household: One child</t>
  </si>
  <si>
    <t>One Person Household: One adult aged 65 or under</t>
  </si>
  <si>
    <t>One Person Household: One adult aged 66 or above</t>
  </si>
  <si>
    <t>No adult or child(ren) (aged 3 to 15) in household speaks Welsh</t>
  </si>
  <si>
    <t>No adult in household speaks Welsh but at least one child (aged 3 to 15) speaks Welsh</t>
  </si>
  <si>
    <t>At least one, but not all, adults (16 and over) in household speaks Welsh</t>
  </si>
  <si>
    <t>All adult(s) in household speak(s) Welsh</t>
  </si>
  <si>
    <t>Three or more persons household, two or more of which are not of pensionable age</t>
  </si>
  <si>
    <t>Two or more persons household, only one is not of pensionable age</t>
  </si>
  <si>
    <t>Two or more persons  household, all of pensionable age, at least one aged 75+</t>
  </si>
  <si>
    <t>Two or more persons household, all of pensionable age, all aged under 75</t>
  </si>
  <si>
    <t>Male aged 85+</t>
  </si>
  <si>
    <t>Male aged 75-84</t>
  </si>
  <si>
    <t>Male aged 66-74</t>
  </si>
  <si>
    <t>Female aged 85+</t>
  </si>
  <si>
    <t>Female aged 75-84</t>
  </si>
  <si>
    <t>Female aged 66-74</t>
  </si>
  <si>
    <t>Absent household</t>
  </si>
  <si>
    <t>Holiday home</t>
  </si>
  <si>
    <t>Second residence</t>
  </si>
  <si>
    <t>Vacant property</t>
  </si>
  <si>
    <t>Property is HH-Refused</t>
  </si>
  <si>
    <t>Non-return/no contact</t>
  </si>
  <si>
    <t>Extraordinary refusal</t>
  </si>
  <si>
    <t>Hard refusal</t>
  </si>
  <si>
    <t>Household</t>
  </si>
  <si>
    <t>Gatekeeper or PiC</t>
  </si>
  <si>
    <t>Neighbour or other reliable source</t>
  </si>
  <si>
    <t>Field Staff</t>
  </si>
  <si>
    <t xml:space="preserve">Created from Orphan </t>
  </si>
  <si>
    <t>Created from Dummy</t>
  </si>
  <si>
    <t>Not created from Dummy or Orphan</t>
  </si>
  <si>
    <t>There are no visitors staying overnight here on 21 March 2021</t>
  </si>
  <si>
    <t>People here on holiday</t>
  </si>
  <si>
    <r>
      <t xml:space="preserve">People who usually live outside the UK who are staying in the UK for </t>
    </r>
    <r>
      <rPr>
        <u/>
        <sz val="11"/>
        <color theme="1"/>
        <rFont val="Calibri"/>
        <family val="2"/>
        <scheme val="minor"/>
      </rPr>
      <t xml:space="preserve">less than 3 months </t>
    </r>
  </si>
  <si>
    <t>People staying here because its their second address, for example, for work. Their permanent or family home is elsewhere</t>
  </si>
  <si>
    <t>Note: this variable provides a positional binary combination of one or more of the codes.</t>
  </si>
  <si>
    <t>People who usually live somewhere else in the UK, for example, boy/girlfriends, friends, relatives</t>
  </si>
  <si>
    <t>No one usually lives here</t>
  </si>
  <si>
    <t>People staying temporarily who usually live in the UK but do not have another UK address</t>
  </si>
  <si>
    <t>People temporarily away</t>
  </si>
  <si>
    <t>People who usually live outside the UK who are staying in the UK for 3 months or more</t>
  </si>
  <si>
    <t>Housemates, tenants or lodgers</t>
  </si>
  <si>
    <t>Family members and partners</t>
  </si>
  <si>
    <t>Me</t>
  </si>
  <si>
    <t>Relative or friend of a household member</t>
  </si>
  <si>
    <t>Employer of a household member</t>
  </si>
  <si>
    <t>Private landlord or letting agency</t>
  </si>
  <si>
    <t>Council or local authority</t>
  </si>
  <si>
    <t>Housing association, housing co-operative, charitable trust, registered social landlord</t>
  </si>
  <si>
    <t>Rents (with or without housing benefit)</t>
  </si>
  <si>
    <t>Part owns and part rents (shared ownership)</t>
  </si>
  <si>
    <t>Two or more types of central heating (including renewable energy)</t>
  </si>
  <si>
    <t>Two or more types of central heating (not including renewable energy)</t>
  </si>
  <si>
    <t>Other central heating only</t>
  </si>
  <si>
    <t>District or communal heat networks only</t>
  </si>
  <si>
    <t>Renewable energy (for example, solar thermal or heat pumps) only</t>
  </si>
  <si>
    <t>Solid fuel (including coal) only</t>
  </si>
  <si>
    <t>Wood (for example, logs, waste wood or pellets) only</t>
  </si>
  <si>
    <t>Oil only</t>
  </si>
  <si>
    <t>Electric (including storage heaters) only</t>
  </si>
  <si>
    <t>Tank or bottled gas only</t>
  </si>
  <si>
    <t>Mains gas only</t>
  </si>
  <si>
    <t>No central heating</t>
  </si>
  <si>
    <t>No, one or more rooms are shared with another household</t>
  </si>
  <si>
    <t>A caravan or other mobile or temporary structure</t>
  </si>
  <si>
    <t>In a commercial building (for example, in an office building, hotel or over a shop)</t>
  </si>
  <si>
    <t>Part of another converted building (for example, former school, church or warehouse)</t>
  </si>
  <si>
    <t>Part of a converted or shared house (including bedsits)</t>
  </si>
  <si>
    <t>In a purpose-built block of flats or tenement</t>
  </si>
  <si>
    <t>Terraced (including end-terrace)</t>
  </si>
  <si>
    <t>Semi-detached</t>
  </si>
  <si>
    <t>Detached</t>
  </si>
  <si>
    <t>Unrelated (including foster child)</t>
  </si>
  <si>
    <t>Relation - other</t>
  </si>
  <si>
    <t>Grandparent</t>
  </si>
  <si>
    <t>Grandchild</t>
  </si>
  <si>
    <t>Stepmother or stepfather</t>
  </si>
  <si>
    <t>Mother or father</t>
  </si>
  <si>
    <t>Stepbrother or stepsister</t>
  </si>
  <si>
    <t>Brother or sister (including half-brother or half-sister)</t>
  </si>
  <si>
    <t>Stepchild</t>
  </si>
  <si>
    <t>Son or daughter</t>
  </si>
  <si>
    <t>Partner</t>
  </si>
  <si>
    <t>Legally registered civil partner</t>
  </si>
  <si>
    <t>Husband or wife</t>
  </si>
  <si>
    <t>adult_lifestage_cen</t>
  </si>
  <si>
    <t>Adult lifestage</t>
  </si>
  <si>
    <t>Occupation SOC 2000 (Unit Group)</t>
  </si>
  <si>
    <t>Occupation SOC 2010 (Unit Group)</t>
  </si>
  <si>
    <t>Occupation SOC 2020 (Unit Group)</t>
  </si>
  <si>
    <t>Occupation SOC 1990 (Unit Group)</t>
  </si>
  <si>
    <t>Industry SIC 2003 (class)</t>
  </si>
  <si>
    <t>Industry SIC 2007 (class)</t>
  </si>
  <si>
    <t>Industrial Standard Classification 08 (unit groups)</t>
  </si>
  <si>
    <t>Industrial Standard Classification 88 (unit groups)</t>
  </si>
  <si>
    <t>The ASHE‑Census 2021 dataset links the Annual Survey of Hours and Earnings (ASHE) to the 2021 Census of England and Wales (CEW21). Its purpose is to expand the research value of ASHE by adding personal and household characteristics that are not collected in the ASHE survey. The dataset contains job‑level ASHE records from 1999 to 2022, linked where possible to Census information for the same individuals. ASHE provides earnings, hours, occupation and employer details. The Census contributes information on personal characteristics and household composition. A separate Census Household table will include data on all other residents living with the ASHE sample member and a Census Relationship table will indicate the relationships between these household residents. ASHE is collected each April from employers. It is based on a one percent sample of jobs drawn from the PAYE system and provides information on earnings, paid hours, occupation and limited personal details (age, sex and residential location). The 2021 Census collects information from every resident in England and Wales using household and individual questionnaires. The ONS link the two datasets using reference data contained within the ONS Demographic Index (DI). The DI is a composite dataset built from a range of administrative sources – including health, education and tax recordswith the aim of assigning a unique ID to each individual in England and Wales.</t>
  </si>
  <si>
    <t>synthetic_fake</t>
  </si>
  <si>
    <t>Variable name trucated from 'alternative_address_indicator_cen'</t>
  </si>
  <si>
    <t>Variable name edited from '66_plus_emp_cen'</t>
  </si>
  <si>
    <t>Variable name edited from '66_plus_ind_cen'</t>
  </si>
  <si>
    <t>sixtysix_plus_ind_cen</t>
  </si>
  <si>
    <t>sixtysix_plus_employment_cen</t>
  </si>
  <si>
    <t>Variable name truncated from 'moving_group_reference_person_cen'</t>
  </si>
  <si>
    <t>moving_group_ref_person_cen</t>
  </si>
  <si>
    <t>Variable name truncated from 'welsh_speaking_dependent_child_cen'</t>
  </si>
  <si>
    <t>welsh_speaking_dep_child_cen</t>
  </si>
  <si>
    <t>alternative_address_ind_cen</t>
  </si>
  <si>
    <t>sixtysix_plus_employment</t>
  </si>
  <si>
    <t>sixtysix_plus_ind</t>
  </si>
  <si>
    <t>Alternative_Address_Ind</t>
  </si>
  <si>
    <t>moving_group_ref_person</t>
  </si>
  <si>
    <t>welsh_speaking_dep_child</t>
  </si>
  <si>
    <t>ASHE-Census 2021 (beta - dataset still in development)</t>
  </si>
  <si>
    <t>ASHE-CEW21 User Guide (v0.1 beta)
ASHE-CEW21 Synthetic (Fake) Dataset (v0.1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</si>
</sst>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0"/>
    <numFmt numFmtId="166" formatCode="00000"/>
    <numFmt numFmtId="167" formatCode="00"/>
    <numFmt numFmtId="168" formatCode="0000000"/>
  </numFmts>
  <fonts count="30" x14ac:knownFonts="1">
    <font>
      <sz val="11"/>
      <color theme="1"/>
      <name val="Calibri"/>
      <family val="2"/>
      <scheme val="minor"/>
    </font>
    <font>
      <sz val="12"/>
      <color theme="1"/>
      <name val="Arial"/>
      <family val="2"/>
    </font>
    <font>
      <b/>
      <sz val="12"/>
      <color theme="1"/>
      <name val="Arial"/>
      <family val="2"/>
    </font>
    <font>
      <u/>
      <sz val="11"/>
      <color theme="10"/>
      <name val="Calibri"/>
      <family val="2"/>
      <scheme val="minor"/>
    </font>
    <font>
      <u/>
      <sz val="11"/>
      <color theme="10"/>
      <name val="Arial"/>
      <family val="2"/>
    </font>
    <font>
      <sz val="12"/>
      <color rgb="FF202124"/>
      <name val="Arial"/>
      <family val="2"/>
    </font>
    <font>
      <b/>
      <sz val="12"/>
      <color rgb="FF333333"/>
      <name val="Arial"/>
      <family val="2"/>
    </font>
    <font>
      <sz val="12"/>
      <color rgb="FFFF0000"/>
      <name val="Arial"/>
      <family val="2"/>
    </font>
    <font>
      <b/>
      <sz val="12"/>
      <name val="Arial"/>
      <family val="2"/>
    </font>
    <font>
      <b/>
      <sz val="12"/>
      <color rgb="FFFF0000"/>
      <name val="Arial"/>
      <family val="2"/>
    </font>
    <font>
      <sz val="12"/>
      <name val="Arial"/>
      <family val="2"/>
    </font>
    <font>
      <sz val="12"/>
      <color rgb="FF000000"/>
      <name val="Arial"/>
      <family val="2"/>
    </font>
    <font>
      <sz val="11"/>
      <color theme="1"/>
      <name val="Calibri"/>
      <family val="2"/>
      <scheme val="minor"/>
    </font>
    <font>
      <sz val="11"/>
      <color theme="1"/>
      <name val="Arial"/>
      <family val="2"/>
    </font>
    <font>
      <b/>
      <sz val="11"/>
      <color theme="1"/>
      <name val="Arial"/>
      <family val="2"/>
    </font>
    <font>
      <b/>
      <sz val="11"/>
      <name val="Arial"/>
      <family val="2"/>
    </font>
    <font>
      <sz val="11"/>
      <color theme="5" tint="-0.249977111117893"/>
      <name val="Arial"/>
      <family val="2"/>
    </font>
    <font>
      <sz val="11"/>
      <color theme="2" tint="-0.249977111117893"/>
      <name val="Arial"/>
      <family val="2"/>
    </font>
    <font>
      <sz val="11"/>
      <name val="Arial"/>
      <family val="2"/>
    </font>
    <font>
      <sz val="11"/>
      <color indexed="8"/>
      <name val="Calibri"/>
      <family val="2"/>
      <scheme val="minor"/>
    </font>
    <font>
      <sz val="10"/>
      <name val="Arial"/>
      <family val="2"/>
    </font>
    <font>
      <sz val="11"/>
      <name val="Calibri"/>
      <family val="2"/>
      <scheme val="minor"/>
    </font>
    <font>
      <sz val="9"/>
      <color theme="1"/>
      <name val="Arial"/>
      <family val="2"/>
    </font>
    <font>
      <sz val="11"/>
      <color indexed="8"/>
      <name val="Arial"/>
      <family val="2"/>
    </font>
    <font>
      <sz val="10"/>
      <name val="Verdana"/>
      <family val="2"/>
    </font>
    <font>
      <sz val="11"/>
      <color rgb="FF000000"/>
      <name val="Arial"/>
      <family val="2"/>
    </font>
    <font>
      <sz val="11"/>
      <color rgb="FF000000"/>
      <name val="Calibri"/>
      <family val="2"/>
    </font>
    <font>
      <sz val="11"/>
      <name val="Calibri"/>
      <family val="2"/>
    </font>
    <font>
      <u/>
      <sz val="11"/>
      <color theme="1"/>
      <name val="Calibri"/>
      <family val="2"/>
      <scheme val="minor"/>
    </font>
    <font>
      <sz val="11"/>
      <color rgb="FF444444"/>
      <name val="Calibri"/>
      <family val="2"/>
      <charset val="1"/>
    </font>
  </fonts>
  <fills count="6">
    <fill>
      <patternFill patternType="none"/>
    </fill>
    <fill>
      <patternFill patternType="gray125"/>
    </fill>
    <fill>
      <patternFill patternType="solid">
        <fgColor theme="4"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1"/>
      </left>
      <right style="thin">
        <color theme="1"/>
      </right>
      <top style="medium">
        <color indexed="64"/>
      </top>
      <bottom style="medium">
        <color theme="1"/>
      </bottom>
      <diagonal/>
    </border>
  </borders>
  <cellStyleXfs count="8">
    <xf numFmtId="0" fontId="0" fillId="0" borderId="0"/>
    <xf numFmtId="0" fontId="3" fillId="0" borderId="0" applyNumberFormat="0" applyFill="0" applyBorder="0" applyAlignment="0" applyProtection="0"/>
    <xf numFmtId="43" fontId="12" fillId="0" borderId="0" applyFont="0" applyFill="0" applyBorder="0" applyAlignment="0" applyProtection="0"/>
    <xf numFmtId="0" fontId="19" fillId="0" borderId="0"/>
    <xf numFmtId="0" fontId="22" fillId="0" borderId="0"/>
    <xf numFmtId="0" fontId="24" fillId="0" borderId="0"/>
    <xf numFmtId="0" fontId="20" fillId="0" borderId="0"/>
    <xf numFmtId="0" fontId="1" fillId="0" borderId="0"/>
  </cellStyleXfs>
  <cellXfs count="83">
    <xf numFmtId="0" fontId="0" fillId="0" borderId="0" xfId="0"/>
    <xf numFmtId="0" fontId="4" fillId="0" borderId="5" xfId="1" applyFont="1" applyBorder="1" applyAlignment="1">
      <alignment vertical="center" wrapText="1"/>
    </xf>
    <xf numFmtId="0" fontId="5" fillId="0" borderId="6" xfId="0" applyFont="1" applyBorder="1" applyAlignment="1">
      <alignment vertical="center" wrapText="1"/>
    </xf>
    <xf numFmtId="0" fontId="4" fillId="0" borderId="6" xfId="1"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 fillId="0" borderId="0" xfId="0" applyFont="1"/>
    <xf numFmtId="0" fontId="8" fillId="0" borderId="1" xfId="0" applyFont="1" applyBorder="1"/>
    <xf numFmtId="0" fontId="9" fillId="0" borderId="1" xfId="0" applyFont="1" applyBorder="1"/>
    <xf numFmtId="0" fontId="1" fillId="2" borderId="1" xfId="0" applyFont="1" applyFill="1" applyBorder="1"/>
    <xf numFmtId="0" fontId="8" fillId="0" borderId="0" xfId="0" applyFont="1"/>
    <xf numFmtId="0" fontId="8" fillId="0" borderId="2" xfId="0" applyFont="1" applyBorder="1"/>
    <xf numFmtId="0" fontId="1" fillId="2" borderId="1" xfId="0" applyFont="1" applyFill="1" applyBorder="1" applyAlignment="1">
      <alignment wrapText="1"/>
    </xf>
    <xf numFmtId="0" fontId="1" fillId="0" borderId="1" xfId="0" applyFont="1" applyBorder="1" applyAlignment="1">
      <alignment wrapText="1"/>
    </xf>
    <xf numFmtId="0" fontId="1" fillId="0" borderId="1" xfId="0" applyFont="1" applyBorder="1"/>
    <xf numFmtId="0" fontId="8" fillId="0" borderId="1" xfId="0" applyFont="1" applyBorder="1" applyAlignment="1">
      <alignment wrapText="1"/>
    </xf>
    <xf numFmtId="0" fontId="7" fillId="2" borderId="1" xfId="0" applyFont="1" applyFill="1" applyBorder="1" applyAlignment="1">
      <alignment wrapText="1"/>
    </xf>
    <xf numFmtId="0" fontId="7" fillId="0" borderId="1" xfId="0" applyFont="1" applyBorder="1" applyAlignment="1">
      <alignment wrapText="1"/>
    </xf>
    <xf numFmtId="0" fontId="1" fillId="0" borderId="0" xfId="0" applyFont="1"/>
    <xf numFmtId="0" fontId="10" fillId="0" borderId="0" xfId="0" applyFont="1"/>
    <xf numFmtId="0" fontId="7" fillId="0" borderId="0" xfId="0" applyFont="1"/>
    <xf numFmtId="0" fontId="13" fillId="0" borderId="0" xfId="0" applyFont="1" applyAlignment="1">
      <alignment horizontal="left"/>
    </xf>
    <xf numFmtId="0" fontId="13" fillId="0" borderId="0" xfId="0" applyFont="1" applyAlignment="1">
      <alignment vertical="center"/>
    </xf>
    <xf numFmtId="0" fontId="13" fillId="0" borderId="0" xfId="0" applyFont="1"/>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3" fillId="0" borderId="0" xfId="0" applyFont="1" applyAlignment="1">
      <alignment wrapText="1"/>
    </xf>
    <xf numFmtId="0" fontId="18" fillId="0" borderId="0" xfId="0" applyFont="1"/>
    <xf numFmtId="0" fontId="18" fillId="0" borderId="0" xfId="0" applyFont="1" applyAlignment="1">
      <alignment vertical="center"/>
    </xf>
    <xf numFmtId="164" fontId="0" fillId="0" borderId="0" xfId="2" applyNumberFormat="1" applyFont="1" applyAlignment="1">
      <alignment horizontal="left"/>
    </xf>
    <xf numFmtId="164" fontId="13" fillId="0" borderId="0" xfId="2" applyNumberFormat="1" applyFont="1" applyBorder="1" applyAlignment="1">
      <alignment horizontal="left"/>
    </xf>
    <xf numFmtId="0" fontId="13" fillId="0" borderId="0" xfId="2" applyNumberFormat="1" applyFont="1" applyBorder="1" applyAlignment="1">
      <alignment horizontal="left"/>
    </xf>
    <xf numFmtId="0" fontId="13" fillId="0" borderId="0" xfId="2" applyNumberFormat="1" applyFont="1" applyAlignment="1">
      <alignment horizontal="left"/>
    </xf>
    <xf numFmtId="164" fontId="13" fillId="0" borderId="0" xfId="2" applyNumberFormat="1" applyFont="1" applyAlignment="1">
      <alignment horizontal="left"/>
    </xf>
    <xf numFmtId="165" fontId="0" fillId="0" borderId="0" xfId="0" applyNumberFormat="1" applyAlignment="1">
      <alignment horizontal="left"/>
    </xf>
    <xf numFmtId="0" fontId="20" fillId="0" borderId="0" xfId="3" applyFont="1" applyAlignment="1">
      <alignment vertical="center"/>
    </xf>
    <xf numFmtId="165" fontId="20" fillId="0" borderId="0" xfId="3" applyNumberFormat="1" applyFont="1" applyAlignment="1">
      <alignment horizontal="left" vertical="center"/>
    </xf>
    <xf numFmtId="165" fontId="20" fillId="0" borderId="0" xfId="3" applyNumberFormat="1" applyFont="1" applyAlignment="1">
      <alignment horizontal="left" wrapText="1"/>
    </xf>
    <xf numFmtId="165" fontId="20" fillId="0" borderId="0" xfId="3" applyNumberFormat="1" applyFont="1" applyAlignment="1">
      <alignment horizontal="left" vertical="center" wrapText="1"/>
    </xf>
    <xf numFmtId="0" fontId="20" fillId="0" borderId="0" xfId="3" applyFont="1" applyAlignment="1">
      <alignment horizontal="left" vertical="center"/>
    </xf>
    <xf numFmtId="0" fontId="0" fillId="0" borderId="0" xfId="0" applyAlignment="1">
      <alignment horizontal="left"/>
    </xf>
    <xf numFmtId="1" fontId="20" fillId="0" borderId="0" xfId="3" applyNumberFormat="1" applyFont="1" applyAlignment="1">
      <alignment horizontal="left" vertical="center"/>
    </xf>
    <xf numFmtId="0" fontId="21" fillId="0" borderId="0" xfId="3" applyFont="1" applyAlignment="1">
      <alignment vertical="center"/>
    </xf>
    <xf numFmtId="1" fontId="20" fillId="0" borderId="0" xfId="3" quotePrefix="1" applyNumberFormat="1" applyFont="1" applyAlignment="1">
      <alignment horizontal="left" vertical="center"/>
    </xf>
    <xf numFmtId="49" fontId="23" fillId="0" borderId="0" xfId="4" applyNumberFormat="1" applyFont="1" applyAlignment="1">
      <alignment horizontal="left" vertical="top"/>
    </xf>
    <xf numFmtId="166" fontId="23" fillId="0" borderId="0" xfId="3" applyNumberFormat="1" applyFont="1" applyAlignment="1">
      <alignment horizontal="left" vertical="top" wrapText="1"/>
    </xf>
    <xf numFmtId="0" fontId="23" fillId="0" borderId="0" xfId="3" applyFont="1" applyAlignment="1">
      <alignment horizontal="left"/>
    </xf>
    <xf numFmtId="0" fontId="23" fillId="0" borderId="0" xfId="3" applyFont="1" applyAlignment="1">
      <alignment horizontal="left" vertical="top"/>
    </xf>
    <xf numFmtId="167" fontId="23" fillId="0" borderId="0" xfId="3" applyNumberFormat="1" applyFont="1" applyAlignment="1">
      <alignment horizontal="left" vertical="top" wrapText="1"/>
    </xf>
    <xf numFmtId="0" fontId="23" fillId="0" borderId="0" xfId="3" applyFont="1" applyAlignment="1">
      <alignment horizontal="left" vertical="top" wrapText="1"/>
    </xf>
    <xf numFmtId="49" fontId="23" fillId="0" borderId="0" xfId="3" applyNumberFormat="1" applyFont="1" applyAlignment="1">
      <alignment horizontal="left" vertical="top" wrapText="1"/>
    </xf>
    <xf numFmtId="0" fontId="23" fillId="0" borderId="0" xfId="5" applyFont="1" applyAlignment="1">
      <alignment horizontal="left" vertical="top"/>
    </xf>
    <xf numFmtId="0" fontId="23" fillId="0" borderId="0" xfId="6" applyFont="1" applyAlignment="1">
      <alignment horizontal="left" vertical="top" wrapText="1"/>
    </xf>
    <xf numFmtId="0" fontId="13" fillId="0" borderId="0" xfId="3" applyFont="1" applyAlignment="1">
      <alignment horizontal="left" vertical="top"/>
    </xf>
    <xf numFmtId="0" fontId="11" fillId="0" borderId="0" xfId="0" applyFont="1" applyAlignment="1">
      <alignment horizontal="left" vertical="center" indent="4"/>
    </xf>
    <xf numFmtId="0" fontId="11" fillId="0" borderId="0" xfId="0" applyFont="1" applyAlignment="1">
      <alignment horizontal="left" vertical="center" wrapText="1" indent="4"/>
    </xf>
    <xf numFmtId="0" fontId="13" fillId="0" borderId="0" xfId="0" applyFont="1" applyAlignment="1">
      <alignment horizontal="left" vertical="center"/>
    </xf>
    <xf numFmtId="0" fontId="25" fillId="0" borderId="0" xfId="0" applyFont="1" applyAlignment="1">
      <alignment horizontal="left" vertical="center"/>
    </xf>
    <xf numFmtId="0" fontId="18" fillId="0" borderId="0" xfId="0" applyFont="1" applyAlignment="1">
      <alignment horizontal="left" vertical="center"/>
    </xf>
    <xf numFmtId="0" fontId="26" fillId="0" borderId="0" xfId="7" applyFont="1" applyAlignment="1">
      <alignment horizontal="left" vertical="center"/>
    </xf>
    <xf numFmtId="49" fontId="27" fillId="0" borderId="0" xfId="7" applyNumberFormat="1" applyFont="1" applyAlignment="1">
      <alignment horizontal="left" vertical="center"/>
    </xf>
    <xf numFmtId="0" fontId="26" fillId="3" borderId="0" xfId="7" applyFont="1" applyFill="1" applyAlignment="1">
      <alignment horizontal="left" vertical="center"/>
    </xf>
    <xf numFmtId="0" fontId="27" fillId="0" borderId="0" xfId="7" applyFont="1" applyAlignment="1">
      <alignment horizontal="left" vertical="center"/>
    </xf>
    <xf numFmtId="0" fontId="29" fillId="0" borderId="0" xfId="7" applyFont="1" applyAlignment="1">
      <alignment horizontal="left"/>
    </xf>
    <xf numFmtId="0" fontId="13" fillId="0" borderId="0" xfId="7" applyFont="1"/>
    <xf numFmtId="0" fontId="13" fillId="0" borderId="0" xfId="7" applyFont="1" applyAlignment="1">
      <alignment horizontal="left"/>
    </xf>
    <xf numFmtId="0" fontId="13" fillId="0" borderId="0" xfId="7" applyFont="1" applyAlignment="1">
      <alignment horizontal="left" vertical="center"/>
    </xf>
    <xf numFmtId="0" fontId="0" fillId="5" borderId="0" xfId="7" applyFont="1" applyFill="1" applyAlignment="1">
      <alignment horizontal="left" vertical="center"/>
    </xf>
    <xf numFmtId="0" fontId="13" fillId="5" borderId="0" xfId="7" applyFont="1" applyFill="1" applyAlignment="1">
      <alignment horizontal="left" vertical="center"/>
    </xf>
    <xf numFmtId="0" fontId="13" fillId="0" borderId="0" xfId="7" quotePrefix="1" applyFont="1" applyAlignment="1">
      <alignment horizontal="left"/>
    </xf>
    <xf numFmtId="168" fontId="13" fillId="0" borderId="0" xfId="7" applyNumberFormat="1" applyFont="1" applyAlignment="1">
      <alignment horizontal="left"/>
    </xf>
    <xf numFmtId="168" fontId="13" fillId="0" borderId="0" xfId="7" applyNumberFormat="1" applyFont="1" applyAlignment="1">
      <alignment horizontal="left" vertical="center"/>
    </xf>
    <xf numFmtId="166" fontId="13" fillId="0" borderId="0" xfId="7" applyNumberFormat="1" applyFont="1" applyAlignment="1">
      <alignment horizontal="left" vertical="center"/>
    </xf>
    <xf numFmtId="0" fontId="13" fillId="4" borderId="0" xfId="7" applyFont="1" applyFill="1" applyAlignment="1">
      <alignment horizontal="left" vertical="center"/>
    </xf>
    <xf numFmtId="0" fontId="15" fillId="0" borderId="0" xfId="0" applyFont="1"/>
    <xf numFmtId="0" fontId="14" fillId="0" borderId="0" xfId="0" applyFont="1"/>
    <xf numFmtId="164" fontId="14" fillId="0" borderId="0" xfId="2" applyNumberFormat="1" applyFont="1" applyBorder="1" applyAlignment="1">
      <alignment horizontal="left"/>
    </xf>
    <xf numFmtId="0" fontId="2" fillId="0" borderId="7" xfId="0" applyFont="1" applyBorder="1" applyAlignment="1">
      <alignment horizontal="center"/>
    </xf>
    <xf numFmtId="0" fontId="18" fillId="0" borderId="0" xfId="0" applyFont="1" applyAlignment="1">
      <alignment wrapText="1"/>
    </xf>
    <xf numFmtId="0" fontId="13" fillId="0" borderId="0" xfId="0" applyFont="1" applyAlignment="1">
      <alignment horizontal="right" vertical="center"/>
    </xf>
    <xf numFmtId="14" fontId="1" fillId="2" borderId="1" xfId="0" applyNumberFormat="1" applyFont="1" applyFill="1" applyBorder="1" applyAlignment="1">
      <alignment horizontal="left"/>
    </xf>
  </cellXfs>
  <cellStyles count="8">
    <cellStyle name="Comma" xfId="2" builtinId="3"/>
    <cellStyle name="Hyperlink" xfId="1" builtinId="8"/>
    <cellStyle name="Normal" xfId="0" builtinId="0"/>
    <cellStyle name="Normal 2" xfId="3" xr:uid="{9EFF3985-A893-4215-9F13-306250735016}"/>
    <cellStyle name="Normal 2 2" xfId="5" xr:uid="{959DC3BC-58B0-4685-B306-887DE4DF315E}"/>
    <cellStyle name="Normal 3" xfId="7" xr:uid="{CBDA08B1-F695-4232-8925-D06010F9D106}"/>
    <cellStyle name="Normal 4" xfId="4" xr:uid="{6B156D88-307C-47D4-B52D-E559EECB115F}"/>
    <cellStyle name="Normal_Language Classification Coding Index" xfId="6" xr:uid="{F70B5866-04DF-4DEC-8977-EB1445B44991}"/>
  </cellStyles>
  <dxfs count="7">
    <dxf>
      <font>
        <color rgb="FF9C0006"/>
      </font>
      <fill>
        <patternFill>
          <bgColor rgb="FFFFC7CE"/>
        </patternFill>
      </fill>
    </dxf>
    <dxf>
      <font>
        <color auto="1"/>
      </font>
      <fill>
        <patternFill>
          <bgColor rgb="FFFFE6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ynthetic%20data/ASH_CEN_21_SPEC_CURRENT_Feb26_synth_vp.xlsx" TargetMode="External"/><Relationship Id="rId2" Type="http://schemas.openxmlformats.org/officeDocument/2006/relationships/externalLinkPath" Target="https://cityuni-my.sharepoint.com/personal/john_forth_city_ac_uk/Documents/ASHE%20SIP/Census%202021%20UKRI/Synthetic%20data/ASH_CEN_21_SPEC_CURRENT_Feb26_synth_vp.xlsx" TargetMode="External"/><Relationship Id="rId1" Type="http://schemas.openxmlformats.org/officeDocument/2006/relationships/externalLinkPath" Target="/personal/john_forth_city_ac_uk/Documents/ASHE%20SIP/Census%202021%20UKRI/Synthetic%20data/ASH_CEN_21_SPEC_CURRENT_Feb26_synth_vp.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s86_stir_ac_uk/Documents/DataDictionary_ASHE_CEW21.xlsx" TargetMode="External"/><Relationship Id="rId2" Type="http://schemas.openxmlformats.org/officeDocument/2006/relationships/externalLinkPath" Target="https://stir-my.sharepoint.com/personal/rs86_stir_ac_uk/Documents/DataDictionary_ASHE_CEW21.xlsx" TargetMode="External"/><Relationship Id="rId1" Type="http://schemas.openxmlformats.org/officeDocument/2006/relationships/externalLinkPath" Target="/personal/rs86_stir_ac_uk/Documents/DataDictionary_ASHE_CEW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tadata"/>
    </sheetNames>
    <sheetDataSet>
      <sheetData sheetId="0">
        <row r="1">
          <cell r="B1" t="str">
            <v>full variable name</v>
          </cell>
          <cell r="C1" t="str">
            <v>alias/description</v>
          </cell>
          <cell r="D1" t="str">
            <v>dataset</v>
          </cell>
          <cell r="E1" t="str">
            <v>Previously included</v>
          </cell>
          <cell r="F1" t="str">
            <v>Derived</v>
          </cell>
          <cell r="G1" t="str">
            <v>SRS</v>
          </cell>
          <cell r="H1" t="str">
            <v>IDS</v>
          </cell>
          <cell r="I1" t="str">
            <v>DAP</v>
          </cell>
          <cell r="J1" t="str">
            <v>synth</v>
          </cell>
          <cell r="K1" t="str">
            <v>ashe_person</v>
          </cell>
          <cell r="L1" t="str">
            <v>type</v>
          </cell>
          <cell r="M1" t="str">
            <v>min</v>
          </cell>
          <cell r="N1" t="str">
            <v>max</v>
          </cell>
          <cell r="O1" t="str">
            <v>depend</v>
          </cell>
        </row>
        <row r="2">
          <cell r="B2" t="str">
            <v>1_year_ago_address_country_cen</v>
          </cell>
          <cell r="C2" t="str">
            <v>Address one year ago (Outside UK)</v>
          </cell>
          <cell r="D2" t="str">
            <v>CENSUS</v>
          </cell>
          <cell r="E2" t="str">
            <v xml:space="preserve">New </v>
          </cell>
          <cell r="F2" t="b">
            <v>0</v>
          </cell>
          <cell r="G2" t="b">
            <v>0</v>
          </cell>
          <cell r="H2" t="b">
            <v>0</v>
          </cell>
          <cell r="I2" t="b">
            <v>1</v>
          </cell>
        </row>
        <row r="3">
          <cell r="B3" t="str">
            <v>1_year_ago_address_indicator_cen</v>
          </cell>
          <cell r="C3" t="str">
            <v>Address one year ago (Indicator)</v>
          </cell>
          <cell r="D3" t="str">
            <v>CENSUS</v>
          </cell>
          <cell r="E3" t="str">
            <v xml:space="preserve">New </v>
          </cell>
          <cell r="F3" t="b">
            <v>0</v>
          </cell>
          <cell r="G3" t="b">
            <v>0</v>
          </cell>
          <cell r="H3" t="b">
            <v>0</v>
          </cell>
          <cell r="I3" t="b">
            <v>1</v>
          </cell>
        </row>
        <row r="4">
          <cell r="B4" t="str">
            <v>1_year_ago_address_latitude_cen</v>
          </cell>
          <cell r="C4" t="str">
            <v>Address one year ago (Latitude)</v>
          </cell>
          <cell r="D4" t="str">
            <v>CENSUS</v>
          </cell>
          <cell r="E4" t="str">
            <v xml:space="preserve">New </v>
          </cell>
          <cell r="F4" t="b">
            <v>0</v>
          </cell>
          <cell r="G4" t="b">
            <v>0</v>
          </cell>
          <cell r="H4" t="b">
            <v>0</v>
          </cell>
          <cell r="I4" t="b">
            <v>1</v>
          </cell>
        </row>
        <row r="5">
          <cell r="B5" t="str">
            <v>1_year_ago_address_longitude_cen</v>
          </cell>
          <cell r="C5" t="str">
            <v>Address one year ago (Longitude)</v>
          </cell>
          <cell r="D5" t="str">
            <v>CENSUS</v>
          </cell>
          <cell r="E5" t="str">
            <v xml:space="preserve">New </v>
          </cell>
          <cell r="F5" t="b">
            <v>0</v>
          </cell>
          <cell r="G5" t="b">
            <v>0</v>
          </cell>
          <cell r="H5" t="b">
            <v>0</v>
          </cell>
          <cell r="I5" t="b">
            <v>1</v>
          </cell>
        </row>
        <row r="6">
          <cell r="B6" t="str">
            <v>1_year_ago_address_output_area_cen</v>
          </cell>
          <cell r="C6" t="str">
            <v>Address one year ago (Output area)</v>
          </cell>
          <cell r="D6" t="str">
            <v>CENSUS</v>
          </cell>
          <cell r="E6" t="str">
            <v xml:space="preserve">New </v>
          </cell>
          <cell r="F6" t="b">
            <v>0</v>
          </cell>
          <cell r="G6" t="b">
            <v>0</v>
          </cell>
          <cell r="H6" t="b">
            <v>0</v>
          </cell>
          <cell r="I6" t="b">
            <v>1</v>
          </cell>
        </row>
        <row r="7">
          <cell r="B7" t="str">
            <v>1_year_ago_address_postcode_cen</v>
          </cell>
          <cell r="C7" t="str">
            <v>Address one year ago (Postcode)</v>
          </cell>
          <cell r="D7" t="str">
            <v>CENSUS</v>
          </cell>
          <cell r="E7" t="str">
            <v xml:space="preserve">New </v>
          </cell>
          <cell r="F7" t="b">
            <v>0</v>
          </cell>
          <cell r="G7" t="b">
            <v>0</v>
          </cell>
          <cell r="H7" t="b">
            <v>0</v>
          </cell>
          <cell r="I7" t="b">
            <v>1</v>
          </cell>
        </row>
        <row r="8">
          <cell r="B8" t="str">
            <v>1_year_ago_address_uprn_cen</v>
          </cell>
          <cell r="C8" t="str">
            <v xml:space="preserve">
Address one year ago (UPRN)</v>
          </cell>
          <cell r="D8" t="str">
            <v>CENSUS</v>
          </cell>
          <cell r="E8" t="str">
            <v>Similar</v>
          </cell>
          <cell r="F8" t="b">
            <v>0</v>
          </cell>
          <cell r="G8" t="b">
            <v>0</v>
          </cell>
          <cell r="H8" t="b">
            <v>0</v>
          </cell>
          <cell r="I8" t="b">
            <v>1</v>
          </cell>
        </row>
        <row r="9">
          <cell r="B9" t="str">
            <v>66_plus_employment_cen</v>
          </cell>
          <cell r="C9" t="str">
            <v>Employment status of persons aged 66 and over</v>
          </cell>
          <cell r="D9" t="str">
            <v>CENSUS</v>
          </cell>
          <cell r="E9" t="str">
            <v xml:space="preserve">New </v>
          </cell>
          <cell r="F9" t="b">
            <v>0</v>
          </cell>
          <cell r="G9" t="b">
            <v>1</v>
          </cell>
          <cell r="H9" t="b">
            <v>1</v>
          </cell>
          <cell r="I9" t="b">
            <v>1</v>
          </cell>
          <cell r="J9">
            <v>1</v>
          </cell>
          <cell r="L9" t="str">
            <v>numeric</v>
          </cell>
          <cell r="M9">
            <v>1</v>
          </cell>
          <cell r="N9">
            <v>2</v>
          </cell>
        </row>
        <row r="10">
          <cell r="B10" t="str">
            <v>66_plus_ind_cen</v>
          </cell>
          <cell r="C10" t="str">
            <v>66+ Indicator</v>
          </cell>
          <cell r="D10" t="str">
            <v>CENSUS</v>
          </cell>
          <cell r="E10" t="str">
            <v xml:space="preserve">New </v>
          </cell>
          <cell r="F10" t="b">
            <v>0</v>
          </cell>
          <cell r="G10" t="b">
            <v>1</v>
          </cell>
          <cell r="H10" t="b">
            <v>1</v>
          </cell>
          <cell r="I10" t="b">
            <v>1</v>
          </cell>
          <cell r="J10">
            <v>1</v>
          </cell>
          <cell r="L10" t="str">
            <v>numeric</v>
          </cell>
          <cell r="M10">
            <v>0</v>
          </cell>
          <cell r="N10">
            <v>1</v>
          </cell>
        </row>
        <row r="11">
          <cell r="B11" t="str">
            <v>acthrs_ashe</v>
          </cell>
          <cell r="C11" t="str">
            <v>actual hours worked if an employee was furloughed</v>
          </cell>
          <cell r="D11" t="str">
            <v>ASHE</v>
          </cell>
          <cell r="E11" t="str">
            <v xml:space="preserve">New </v>
          </cell>
          <cell r="F11" t="b">
            <v>0</v>
          </cell>
          <cell r="G11" t="b">
            <v>1</v>
          </cell>
          <cell r="H11" t="b">
            <v>1</v>
          </cell>
          <cell r="I11" t="b">
            <v>1</v>
          </cell>
          <cell r="J11">
            <v>1</v>
          </cell>
          <cell r="L11" t="str">
            <v>numeric</v>
          </cell>
          <cell r="M11">
            <v>1</v>
          </cell>
          <cell r="N11">
            <v>40</v>
          </cell>
          <cell r="O11" t="str">
            <v>year==2021 &amp; ashefurlough==1</v>
          </cell>
        </row>
        <row r="12">
          <cell r="B12" t="str">
            <v>activity_last_week_cen</v>
          </cell>
          <cell r="C12" t="str">
            <v>Activity last week</v>
          </cell>
          <cell r="D12" t="str">
            <v>CENSUS</v>
          </cell>
          <cell r="E12" t="str">
            <v>Similar</v>
          </cell>
          <cell r="F12" t="b">
            <v>0</v>
          </cell>
          <cell r="G12" t="b">
            <v>1</v>
          </cell>
          <cell r="H12" t="b">
            <v>1</v>
          </cell>
          <cell r="I12" t="b">
            <v>1</v>
          </cell>
          <cell r="J12">
            <v>1</v>
          </cell>
          <cell r="L12" t="str">
            <v>numeric</v>
          </cell>
          <cell r="M12">
            <v>1</v>
          </cell>
          <cell r="N12">
            <v>7</v>
          </cell>
        </row>
        <row r="13">
          <cell r="B13" t="str">
            <v>adr_ashe</v>
          </cell>
          <cell r="C13" t="str">
            <v>adult rate marker</v>
          </cell>
          <cell r="D13" t="str">
            <v>ASHE</v>
          </cell>
          <cell r="E13" t="str">
            <v>Included</v>
          </cell>
          <cell r="F13" t="b">
            <v>1</v>
          </cell>
          <cell r="G13" t="b">
            <v>1</v>
          </cell>
          <cell r="H13" t="b">
            <v>1</v>
          </cell>
          <cell r="I13" t="b">
            <v>1</v>
          </cell>
          <cell r="J13">
            <v>1</v>
          </cell>
          <cell r="L13" t="str">
            <v>numeric</v>
          </cell>
          <cell r="M13">
            <v>1</v>
          </cell>
          <cell r="N13">
            <v>2</v>
          </cell>
        </row>
        <row r="14">
          <cell r="B14" t="str">
            <v>adr_id_ashe</v>
          </cell>
          <cell r="C14" t="str">
            <v>anonymised version of National Insurance number</v>
          </cell>
          <cell r="D14" t="str">
            <v>ASHE</v>
          </cell>
          <cell r="E14" t="str">
            <v>Included</v>
          </cell>
          <cell r="F14" t="b">
            <v>1</v>
          </cell>
          <cell r="G14" t="b">
            <v>1</v>
          </cell>
          <cell r="H14" t="b">
            <v>1</v>
          </cell>
          <cell r="I14" t="b">
            <v>1</v>
          </cell>
        </row>
        <row r="15">
          <cell r="B15" t="str">
            <v>adult_lifestage_cen</v>
          </cell>
          <cell r="C15" t="str">
            <v>Adult lifestage</v>
          </cell>
          <cell r="D15" t="str">
            <v>CENSUS</v>
          </cell>
          <cell r="E15" t="str">
            <v xml:space="preserve">New </v>
          </cell>
          <cell r="F15" t="b">
            <v>0</v>
          </cell>
          <cell r="G15" t="b">
            <v>1</v>
          </cell>
          <cell r="H15" t="b">
            <v>1</v>
          </cell>
          <cell r="I15" t="b">
            <v>1</v>
          </cell>
          <cell r="J15">
            <v>1</v>
          </cell>
          <cell r="L15" t="str">
            <v>numeric</v>
          </cell>
          <cell r="M15">
            <v>1</v>
          </cell>
          <cell r="N15">
            <v>21</v>
          </cell>
        </row>
        <row r="16">
          <cell r="B16" t="str">
            <v>age_ashe</v>
          </cell>
          <cell r="C16" t="str">
            <v>age at the survey reference date</v>
          </cell>
          <cell r="D16" t="str">
            <v>ASHE</v>
          </cell>
          <cell r="E16" t="str">
            <v>Included</v>
          </cell>
          <cell r="F16" t="b">
            <v>1</v>
          </cell>
          <cell r="G16" t="b">
            <v>1</v>
          </cell>
          <cell r="H16" t="b">
            <v>1</v>
          </cell>
          <cell r="I16" t="b">
            <v>1</v>
          </cell>
          <cell r="J16">
            <v>1</v>
          </cell>
          <cell r="K16">
            <v>1</v>
          </cell>
          <cell r="L16" t="str">
            <v>numeric</v>
          </cell>
          <cell r="M16">
            <v>16</v>
          </cell>
          <cell r="N16">
            <v>75</v>
          </cell>
        </row>
        <row r="17">
          <cell r="B17" t="str">
            <v>age_arrival_uk_cen</v>
          </cell>
          <cell r="C17" t="str">
            <v>Age of arrival in the UK</v>
          </cell>
          <cell r="D17" t="str">
            <v>CENSUS</v>
          </cell>
          <cell r="E17" t="str">
            <v xml:space="preserve">New </v>
          </cell>
          <cell r="F17" t="b">
            <v>0</v>
          </cell>
          <cell r="G17" t="b">
            <v>1</v>
          </cell>
          <cell r="H17" t="b">
            <v>1</v>
          </cell>
          <cell r="I17" t="b">
            <v>1</v>
          </cell>
          <cell r="J17">
            <v>1</v>
          </cell>
          <cell r="L17" t="str">
            <v>numeric</v>
          </cell>
          <cell r="M17">
            <v>0</v>
          </cell>
          <cell r="N17">
            <v>115</v>
          </cell>
          <cell r="O17" t="str">
            <v>116 if inrange(country_of_birth,921,926)</v>
          </cell>
        </row>
        <row r="18">
          <cell r="B18" t="str">
            <v>agenew_ashe</v>
          </cell>
          <cell r="C18" t="str">
            <v>derived from age</v>
          </cell>
          <cell r="D18" t="str">
            <v>ASHE</v>
          </cell>
          <cell r="E18" t="str">
            <v>Included</v>
          </cell>
          <cell r="F18" t="b">
            <v>1</v>
          </cell>
          <cell r="G18" t="b">
            <v>1</v>
          </cell>
          <cell r="H18" t="b">
            <v>1</v>
          </cell>
          <cell r="I18" t="b">
            <v>1</v>
          </cell>
        </row>
        <row r="19">
          <cell r="B19" t="str">
            <v>agetemp_ashe</v>
          </cell>
          <cell r="C19" t="str">
            <v>derived from age</v>
          </cell>
          <cell r="D19" t="str">
            <v>ASHE</v>
          </cell>
          <cell r="E19" t="str">
            <v>Included</v>
          </cell>
          <cell r="F19" t="b">
            <v>1</v>
          </cell>
          <cell r="G19" t="b">
            <v>1</v>
          </cell>
          <cell r="H19" t="b">
            <v>1</v>
          </cell>
          <cell r="I19" t="b">
            <v>1</v>
          </cell>
        </row>
        <row r="20">
          <cell r="B20" t="str">
            <v>agp_ashe</v>
          </cell>
          <cell r="C20" t="str">
            <v>annual gross pay</v>
          </cell>
          <cell r="D20" t="str">
            <v>ASHE</v>
          </cell>
          <cell r="E20" t="str">
            <v>Included</v>
          </cell>
          <cell r="F20" t="b">
            <v>1</v>
          </cell>
          <cell r="G20" t="b">
            <v>1</v>
          </cell>
          <cell r="H20" t="b">
            <v>1</v>
          </cell>
          <cell r="I20" t="b">
            <v>1</v>
          </cell>
          <cell r="J20">
            <v>1</v>
          </cell>
          <cell r="L20" t="str">
            <v>numeric</v>
          </cell>
          <cell r="M20">
            <v>10000</v>
          </cell>
          <cell r="N20">
            <v>100000</v>
          </cell>
        </row>
        <row r="21">
          <cell r="B21" t="str">
            <v>agpox_ashe</v>
          </cell>
          <cell r="C21" t="str">
            <v>gross weekly pay excluding overtime</v>
          </cell>
          <cell r="D21" t="str">
            <v>ASHE</v>
          </cell>
          <cell r="E21" t="str">
            <v>Included</v>
          </cell>
          <cell r="F21" t="b">
            <v>1</v>
          </cell>
          <cell r="G21" t="b">
            <v>1</v>
          </cell>
          <cell r="H21" t="b">
            <v>1</v>
          </cell>
          <cell r="I21" t="b">
            <v>1</v>
          </cell>
        </row>
        <row r="22">
          <cell r="B22" t="str">
            <v>al_ashe</v>
          </cell>
          <cell r="C22" t="str">
            <v>annual leave boolean</v>
          </cell>
          <cell r="D22" t="str">
            <v>ASHE</v>
          </cell>
          <cell r="E22" t="str">
            <v>Included</v>
          </cell>
          <cell r="F22" t="b">
            <v>1</v>
          </cell>
          <cell r="G22" t="b">
            <v>1</v>
          </cell>
          <cell r="H22" t="b">
            <v>1</v>
          </cell>
          <cell r="I22" t="b">
            <v>1</v>
          </cell>
        </row>
        <row r="23">
          <cell r="B23" t="str">
            <v>alday_ashe</v>
          </cell>
          <cell r="C23" t="str">
            <v>annual leave days</v>
          </cell>
          <cell r="D23" t="str">
            <v>ASHE</v>
          </cell>
          <cell r="E23" t="str">
            <v>Included</v>
          </cell>
          <cell r="F23" t="b">
            <v>1</v>
          </cell>
          <cell r="G23" t="b">
            <v>1</v>
          </cell>
          <cell r="H23" t="b">
            <v>1</v>
          </cell>
          <cell r="I23" t="b">
            <v>1</v>
          </cell>
          <cell r="J23">
            <v>1</v>
          </cell>
          <cell r="L23" t="str">
            <v>numeric</v>
          </cell>
          <cell r="M23">
            <v>17</v>
          </cell>
          <cell r="N23">
            <v>35</v>
          </cell>
        </row>
        <row r="24">
          <cell r="B24" t="str">
            <v>aldh_ashe</v>
          </cell>
          <cell r="C24" t="str">
            <v>annual leave days</v>
          </cell>
          <cell r="D24" t="str">
            <v>ASHE</v>
          </cell>
          <cell r="E24" t="str">
            <v>Included</v>
          </cell>
          <cell r="F24" t="b">
            <v>1</v>
          </cell>
          <cell r="G24" t="b">
            <v>1</v>
          </cell>
          <cell r="H24" t="b">
            <v>1</v>
          </cell>
          <cell r="I24" t="b">
            <v>1</v>
          </cell>
        </row>
        <row r="25">
          <cell r="B25" t="str">
            <v>alternative_address_country_cen</v>
          </cell>
          <cell r="C25" t="str">
            <v>Second address (Outside UK)</v>
          </cell>
          <cell r="D25" t="str">
            <v>CENSUS</v>
          </cell>
          <cell r="E25" t="str">
            <v xml:space="preserve">New </v>
          </cell>
          <cell r="F25" t="b">
            <v>1</v>
          </cell>
          <cell r="G25" t="b">
            <v>1</v>
          </cell>
          <cell r="H25" t="b">
            <v>1</v>
          </cell>
          <cell r="I25" t="b">
            <v>1</v>
          </cell>
          <cell r="J25">
            <v>1</v>
          </cell>
          <cell r="L25" t="str">
            <v>numeric</v>
          </cell>
          <cell r="M25">
            <v>0</v>
          </cell>
          <cell r="N25">
            <v>999</v>
          </cell>
          <cell r="O25" t="str">
            <v>if inlist(alternative_address_indicator,1,2)</v>
          </cell>
        </row>
        <row r="26">
          <cell r="B26" t="str">
            <v>alternative_address_indicator_cen</v>
          </cell>
          <cell r="C26" t="str">
            <v>Second address (Indicator)</v>
          </cell>
          <cell r="D26" t="str">
            <v>CENSUS</v>
          </cell>
          <cell r="E26" t="str">
            <v xml:space="preserve">New </v>
          </cell>
          <cell r="F26" t="b">
            <v>1</v>
          </cell>
          <cell r="G26" t="b">
            <v>1</v>
          </cell>
          <cell r="H26" t="b">
            <v>1</v>
          </cell>
          <cell r="I26" t="b">
            <v>1</v>
          </cell>
          <cell r="J26">
            <v>1</v>
          </cell>
          <cell r="L26" t="str">
            <v>numeric</v>
          </cell>
          <cell r="M26">
            <v>1</v>
          </cell>
          <cell r="N26">
            <v>3</v>
          </cell>
        </row>
        <row r="27">
          <cell r="B27" t="str">
            <v>alternative_address_latitude_cen</v>
          </cell>
          <cell r="C27" t="str">
            <v>Alternative Address (Latitude)</v>
          </cell>
          <cell r="D27" t="str">
            <v>CENSUS</v>
          </cell>
          <cell r="E27" t="str">
            <v xml:space="preserve">New </v>
          </cell>
          <cell r="F27" t="b">
            <v>0</v>
          </cell>
          <cell r="G27" t="b">
            <v>0</v>
          </cell>
          <cell r="H27" t="b">
            <v>0</v>
          </cell>
          <cell r="I27" t="b">
            <v>1</v>
          </cell>
        </row>
        <row r="28">
          <cell r="B28" t="str">
            <v>alternative_address_longitude_cen</v>
          </cell>
          <cell r="C28" t="str">
            <v>Alternative Address (Longitude)</v>
          </cell>
          <cell r="D28" t="str">
            <v>CENSUS</v>
          </cell>
          <cell r="E28" t="str">
            <v xml:space="preserve">New </v>
          </cell>
          <cell r="F28" t="b">
            <v>0</v>
          </cell>
          <cell r="G28" t="b">
            <v>0</v>
          </cell>
          <cell r="H28" t="b">
            <v>0</v>
          </cell>
          <cell r="I28" t="b">
            <v>1</v>
          </cell>
        </row>
        <row r="29">
          <cell r="B29" t="str">
            <v>alternative_address_output_area_cen</v>
          </cell>
          <cell r="C29" t="str">
            <v>Alternative Address (Output area)</v>
          </cell>
          <cell r="D29" t="str">
            <v>CENSUS</v>
          </cell>
          <cell r="E29" t="str">
            <v xml:space="preserve">New </v>
          </cell>
          <cell r="F29" t="b">
            <v>0</v>
          </cell>
          <cell r="G29" t="b">
            <v>0</v>
          </cell>
          <cell r="H29" t="b">
            <v>0</v>
          </cell>
          <cell r="I29" t="b">
            <v>1</v>
          </cell>
        </row>
        <row r="30">
          <cell r="B30" t="str">
            <v>alternative_address_postcode_cen</v>
          </cell>
          <cell r="C30" t="str">
            <v xml:space="preserve">
Second address (Postcode)</v>
          </cell>
          <cell r="D30" t="str">
            <v>CENSUS</v>
          </cell>
          <cell r="E30" t="str">
            <v xml:space="preserve">New </v>
          </cell>
          <cell r="F30" t="b">
            <v>0</v>
          </cell>
          <cell r="G30" t="b">
            <v>0</v>
          </cell>
          <cell r="H30" t="b">
            <v>0</v>
          </cell>
          <cell r="I30" t="b">
            <v>1</v>
          </cell>
        </row>
        <row r="31">
          <cell r="B31" t="str">
            <v>alternative_address_type_cen</v>
          </cell>
          <cell r="C31" t="str">
            <v>Second address type</v>
          </cell>
          <cell r="D31" t="str">
            <v>CENSUS</v>
          </cell>
          <cell r="E31" t="str">
            <v xml:space="preserve">New </v>
          </cell>
          <cell r="F31" t="b">
            <v>1</v>
          </cell>
          <cell r="G31" t="b">
            <v>1</v>
          </cell>
          <cell r="H31" t="b">
            <v>1</v>
          </cell>
          <cell r="I31" t="b">
            <v>1</v>
          </cell>
          <cell r="J31">
            <v>1</v>
          </cell>
          <cell r="L31" t="str">
            <v>string</v>
          </cell>
          <cell r="M31" t="str">
            <v>8values</v>
          </cell>
          <cell r="N31" t="str">
            <v>8values</v>
          </cell>
          <cell r="O31" t="str">
            <v>if inlist(alternative_address_indicator,1,2)</v>
          </cell>
        </row>
        <row r="32">
          <cell r="B32" t="str">
            <v>alternative_address_uprn_cen</v>
          </cell>
          <cell r="C32" t="str">
            <v>Second address (Indicator)</v>
          </cell>
          <cell r="D32" t="str">
            <v>CENSUS</v>
          </cell>
          <cell r="E32" t="str">
            <v xml:space="preserve">New </v>
          </cell>
          <cell r="F32" t="b">
            <v>0</v>
          </cell>
          <cell r="G32" t="b">
            <v>0</v>
          </cell>
          <cell r="H32" t="b">
            <v>0</v>
          </cell>
          <cell r="I32" t="b">
            <v>1</v>
          </cell>
        </row>
        <row r="33">
          <cell r="B33" t="str">
            <v>anipay_ashe</v>
          </cell>
          <cell r="C33" t="str">
            <v>annual incentive pay</v>
          </cell>
          <cell r="D33" t="str">
            <v>ASHE</v>
          </cell>
          <cell r="E33" t="str">
            <v>Included</v>
          </cell>
          <cell r="F33" t="b">
            <v>1</v>
          </cell>
          <cell r="G33" t="b">
            <v>1</v>
          </cell>
          <cell r="H33" t="b">
            <v>1</v>
          </cell>
          <cell r="I33" t="b">
            <v>1</v>
          </cell>
          <cell r="J33">
            <v>1</v>
          </cell>
          <cell r="L33" t="str">
            <v>numeric</v>
          </cell>
          <cell r="M33">
            <v>0</v>
          </cell>
          <cell r="N33">
            <v>20000</v>
          </cell>
        </row>
        <row r="34">
          <cell r="B34" t="str">
            <v>anmgor_ashe</v>
          </cell>
          <cell r="D34" t="str">
            <v>ASHE</v>
          </cell>
          <cell r="E34" t="str">
            <v>Included</v>
          </cell>
          <cell r="F34" t="b">
            <v>1</v>
          </cell>
          <cell r="G34" t="b">
            <v>0</v>
          </cell>
          <cell r="H34" t="b">
            <v>0</v>
          </cell>
          <cell r="I34" t="b">
            <v>0</v>
          </cell>
        </row>
        <row r="35">
          <cell r="B35" t="str">
            <v>app_ashe</v>
          </cell>
          <cell r="C35" t="str">
            <v>apprentice marker</v>
          </cell>
          <cell r="D35" t="str">
            <v>ASHE</v>
          </cell>
          <cell r="E35" t="str">
            <v>Included</v>
          </cell>
          <cell r="F35" t="b">
            <v>0</v>
          </cell>
          <cell r="G35" t="b">
            <v>1</v>
          </cell>
          <cell r="H35" t="b">
            <v>1</v>
          </cell>
          <cell r="I35" t="b">
            <v>1</v>
          </cell>
          <cell r="J35">
            <v>1</v>
          </cell>
          <cell r="L35" t="str">
            <v>numeric</v>
          </cell>
          <cell r="M35">
            <v>1</v>
          </cell>
          <cell r="N35">
            <v>2</v>
          </cell>
          <cell r="O35" t="str">
            <v>year&gt;=2013</v>
          </cell>
        </row>
        <row r="36">
          <cell r="B36" t="str">
            <v>appdate_ashe</v>
          </cell>
          <cell r="C36" t="str">
            <v>apprenticeship start date</v>
          </cell>
          <cell r="D36" t="str">
            <v>ASHE</v>
          </cell>
          <cell r="E36" t="str">
            <v>Included</v>
          </cell>
          <cell r="F36" t="b">
            <v>1</v>
          </cell>
          <cell r="G36" t="b">
            <v>1</v>
          </cell>
          <cell r="H36" t="b">
            <v>1</v>
          </cell>
          <cell r="I36" t="b">
            <v>1</v>
          </cell>
          <cell r="J36">
            <v>1</v>
          </cell>
          <cell r="L36" t="str">
            <v>string</v>
          </cell>
          <cell r="M36" t="str">
            <v>MMYYYY</v>
          </cell>
          <cell r="N36" t="str">
            <v>MMYYYY</v>
          </cell>
          <cell r="O36" t="str">
            <v>year&gt;=2013</v>
          </cell>
        </row>
        <row r="37">
          <cell r="B37" t="str">
            <v>appmonth_ashe</v>
          </cell>
          <cell r="C37" t="str">
            <v>apprenticeship start month</v>
          </cell>
          <cell r="D37" t="str">
            <v>ASHE</v>
          </cell>
          <cell r="E37" t="str">
            <v>Included</v>
          </cell>
          <cell r="F37" t="b">
            <v>0</v>
          </cell>
          <cell r="G37" t="b">
            <v>1</v>
          </cell>
          <cell r="H37" t="b">
            <v>1</v>
          </cell>
          <cell r="I37" t="b">
            <v>1</v>
          </cell>
        </row>
        <row r="38">
          <cell r="B38" t="str">
            <v>appmonthchar_ashe</v>
          </cell>
          <cell r="C38" t="str">
            <v>derived from age appmonth</v>
          </cell>
          <cell r="D38" t="str">
            <v>ASHE</v>
          </cell>
          <cell r="E38" t="str">
            <v>Included</v>
          </cell>
          <cell r="F38" t="b">
            <v>1</v>
          </cell>
          <cell r="G38" t="b">
            <v>1</v>
          </cell>
          <cell r="H38" t="b">
            <v>1</v>
          </cell>
          <cell r="I38" t="b">
            <v>1</v>
          </cell>
        </row>
        <row r="39">
          <cell r="B39" t="str">
            <v>appyear_ashe</v>
          </cell>
          <cell r="C39" t="str">
            <v>apprenticeship year</v>
          </cell>
          <cell r="D39" t="str">
            <v>ASHE</v>
          </cell>
          <cell r="E39" t="str">
            <v>Included</v>
          </cell>
          <cell r="F39" t="b">
            <v>1</v>
          </cell>
          <cell r="G39" t="b">
            <v>1</v>
          </cell>
          <cell r="H39" t="b">
            <v>1</v>
          </cell>
          <cell r="I39" t="b">
            <v>1</v>
          </cell>
        </row>
        <row r="40">
          <cell r="B40" t="str">
            <v>appyearchar_ashe</v>
          </cell>
          <cell r="C40" t="str">
            <v>derived from appyear</v>
          </cell>
          <cell r="D40" t="str">
            <v>ASHE</v>
          </cell>
          <cell r="E40" t="str">
            <v>Included</v>
          </cell>
          <cell r="F40" t="b">
            <v>1</v>
          </cell>
          <cell r="G40" t="b">
            <v>1</v>
          </cell>
          <cell r="H40" t="b">
            <v>1</v>
          </cell>
          <cell r="I40" t="b">
            <v>1</v>
          </cell>
        </row>
        <row r="41">
          <cell r="B41" t="str">
            <v>ashe_nino_adr_id</v>
          </cell>
          <cell r="C41" t="str">
            <v>generated ID that facilitates the joining of data to other data with NINo, based on obscuring NINo.  Based on the first 8 digits of NINo with a unique random ID for every potential ASHE sample NINo</v>
          </cell>
          <cell r="D41" t="str">
            <v>ASHE</v>
          </cell>
          <cell r="E41" t="str">
            <v xml:space="preserve">New </v>
          </cell>
          <cell r="F41" t="b">
            <v>1</v>
          </cell>
          <cell r="G41" t="b">
            <v>1</v>
          </cell>
          <cell r="H41" t="b">
            <v>1</v>
          </cell>
          <cell r="I41" t="b">
            <v>1</v>
          </cell>
          <cell r="K41">
            <v>1</v>
          </cell>
        </row>
        <row r="42">
          <cell r="B42" t="str">
            <v>ashefurlough_ashe</v>
          </cell>
          <cell r="C42" t="str">
            <v>flag if someone is furloughed as taken from the ASHE form</v>
          </cell>
          <cell r="D42" t="str">
            <v>ASHE</v>
          </cell>
          <cell r="E42" t="str">
            <v>Similar</v>
          </cell>
          <cell r="F42" t="b">
            <v>0</v>
          </cell>
          <cell r="G42" t="b">
            <v>1</v>
          </cell>
          <cell r="H42" t="b">
            <v>1</v>
          </cell>
          <cell r="I42" t="b">
            <v>1</v>
          </cell>
          <cell r="J42">
            <v>1</v>
          </cell>
          <cell r="L42" t="str">
            <v>numeric</v>
          </cell>
          <cell r="M42">
            <v>0</v>
          </cell>
          <cell r="N42">
            <v>2</v>
          </cell>
          <cell r="O42" t="str">
            <v>year==2021</v>
          </cell>
        </row>
        <row r="43">
          <cell r="B43" t="str">
            <v>autopen_ashe</v>
          </cell>
          <cell r="C43" t="str">
            <v>auto-enrolement in to pension schemes</v>
          </cell>
          <cell r="D43" t="str">
            <v>ASHE</v>
          </cell>
          <cell r="E43" t="str">
            <v>Included</v>
          </cell>
          <cell r="F43" t="b">
            <v>1</v>
          </cell>
          <cell r="G43" t="b">
            <v>1</v>
          </cell>
          <cell r="H43" t="b">
            <v>1</v>
          </cell>
          <cell r="I43" t="b">
            <v>1</v>
          </cell>
          <cell r="J43">
            <v>1</v>
          </cell>
          <cell r="L43" t="str">
            <v>numeric</v>
          </cell>
          <cell r="M43">
            <v>0</v>
          </cell>
          <cell r="N43">
            <v>1</v>
          </cell>
          <cell r="O43" t="str">
            <v>year&gt;=2016</v>
          </cell>
        </row>
        <row r="44">
          <cell r="B44" t="str">
            <v>available_for_work_cen</v>
          </cell>
          <cell r="C44" t="str">
            <v>If a job became available now, could you start it within two weeks</v>
          </cell>
          <cell r="D44" t="str">
            <v>CENSUS</v>
          </cell>
          <cell r="E44" t="str">
            <v>Similar</v>
          </cell>
          <cell r="F44" t="b">
            <v>0</v>
          </cell>
          <cell r="G44" t="b">
            <v>1</v>
          </cell>
          <cell r="H44" t="b">
            <v>1</v>
          </cell>
          <cell r="I44" t="b">
            <v>1</v>
          </cell>
          <cell r="J44">
            <v>1</v>
          </cell>
          <cell r="L44" t="str">
            <v>numeric</v>
          </cell>
          <cell r="M44">
            <v>1</v>
          </cell>
          <cell r="N44">
            <v>2</v>
          </cell>
          <cell r="O44" t="str">
            <v>if activity_last_week&gt;1</v>
          </cell>
        </row>
        <row r="45">
          <cell r="B45" t="str">
            <v>away_student_ind_cen</v>
          </cell>
          <cell r="C45" t="str">
            <v>Students living away from home during term time indicator</v>
          </cell>
          <cell r="D45" t="str">
            <v>CENSUS</v>
          </cell>
          <cell r="E45" t="str">
            <v xml:space="preserve">New </v>
          </cell>
          <cell r="F45" t="b">
            <v>0</v>
          </cell>
          <cell r="G45" t="b">
            <v>1</v>
          </cell>
          <cell r="H45" t="b">
            <v>1</v>
          </cell>
          <cell r="I45" t="b">
            <v>1</v>
          </cell>
          <cell r="J45">
            <v>1</v>
          </cell>
          <cell r="L45" t="str">
            <v>numeric</v>
          </cell>
          <cell r="M45">
            <v>1</v>
          </cell>
          <cell r="N45">
            <v>2</v>
          </cell>
          <cell r="O45" t="str">
            <v>if age&gt;=4</v>
          </cell>
        </row>
        <row r="46">
          <cell r="B46" t="str">
            <v>bhours_ashe</v>
          </cell>
          <cell r="C46" t="str">
            <v>normal basic hours</v>
          </cell>
          <cell r="D46" t="str">
            <v>ASHE</v>
          </cell>
          <cell r="E46" t="str">
            <v>Included</v>
          </cell>
          <cell r="F46" t="b">
            <v>1</v>
          </cell>
          <cell r="G46" t="b">
            <v>1</v>
          </cell>
          <cell r="H46" t="b">
            <v>1</v>
          </cell>
          <cell r="I46" t="b">
            <v>1</v>
          </cell>
        </row>
        <row r="47">
          <cell r="B47" t="str">
            <v>bhr_ashe</v>
          </cell>
          <cell r="C47" t="str">
            <v>basic paid hours</v>
          </cell>
          <cell r="D47" t="str">
            <v>ASHE</v>
          </cell>
          <cell r="E47" t="str">
            <v>Included</v>
          </cell>
          <cell r="F47" t="b">
            <v>1</v>
          </cell>
          <cell r="G47" t="b">
            <v>1</v>
          </cell>
          <cell r="H47" t="b">
            <v>1</v>
          </cell>
          <cell r="I47" t="b">
            <v>1</v>
          </cell>
          <cell r="J47">
            <v>1</v>
          </cell>
          <cell r="L47" t="str">
            <v>numeric</v>
          </cell>
          <cell r="M47">
            <v>10</v>
          </cell>
          <cell r="N47">
            <v>60</v>
          </cell>
        </row>
        <row r="48">
          <cell r="B48" t="str">
            <v>bhr_x_ashe</v>
          </cell>
          <cell r="C48" t="str">
            <v>derived from bhr</v>
          </cell>
          <cell r="D48" t="str">
            <v>ASHE</v>
          </cell>
          <cell r="E48" t="str">
            <v>Included</v>
          </cell>
          <cell r="F48" t="b">
            <v>1</v>
          </cell>
          <cell r="G48" t="b">
            <v>1</v>
          </cell>
          <cell r="H48" t="b">
            <v>1</v>
          </cell>
          <cell r="I48" t="b">
            <v>1</v>
          </cell>
        </row>
        <row r="49">
          <cell r="B49" t="str">
            <v>bik_ashe</v>
          </cell>
          <cell r="C49" t="str">
            <v>benefits in kind</v>
          </cell>
          <cell r="D49" t="str">
            <v>ASHE</v>
          </cell>
          <cell r="E49" t="str">
            <v>Included</v>
          </cell>
          <cell r="F49" t="b">
            <v>1</v>
          </cell>
          <cell r="G49" t="b">
            <v>1</v>
          </cell>
          <cell r="H49" t="b">
            <v>1</v>
          </cell>
          <cell r="I49" t="b">
            <v>1</v>
          </cell>
          <cell r="J49">
            <v>1</v>
          </cell>
          <cell r="L49" t="str">
            <v>numeric</v>
          </cell>
          <cell r="M49">
            <v>1000</v>
          </cell>
          <cell r="N49">
            <v>5000</v>
          </cell>
          <cell r="O49" t="str">
            <v>bikfilterl==1</v>
          </cell>
        </row>
        <row r="50">
          <cell r="B50" t="str">
            <v>bikfilter_ashe</v>
          </cell>
          <cell r="C50" t="str">
            <v>bikfilterl</v>
          </cell>
          <cell r="D50" t="str">
            <v>ASHE</v>
          </cell>
          <cell r="E50" t="str">
            <v>Included</v>
          </cell>
          <cell r="F50" t="b">
            <v>1</v>
          </cell>
          <cell r="G50" t="b">
            <v>1</v>
          </cell>
          <cell r="H50" t="b">
            <v>1</v>
          </cell>
          <cell r="I50" t="b">
            <v>1</v>
          </cell>
          <cell r="J50">
            <v>1</v>
          </cell>
          <cell r="L50" t="str">
            <v>numeric</v>
          </cell>
          <cell r="M50">
            <v>1</v>
          </cell>
          <cell r="N50">
            <v>2</v>
          </cell>
        </row>
        <row r="51">
          <cell r="B51" t="str">
            <v>bmins_ashe</v>
          </cell>
          <cell r="D51" t="str">
            <v>ASHE</v>
          </cell>
          <cell r="E51" t="str">
            <v>Included</v>
          </cell>
          <cell r="F51" t="b">
            <v>0</v>
          </cell>
          <cell r="G51" t="b">
            <v>0</v>
          </cell>
          <cell r="H51" t="b">
            <v>0</v>
          </cell>
          <cell r="I51" t="b">
            <v>0</v>
          </cell>
        </row>
        <row r="52">
          <cell r="B52" t="str">
            <v>bpay_ashe</v>
          </cell>
          <cell r="C52" t="str">
            <v>basic pay</v>
          </cell>
          <cell r="D52" t="str">
            <v>ASHE</v>
          </cell>
          <cell r="E52" t="str">
            <v>Included</v>
          </cell>
          <cell r="F52" t="b">
            <v>0</v>
          </cell>
          <cell r="G52" t="b">
            <v>1</v>
          </cell>
          <cell r="H52" t="b">
            <v>1</v>
          </cell>
          <cell r="I52" t="b">
            <v>1</v>
          </cell>
          <cell r="J52">
            <v>1</v>
          </cell>
          <cell r="L52" t="str">
            <v>numeric</v>
          </cell>
          <cell r="M52">
            <v>200</v>
          </cell>
          <cell r="N52">
            <v>2000</v>
          </cell>
        </row>
        <row r="53">
          <cell r="B53" t="str">
            <v>bpayinc_ashe</v>
          </cell>
          <cell r="C53" t="str">
            <v>basic pay including other pay</v>
          </cell>
          <cell r="D53" t="str">
            <v>ASHE</v>
          </cell>
          <cell r="E53" t="str">
            <v>Included</v>
          </cell>
          <cell r="F53" t="b">
            <v>0</v>
          </cell>
          <cell r="G53" t="b">
            <v>1</v>
          </cell>
          <cell r="H53" t="b">
            <v>1</v>
          </cell>
          <cell r="I53" t="b">
            <v>1</v>
          </cell>
          <cell r="J53">
            <v>1</v>
          </cell>
          <cell r="L53" t="str">
            <v>numeric</v>
          </cell>
          <cell r="M53">
            <v>210</v>
          </cell>
          <cell r="N53">
            <v>2100</v>
          </cell>
        </row>
        <row r="54">
          <cell r="B54" t="str">
            <v>calwght_ashe</v>
          </cell>
          <cell r="C54" t="str">
            <v>weights used to calibrate ashe returns to jobs totals from the lfs</v>
          </cell>
          <cell r="D54" t="str">
            <v>ASHE</v>
          </cell>
          <cell r="E54" t="str">
            <v>Included</v>
          </cell>
          <cell r="F54" t="b">
            <v>1</v>
          </cell>
          <cell r="G54" t="b">
            <v>1</v>
          </cell>
          <cell r="H54" t="b">
            <v>1</v>
          </cell>
          <cell r="I54" t="b">
            <v>1</v>
          </cell>
          <cell r="J54">
            <v>1</v>
          </cell>
          <cell r="L54" t="str">
            <v>numeric</v>
          </cell>
          <cell r="M54">
            <v>1</v>
          </cell>
          <cell r="N54">
            <v>100</v>
          </cell>
        </row>
        <row r="55">
          <cell r="B55" t="str">
            <v>ce_id_cen</v>
          </cell>
          <cell r="C55" t="str">
            <v>Communal Establishment unique identifier</v>
          </cell>
          <cell r="D55" t="str">
            <v>CENSUS</v>
          </cell>
          <cell r="E55" t="str">
            <v>Similar</v>
          </cell>
          <cell r="F55" t="b">
            <v>0</v>
          </cell>
          <cell r="G55" t="b">
            <v>1</v>
          </cell>
          <cell r="H55" t="b">
            <v>1</v>
          </cell>
          <cell r="I55" t="b">
            <v>1</v>
          </cell>
          <cell r="J55">
            <v>1</v>
          </cell>
          <cell r="L55" t="str">
            <v>numeric</v>
          </cell>
        </row>
        <row r="56">
          <cell r="B56" t="str">
            <v>cen_id_contains_multiple_ninos_link</v>
          </cell>
          <cell r="D56" t="str">
            <v>link from 2021 cen link encrypt nino</v>
          </cell>
          <cell r="E56" t="str">
            <v xml:space="preserve">New </v>
          </cell>
          <cell r="F56" t="b">
            <v>0</v>
          </cell>
          <cell r="G56" t="b">
            <v>1</v>
          </cell>
          <cell r="H56" t="b">
            <v>1</v>
          </cell>
          <cell r="I56" t="b">
            <v>1</v>
          </cell>
        </row>
        <row r="57">
          <cell r="B57" t="str">
            <v>census_id_link</v>
          </cell>
          <cell r="D57" t="str">
            <v>link from 2021 cen link encrypt nino</v>
          </cell>
          <cell r="E57" t="str">
            <v xml:space="preserve">New </v>
          </cell>
          <cell r="F57" t="b">
            <v>0</v>
          </cell>
          <cell r="G57" t="b">
            <v>1</v>
          </cell>
          <cell r="H57" t="b">
            <v>1</v>
          </cell>
          <cell r="I57" t="b">
            <v>1</v>
          </cell>
        </row>
        <row r="58">
          <cell r="B58" t="str">
            <v>child_family_status_cen</v>
          </cell>
          <cell r="C58" t="str">
            <v>Child Family Status</v>
          </cell>
          <cell r="D58" t="str">
            <v>CENSUS</v>
          </cell>
          <cell r="E58" t="str">
            <v xml:space="preserve">New </v>
          </cell>
          <cell r="F58" t="b">
            <v>0</v>
          </cell>
          <cell r="G58" t="b">
            <v>1</v>
          </cell>
          <cell r="H58" t="b">
            <v>1</v>
          </cell>
          <cell r="I58" t="b">
            <v>1</v>
          </cell>
          <cell r="J58">
            <v>1</v>
          </cell>
          <cell r="L58" t="str">
            <v>numeric</v>
          </cell>
          <cell r="M58">
            <v>1</v>
          </cell>
          <cell r="N58">
            <v>6</v>
          </cell>
        </row>
        <row r="59">
          <cell r="B59" t="str">
            <v>classification_entry_id_occ10_link</v>
          </cell>
          <cell r="C59" t="str">
            <v>Classification Entry ID from rdmf for the SOC10 - 4-digit Standard Occupational Classification 2010</v>
          </cell>
          <cell r="D59" t="str">
            <v>link from Ashe id encrypted nino lookup</v>
          </cell>
          <cell r="E59" t="str">
            <v xml:space="preserve">New </v>
          </cell>
          <cell r="F59" t="b">
            <v>1</v>
          </cell>
          <cell r="G59" t="b">
            <v>0</v>
          </cell>
          <cell r="H59" t="b">
            <v>1</v>
          </cell>
          <cell r="I59" t="b">
            <v>1</v>
          </cell>
        </row>
        <row r="60">
          <cell r="B60" t="str">
            <v>classification_entry_id_occ20_link</v>
          </cell>
          <cell r="C60" t="str">
            <v>Classification Entry ID from rdmf for the Occupation</v>
          </cell>
          <cell r="D60" t="str">
            <v>link from Ashe id encrypted nino lookup</v>
          </cell>
          <cell r="E60" t="str">
            <v xml:space="preserve">New </v>
          </cell>
          <cell r="F60" t="b">
            <v>1</v>
          </cell>
          <cell r="G60" t="b">
            <v>0</v>
          </cell>
          <cell r="H60" t="b">
            <v>1</v>
          </cell>
          <cell r="I60" t="b">
            <v>1</v>
          </cell>
        </row>
        <row r="61">
          <cell r="B61" t="str">
            <v>classification_entry_id_sic07_link</v>
          </cell>
          <cell r="C61" t="str">
            <v>Classification Entry ID from rdmf for the SIC07 - 5-digit Standard Industrial Classification 2007</v>
          </cell>
          <cell r="D61" t="str">
            <v>link from Ashe id encrypted nino lookup</v>
          </cell>
          <cell r="E61" t="str">
            <v xml:space="preserve">New </v>
          </cell>
          <cell r="F61" t="b">
            <v>1</v>
          </cell>
          <cell r="G61" t="b">
            <v>0</v>
          </cell>
          <cell r="H61" t="b">
            <v>1</v>
          </cell>
          <cell r="I61" t="b">
            <v>1</v>
          </cell>
        </row>
        <row r="62">
          <cell r="B62" t="str">
            <v>cluster_ashe</v>
          </cell>
          <cell r="C62" t="str">
            <v>not normal ashe variable derived specifically from project</v>
          </cell>
          <cell r="D62" t="str">
            <v>ASHE</v>
          </cell>
          <cell r="E62" t="str">
            <v>Included</v>
          </cell>
          <cell r="F62" t="b">
            <v>1</v>
          </cell>
          <cell r="G62" t="b">
            <v>1</v>
          </cell>
          <cell r="H62" t="b">
            <v>1</v>
          </cell>
          <cell r="I62" t="b">
            <v>1</v>
          </cell>
        </row>
        <row r="63">
          <cell r="B63" t="str">
            <v>colag_ashe</v>
          </cell>
          <cell r="C63" t="str">
            <v>collective agreement</v>
          </cell>
          <cell r="D63" t="str">
            <v>ASHE</v>
          </cell>
          <cell r="E63" t="str">
            <v>Included</v>
          </cell>
          <cell r="F63" t="b">
            <v>1</v>
          </cell>
          <cell r="G63" t="b">
            <v>1</v>
          </cell>
          <cell r="H63" t="b">
            <v>1</v>
          </cell>
          <cell r="I63" t="b">
            <v>1</v>
          </cell>
          <cell r="J63">
            <v>1</v>
          </cell>
          <cell r="L63" t="str">
            <v>numeric</v>
          </cell>
          <cell r="M63">
            <v>0</v>
          </cell>
          <cell r="N63">
            <v>5</v>
          </cell>
          <cell r="O63" t="str">
            <v>year&gt;=2005</v>
          </cell>
        </row>
        <row r="64">
          <cell r="B64" t="str">
            <v>compay_ashe</v>
          </cell>
          <cell r="C64" t="str">
            <v>employer pension contributions</v>
          </cell>
          <cell r="D64" t="str">
            <v>ASHE</v>
          </cell>
          <cell r="E64" t="str">
            <v>Included</v>
          </cell>
          <cell r="F64" t="b">
            <v>0</v>
          </cell>
          <cell r="G64" t="b">
            <v>1</v>
          </cell>
          <cell r="H64" t="b">
            <v>1</v>
          </cell>
          <cell r="I64" t="b">
            <v>1</v>
          </cell>
          <cell r="J64">
            <v>1</v>
          </cell>
          <cell r="L64" t="str">
            <v>numeric</v>
          </cell>
          <cell r="M64">
            <v>0</v>
          </cell>
          <cell r="N64">
            <v>50000</v>
          </cell>
          <cell r="O64" t="str">
            <v>year&gt;=2005</v>
          </cell>
        </row>
        <row r="65">
          <cell r="B65" t="str">
            <v>compay_old_ashe</v>
          </cell>
          <cell r="C65" t="str">
            <v>previous compay</v>
          </cell>
          <cell r="D65" t="str">
            <v>ASHE</v>
          </cell>
          <cell r="E65" t="str">
            <v>Included</v>
          </cell>
          <cell r="F65" t="b">
            <v>0</v>
          </cell>
          <cell r="G65" t="b">
            <v>1</v>
          </cell>
          <cell r="H65" t="b">
            <v>1</v>
          </cell>
          <cell r="I65" t="b">
            <v>1</v>
          </cell>
        </row>
        <row r="66">
          <cell r="B66" t="str">
            <v>comperc_ashe</v>
          </cell>
          <cell r="C66" t="str">
            <v>percentage of employer's contributions made in the pay period</v>
          </cell>
          <cell r="D66" t="str">
            <v>ASHE</v>
          </cell>
          <cell r="E66" t="str">
            <v>Included</v>
          </cell>
          <cell r="F66" t="b">
            <v>0</v>
          </cell>
          <cell r="G66" t="b">
            <v>1</v>
          </cell>
          <cell r="H66" t="b">
            <v>1</v>
          </cell>
          <cell r="I66" t="b">
            <v>1</v>
          </cell>
          <cell r="J66">
            <v>1</v>
          </cell>
          <cell r="L66" t="str">
            <v>numeric</v>
          </cell>
          <cell r="M66">
            <v>0</v>
          </cell>
          <cell r="N66">
            <v>50</v>
          </cell>
          <cell r="O66" t="str">
            <v>year&gt;=2005</v>
          </cell>
        </row>
        <row r="67">
          <cell r="B67" t="str">
            <v>cornish_ind_cen</v>
          </cell>
          <cell r="C67" t="str">
            <v>Cornish identity indicator</v>
          </cell>
          <cell r="D67" t="str">
            <v>CENSUS</v>
          </cell>
          <cell r="E67" t="str">
            <v xml:space="preserve">New </v>
          </cell>
          <cell r="F67" t="b">
            <v>0</v>
          </cell>
          <cell r="G67" t="b">
            <v>1</v>
          </cell>
          <cell r="H67" t="b">
            <v>1</v>
          </cell>
          <cell r="I67" t="b">
            <v>1</v>
          </cell>
          <cell r="J67">
            <v>1</v>
          </cell>
          <cell r="L67" t="str">
            <v>numeric</v>
          </cell>
          <cell r="M67">
            <v>0</v>
          </cell>
          <cell r="N67">
            <v>7</v>
          </cell>
        </row>
        <row r="68">
          <cell r="B68" t="str">
            <v>cosp_ashe</v>
          </cell>
          <cell r="C68" t="str">
            <v>contracted out of state second pension</v>
          </cell>
          <cell r="D68" t="str">
            <v>ASHE</v>
          </cell>
          <cell r="E68" t="str">
            <v>Included</v>
          </cell>
          <cell r="F68" t="b">
            <v>1</v>
          </cell>
          <cell r="G68" t="b">
            <v>1</v>
          </cell>
          <cell r="H68" t="b">
            <v>1</v>
          </cell>
          <cell r="I68" t="b">
            <v>1</v>
          </cell>
          <cell r="J68">
            <v>1</v>
          </cell>
          <cell r="L68" t="str">
            <v>numeric</v>
          </cell>
          <cell r="M68">
            <v>1</v>
          </cell>
          <cell r="N68">
            <v>2</v>
          </cell>
        </row>
        <row r="69">
          <cell r="B69" t="str">
            <v>cosp_old_ashe</v>
          </cell>
          <cell r="C69" t="str">
            <v>previous cosp</v>
          </cell>
          <cell r="D69" t="str">
            <v>ASHE</v>
          </cell>
          <cell r="E69" t="str">
            <v>Included</v>
          </cell>
          <cell r="F69" t="b">
            <v>1</v>
          </cell>
          <cell r="G69" t="b">
            <v>1</v>
          </cell>
          <cell r="H69" t="b">
            <v>1</v>
          </cell>
          <cell r="I69" t="b">
            <v>1</v>
          </cell>
        </row>
        <row r="70">
          <cell r="B70" t="str">
            <v>country_of_birth_cen</v>
          </cell>
          <cell r="C70" t="str">
            <v>Country of birth</v>
          </cell>
          <cell r="D70" t="str">
            <v>CENSUS</v>
          </cell>
          <cell r="E70" t="str">
            <v>Similar</v>
          </cell>
          <cell r="F70" t="b">
            <v>0</v>
          </cell>
          <cell r="G70" t="b">
            <v>1</v>
          </cell>
          <cell r="H70" t="b">
            <v>1</v>
          </cell>
          <cell r="I70" t="b">
            <v>1</v>
          </cell>
          <cell r="J70">
            <v>1</v>
          </cell>
          <cell r="L70" t="str">
            <v>numeric</v>
          </cell>
          <cell r="M70">
            <v>1</v>
          </cell>
          <cell r="N70">
            <v>991</v>
          </cell>
        </row>
        <row r="71">
          <cell r="B71" t="str">
            <v>dbco_ashe</v>
          </cell>
          <cell r="D71" t="str">
            <v>ASHE</v>
          </cell>
          <cell r="E71" t="str">
            <v>Included</v>
          </cell>
          <cell r="F71" t="b">
            <v>1</v>
          </cell>
          <cell r="G71" t="b">
            <v>0</v>
          </cell>
          <cell r="H71" t="b">
            <v>0</v>
          </cell>
          <cell r="I71" t="b">
            <v>0</v>
          </cell>
        </row>
        <row r="72">
          <cell r="B72" t="str">
            <v>dbno_ashe</v>
          </cell>
          <cell r="D72" t="str">
            <v>ASHE</v>
          </cell>
          <cell r="E72" t="str">
            <v>Included</v>
          </cell>
          <cell r="F72" t="b">
            <v>1</v>
          </cell>
          <cell r="G72" t="b">
            <v>0</v>
          </cell>
          <cell r="H72" t="b">
            <v>0</v>
          </cell>
          <cell r="I72" t="b">
            <v>0</v>
          </cell>
        </row>
        <row r="73">
          <cell r="B73" t="str">
            <v>dc_ashe</v>
          </cell>
          <cell r="D73" t="str">
            <v>ASHE</v>
          </cell>
          <cell r="E73" t="str">
            <v>Included</v>
          </cell>
          <cell r="F73" t="b">
            <v>1</v>
          </cell>
          <cell r="G73" t="b">
            <v>0</v>
          </cell>
          <cell r="H73" t="b">
            <v>0</v>
          </cell>
          <cell r="I73" t="b">
            <v>0</v>
          </cell>
        </row>
        <row r="74">
          <cell r="B74" t="str">
            <v>delete_ashe</v>
          </cell>
          <cell r="C74" t="str">
            <v>system code derived, not a normal ashe variable</v>
          </cell>
          <cell r="D74" t="str">
            <v>ASHE</v>
          </cell>
          <cell r="E74" t="str">
            <v>Included</v>
          </cell>
          <cell r="F74" t="b">
            <v>1</v>
          </cell>
          <cell r="G74" t="b">
            <v>1</v>
          </cell>
          <cell r="H74" t="b">
            <v>1</v>
          </cell>
          <cell r="I74" t="b">
            <v>1</v>
          </cell>
        </row>
        <row r="75">
          <cell r="B75" t="str">
            <v>demographic_entry_id_link</v>
          </cell>
          <cell r="D75" t="str">
            <v>link from 2021 cen link encrypt nino</v>
          </cell>
          <cell r="E75" t="str">
            <v xml:space="preserve">New </v>
          </cell>
          <cell r="F75" t="b">
            <v>0</v>
          </cell>
          <cell r="G75" t="b">
            <v>1</v>
          </cell>
          <cell r="H75" t="b">
            <v>1</v>
          </cell>
          <cell r="I75" t="b">
            <v>1</v>
          </cell>
        </row>
        <row r="76">
          <cell r="B76" t="str">
            <v>demographic_entry_id_adr_id_cluster_link</v>
          </cell>
          <cell r="C76" t="str">
            <v>Boolean flag to indicate (True) if a demographic_entry_id is subject to a cluster conflict. A cluster conflict arises where a demographic_entry_id is associated with two or more conflicting external identifiers (e.g. two adr_ids assigned to the same demographic_entry_id). Cluster conflicts can arise for legitimate reasons but may also suggest ambiguity in the assignment of a flagged demographic_entry_id. Contains values 'True' or 'False'</v>
          </cell>
          <cell r="D76" t="str">
            <v>link from Ashe id encrypted nino lookup</v>
          </cell>
          <cell r="E76" t="str">
            <v xml:space="preserve">New </v>
          </cell>
          <cell r="F76" t="b">
            <v>1</v>
          </cell>
          <cell r="G76" t="b">
            <v>0</v>
          </cell>
          <cell r="H76" t="b">
            <v>1</v>
          </cell>
          <cell r="I76" t="b">
            <v>1</v>
          </cell>
        </row>
        <row r="77">
          <cell r="B77" t="str">
            <v>dependent_child_ind_cen</v>
          </cell>
          <cell r="C77" t="str">
            <v>Dependent Child Indicator</v>
          </cell>
          <cell r="D77" t="str">
            <v>CENSUS</v>
          </cell>
          <cell r="E77" t="str">
            <v xml:space="preserve">New </v>
          </cell>
          <cell r="F77" t="b">
            <v>0</v>
          </cell>
          <cell r="G77" t="b">
            <v>1</v>
          </cell>
          <cell r="H77" t="b">
            <v>1</v>
          </cell>
          <cell r="I77" t="b">
            <v>1</v>
          </cell>
          <cell r="J77">
            <v>1</v>
          </cell>
          <cell r="L77" t="str">
            <v>numeric</v>
          </cell>
          <cell r="M77">
            <v>0</v>
          </cell>
          <cell r="N77">
            <v>1</v>
          </cell>
        </row>
        <row r="78">
          <cell r="B78" t="str">
            <v>der_ratet_ashe</v>
          </cell>
          <cell r="D78" t="str">
            <v>ASHE</v>
          </cell>
          <cell r="E78" t="str">
            <v>Included</v>
          </cell>
          <cell r="F78" t="b">
            <v>1</v>
          </cell>
          <cell r="G78" t="b">
            <v>0</v>
          </cell>
          <cell r="H78" t="b">
            <v>0</v>
          </cell>
          <cell r="I78" t="b">
            <v>0</v>
          </cell>
        </row>
        <row r="79">
          <cell r="B79" t="str">
            <v>disability_cen</v>
          </cell>
          <cell r="C79" t="str">
            <v>Long-term health problem or disability</v>
          </cell>
          <cell r="D79" t="str">
            <v>CENSUS</v>
          </cell>
          <cell r="E79" t="str">
            <v>Included</v>
          </cell>
          <cell r="F79" t="b">
            <v>1</v>
          </cell>
          <cell r="G79" t="b">
            <v>1</v>
          </cell>
          <cell r="H79" t="b">
            <v>1</v>
          </cell>
          <cell r="I79" t="b">
            <v>1</v>
          </cell>
          <cell r="J79">
            <v>1</v>
          </cell>
          <cell r="L79" t="str">
            <v>numeric</v>
          </cell>
          <cell r="M79">
            <v>1</v>
          </cell>
          <cell r="N79">
            <v>4</v>
          </cell>
        </row>
        <row r="80">
          <cell r="B80" t="str">
            <v>distance_to_work_cen</v>
          </cell>
          <cell r="C80" t="str">
            <v>Distance travelled to work</v>
          </cell>
          <cell r="D80" t="str">
            <v>CENSUS</v>
          </cell>
          <cell r="E80" t="str">
            <v xml:space="preserve">New </v>
          </cell>
          <cell r="F80" t="b">
            <v>0</v>
          </cell>
          <cell r="G80" t="b">
            <v>1</v>
          </cell>
          <cell r="H80" t="b">
            <v>1</v>
          </cell>
          <cell r="I80" t="b">
            <v>1</v>
          </cell>
          <cell r="J80">
            <v>1</v>
          </cell>
          <cell r="L80" t="str">
            <v>numeric</v>
          </cell>
          <cell r="M80">
            <v>0</v>
          </cell>
          <cell r="N80">
            <v>12000</v>
          </cell>
        </row>
        <row r="81">
          <cell r="B81" t="str">
            <v>distno_ashe</v>
          </cell>
          <cell r="D81" t="str">
            <v>ASHE</v>
          </cell>
          <cell r="E81" t="str">
            <v>Included</v>
          </cell>
          <cell r="F81" t="b">
            <v>1</v>
          </cell>
          <cell r="G81" t="b">
            <v>0</v>
          </cell>
          <cell r="H81" t="b">
            <v>0</v>
          </cell>
          <cell r="I81" t="b">
            <v>0</v>
          </cell>
        </row>
        <row r="82">
          <cell r="B82" t="str">
            <v>djob_ashe</v>
          </cell>
          <cell r="C82" t="str">
            <v>double job marker</v>
          </cell>
          <cell r="D82" t="str">
            <v>ASHE</v>
          </cell>
          <cell r="E82" t="str">
            <v>Included</v>
          </cell>
          <cell r="F82" t="b">
            <v>1</v>
          </cell>
          <cell r="G82" t="b">
            <v>1</v>
          </cell>
          <cell r="H82" t="b">
            <v>1</v>
          </cell>
          <cell r="I82" t="b">
            <v>1</v>
          </cell>
        </row>
        <row r="83">
          <cell r="B83" t="str">
            <v>dweight_ashe</v>
          </cell>
          <cell r="C83" t="str">
            <v>calibration weight based on stratum</v>
          </cell>
          <cell r="D83" t="str">
            <v>ASHE</v>
          </cell>
          <cell r="E83" t="str">
            <v>Included</v>
          </cell>
          <cell r="F83" t="b">
            <v>1</v>
          </cell>
          <cell r="G83" t="b">
            <v>1</v>
          </cell>
          <cell r="H83" t="b">
            <v>1</v>
          </cell>
          <cell r="I83" t="b">
            <v>1</v>
          </cell>
          <cell r="J83">
            <v>1</v>
          </cell>
          <cell r="L83" t="str">
            <v>numeric</v>
          </cell>
          <cell r="M83">
            <v>1</v>
          </cell>
          <cell r="N83">
            <v>100</v>
          </cell>
        </row>
        <row r="84">
          <cell r="B84" t="str">
            <v>ec00_ashe</v>
          </cell>
          <cell r="C84" t="str">
            <v>2000 enterprise council</v>
          </cell>
          <cell r="D84" t="str">
            <v>ASHE</v>
          </cell>
          <cell r="E84" t="str">
            <v>Included</v>
          </cell>
          <cell r="F84" t="b">
            <v>1</v>
          </cell>
          <cell r="G84" t="b">
            <v>1</v>
          </cell>
          <cell r="H84" t="b">
            <v>1</v>
          </cell>
          <cell r="I84" t="b">
            <v>1</v>
          </cell>
        </row>
        <row r="85">
          <cell r="B85" t="str">
            <v>ec04_ashe</v>
          </cell>
          <cell r="C85" t="str">
            <v>2004 enterprise council</v>
          </cell>
          <cell r="D85" t="str">
            <v>ASHE</v>
          </cell>
          <cell r="E85" t="str">
            <v>Included</v>
          </cell>
          <cell r="F85" t="b">
            <v>1</v>
          </cell>
          <cell r="G85" t="b">
            <v>1</v>
          </cell>
          <cell r="H85" t="b">
            <v>1</v>
          </cell>
          <cell r="I85" t="b">
            <v>1</v>
          </cell>
        </row>
        <row r="86">
          <cell r="B86" t="str">
            <v>ec08_ashe</v>
          </cell>
          <cell r="C86" t="str">
            <v>2008 enterprise council</v>
          </cell>
          <cell r="D86" t="str">
            <v>ASHE</v>
          </cell>
          <cell r="E86" t="str">
            <v>Included</v>
          </cell>
          <cell r="F86" t="b">
            <v>1</v>
          </cell>
          <cell r="G86" t="b">
            <v>1</v>
          </cell>
          <cell r="H86" t="b">
            <v>1</v>
          </cell>
          <cell r="I86" t="b">
            <v>1</v>
          </cell>
        </row>
        <row r="87">
          <cell r="B87" t="str">
            <v>ec10_ashe</v>
          </cell>
          <cell r="C87" t="str">
            <v>2010 enterprise council</v>
          </cell>
          <cell r="D87" t="str">
            <v>ASHE</v>
          </cell>
          <cell r="E87" t="str">
            <v>Included</v>
          </cell>
          <cell r="F87" t="b">
            <v>1</v>
          </cell>
          <cell r="G87" t="b">
            <v>1</v>
          </cell>
          <cell r="H87" t="b">
            <v>1</v>
          </cell>
          <cell r="I87" t="b">
            <v>1</v>
          </cell>
        </row>
        <row r="88">
          <cell r="B88" t="str">
            <v>ec12_ashe</v>
          </cell>
          <cell r="C88" t="str">
            <v>2012 enterprise council</v>
          </cell>
          <cell r="D88" t="str">
            <v>ASHE</v>
          </cell>
          <cell r="E88" t="str">
            <v>Included</v>
          </cell>
          <cell r="F88" t="b">
            <v>1</v>
          </cell>
          <cell r="G88" t="b">
            <v>1</v>
          </cell>
          <cell r="H88" t="b">
            <v>1</v>
          </cell>
          <cell r="I88" t="b">
            <v>1</v>
          </cell>
        </row>
        <row r="89">
          <cell r="B89" t="str">
            <v>ec15_ashe</v>
          </cell>
          <cell r="C89" t="str">
            <v>2015 enterprise council</v>
          </cell>
          <cell r="D89" t="str">
            <v>ASHE</v>
          </cell>
          <cell r="E89" t="str">
            <v>Included</v>
          </cell>
          <cell r="F89" t="b">
            <v>1</v>
          </cell>
          <cell r="G89" t="b">
            <v>1</v>
          </cell>
          <cell r="H89" t="b">
            <v>1</v>
          </cell>
          <cell r="I89" t="b">
            <v>1</v>
          </cell>
        </row>
        <row r="90">
          <cell r="B90" t="str">
            <v>ec20_ashe</v>
          </cell>
          <cell r="C90" t="str">
            <v>2020 enterprise council</v>
          </cell>
          <cell r="D90" t="str">
            <v>ASHE</v>
          </cell>
          <cell r="E90" t="str">
            <v>Included</v>
          </cell>
          <cell r="F90" t="b">
            <v>1</v>
          </cell>
          <cell r="G90" t="b">
            <v>1</v>
          </cell>
          <cell r="H90" t="b">
            <v>1</v>
          </cell>
          <cell r="I90" t="b">
            <v>1</v>
          </cell>
        </row>
        <row r="91">
          <cell r="B91" t="str">
            <v>economic_activity_cen</v>
          </cell>
          <cell r="C91" t="str">
            <v>Economic Activity</v>
          </cell>
          <cell r="D91" t="str">
            <v>CENSUS</v>
          </cell>
          <cell r="E91" t="str">
            <v xml:space="preserve">New </v>
          </cell>
          <cell r="F91" t="b">
            <v>0</v>
          </cell>
          <cell r="G91" t="b">
            <v>1</v>
          </cell>
          <cell r="H91" t="b">
            <v>1</v>
          </cell>
          <cell r="I91" t="b">
            <v>1</v>
          </cell>
          <cell r="J91">
            <v>1</v>
          </cell>
          <cell r="L91" t="str">
            <v>numeric</v>
          </cell>
          <cell r="M91">
            <v>1</v>
          </cell>
          <cell r="N91">
            <v>19</v>
          </cell>
        </row>
        <row r="92">
          <cell r="B92" t="str">
            <v>economic_category_cen</v>
          </cell>
          <cell r="C92" t="str">
            <v>Economic category</v>
          </cell>
          <cell r="D92" t="str">
            <v>CENSUS</v>
          </cell>
          <cell r="E92" t="str">
            <v xml:space="preserve">New </v>
          </cell>
          <cell r="F92" t="b">
            <v>0</v>
          </cell>
          <cell r="G92" t="b">
            <v>1</v>
          </cell>
          <cell r="H92" t="b">
            <v>1</v>
          </cell>
          <cell r="I92" t="b">
            <v>1</v>
          </cell>
          <cell r="J92">
            <v>1</v>
          </cell>
          <cell r="L92" t="str">
            <v>numeric</v>
          </cell>
          <cell r="M92">
            <v>1</v>
          </cell>
          <cell r="N92">
            <v>8</v>
          </cell>
        </row>
        <row r="93">
          <cell r="B93" t="str">
            <v>economic_inactive_status_cen</v>
          </cell>
          <cell r="C93" t="str">
            <v>Employment inactivity last week (Indicator)</v>
          </cell>
          <cell r="D93" t="str">
            <v>CENSUS</v>
          </cell>
          <cell r="E93" t="str">
            <v xml:space="preserve">New </v>
          </cell>
          <cell r="F93" t="b">
            <v>0</v>
          </cell>
          <cell r="G93" t="b">
            <v>1</v>
          </cell>
          <cell r="H93" t="b">
            <v>1</v>
          </cell>
          <cell r="I93" t="b">
            <v>1</v>
          </cell>
          <cell r="J93">
            <v>1</v>
          </cell>
          <cell r="L93" t="str">
            <v>numeric</v>
          </cell>
        </row>
        <row r="94">
          <cell r="B94" t="str">
            <v>ecup_ashe</v>
          </cell>
          <cell r="D94" t="str">
            <v>ASHE</v>
          </cell>
          <cell r="E94" t="str">
            <v>Included</v>
          </cell>
          <cell r="F94" t="b">
            <v>1</v>
          </cell>
          <cell r="G94" t="b">
            <v>0</v>
          </cell>
          <cell r="H94" t="b">
            <v>0</v>
          </cell>
          <cell r="I94" t="b">
            <v>0</v>
          </cell>
        </row>
        <row r="95">
          <cell r="B95" t="str">
            <v>edit_ashe</v>
          </cell>
          <cell r="C95" t="str">
            <v>system code derived, not a normal ashe variable</v>
          </cell>
          <cell r="D95" t="str">
            <v>ASHE</v>
          </cell>
          <cell r="E95" t="str">
            <v>Included</v>
          </cell>
          <cell r="F95" t="b">
            <v>1</v>
          </cell>
          <cell r="G95" t="b">
            <v>1</v>
          </cell>
          <cell r="H95" t="b">
            <v>1</v>
          </cell>
          <cell r="I95" t="b">
            <v>1</v>
          </cell>
        </row>
        <row r="96">
          <cell r="B96" t="str">
            <v>element_ashe</v>
          </cell>
          <cell r="C96" t="str">
            <v>element1 and element 2 are likely to be serno variable  changed in a different year. this variable have the same value as serno</v>
          </cell>
          <cell r="D96" t="str">
            <v>ASHE</v>
          </cell>
          <cell r="E96" t="str">
            <v>Included</v>
          </cell>
          <cell r="F96" t="b">
            <v>1</v>
          </cell>
          <cell r="G96" t="b">
            <v>1</v>
          </cell>
          <cell r="H96" t="b">
            <v>1</v>
          </cell>
          <cell r="I96" t="b">
            <v>1</v>
          </cell>
        </row>
        <row r="97">
          <cell r="B97" t="str">
            <v>element2_ashe</v>
          </cell>
          <cell r="C97" t="str">
            <v>element1 and element 2 are likely to be serno variable  changed in a different year. this variable have the same value as serno</v>
          </cell>
          <cell r="D97" t="str">
            <v>ASHE</v>
          </cell>
          <cell r="E97" t="str">
            <v>Included</v>
          </cell>
          <cell r="F97" t="b">
            <v>1</v>
          </cell>
          <cell r="G97" t="b">
            <v>1</v>
          </cell>
          <cell r="H97" t="b">
            <v>1</v>
          </cell>
          <cell r="I97" t="b">
            <v>1</v>
          </cell>
        </row>
        <row r="98">
          <cell r="B98" t="str">
            <v>employed_last_week_indicator_cen</v>
          </cell>
          <cell r="C98" t="str">
            <v>Employment group (Indicator)</v>
          </cell>
          <cell r="D98" t="str">
            <v>CENSUS</v>
          </cell>
          <cell r="E98" t="str">
            <v xml:space="preserve">New </v>
          </cell>
          <cell r="F98" t="b">
            <v>0</v>
          </cell>
          <cell r="G98" t="b">
            <v>1</v>
          </cell>
          <cell r="H98" t="b">
            <v>1</v>
          </cell>
          <cell r="I98" t="b">
            <v>1</v>
          </cell>
          <cell r="J98">
            <v>1</v>
          </cell>
          <cell r="L98" t="str">
            <v>numeric</v>
          </cell>
          <cell r="M98">
            <v>1</v>
          </cell>
          <cell r="N98">
            <v>2</v>
          </cell>
          <cell r="O98" t="str">
            <v>2 if activity_last_week&gt;=2</v>
          </cell>
        </row>
        <row r="99">
          <cell r="B99" t="str">
            <v>employment_status_cen</v>
          </cell>
          <cell r="C99" t="str">
            <v>Employment status</v>
          </cell>
          <cell r="D99" t="str">
            <v>CENSUS</v>
          </cell>
          <cell r="E99" t="str">
            <v>Similar</v>
          </cell>
          <cell r="F99" t="b">
            <v>0</v>
          </cell>
          <cell r="G99" t="b">
            <v>1</v>
          </cell>
          <cell r="H99" t="b">
            <v>1</v>
          </cell>
          <cell r="I99" t="b">
            <v>1</v>
          </cell>
          <cell r="J99">
            <v>1</v>
          </cell>
          <cell r="L99" t="str">
            <v>numeric</v>
          </cell>
          <cell r="M99">
            <v>1</v>
          </cell>
          <cell r="N99">
            <v>3</v>
          </cell>
        </row>
        <row r="100">
          <cell r="B100" t="str">
            <v>empref_ashe</v>
          </cell>
          <cell r="C100" t="str">
            <v>employee reference number</v>
          </cell>
          <cell r="D100" t="str">
            <v>ASHE</v>
          </cell>
          <cell r="E100" t="str">
            <v>Included</v>
          </cell>
          <cell r="F100" t="b">
            <v>0</v>
          </cell>
          <cell r="G100" t="b">
            <v>0</v>
          </cell>
          <cell r="H100" t="b">
            <v>0</v>
          </cell>
          <cell r="I100" t="b">
            <v>1</v>
          </cell>
        </row>
        <row r="101">
          <cell r="B101" t="str">
            <v>empsta_ashe</v>
          </cell>
          <cell r="C101" t="str">
            <v>month and year in which employee started working for the organisation</v>
          </cell>
          <cell r="D101" t="str">
            <v>ASHE</v>
          </cell>
          <cell r="E101" t="str">
            <v>Included</v>
          </cell>
          <cell r="F101" t="b">
            <v>0</v>
          </cell>
          <cell r="G101" t="b">
            <v>1</v>
          </cell>
          <cell r="H101" t="b">
            <v>1</v>
          </cell>
          <cell r="I101" t="b">
            <v>1</v>
          </cell>
          <cell r="J101">
            <v>1</v>
          </cell>
          <cell r="L101" t="str">
            <v>string</v>
          </cell>
          <cell r="M101" t="str">
            <v>MMYYYY</v>
          </cell>
          <cell r="N101" t="str">
            <v>MMYYYY</v>
          </cell>
        </row>
        <row r="102">
          <cell r="B102" t="str">
            <v>encrypted_ni_number_link</v>
          </cell>
          <cell r="D102" t="str">
            <v>link from Ashe id encrypted nino lookup</v>
          </cell>
          <cell r="E102" t="str">
            <v xml:space="preserve">New </v>
          </cell>
          <cell r="F102" t="b">
            <v>0</v>
          </cell>
          <cell r="G102" t="b">
            <v>0</v>
          </cell>
          <cell r="H102" t="b">
            <v>0</v>
          </cell>
          <cell r="I102" t="b">
            <v>0</v>
          </cell>
        </row>
        <row r="103">
          <cell r="B103" t="str">
            <v>english_language_proficiency_cen</v>
          </cell>
          <cell r="C103" t="str">
            <v>English language proficiency</v>
          </cell>
          <cell r="D103" t="str">
            <v>CENSUS</v>
          </cell>
          <cell r="E103" t="str">
            <v>Similar</v>
          </cell>
          <cell r="F103" t="b">
            <v>0</v>
          </cell>
          <cell r="G103" t="b">
            <v>1</v>
          </cell>
          <cell r="H103" t="b">
            <v>1</v>
          </cell>
          <cell r="I103" t="b">
            <v>1</v>
          </cell>
          <cell r="J103">
            <v>1</v>
          </cell>
          <cell r="L103" t="str">
            <v>numeric</v>
          </cell>
          <cell r="M103">
            <v>1</v>
          </cell>
          <cell r="N103">
            <v>4</v>
          </cell>
        </row>
        <row r="104">
          <cell r="B104" t="str">
            <v>english_proficiency_cen</v>
          </cell>
          <cell r="C104" t="str">
            <v>English Proficiency</v>
          </cell>
          <cell r="D104" t="str">
            <v>CENSUS</v>
          </cell>
          <cell r="E104" t="str">
            <v xml:space="preserve">New </v>
          </cell>
          <cell r="F104" t="b">
            <v>0</v>
          </cell>
          <cell r="G104" t="b">
            <v>1</v>
          </cell>
          <cell r="H104" t="b">
            <v>1</v>
          </cell>
          <cell r="I104" t="b">
            <v>1</v>
          </cell>
          <cell r="J104">
            <v>1</v>
          </cell>
          <cell r="L104" t="str">
            <v>numeric</v>
          </cell>
          <cell r="M104">
            <v>1</v>
          </cell>
          <cell r="N104">
            <v>5</v>
          </cell>
        </row>
        <row r="105">
          <cell r="B105" t="str">
            <v>entref_ashe</v>
          </cell>
          <cell r="C105" t="str">
            <v>enterprise unit reference</v>
          </cell>
          <cell r="D105" t="str">
            <v>ASHE</v>
          </cell>
          <cell r="E105" t="str">
            <v>Included</v>
          </cell>
          <cell r="F105" t="b">
            <v>0</v>
          </cell>
          <cell r="G105" t="b">
            <v>1</v>
          </cell>
          <cell r="H105" t="b">
            <v>1</v>
          </cell>
          <cell r="I105" t="b">
            <v>1</v>
          </cell>
          <cell r="J105">
            <v>1</v>
          </cell>
          <cell r="L105" t="str">
            <v>numeric</v>
          </cell>
          <cell r="M105">
            <v>1</v>
          </cell>
          <cell r="N105">
            <v>100</v>
          </cell>
        </row>
        <row r="106">
          <cell r="B106" t="str">
            <v>enumeration_address_oa_cen</v>
          </cell>
          <cell r="C106" t="str">
            <v>Output area of enumeration address</v>
          </cell>
          <cell r="D106" t="str">
            <v>CENSUS</v>
          </cell>
          <cell r="E106" t="str">
            <v xml:space="preserve">New </v>
          </cell>
          <cell r="F106" t="b">
            <v>0</v>
          </cell>
          <cell r="G106" t="b">
            <v>0</v>
          </cell>
          <cell r="H106" t="b">
            <v>0</v>
          </cell>
          <cell r="I106" t="b">
            <v>0</v>
          </cell>
        </row>
        <row r="107">
          <cell r="B107" t="str">
            <v>err_ashe</v>
          </cell>
          <cell r="C107" t="str">
            <v>system error code derived, not a normal ashe variable</v>
          </cell>
          <cell r="D107" t="str">
            <v>ASHE</v>
          </cell>
          <cell r="E107" t="str">
            <v>Included</v>
          </cell>
          <cell r="F107" t="b">
            <v>1</v>
          </cell>
          <cell r="G107" t="b">
            <v>1</v>
          </cell>
          <cell r="H107" t="b">
            <v>1</v>
          </cell>
          <cell r="I107" t="b">
            <v>1</v>
          </cell>
        </row>
        <row r="108">
          <cell r="B108" t="str">
            <v>ethnic_group_cen</v>
          </cell>
          <cell r="C108" t="str">
            <v>Ethnic group</v>
          </cell>
          <cell r="D108" t="str">
            <v>CENSUS</v>
          </cell>
          <cell r="E108" t="str">
            <v>Similar</v>
          </cell>
          <cell r="F108" t="b">
            <v>0</v>
          </cell>
          <cell r="G108" t="b">
            <v>1</v>
          </cell>
          <cell r="H108" t="b">
            <v>1</v>
          </cell>
          <cell r="I108" t="b">
            <v>1</v>
          </cell>
          <cell r="L108" t="str">
            <v>numeric</v>
          </cell>
          <cell r="M108">
            <v>1001</v>
          </cell>
          <cell r="N108">
            <v>6700</v>
          </cell>
        </row>
        <row r="109">
          <cell r="B109" t="str">
            <v>ethnic_group_tb_cen</v>
          </cell>
          <cell r="C109" t="str">
            <v>Ethnic group</v>
          </cell>
          <cell r="D109" t="str">
            <v>CENSUS</v>
          </cell>
          <cell r="E109" t="str">
            <v xml:space="preserve">New </v>
          </cell>
          <cell r="F109" t="b">
            <v>0</v>
          </cell>
          <cell r="G109" t="b">
            <v>1</v>
          </cell>
          <cell r="H109" t="b">
            <v>1</v>
          </cell>
          <cell r="I109" t="b">
            <v>1</v>
          </cell>
          <cell r="J109">
            <v>1</v>
          </cell>
          <cell r="L109" t="str">
            <v>numeric</v>
          </cell>
          <cell r="M109">
            <v>1</v>
          </cell>
          <cell r="N109">
            <v>19</v>
          </cell>
          <cell r="O109" t="str">
            <v>1 if inrange(ethnic_group, 1001, 1005), 2 if inrange(ethnic_group, 1008, 1009), 3 if inrange(ethnic_group, 1010, 1013)</v>
          </cell>
        </row>
        <row r="110">
          <cell r="B110" t="str">
            <v>ethnic05_20_cen</v>
          </cell>
          <cell r="C110" t="str">
            <v xml:space="preserve">Ethnic group variable to the five high level categories </v>
          </cell>
          <cell r="D110" t="str">
            <v>CENSUS</v>
          </cell>
          <cell r="E110" t="str">
            <v xml:space="preserve">New </v>
          </cell>
          <cell r="F110" t="b">
            <v>0</v>
          </cell>
          <cell r="G110" t="b">
            <v>1</v>
          </cell>
          <cell r="H110" t="b">
            <v>1</v>
          </cell>
          <cell r="I110" t="b">
            <v>1</v>
          </cell>
          <cell r="J110">
            <v>1</v>
          </cell>
          <cell r="L110" t="str">
            <v>numeric</v>
          </cell>
          <cell r="M110">
            <v>1</v>
          </cell>
          <cell r="N110">
            <v>5</v>
          </cell>
        </row>
        <row r="111">
          <cell r="B111" t="str">
            <v>ethnic19_20_cen</v>
          </cell>
          <cell r="D111" t="str">
            <v>CENSUS</v>
          </cell>
          <cell r="E111" t="str">
            <v xml:space="preserve">New </v>
          </cell>
          <cell r="F111" t="b">
            <v>0</v>
          </cell>
          <cell r="G111" t="b">
            <v>0</v>
          </cell>
          <cell r="H111" t="b">
            <v>0</v>
          </cell>
          <cell r="I111" t="b">
            <v>0</v>
          </cell>
        </row>
        <row r="112">
          <cell r="B112" t="str">
            <v>f26_ashe</v>
          </cell>
          <cell r="D112" t="str">
            <v>ASHE</v>
          </cell>
          <cell r="E112" t="str">
            <v>Included</v>
          </cell>
          <cell r="F112" t="b">
            <v>1</v>
          </cell>
          <cell r="G112" t="b">
            <v>0</v>
          </cell>
          <cell r="H112" t="b">
            <v>0</v>
          </cell>
          <cell r="I112" t="b">
            <v>0</v>
          </cell>
        </row>
        <row r="113">
          <cell r="B113" t="str">
            <v>fail_ashe</v>
          </cell>
          <cell r="C113" t="str">
            <v>system code derived, not a normal ashe variable</v>
          </cell>
          <cell r="D113" t="str">
            <v>ASHE</v>
          </cell>
          <cell r="E113" t="str">
            <v>Included</v>
          </cell>
          <cell r="F113" t="b">
            <v>1</v>
          </cell>
          <cell r="G113" t="b">
            <v>1</v>
          </cell>
          <cell r="H113" t="b">
            <v>1</v>
          </cell>
          <cell r="I113" t="b">
            <v>1</v>
          </cell>
        </row>
        <row r="114">
          <cell r="B114" t="str">
            <v>family_reference_person_ind_cen</v>
          </cell>
          <cell r="C114" t="str">
            <v>Family Reference Person Indicator</v>
          </cell>
          <cell r="D114" t="str">
            <v>CENSUS</v>
          </cell>
          <cell r="E114" t="str">
            <v xml:space="preserve">New </v>
          </cell>
          <cell r="F114" t="b">
            <v>0</v>
          </cell>
          <cell r="G114" t="b">
            <v>1</v>
          </cell>
          <cell r="H114" t="b">
            <v>1</v>
          </cell>
          <cell r="I114" t="b">
            <v>1</v>
          </cell>
          <cell r="J114">
            <v>1</v>
          </cell>
          <cell r="L114" t="str">
            <v>numeric</v>
          </cell>
          <cell r="M114">
            <v>0</v>
          </cell>
          <cell r="N114">
            <v>1</v>
          </cell>
        </row>
        <row r="115">
          <cell r="B115" t="str">
            <v>family_status_cen</v>
          </cell>
          <cell r="C115" t="str">
            <v>Family Status</v>
          </cell>
          <cell r="D115" t="str">
            <v>CENSUS</v>
          </cell>
          <cell r="E115" t="str">
            <v xml:space="preserve">New </v>
          </cell>
          <cell r="F115" t="b">
            <v>0</v>
          </cell>
          <cell r="G115" t="b">
            <v>1</v>
          </cell>
          <cell r="H115" t="b">
            <v>1</v>
          </cell>
          <cell r="I115" t="b">
            <v>1</v>
          </cell>
          <cell r="J115">
            <v>1</v>
          </cell>
          <cell r="L115" t="str">
            <v>numeric</v>
          </cell>
          <cell r="M115">
            <v>1</v>
          </cell>
          <cell r="N115">
            <v>9</v>
          </cell>
        </row>
        <row r="116">
          <cell r="B116" t="str">
            <v>firstyear_ashe</v>
          </cell>
          <cell r="C116" t="str">
            <v>boolean indicating first year appearing in data</v>
          </cell>
          <cell r="D116" t="str">
            <v>ASHE</v>
          </cell>
          <cell r="E116" t="str">
            <v>Included</v>
          </cell>
          <cell r="F116" t="b">
            <v>1</v>
          </cell>
          <cell r="G116" t="b">
            <v>1</v>
          </cell>
          <cell r="H116" t="b">
            <v>1</v>
          </cell>
          <cell r="I116" t="b">
            <v>1</v>
          </cell>
        </row>
        <row r="117">
          <cell r="B117" t="str">
            <v>frameworks_nino_link</v>
          </cell>
          <cell r="D117" t="str">
            <v>link from 2021 cen link encrypt nino</v>
          </cell>
          <cell r="E117" t="str">
            <v xml:space="preserve">New </v>
          </cell>
          <cell r="F117" t="b">
            <v>0</v>
          </cell>
          <cell r="G117" t="b">
            <v>0</v>
          </cell>
          <cell r="H117" t="b">
            <v>0</v>
          </cell>
          <cell r="I117" t="b">
            <v>0</v>
          </cell>
        </row>
        <row r="118">
          <cell r="B118" t="str">
            <v>ft_ashe</v>
          </cell>
          <cell r="C118" t="str">
            <v>full time marker</v>
          </cell>
          <cell r="D118" t="str">
            <v>ASHE</v>
          </cell>
          <cell r="E118" t="str">
            <v>Included</v>
          </cell>
          <cell r="F118" t="b">
            <v>1</v>
          </cell>
          <cell r="G118" t="b">
            <v>1</v>
          </cell>
          <cell r="H118" t="b">
            <v>1</v>
          </cell>
          <cell r="I118" t="b">
            <v>1</v>
          </cell>
          <cell r="J118">
            <v>1</v>
          </cell>
          <cell r="L118" t="str">
            <v>numeric</v>
          </cell>
          <cell r="M118">
            <v>1</v>
          </cell>
          <cell r="N118">
            <v>2</v>
          </cell>
        </row>
        <row r="119">
          <cell r="B119" t="str">
            <v>gbdata_ashe</v>
          </cell>
          <cell r="C119" t="str">
            <v>great britain data</v>
          </cell>
          <cell r="D119" t="str">
            <v>ASHE</v>
          </cell>
          <cell r="E119" t="str">
            <v>Included</v>
          </cell>
          <cell r="F119" t="b">
            <v>1</v>
          </cell>
          <cell r="G119" t="b">
            <v>1</v>
          </cell>
          <cell r="H119" t="b">
            <v>1</v>
          </cell>
          <cell r="I119" t="b">
            <v>1</v>
          </cell>
        </row>
        <row r="120">
          <cell r="B120" t="str">
            <v>gender_identity_cen</v>
          </cell>
          <cell r="C120" t="str">
            <v xml:space="preserve">Gender ID </v>
          </cell>
          <cell r="D120" t="str">
            <v>CENSUS</v>
          </cell>
          <cell r="E120" t="str">
            <v xml:space="preserve">New </v>
          </cell>
          <cell r="F120" t="b">
            <v>0</v>
          </cell>
          <cell r="G120" t="b">
            <v>0</v>
          </cell>
          <cell r="H120" t="b">
            <v>0</v>
          </cell>
          <cell r="I120" t="b">
            <v>1</v>
          </cell>
        </row>
        <row r="121">
          <cell r="B121" t="str">
            <v>generation_cen</v>
          </cell>
          <cell r="C121" t="str">
            <v>Generation</v>
          </cell>
          <cell r="D121" t="str">
            <v>CENSUS</v>
          </cell>
          <cell r="E121" t="str">
            <v xml:space="preserve">New </v>
          </cell>
          <cell r="F121" t="b">
            <v>0</v>
          </cell>
          <cell r="G121" t="b">
            <v>1</v>
          </cell>
          <cell r="H121" t="b">
            <v>1</v>
          </cell>
          <cell r="I121" t="b">
            <v>1</v>
          </cell>
          <cell r="J121">
            <v>1</v>
          </cell>
          <cell r="L121" t="str">
            <v>numeric</v>
          </cell>
          <cell r="M121">
            <v>0</v>
          </cell>
          <cell r="N121">
            <v>3</v>
          </cell>
        </row>
        <row r="122">
          <cell r="B122" t="str">
            <v>genericcleaned_ashe</v>
          </cell>
          <cell r="D122" t="str">
            <v>ASHE</v>
          </cell>
          <cell r="E122" t="str">
            <v>Included</v>
          </cell>
          <cell r="F122" t="b">
            <v>1</v>
          </cell>
          <cell r="G122" t="b">
            <v>0</v>
          </cell>
          <cell r="H122" t="b">
            <v>0</v>
          </cell>
          <cell r="I122" t="b">
            <v>0</v>
          </cell>
        </row>
        <row r="123">
          <cell r="B123" t="str">
            <v>geography_entry_id_gor_link</v>
          </cell>
          <cell r="C123" t="str">
            <v>Geography Entry ID from rdmf for the government office region</v>
          </cell>
          <cell r="D123" t="str">
            <v>link from Ashe id encrypted nino lookup</v>
          </cell>
          <cell r="E123" t="str">
            <v xml:space="preserve">New </v>
          </cell>
          <cell r="F123" t="b">
            <v>1</v>
          </cell>
          <cell r="G123" t="b">
            <v>0</v>
          </cell>
          <cell r="H123" t="b">
            <v>1</v>
          </cell>
          <cell r="I123" t="b">
            <v>1</v>
          </cell>
        </row>
        <row r="124">
          <cell r="B124" t="str">
            <v>geography_entry_id_h_ctry_link</v>
          </cell>
          <cell r="C124" t="str">
            <v>Geography Entry ID from rdmf for the home Country</v>
          </cell>
          <cell r="D124" t="str">
            <v>link from Ashe id encrypted nino lookup</v>
          </cell>
          <cell r="E124" t="str">
            <v xml:space="preserve">New </v>
          </cell>
          <cell r="F124" t="b">
            <v>1</v>
          </cell>
          <cell r="G124" t="b">
            <v>0</v>
          </cell>
          <cell r="H124" t="b">
            <v>1</v>
          </cell>
          <cell r="I124" t="b">
            <v>1</v>
          </cell>
        </row>
        <row r="125">
          <cell r="B125" t="str">
            <v>geography_entry_id_h_cty_link</v>
          </cell>
          <cell r="C125" t="str">
            <v>Geography Entry ID from rdmf for the home County</v>
          </cell>
          <cell r="D125" t="str">
            <v>link from Ashe id encrypted nino lookup</v>
          </cell>
          <cell r="E125" t="str">
            <v xml:space="preserve">New </v>
          </cell>
          <cell r="F125" t="b">
            <v>1</v>
          </cell>
          <cell r="G125" t="b">
            <v>0</v>
          </cell>
          <cell r="H125" t="b">
            <v>1</v>
          </cell>
          <cell r="I125" t="b">
            <v>1</v>
          </cell>
        </row>
        <row r="126">
          <cell r="B126" t="str">
            <v>geography_entry_id_h_itl_link</v>
          </cell>
          <cell r="C126" t="str">
            <v>Geography Entry ID from rdmf for the home LAU2 area</v>
          </cell>
          <cell r="D126" t="str">
            <v>link from Ashe id encrypted nino lookup</v>
          </cell>
          <cell r="E126" t="str">
            <v xml:space="preserve">New </v>
          </cell>
          <cell r="F126" t="b">
            <v>1</v>
          </cell>
          <cell r="G126" t="b">
            <v>0</v>
          </cell>
          <cell r="H126" t="b">
            <v>1</v>
          </cell>
          <cell r="I126" t="b">
            <v>1</v>
          </cell>
        </row>
        <row r="127">
          <cell r="B127" t="str">
            <v>geography_entry_id_h_laua_link</v>
          </cell>
          <cell r="C127" t="str">
            <v>Geography Entry ID from rdmf for the home Local Authority District (LAD)/unitary authority (UA)/ metropolitan district (MD)/ London borough (LB)/ council area (CA)/district council area (DCA)</v>
          </cell>
          <cell r="D127" t="str">
            <v>link from Ashe id encrypted nino lookup</v>
          </cell>
          <cell r="E127" t="str">
            <v xml:space="preserve">New </v>
          </cell>
          <cell r="F127" t="b">
            <v>1</v>
          </cell>
          <cell r="G127" t="b">
            <v>0</v>
          </cell>
          <cell r="H127" t="b">
            <v>1</v>
          </cell>
          <cell r="I127" t="b">
            <v>1</v>
          </cell>
        </row>
        <row r="128">
          <cell r="B128" t="str">
            <v>geography_entry_id_h_rgn_link</v>
          </cell>
          <cell r="C128" t="str">
            <v>Geography Entry ID from rdmf for the home Region (former GOR)</v>
          </cell>
          <cell r="D128" t="str">
            <v>link from Ashe id encrypted nino lookup</v>
          </cell>
          <cell r="E128" t="str">
            <v xml:space="preserve">New </v>
          </cell>
          <cell r="F128" t="b">
            <v>1</v>
          </cell>
          <cell r="G128" t="b">
            <v>0</v>
          </cell>
          <cell r="H128" t="b">
            <v>1</v>
          </cell>
          <cell r="I128" t="b">
            <v>1</v>
          </cell>
        </row>
        <row r="129">
          <cell r="B129" t="str">
            <v>geography_entry_id_hpost_link</v>
          </cell>
          <cell r="C129" t="str">
            <v>Geography Entry ID from rdmf for the boolean regex check for valid home postcode</v>
          </cell>
          <cell r="D129" t="str">
            <v>link from Ashe id encrypted nino lookup</v>
          </cell>
          <cell r="E129" t="str">
            <v xml:space="preserve">New </v>
          </cell>
          <cell r="F129" t="b">
            <v>1</v>
          </cell>
          <cell r="G129" t="b">
            <v>0</v>
          </cell>
          <cell r="H129" t="b">
            <v>1</v>
          </cell>
          <cell r="I129" t="b">
            <v>1</v>
          </cell>
        </row>
        <row r="130">
          <cell r="B130" t="str">
            <v>geography_entry_id_w_ctry_link</v>
          </cell>
          <cell r="C130" t="str">
            <v>Geography Entry ID from rdmf for the work Country</v>
          </cell>
          <cell r="D130" t="str">
            <v>link from Ashe id encrypted nino lookup</v>
          </cell>
          <cell r="E130" t="str">
            <v xml:space="preserve">New </v>
          </cell>
          <cell r="F130" t="b">
            <v>1</v>
          </cell>
          <cell r="G130" t="b">
            <v>0</v>
          </cell>
          <cell r="H130" t="b">
            <v>1</v>
          </cell>
          <cell r="I130" t="b">
            <v>1</v>
          </cell>
        </row>
        <row r="131">
          <cell r="B131" t="str">
            <v>geography_entry_id_w_cty_link</v>
          </cell>
          <cell r="C131" t="str">
            <v>Geography Entry ID from rdmf for the work County</v>
          </cell>
          <cell r="D131" t="str">
            <v>link from Ashe id encrypted nino lookup</v>
          </cell>
          <cell r="E131" t="str">
            <v xml:space="preserve">New </v>
          </cell>
          <cell r="F131" t="b">
            <v>1</v>
          </cell>
          <cell r="G131" t="b">
            <v>0</v>
          </cell>
          <cell r="H131" t="b">
            <v>1</v>
          </cell>
          <cell r="I131" t="b">
            <v>1</v>
          </cell>
        </row>
        <row r="132">
          <cell r="B132" t="str">
            <v>geography_entry_id_w_itl_link</v>
          </cell>
          <cell r="C132" t="str">
            <v>Geography Entry ID from rdmf for the work LAU2 area</v>
          </cell>
          <cell r="D132" t="str">
            <v>link from Ashe id encrypted nino lookup</v>
          </cell>
          <cell r="E132" t="str">
            <v xml:space="preserve">New </v>
          </cell>
          <cell r="F132" t="b">
            <v>1</v>
          </cell>
          <cell r="G132" t="b">
            <v>0</v>
          </cell>
          <cell r="H132" t="b">
            <v>1</v>
          </cell>
          <cell r="I132" t="b">
            <v>1</v>
          </cell>
        </row>
        <row r="133">
          <cell r="B133" t="str">
            <v>geography_entry_id_w_laua_link</v>
          </cell>
          <cell r="C133" t="str">
            <v>Geography Entry ID from rdmf for the work Local Authority District (LAD)/unitary authority (UA)/ metropolitan district (MD)/ London borough (LB)/ council area (CA)/district council area (DCA)</v>
          </cell>
          <cell r="D133" t="str">
            <v>link from Ashe id encrypted nino lookup</v>
          </cell>
          <cell r="E133" t="str">
            <v xml:space="preserve">New </v>
          </cell>
          <cell r="F133" t="b">
            <v>1</v>
          </cell>
          <cell r="G133" t="b">
            <v>0</v>
          </cell>
          <cell r="H133" t="b">
            <v>1</v>
          </cell>
          <cell r="I133" t="b">
            <v>1</v>
          </cell>
        </row>
        <row r="134">
          <cell r="B134" t="str">
            <v>geography_entry_id_w_rgn_link</v>
          </cell>
          <cell r="C134" t="str">
            <v>Geography Entry ID from rdmf for the work Region (former GOR)</v>
          </cell>
          <cell r="D134" t="str">
            <v>link from Ashe id encrypted nino lookup</v>
          </cell>
          <cell r="E134" t="str">
            <v xml:space="preserve">New </v>
          </cell>
          <cell r="F134" t="b">
            <v>1</v>
          </cell>
          <cell r="G134" t="b">
            <v>0</v>
          </cell>
          <cell r="H134" t="b">
            <v>1</v>
          </cell>
          <cell r="I134" t="b">
            <v>1</v>
          </cell>
        </row>
        <row r="135">
          <cell r="B135" t="str">
            <v>gor_ashe</v>
          </cell>
          <cell r="C135" t="str">
            <v>government office region</v>
          </cell>
          <cell r="D135" t="str">
            <v>ASHE</v>
          </cell>
          <cell r="E135" t="str">
            <v xml:space="preserve">New </v>
          </cell>
          <cell r="F135" t="b">
            <v>0</v>
          </cell>
          <cell r="G135" t="b">
            <v>1</v>
          </cell>
          <cell r="H135" t="b">
            <v>1</v>
          </cell>
          <cell r="I135" t="b">
            <v>1</v>
          </cell>
        </row>
        <row r="136">
          <cell r="B136" t="str">
            <v>gpay_ashe</v>
          </cell>
          <cell r="C136" t="str">
            <v>average gross weekly earnings for the reference period</v>
          </cell>
          <cell r="D136" t="str">
            <v>ASHE</v>
          </cell>
          <cell r="E136" t="str">
            <v>Included</v>
          </cell>
          <cell r="F136" t="b">
            <v>1</v>
          </cell>
          <cell r="G136" t="b">
            <v>1</v>
          </cell>
          <cell r="H136" t="b">
            <v>1</v>
          </cell>
          <cell r="I136" t="b">
            <v>1</v>
          </cell>
          <cell r="J136">
            <v>1</v>
          </cell>
          <cell r="L136" t="str">
            <v>numeric</v>
          </cell>
          <cell r="M136">
            <v>200</v>
          </cell>
          <cell r="N136">
            <v>2000</v>
          </cell>
        </row>
        <row r="137">
          <cell r="B137" t="str">
            <v>gpox_ashe</v>
          </cell>
          <cell r="C137" t="str">
            <v>average gross weekly earnings excluding overtime for the reference period</v>
          </cell>
          <cell r="D137" t="str">
            <v>ASHE</v>
          </cell>
          <cell r="E137" t="str">
            <v>Included</v>
          </cell>
          <cell r="F137" t="b">
            <v>1</v>
          </cell>
          <cell r="G137" t="b">
            <v>1</v>
          </cell>
          <cell r="H137" t="b">
            <v>1</v>
          </cell>
          <cell r="I137" t="b">
            <v>1</v>
          </cell>
          <cell r="J137">
            <v>1</v>
          </cell>
          <cell r="L137" t="str">
            <v>numeric</v>
          </cell>
          <cell r="M137">
            <v>200</v>
          </cell>
          <cell r="N137">
            <v>2000</v>
          </cell>
        </row>
        <row r="138">
          <cell r="B138" t="str">
            <v>gpp_ashe</v>
          </cell>
          <cell r="C138" t="str">
            <v>gross period pay</v>
          </cell>
          <cell r="D138" t="str">
            <v>ASHE</v>
          </cell>
          <cell r="E138" t="str">
            <v>Included</v>
          </cell>
          <cell r="F138" t="b">
            <v>1</v>
          </cell>
          <cell r="G138" t="b">
            <v>1</v>
          </cell>
          <cell r="H138" t="b">
            <v>1</v>
          </cell>
          <cell r="I138" t="b">
            <v>1</v>
          </cell>
        </row>
        <row r="139">
          <cell r="B139" t="str">
            <v>gsp_ashe</v>
          </cell>
          <cell r="C139" t="str">
            <v>gross standard pay excluding overtime</v>
          </cell>
          <cell r="D139" t="str">
            <v>ASHE</v>
          </cell>
          <cell r="E139" t="str">
            <v>Included</v>
          </cell>
          <cell r="F139" t="b">
            <v>1</v>
          </cell>
          <cell r="G139" t="b">
            <v>1</v>
          </cell>
          <cell r="H139" t="b">
            <v>1</v>
          </cell>
          <cell r="I139" t="b">
            <v>1</v>
          </cell>
        </row>
        <row r="140">
          <cell r="B140" t="str">
            <v>guid_di_link</v>
          </cell>
          <cell r="C140" t="str">
            <v>guid di</v>
          </cell>
          <cell r="D140" t="str">
            <v>link from 2021 cen link encrypt nino</v>
          </cell>
          <cell r="E140" t="str">
            <v xml:space="preserve">New </v>
          </cell>
          <cell r="F140" t="b">
            <v>0</v>
          </cell>
          <cell r="G140" t="b">
            <v>1</v>
          </cell>
          <cell r="H140" t="b">
            <v>1</v>
          </cell>
          <cell r="I140" t="b">
            <v>1</v>
          </cell>
        </row>
        <row r="141">
          <cell r="B141" t="str">
            <v>gweight_ashe</v>
          </cell>
          <cell r="C141" t="str">
            <v>calibration weight based on lfs population totals</v>
          </cell>
          <cell r="D141" t="str">
            <v>ASHE</v>
          </cell>
          <cell r="E141" t="str">
            <v>Included</v>
          </cell>
          <cell r="F141" t="b">
            <v>1</v>
          </cell>
          <cell r="G141" t="b">
            <v>1</v>
          </cell>
          <cell r="H141" t="b">
            <v>1</v>
          </cell>
          <cell r="I141" t="b">
            <v>1</v>
          </cell>
          <cell r="J141">
            <v>1</v>
          </cell>
          <cell r="L141" t="str">
            <v>numeric</v>
          </cell>
          <cell r="M141">
            <v>1</v>
          </cell>
          <cell r="N141">
            <v>100</v>
          </cell>
        </row>
        <row r="142">
          <cell r="B142" t="str">
            <v>h_bua11_ashe</v>
          </cell>
          <cell r="C142" t="str">
            <v>home Built-up Area (BUA)</v>
          </cell>
          <cell r="D142" t="str">
            <v>ASHE</v>
          </cell>
          <cell r="E142" t="str">
            <v>Included</v>
          </cell>
          <cell r="F142" t="b">
            <v>0</v>
          </cell>
          <cell r="G142" t="b">
            <v>1</v>
          </cell>
          <cell r="H142" t="b">
            <v>1</v>
          </cell>
          <cell r="I142" t="b">
            <v>1</v>
          </cell>
        </row>
        <row r="143">
          <cell r="B143" t="str">
            <v>h_buasd11_ashe</v>
          </cell>
          <cell r="C143" t="str">
            <v>home Built-up Area Sub-division (BUASD)</v>
          </cell>
          <cell r="D143" t="str">
            <v>ASHE</v>
          </cell>
          <cell r="E143" t="str">
            <v>Included</v>
          </cell>
          <cell r="F143" t="b">
            <v>1</v>
          </cell>
          <cell r="G143" t="b">
            <v>1</v>
          </cell>
          <cell r="H143" t="b">
            <v>1</v>
          </cell>
          <cell r="I143" t="b">
            <v>1</v>
          </cell>
        </row>
        <row r="144">
          <cell r="B144" t="str">
            <v>h_calncv_ashe</v>
          </cell>
          <cell r="C144" t="str">
            <v>home cancer alliance / national cancer vanguard</v>
          </cell>
          <cell r="D144" t="str">
            <v>ASHE</v>
          </cell>
          <cell r="E144" t="str">
            <v>Included</v>
          </cell>
          <cell r="F144" t="b">
            <v>1</v>
          </cell>
          <cell r="G144" t="b">
            <v>1</v>
          </cell>
          <cell r="H144" t="b">
            <v>1</v>
          </cell>
          <cell r="I144" t="b">
            <v>1</v>
          </cell>
        </row>
        <row r="145">
          <cell r="B145" t="str">
            <v>h_ccg_ashe</v>
          </cell>
          <cell r="C145" t="str">
            <v>home Clinical Commissioning Group (CCG)/ Local Health Board (LHB)/ Community Health Partnership (CHP)/ Local Commissioning Group (LCG)/ Primary Healthcare Directorate (PHD)</v>
          </cell>
          <cell r="D145" t="str">
            <v>ASHE</v>
          </cell>
          <cell r="E145" t="str">
            <v>Included</v>
          </cell>
          <cell r="F145" t="b">
            <v>1</v>
          </cell>
          <cell r="G145" t="b">
            <v>1</v>
          </cell>
          <cell r="H145" t="b">
            <v>1</v>
          </cell>
          <cell r="I145" t="b">
            <v>1</v>
          </cell>
        </row>
        <row r="146">
          <cell r="B146" t="str">
            <v>h_ced_ashe</v>
          </cell>
          <cell r="C146" t="str">
            <v>home County Electoral Division</v>
          </cell>
          <cell r="D146" t="str">
            <v>ASHE</v>
          </cell>
          <cell r="E146" t="str">
            <v>Included</v>
          </cell>
          <cell r="F146" t="b">
            <v>1</v>
          </cell>
          <cell r="G146" t="b">
            <v>1</v>
          </cell>
          <cell r="H146" t="b">
            <v>1</v>
          </cell>
          <cell r="I146" t="b">
            <v>1</v>
          </cell>
        </row>
        <row r="147">
          <cell r="B147" t="str">
            <v>h_ctry_ashe</v>
          </cell>
          <cell r="C147" t="str">
            <v>home Country</v>
          </cell>
          <cell r="D147" t="str">
            <v>ASHE</v>
          </cell>
          <cell r="E147" t="str">
            <v>Included</v>
          </cell>
          <cell r="F147" t="b">
            <v>1</v>
          </cell>
          <cell r="G147" t="b">
            <v>1</v>
          </cell>
          <cell r="H147" t="b">
            <v>1</v>
          </cell>
          <cell r="I147" t="b">
            <v>1</v>
          </cell>
        </row>
        <row r="148">
          <cell r="B148" t="str">
            <v>h_cty_ashe</v>
          </cell>
          <cell r="C148" t="str">
            <v>home County</v>
          </cell>
          <cell r="D148" t="str">
            <v>ASHE</v>
          </cell>
          <cell r="E148" t="str">
            <v>Included</v>
          </cell>
          <cell r="F148" t="b">
            <v>1</v>
          </cell>
          <cell r="G148" t="b">
            <v>1</v>
          </cell>
          <cell r="H148" t="b">
            <v>1</v>
          </cell>
          <cell r="I148" t="b">
            <v>1</v>
          </cell>
        </row>
        <row r="149">
          <cell r="B149" t="str">
            <v>h_eer_ashe</v>
          </cell>
          <cell r="C149" t="str">
            <v>home European Electoral Region (EER)</v>
          </cell>
          <cell r="D149" t="str">
            <v>ASHE</v>
          </cell>
          <cell r="E149" t="str">
            <v>Included</v>
          </cell>
          <cell r="F149" t="b">
            <v>1</v>
          </cell>
          <cell r="G149" t="b">
            <v>1</v>
          </cell>
          <cell r="H149" t="b">
            <v>1</v>
          </cell>
          <cell r="I149" t="b">
            <v>1</v>
          </cell>
        </row>
        <row r="150">
          <cell r="B150" t="str">
            <v>h_guid_ashe</v>
          </cell>
          <cell r="C150" t="str">
            <v>home grid refernce</v>
          </cell>
          <cell r="D150" t="str">
            <v>ASHE</v>
          </cell>
          <cell r="E150" t="str">
            <v>Included</v>
          </cell>
          <cell r="F150" t="b">
            <v>1</v>
          </cell>
          <cell r="G150" t="b">
            <v>0</v>
          </cell>
          <cell r="H150" t="b">
            <v>0</v>
          </cell>
          <cell r="I150" t="b">
            <v>1</v>
          </cell>
        </row>
        <row r="151">
          <cell r="B151" t="str">
            <v>h_hlthau_ashe</v>
          </cell>
          <cell r="C151" t="str">
            <v>home Former Strategic Health Authority (SHA)/ Local Health Board (LHB)/ Health Board (HB)/ Health Authority (HA)/ Health &amp; Social Care Board (HSCB)</v>
          </cell>
          <cell r="D151" t="str">
            <v>ASHE</v>
          </cell>
          <cell r="E151" t="str">
            <v>Included</v>
          </cell>
          <cell r="F151" t="b">
            <v>1</v>
          </cell>
          <cell r="G151" t="b">
            <v>1</v>
          </cell>
          <cell r="H151" t="b">
            <v>1</v>
          </cell>
          <cell r="I151" t="b">
            <v>1</v>
          </cell>
        </row>
        <row r="152">
          <cell r="B152" t="str">
            <v>h_imd_ashe</v>
          </cell>
          <cell r="C152" t="str">
            <v>home Index of Multiple Deprivation (IMD)</v>
          </cell>
          <cell r="D152" t="str">
            <v>ASHE</v>
          </cell>
          <cell r="E152" t="str">
            <v>Included</v>
          </cell>
          <cell r="F152" t="b">
            <v>1</v>
          </cell>
          <cell r="G152" t="b">
            <v>1</v>
          </cell>
          <cell r="H152" t="b">
            <v>1</v>
          </cell>
          <cell r="I152" t="b">
            <v>1</v>
          </cell>
        </row>
        <row r="153">
          <cell r="B153" t="str">
            <v>h_itl_ashe</v>
          </cell>
          <cell r="C153" t="str">
            <v>home LAU2 area</v>
          </cell>
          <cell r="D153" t="str">
            <v>ASHE</v>
          </cell>
          <cell r="E153" t="str">
            <v xml:space="preserve">New </v>
          </cell>
          <cell r="F153" t="b">
            <v>0</v>
          </cell>
          <cell r="G153" t="b">
            <v>1</v>
          </cell>
          <cell r="H153" t="b">
            <v>1</v>
          </cell>
          <cell r="I153" t="b">
            <v>1</v>
          </cell>
        </row>
        <row r="154">
          <cell r="B154" t="str">
            <v>h_lat_ashe</v>
          </cell>
          <cell r="C154" t="str">
            <v>home Decimal degrees latitude</v>
          </cell>
          <cell r="D154" t="str">
            <v>ASHE</v>
          </cell>
          <cell r="E154" t="str">
            <v>Included</v>
          </cell>
          <cell r="F154" t="b">
            <v>1</v>
          </cell>
          <cell r="G154" t="b">
            <v>0</v>
          </cell>
          <cell r="H154" t="b">
            <v>0</v>
          </cell>
          <cell r="I154" t="b">
            <v>1</v>
          </cell>
        </row>
        <row r="155">
          <cell r="B155" t="str">
            <v>h_laua_ashe</v>
          </cell>
          <cell r="C155" t="str">
            <v>home Local Authority District (LAD)/unitary authority (UA)/ metropolitan district (MD)/ London borough (LB)/ council area (CA)/district council area (DCA)</v>
          </cell>
          <cell r="D155" t="str">
            <v>ASHE</v>
          </cell>
          <cell r="E155" t="str">
            <v>Included</v>
          </cell>
          <cell r="F155" t="b">
            <v>1</v>
          </cell>
          <cell r="G155" t="b">
            <v>1</v>
          </cell>
          <cell r="H155" t="b">
            <v>1</v>
          </cell>
          <cell r="I155" t="b">
            <v>1</v>
          </cell>
        </row>
        <row r="156">
          <cell r="B156" t="str">
            <v>h_lep1_ashe</v>
          </cell>
          <cell r="C156" t="str">
            <v>home Local Enterprise Partnership (LEP) - first instance</v>
          </cell>
          <cell r="D156" t="str">
            <v>ASHE</v>
          </cell>
          <cell r="E156" t="str">
            <v>Included</v>
          </cell>
          <cell r="F156" t="b">
            <v>1</v>
          </cell>
          <cell r="G156" t="b">
            <v>1</v>
          </cell>
          <cell r="H156" t="b">
            <v>1</v>
          </cell>
          <cell r="I156" t="b">
            <v>1</v>
          </cell>
        </row>
        <row r="157">
          <cell r="B157" t="str">
            <v>h_lep2_ashe</v>
          </cell>
          <cell r="C157" t="str">
            <v>home Local Enterprise Partnership (LEP) - second instance</v>
          </cell>
          <cell r="D157" t="str">
            <v>ASHE</v>
          </cell>
          <cell r="E157" t="str">
            <v>Included</v>
          </cell>
          <cell r="F157" t="b">
            <v>0</v>
          </cell>
          <cell r="G157" t="b">
            <v>1</v>
          </cell>
          <cell r="H157" t="b">
            <v>1</v>
          </cell>
          <cell r="I157" t="b">
            <v>1</v>
          </cell>
        </row>
        <row r="158">
          <cell r="B158" t="str">
            <v>h_long_ashe</v>
          </cell>
          <cell r="C158" t="str">
            <v>home Decimal degrees longitude</v>
          </cell>
          <cell r="D158" t="str">
            <v>ASHE</v>
          </cell>
          <cell r="E158" t="str">
            <v>Included</v>
          </cell>
          <cell r="F158" t="b">
            <v>0</v>
          </cell>
          <cell r="G158" t="b">
            <v>0</v>
          </cell>
          <cell r="H158" t="b">
            <v>0</v>
          </cell>
          <cell r="I158" t="b">
            <v>1</v>
          </cell>
        </row>
        <row r="159">
          <cell r="B159" t="str">
            <v>h_lsoa21_ashe</v>
          </cell>
          <cell r="C159" t="str">
            <v>home 2011 Census Lower Layer Super Output Area (LSOA)/ Data Zone (DZ)/ SOA</v>
          </cell>
          <cell r="D159" t="str">
            <v>ASHE</v>
          </cell>
          <cell r="E159" t="str">
            <v>Similar</v>
          </cell>
          <cell r="F159" t="b">
            <v>0</v>
          </cell>
          <cell r="G159" t="b">
            <v>0</v>
          </cell>
          <cell r="H159" t="b">
            <v>0</v>
          </cell>
          <cell r="I159" t="b">
            <v>1</v>
          </cell>
        </row>
        <row r="160">
          <cell r="B160" t="str">
            <v>h_msoa21_ashe</v>
          </cell>
          <cell r="C160" t="str">
            <v>home Middle Layer Super Output Area (MSOA)/ Intermediate Zone (IZ)</v>
          </cell>
          <cell r="D160" t="str">
            <v>ASHE</v>
          </cell>
          <cell r="E160" t="str">
            <v>Similar</v>
          </cell>
          <cell r="F160" t="b">
            <v>0</v>
          </cell>
          <cell r="G160" t="b">
            <v>0</v>
          </cell>
          <cell r="H160" t="b">
            <v>0</v>
          </cell>
          <cell r="I160" t="b">
            <v>1</v>
          </cell>
        </row>
        <row r="161">
          <cell r="B161" t="str">
            <v>h_nhser_ashe</v>
          </cell>
          <cell r="C161" t="str">
            <v>home NHS England (Region) (NHS ER)</v>
          </cell>
          <cell r="D161" t="str">
            <v>ASHE</v>
          </cell>
          <cell r="E161" t="str">
            <v>Included</v>
          </cell>
          <cell r="F161" t="b">
            <v>1</v>
          </cell>
          <cell r="G161" t="b">
            <v>1</v>
          </cell>
          <cell r="H161" t="b">
            <v>1</v>
          </cell>
          <cell r="I161" t="b">
            <v>1</v>
          </cell>
        </row>
        <row r="162">
          <cell r="B162" t="str">
            <v>h_oa21_ashe</v>
          </cell>
          <cell r="C162" t="str">
            <v>home 2011 Census Output Area (OA)/ Small Area (SA)</v>
          </cell>
          <cell r="D162" t="str">
            <v>ASHE</v>
          </cell>
          <cell r="E162" t="str">
            <v>Similar</v>
          </cell>
          <cell r="F162" t="b">
            <v>0</v>
          </cell>
          <cell r="G162" t="b">
            <v>0</v>
          </cell>
          <cell r="H162" t="b">
            <v>0</v>
          </cell>
          <cell r="I162" t="b">
            <v>1</v>
          </cell>
        </row>
        <row r="163">
          <cell r="B163" t="str">
            <v>h_oac11_ashe</v>
          </cell>
          <cell r="C163" t="str">
            <v>home 2011 Census Output Area classification (OAC)</v>
          </cell>
          <cell r="D163" t="str">
            <v>ASHE</v>
          </cell>
          <cell r="E163" t="str">
            <v>Included</v>
          </cell>
          <cell r="F163" t="b">
            <v>1</v>
          </cell>
          <cell r="G163" t="b">
            <v>1</v>
          </cell>
          <cell r="H163" t="b">
            <v>1</v>
          </cell>
          <cell r="I163" t="b">
            <v>1</v>
          </cell>
        </row>
        <row r="164">
          <cell r="B164" t="str">
            <v>h_oseast1m_ashe</v>
          </cell>
          <cell r="C164" t="str">
            <v>home National grid reference - Easting</v>
          </cell>
          <cell r="D164" t="str">
            <v>ASHE</v>
          </cell>
          <cell r="E164" t="str">
            <v>Included</v>
          </cell>
          <cell r="F164" t="b">
            <v>0</v>
          </cell>
          <cell r="G164" t="b">
            <v>0</v>
          </cell>
          <cell r="H164" t="b">
            <v>0</v>
          </cell>
          <cell r="I164" t="b">
            <v>1</v>
          </cell>
        </row>
        <row r="165">
          <cell r="B165" t="str">
            <v>h_osgrdind_ashe</v>
          </cell>
          <cell r="C165" t="str">
            <v>home Grid reference positional quality indicator</v>
          </cell>
          <cell r="D165" t="str">
            <v>ASHE</v>
          </cell>
          <cell r="E165" t="str">
            <v>Included</v>
          </cell>
          <cell r="F165" t="b">
            <v>0</v>
          </cell>
          <cell r="G165" t="b">
            <v>0</v>
          </cell>
          <cell r="H165" t="b">
            <v>0</v>
          </cell>
          <cell r="I165" t="b">
            <v>1</v>
          </cell>
        </row>
        <row r="166">
          <cell r="B166" t="str">
            <v>h_osnrth1m_ashe</v>
          </cell>
          <cell r="C166" t="str">
            <v>home National grid reference - Northing</v>
          </cell>
          <cell r="D166" t="str">
            <v>ASHE</v>
          </cell>
          <cell r="E166" t="str">
            <v>Included</v>
          </cell>
          <cell r="F166" t="b">
            <v>0</v>
          </cell>
          <cell r="G166" t="b">
            <v>0</v>
          </cell>
          <cell r="H166" t="b">
            <v>0</v>
          </cell>
          <cell r="I166" t="b">
            <v>1</v>
          </cell>
        </row>
        <row r="167">
          <cell r="B167" t="str">
            <v>h_park_ashe</v>
          </cell>
          <cell r="C167" t="str">
            <v>home National park</v>
          </cell>
          <cell r="D167" t="str">
            <v>ASHE</v>
          </cell>
          <cell r="E167" t="str">
            <v>Included</v>
          </cell>
          <cell r="F167" t="b">
            <v>1</v>
          </cell>
          <cell r="G167" t="b">
            <v>1</v>
          </cell>
          <cell r="H167" t="b">
            <v>1</v>
          </cell>
          <cell r="I167" t="b">
            <v>1</v>
          </cell>
        </row>
        <row r="168">
          <cell r="B168" t="str">
            <v>h_pcon_ashe</v>
          </cell>
          <cell r="C168" t="str">
            <v>home Westminster parliamentary constituency</v>
          </cell>
          <cell r="D168" t="str">
            <v>ASHE</v>
          </cell>
          <cell r="E168" t="str">
            <v>Included</v>
          </cell>
          <cell r="F168" t="b">
            <v>0</v>
          </cell>
          <cell r="G168" t="b">
            <v>1</v>
          </cell>
          <cell r="H168" t="b">
            <v>1</v>
          </cell>
          <cell r="I168" t="b">
            <v>1</v>
          </cell>
        </row>
        <row r="169">
          <cell r="B169" t="str">
            <v>h_pct_ashe</v>
          </cell>
          <cell r="C169" t="str">
            <v>home Primary Care Trust (PCT)/ Care Trust/ Care Trust Plus (CT)/ Local Health Board (LHB)/ Community Health  Partnership  (CHP)/ Local Commissioning Group (LCG)/ Primary Healthcare Directorate (PHD)</v>
          </cell>
          <cell r="D169" t="str">
            <v>ASHE</v>
          </cell>
          <cell r="E169" t="str">
            <v>Included</v>
          </cell>
          <cell r="F169" t="b">
            <v>0</v>
          </cell>
          <cell r="G169" t="b">
            <v>1</v>
          </cell>
          <cell r="H169" t="b">
            <v>1</v>
          </cell>
          <cell r="I169" t="b">
            <v>1</v>
          </cell>
        </row>
        <row r="170">
          <cell r="B170" t="str">
            <v>h_pfa_ashe</v>
          </cell>
          <cell r="C170" t="str">
            <v>home Police Force Area (PFA)</v>
          </cell>
          <cell r="D170" t="str">
            <v>ASHE</v>
          </cell>
          <cell r="E170" t="str">
            <v>Included</v>
          </cell>
          <cell r="F170" t="b">
            <v>1</v>
          </cell>
          <cell r="G170" t="b">
            <v>1</v>
          </cell>
          <cell r="H170" t="b">
            <v>1</v>
          </cell>
          <cell r="I170" t="b">
            <v>1</v>
          </cell>
        </row>
        <row r="171">
          <cell r="B171" t="str">
            <v>h_rgn_ashe</v>
          </cell>
          <cell r="C171" t="str">
            <v>home Region (former GOR)</v>
          </cell>
          <cell r="D171" t="str">
            <v>ASHE</v>
          </cell>
          <cell r="E171" t="str">
            <v>Included</v>
          </cell>
          <cell r="F171" t="b">
            <v>1</v>
          </cell>
          <cell r="G171" t="b">
            <v>1</v>
          </cell>
          <cell r="H171" t="b">
            <v>1</v>
          </cell>
          <cell r="I171" t="b">
            <v>1</v>
          </cell>
        </row>
        <row r="172">
          <cell r="B172" t="str">
            <v>h_ru11ind_ashe</v>
          </cell>
          <cell r="C172" t="str">
            <v>home 2011 Census rural-urban classification</v>
          </cell>
          <cell r="D172" t="str">
            <v>ASHE</v>
          </cell>
          <cell r="E172" t="str">
            <v>Included</v>
          </cell>
          <cell r="F172" t="b">
            <v>1</v>
          </cell>
          <cell r="G172" t="b">
            <v>1</v>
          </cell>
          <cell r="H172" t="b">
            <v>1</v>
          </cell>
          <cell r="I172" t="b">
            <v>1</v>
          </cell>
        </row>
        <row r="173">
          <cell r="B173" t="str">
            <v>h_stp_ashe</v>
          </cell>
          <cell r="C173" t="str">
            <v>home sustainability and transformation Partnerships</v>
          </cell>
          <cell r="D173" t="str">
            <v>ASHE</v>
          </cell>
          <cell r="E173" t="str">
            <v>Included</v>
          </cell>
          <cell r="F173" t="b">
            <v>1</v>
          </cell>
          <cell r="G173" t="b">
            <v>1</v>
          </cell>
          <cell r="H173" t="b">
            <v>1</v>
          </cell>
          <cell r="I173" t="b">
            <v>1</v>
          </cell>
        </row>
        <row r="174">
          <cell r="B174" t="str">
            <v>h_teclec_ashe</v>
          </cell>
          <cell r="C174" t="str">
            <v>home Local Learning and Skills Council (LLSC)/ Dept. of Children, Education, Lifelong Learning and Skills (DCELLS)/</v>
          </cell>
          <cell r="D174" t="str">
            <v>ASHE</v>
          </cell>
          <cell r="E174" t="str">
            <v>Included</v>
          </cell>
          <cell r="F174" t="b">
            <v>1</v>
          </cell>
          <cell r="G174" t="b">
            <v>1</v>
          </cell>
          <cell r="H174" t="b">
            <v>1</v>
          </cell>
          <cell r="I174" t="b">
            <v>1</v>
          </cell>
        </row>
        <row r="175">
          <cell r="B175" t="str">
            <v>h_ttwa_ashe</v>
          </cell>
          <cell r="C175" t="str">
            <v>home Travel to Work Area</v>
          </cell>
          <cell r="D175" t="str">
            <v>ASHE</v>
          </cell>
          <cell r="E175" t="str">
            <v>Included</v>
          </cell>
          <cell r="F175" t="b">
            <v>1</v>
          </cell>
          <cell r="G175" t="b">
            <v>1</v>
          </cell>
          <cell r="H175" t="b">
            <v>1</v>
          </cell>
          <cell r="I175" t="b">
            <v>1</v>
          </cell>
        </row>
        <row r="176">
          <cell r="B176" t="str">
            <v>h_ward_ashe</v>
          </cell>
          <cell r="C176" t="str">
            <v>home (Electoral) ward/division</v>
          </cell>
          <cell r="D176" t="str">
            <v>ASHE</v>
          </cell>
          <cell r="E176" t="str">
            <v>Included</v>
          </cell>
          <cell r="F176" t="b">
            <v>1</v>
          </cell>
          <cell r="G176" t="b">
            <v>0</v>
          </cell>
          <cell r="H176" t="b">
            <v>0</v>
          </cell>
          <cell r="I176" t="b">
            <v>1</v>
          </cell>
        </row>
        <row r="177">
          <cell r="B177" t="str">
            <v>h_wz11_ashe</v>
          </cell>
          <cell r="C177" t="str">
            <v>home 2011 Census Workplace Zone</v>
          </cell>
          <cell r="D177" t="str">
            <v>ASHE</v>
          </cell>
          <cell r="E177" t="str">
            <v>Included</v>
          </cell>
          <cell r="F177" t="b">
            <v>1</v>
          </cell>
          <cell r="G177" t="b">
            <v>1</v>
          </cell>
          <cell r="H177" t="b">
            <v>1</v>
          </cell>
          <cell r="I177" t="b">
            <v>1</v>
          </cell>
        </row>
        <row r="178">
          <cell r="B178" t="str">
            <v>has_ever_worked_cen</v>
          </cell>
          <cell r="C178" t="str">
            <v>Everworked indicator</v>
          </cell>
          <cell r="D178" t="str">
            <v>CENSUS</v>
          </cell>
          <cell r="E178" t="str">
            <v>Similar</v>
          </cell>
          <cell r="F178" t="b">
            <v>0</v>
          </cell>
          <cell r="G178" t="b">
            <v>1</v>
          </cell>
          <cell r="H178" t="b">
            <v>1</v>
          </cell>
          <cell r="I178" t="b">
            <v>1</v>
          </cell>
          <cell r="J178">
            <v>1</v>
          </cell>
          <cell r="L178" t="str">
            <v>numeric</v>
          </cell>
          <cell r="M178">
            <v>1</v>
          </cell>
          <cell r="N178">
            <v>3</v>
          </cell>
        </row>
        <row r="179">
          <cell r="B179" t="str">
            <v>hbpay_ashe</v>
          </cell>
          <cell r="C179" t="str">
            <v>gross hourly basic pay</v>
          </cell>
          <cell r="D179" t="str">
            <v>ASHE</v>
          </cell>
          <cell r="E179" t="str">
            <v>Included</v>
          </cell>
          <cell r="F179" t="b">
            <v>1</v>
          </cell>
          <cell r="G179" t="b">
            <v>1</v>
          </cell>
          <cell r="H179" t="b">
            <v>1</v>
          </cell>
          <cell r="I179" t="b">
            <v>1</v>
          </cell>
        </row>
        <row r="180">
          <cell r="B180" t="str">
            <v>he_ashe</v>
          </cell>
          <cell r="C180" t="str">
            <v>average hourly earnings</v>
          </cell>
          <cell r="D180" t="str">
            <v>ASHE</v>
          </cell>
          <cell r="E180" t="str">
            <v>Included</v>
          </cell>
          <cell r="F180" t="b">
            <v>1</v>
          </cell>
          <cell r="G180" t="b">
            <v>1</v>
          </cell>
          <cell r="H180" t="b">
            <v>1</v>
          </cell>
          <cell r="I180" t="b">
            <v>1</v>
          </cell>
          <cell r="J180">
            <v>1</v>
          </cell>
          <cell r="L180" t="str">
            <v>numeric</v>
          </cell>
          <cell r="M180">
            <v>5</v>
          </cell>
          <cell r="N180">
            <v>50</v>
          </cell>
        </row>
        <row r="181">
          <cell r="B181" t="str">
            <v>health_in_general_cen</v>
          </cell>
          <cell r="C181" t="str">
            <v>General health</v>
          </cell>
          <cell r="D181" t="str">
            <v>CENSUS</v>
          </cell>
          <cell r="E181" t="str">
            <v>Similar</v>
          </cell>
          <cell r="F181" t="b">
            <v>0</v>
          </cell>
          <cell r="G181" t="b">
            <v>1</v>
          </cell>
          <cell r="H181" t="b">
            <v>1</v>
          </cell>
          <cell r="I181" t="b">
            <v>1</v>
          </cell>
          <cell r="J181">
            <v>1</v>
          </cell>
          <cell r="L181" t="str">
            <v>numeric</v>
          </cell>
          <cell r="M181">
            <v>1</v>
          </cell>
          <cell r="N181">
            <v>5</v>
          </cell>
        </row>
        <row r="182">
          <cell r="B182" t="str">
            <v>hexo_ashe</v>
          </cell>
          <cell r="C182" t="str">
            <v>average hourly earnings for the reference period excluding overtime</v>
          </cell>
          <cell r="D182" t="str">
            <v>ASHE</v>
          </cell>
          <cell r="E182" t="str">
            <v>Included</v>
          </cell>
          <cell r="F182" t="b">
            <v>1</v>
          </cell>
          <cell r="G182" t="b">
            <v>1</v>
          </cell>
          <cell r="H182" t="b">
            <v>1</v>
          </cell>
          <cell r="I182" t="b">
            <v>1</v>
          </cell>
          <cell r="J182">
            <v>1</v>
          </cell>
          <cell r="L182" t="str">
            <v>numeric</v>
          </cell>
          <cell r="M182">
            <v>5</v>
          </cell>
          <cell r="N182">
            <v>50</v>
          </cell>
        </row>
        <row r="183">
          <cell r="B183" t="str">
            <v>hh_reference_person_ind_cen</v>
          </cell>
          <cell r="C183" t="str">
            <v>Household Reference Person (HRP) indicator</v>
          </cell>
          <cell r="D183" t="str">
            <v>CENSUS</v>
          </cell>
          <cell r="E183" t="str">
            <v xml:space="preserve">New </v>
          </cell>
          <cell r="F183" t="b">
            <v>0</v>
          </cell>
          <cell r="G183" t="b">
            <v>1</v>
          </cell>
          <cell r="H183" t="b">
            <v>1</v>
          </cell>
          <cell r="I183" t="b">
            <v>1</v>
          </cell>
          <cell r="J183">
            <v>1</v>
          </cell>
          <cell r="L183" t="str">
            <v>numeric</v>
          </cell>
          <cell r="M183">
            <v>0</v>
          </cell>
          <cell r="N183">
            <v>1</v>
          </cell>
        </row>
        <row r="184">
          <cell r="B184" t="str">
            <v>highest_qualification_cen</v>
          </cell>
          <cell r="C184" t="str">
            <v>Highest level of qualification</v>
          </cell>
          <cell r="D184" t="str">
            <v>CENSUS</v>
          </cell>
          <cell r="E184" t="str">
            <v xml:space="preserve">New </v>
          </cell>
          <cell r="F184" t="b">
            <v>0</v>
          </cell>
          <cell r="G184" t="b">
            <v>1</v>
          </cell>
          <cell r="H184" t="b">
            <v>1</v>
          </cell>
          <cell r="I184" t="b">
            <v>1</v>
          </cell>
          <cell r="J184">
            <v>1</v>
          </cell>
          <cell r="L184" t="str">
            <v>numeric</v>
          </cell>
          <cell r="M184">
            <v>0</v>
          </cell>
          <cell r="N184">
            <v>6</v>
          </cell>
        </row>
        <row r="185">
          <cell r="B185" t="str">
            <v>hitl1_ashe</v>
          </cell>
          <cell r="C185" t="str">
            <v>territorial units for statistics, level 1, home location</v>
          </cell>
          <cell r="D185" t="str">
            <v>ASHE</v>
          </cell>
          <cell r="E185" t="str">
            <v xml:space="preserve">New </v>
          </cell>
          <cell r="F185" t="b">
            <v>0</v>
          </cell>
          <cell r="G185" t="b">
            <v>1</v>
          </cell>
          <cell r="H185" t="b">
            <v>1</v>
          </cell>
          <cell r="I185" t="b">
            <v>1</v>
          </cell>
        </row>
        <row r="186">
          <cell r="B186" t="str">
            <v>hitl2_ashe</v>
          </cell>
          <cell r="C186" t="str">
            <v>territorial units for statistics, level 2, home location</v>
          </cell>
          <cell r="D186" t="str">
            <v>ASHE</v>
          </cell>
          <cell r="E186" t="str">
            <v xml:space="preserve">New </v>
          </cell>
          <cell r="F186" t="b">
            <v>0</v>
          </cell>
          <cell r="G186" t="b">
            <v>1</v>
          </cell>
          <cell r="H186" t="b">
            <v>1</v>
          </cell>
          <cell r="I186" t="b">
            <v>1</v>
          </cell>
        </row>
        <row r="187">
          <cell r="B187" t="str">
            <v>hitl3_ashe</v>
          </cell>
          <cell r="C187" t="str">
            <v>territorial units for statistics, level 3, home location</v>
          </cell>
          <cell r="D187" t="str">
            <v>ASHE</v>
          </cell>
          <cell r="E187" t="str">
            <v xml:space="preserve">New </v>
          </cell>
          <cell r="F187" t="b">
            <v>0</v>
          </cell>
          <cell r="G187" t="b">
            <v>1</v>
          </cell>
          <cell r="H187" t="b">
            <v>1</v>
          </cell>
          <cell r="I187" t="b">
            <v>1</v>
          </cell>
        </row>
        <row r="188">
          <cell r="B188" t="str">
            <v>hours_per_week_worked_cen</v>
          </cell>
          <cell r="C188" t="str">
            <v>Hours worked</v>
          </cell>
          <cell r="D188" t="str">
            <v>CENSUS</v>
          </cell>
          <cell r="E188" t="str">
            <v>Similar</v>
          </cell>
          <cell r="F188" t="b">
            <v>0</v>
          </cell>
          <cell r="G188" t="b">
            <v>1</v>
          </cell>
          <cell r="H188" t="b">
            <v>1</v>
          </cell>
          <cell r="I188" t="b">
            <v>1</v>
          </cell>
          <cell r="J188">
            <v>1</v>
          </cell>
          <cell r="L188" t="str">
            <v>numeric</v>
          </cell>
          <cell r="M188">
            <v>1</v>
          </cell>
          <cell r="N188">
            <v>4</v>
          </cell>
        </row>
        <row r="189">
          <cell r="B189" t="str">
            <v>household_id_cen</v>
          </cell>
          <cell r="C189" t="str">
            <v>Census household ID</v>
          </cell>
          <cell r="D189" t="str">
            <v>CENSUS</v>
          </cell>
          <cell r="E189" t="str">
            <v>Included</v>
          </cell>
          <cell r="F189" t="b">
            <v>1</v>
          </cell>
          <cell r="G189" t="b">
            <v>1</v>
          </cell>
          <cell r="H189" t="b">
            <v>1</v>
          </cell>
          <cell r="I189" t="b">
            <v>1</v>
          </cell>
          <cell r="J189">
            <v>1</v>
          </cell>
          <cell r="L189" t="str">
            <v>string</v>
          </cell>
          <cell r="O189" t="str">
            <v>17 digit character string</v>
          </cell>
        </row>
        <row r="190">
          <cell r="B190" t="str">
            <v>household_person_number_cen</v>
          </cell>
          <cell r="C190" t="str">
            <v>Household Person Number</v>
          </cell>
          <cell r="D190" t="str">
            <v>CENSUS</v>
          </cell>
          <cell r="E190" t="str">
            <v>Similar</v>
          </cell>
          <cell r="F190" t="b">
            <v>0</v>
          </cell>
          <cell r="G190" t="b">
            <v>1</v>
          </cell>
          <cell r="H190" t="b">
            <v>1</v>
          </cell>
          <cell r="I190" t="b">
            <v>1</v>
          </cell>
          <cell r="J190">
            <v>1</v>
          </cell>
          <cell r="L190" t="str">
            <v>numeric</v>
          </cell>
          <cell r="M190">
            <v>1</v>
          </cell>
          <cell r="N190">
            <v>150</v>
          </cell>
        </row>
        <row r="191">
          <cell r="B191" t="str">
            <v>hpay_ashe</v>
          </cell>
          <cell r="C191" t="str">
            <v>hourly rate of pay as stated by respondent</v>
          </cell>
          <cell r="D191" t="str">
            <v>ASHE</v>
          </cell>
          <cell r="E191" t="str">
            <v>Included</v>
          </cell>
          <cell r="F191" t="b">
            <v>1</v>
          </cell>
          <cell r="G191" t="b">
            <v>1</v>
          </cell>
          <cell r="H191" t="b">
            <v>1</v>
          </cell>
          <cell r="I191" t="b">
            <v>1</v>
          </cell>
          <cell r="J191">
            <v>1</v>
          </cell>
          <cell r="L191" t="str">
            <v>numeric</v>
          </cell>
          <cell r="M191">
            <v>5</v>
          </cell>
          <cell r="N191">
            <v>50</v>
          </cell>
        </row>
        <row r="192">
          <cell r="B192" t="str">
            <v>hpayfilter_ashe</v>
          </cell>
          <cell r="C192" t="str">
            <v>stated hourly rate of pay, derived variable</v>
          </cell>
          <cell r="D192" t="str">
            <v>ASHE</v>
          </cell>
          <cell r="E192" t="str">
            <v>Included</v>
          </cell>
          <cell r="F192" t="b">
            <v>1</v>
          </cell>
          <cell r="G192" t="b">
            <v>1</v>
          </cell>
          <cell r="H192" t="b">
            <v>1</v>
          </cell>
          <cell r="I192" t="b">
            <v>1</v>
          </cell>
        </row>
        <row r="193">
          <cell r="B193" t="str">
            <v>hpost_ashe</v>
          </cell>
          <cell r="C193" t="str">
            <v>home postcode</v>
          </cell>
          <cell r="D193" t="str">
            <v>ASHE</v>
          </cell>
          <cell r="E193" t="str">
            <v>Included</v>
          </cell>
          <cell r="F193" t="b">
            <v>1</v>
          </cell>
          <cell r="G193" t="b">
            <v>0</v>
          </cell>
          <cell r="H193" t="b">
            <v>0</v>
          </cell>
          <cell r="I193" t="b">
            <v>1</v>
          </cell>
        </row>
        <row r="194">
          <cell r="B194" t="str">
            <v>hrpay_ashe</v>
          </cell>
          <cell r="C194" t="str">
            <v>hourly rate pay used in the low pay calculation, the same as hrpay</v>
          </cell>
          <cell r="D194" t="str">
            <v>ASHE</v>
          </cell>
          <cell r="E194" t="str">
            <v>Included</v>
          </cell>
          <cell r="F194" t="b">
            <v>0</v>
          </cell>
          <cell r="G194" t="b">
            <v>1</v>
          </cell>
          <cell r="H194" t="b">
            <v>1</v>
          </cell>
          <cell r="I194" t="b">
            <v>1</v>
          </cell>
        </row>
        <row r="195">
          <cell r="B195" t="str">
            <v>hrpayx_ashe</v>
          </cell>
          <cell r="C195" t="str">
            <v>derived hourly rate used in the low pay calculation</v>
          </cell>
          <cell r="D195" t="str">
            <v>ASHE</v>
          </cell>
          <cell r="E195" t="str">
            <v>Included</v>
          </cell>
          <cell r="F195" t="b">
            <v>0</v>
          </cell>
          <cell r="G195" t="b">
            <v>1</v>
          </cell>
          <cell r="H195" t="b">
            <v>1</v>
          </cell>
          <cell r="I195" t="b">
            <v>1</v>
          </cell>
          <cell r="J195">
            <v>1</v>
          </cell>
          <cell r="L195" t="str">
            <v>numeric</v>
          </cell>
          <cell r="M195">
            <v>5</v>
          </cell>
          <cell r="N195">
            <v>50</v>
          </cell>
        </row>
        <row r="196">
          <cell r="B196" t="str">
            <v>idbr_marker_ashe</v>
          </cell>
          <cell r="C196" t="str">
            <v>present on idbr</v>
          </cell>
          <cell r="D196" t="str">
            <v>ASHE</v>
          </cell>
          <cell r="E196" t="str">
            <v>Included</v>
          </cell>
          <cell r="F196" t="b">
            <v>0</v>
          </cell>
          <cell r="G196" t="b">
            <v>1</v>
          </cell>
          <cell r="H196" t="b">
            <v>1</v>
          </cell>
          <cell r="I196" t="b">
            <v>1</v>
          </cell>
        </row>
        <row r="197">
          <cell r="B197" t="str">
            <v>idbrhpst_ashe</v>
          </cell>
          <cell r="C197" t="str">
            <v>idbr home postcode</v>
          </cell>
          <cell r="D197" t="str">
            <v>ASHE</v>
          </cell>
          <cell r="E197" t="str">
            <v>Included</v>
          </cell>
          <cell r="F197" t="b">
            <v>1</v>
          </cell>
          <cell r="G197" t="b">
            <v>0</v>
          </cell>
          <cell r="H197" t="b">
            <v>0</v>
          </cell>
          <cell r="I197" t="b">
            <v>1</v>
          </cell>
        </row>
        <row r="198">
          <cell r="B198" t="str">
            <v>idbrnemp_ashe</v>
          </cell>
          <cell r="C198" t="str">
            <v>number of employees in the enterprise on the idbr</v>
          </cell>
          <cell r="D198" t="str">
            <v>ASHE</v>
          </cell>
          <cell r="E198" t="str">
            <v>Included</v>
          </cell>
          <cell r="F198" t="b">
            <v>1</v>
          </cell>
          <cell r="G198" t="b">
            <v>1</v>
          </cell>
          <cell r="H198" t="b">
            <v>1</v>
          </cell>
          <cell r="I198" t="b">
            <v>1</v>
          </cell>
          <cell r="J198">
            <v>1</v>
          </cell>
          <cell r="L198" t="str">
            <v>numeric</v>
          </cell>
          <cell r="M198">
            <v>1</v>
          </cell>
          <cell r="N198">
            <v>20000</v>
          </cell>
        </row>
        <row r="199">
          <cell r="B199" t="str">
            <v>idbrpaye_ashe</v>
          </cell>
          <cell r="C199" t="str">
            <v>idbr pay as you earn refernce number</v>
          </cell>
          <cell r="D199" t="str">
            <v>ASHE</v>
          </cell>
          <cell r="E199" t="str">
            <v>Included</v>
          </cell>
          <cell r="F199" t="b">
            <v>1</v>
          </cell>
          <cell r="G199" t="b">
            <v>1</v>
          </cell>
          <cell r="H199" t="b">
            <v>1</v>
          </cell>
          <cell r="I199" t="b">
            <v>1</v>
          </cell>
        </row>
        <row r="200">
          <cell r="B200" t="str">
            <v>idbrsta_ashe</v>
          </cell>
          <cell r="C200" t="str">
            <v>legal status of the enterprise on the idbr</v>
          </cell>
          <cell r="D200" t="str">
            <v>ASHE</v>
          </cell>
          <cell r="E200" t="str">
            <v>Included</v>
          </cell>
          <cell r="F200" t="b">
            <v>1</v>
          </cell>
          <cell r="G200" t="b">
            <v>1</v>
          </cell>
          <cell r="H200" t="b">
            <v>1</v>
          </cell>
          <cell r="I200" t="b">
            <v>1</v>
          </cell>
          <cell r="J200">
            <v>1</v>
          </cell>
          <cell r="L200" t="str">
            <v>numeric</v>
          </cell>
          <cell r="M200">
            <v>1</v>
          </cell>
          <cell r="N200">
            <v>7</v>
          </cell>
        </row>
        <row r="201">
          <cell r="B201" t="str">
            <v>idbrwpst_ashe</v>
          </cell>
          <cell r="C201" t="str">
            <v>idbr work postcode</v>
          </cell>
          <cell r="D201" t="str">
            <v>ASHE</v>
          </cell>
          <cell r="E201" t="str">
            <v>Included</v>
          </cell>
          <cell r="F201" t="b">
            <v>0</v>
          </cell>
          <cell r="G201" t="b">
            <v>0</v>
          </cell>
          <cell r="H201" t="b">
            <v>0</v>
          </cell>
          <cell r="I201" t="b">
            <v>1</v>
          </cell>
        </row>
        <row r="202">
          <cell r="B202" t="str">
            <v>imp_ashe</v>
          </cell>
          <cell r="C202" t="str">
            <v>imputation flag</v>
          </cell>
          <cell r="D202" t="str">
            <v>ASHE</v>
          </cell>
          <cell r="E202" t="str">
            <v>Included</v>
          </cell>
          <cell r="F202" t="b">
            <v>0</v>
          </cell>
          <cell r="G202" t="b">
            <v>1</v>
          </cell>
          <cell r="H202" t="b">
            <v>1</v>
          </cell>
          <cell r="I202" t="b">
            <v>1</v>
          </cell>
          <cell r="J202">
            <v>1</v>
          </cell>
          <cell r="L202" t="str">
            <v>numeric</v>
          </cell>
          <cell r="M202">
            <v>1</v>
          </cell>
          <cell r="N202">
            <v>1</v>
          </cell>
        </row>
        <row r="203">
          <cell r="B203" t="str">
            <v>impcos_ashe</v>
          </cell>
          <cell r="C203" t="str">
            <v>imputed contracted out of state second pension</v>
          </cell>
          <cell r="D203" t="str">
            <v>ASHE</v>
          </cell>
          <cell r="E203" t="str">
            <v>Included</v>
          </cell>
          <cell r="F203" t="b">
            <v>1</v>
          </cell>
          <cell r="G203" t="b">
            <v>1</v>
          </cell>
          <cell r="H203" t="b">
            <v>1</v>
          </cell>
          <cell r="I203" t="b">
            <v>1</v>
          </cell>
        </row>
        <row r="204">
          <cell r="B204" t="str">
            <v>imppen_ashe</v>
          </cell>
          <cell r="C204" t="str">
            <v>pension with imputation</v>
          </cell>
          <cell r="D204" t="str">
            <v>ASHE</v>
          </cell>
          <cell r="E204" t="str">
            <v>Included</v>
          </cell>
          <cell r="F204" t="b">
            <v>1</v>
          </cell>
          <cell r="G204" t="b">
            <v>1</v>
          </cell>
          <cell r="H204" t="b">
            <v>1</v>
          </cell>
          <cell r="I204" t="b">
            <v>1</v>
          </cell>
        </row>
        <row r="205">
          <cell r="B205" t="str">
            <v>imputeeditflag_ashe</v>
          </cell>
          <cell r="C205" t="str">
            <v>imputation flag</v>
          </cell>
          <cell r="D205" t="str">
            <v>ASHE</v>
          </cell>
          <cell r="E205" t="str">
            <v>Included</v>
          </cell>
          <cell r="F205" t="b">
            <v>1</v>
          </cell>
          <cell r="G205" t="b">
            <v>1</v>
          </cell>
          <cell r="H205" t="b">
            <v>1</v>
          </cell>
          <cell r="I205" t="b">
            <v>1</v>
          </cell>
        </row>
        <row r="206">
          <cell r="B206" t="str">
            <v>impvalue_ashe</v>
          </cell>
          <cell r="C206" t="str">
            <v>imputed  pay value?</v>
          </cell>
          <cell r="D206" t="str">
            <v>ASHE</v>
          </cell>
          <cell r="E206" t="str">
            <v>Included</v>
          </cell>
          <cell r="F206" t="b">
            <v>1</v>
          </cell>
          <cell r="G206" t="b">
            <v>1</v>
          </cell>
          <cell r="H206" t="b">
            <v>1</v>
          </cell>
          <cell r="I206" t="b">
            <v>1</v>
          </cell>
        </row>
        <row r="207">
          <cell r="B207" t="str">
            <v>in_full_time_education_cen</v>
          </cell>
          <cell r="C207" t="str">
            <v>Schoolchild or full-time student indicator</v>
          </cell>
          <cell r="D207" t="str">
            <v>CENSUS</v>
          </cell>
          <cell r="E207" t="str">
            <v>Similar</v>
          </cell>
          <cell r="F207" t="b">
            <v>0</v>
          </cell>
          <cell r="G207" t="b">
            <v>1</v>
          </cell>
          <cell r="H207" t="b">
            <v>1</v>
          </cell>
          <cell r="I207" t="b">
            <v>1</v>
          </cell>
          <cell r="J207">
            <v>1</v>
          </cell>
          <cell r="L207" t="str">
            <v>numeric</v>
          </cell>
          <cell r="M207">
            <v>1</v>
          </cell>
          <cell r="N207">
            <v>2</v>
          </cell>
        </row>
        <row r="208">
          <cell r="B208" t="str">
            <v>industry_business_extn_cen</v>
          </cell>
          <cell r="C208" t="str">
            <v>Industry of Business (extended manufacturing)</v>
          </cell>
          <cell r="D208" t="str">
            <v>CENSUS</v>
          </cell>
          <cell r="E208" t="str">
            <v xml:space="preserve">New </v>
          </cell>
          <cell r="F208" t="b">
            <v>0</v>
          </cell>
          <cell r="G208" t="b">
            <v>1</v>
          </cell>
          <cell r="H208" t="b">
            <v>1</v>
          </cell>
          <cell r="I208" t="b">
            <v>1</v>
          </cell>
          <cell r="J208">
            <v>1</v>
          </cell>
          <cell r="L208" t="str">
            <v>numeric</v>
          </cell>
          <cell r="M208">
            <v>1</v>
          </cell>
          <cell r="N208">
            <v>27</v>
          </cell>
        </row>
        <row r="209">
          <cell r="B209" t="str">
            <v>intention_to_stay_cen</v>
          </cell>
          <cell r="C209" t="str">
            <v>Intention to stay</v>
          </cell>
          <cell r="D209" t="str">
            <v>CENSUS</v>
          </cell>
          <cell r="E209" t="str">
            <v>Similar</v>
          </cell>
          <cell r="F209" t="b">
            <v>0</v>
          </cell>
          <cell r="G209" t="b">
            <v>1</v>
          </cell>
          <cell r="H209" t="b">
            <v>1</v>
          </cell>
          <cell r="I209" t="b">
            <v>1</v>
          </cell>
          <cell r="J209">
            <v>1</v>
          </cell>
          <cell r="L209" t="str">
            <v>numeric</v>
          </cell>
          <cell r="M209">
            <v>1</v>
          </cell>
          <cell r="N209">
            <v>2</v>
          </cell>
        </row>
        <row r="210">
          <cell r="B210" t="str">
            <v>ipay_ashe</v>
          </cell>
          <cell r="C210" t="str">
            <v>incentive pay paid in this pay period</v>
          </cell>
          <cell r="D210" t="str">
            <v>ASHE</v>
          </cell>
          <cell r="E210" t="str">
            <v>Included</v>
          </cell>
          <cell r="F210" t="b">
            <v>1</v>
          </cell>
          <cell r="G210" t="b">
            <v>1</v>
          </cell>
          <cell r="H210" t="b">
            <v>1</v>
          </cell>
          <cell r="I210" t="b">
            <v>1</v>
          </cell>
        </row>
        <row r="211">
          <cell r="B211" t="str">
            <v>ipayall_ashe</v>
          </cell>
          <cell r="C211" t="str">
            <v>total incentive pay paid in this pay period</v>
          </cell>
          <cell r="D211" t="str">
            <v>ASHE</v>
          </cell>
          <cell r="E211" t="str">
            <v>Included</v>
          </cell>
          <cell r="F211" t="b">
            <v>1</v>
          </cell>
          <cell r="G211" t="b">
            <v>1</v>
          </cell>
          <cell r="H211" t="b">
            <v>1</v>
          </cell>
          <cell r="I211" t="b">
            <v>1</v>
          </cell>
          <cell r="J211">
            <v>1</v>
          </cell>
          <cell r="L211" t="str">
            <v>numeric</v>
          </cell>
          <cell r="M211">
            <v>0</v>
          </cell>
          <cell r="N211">
            <v>4000</v>
          </cell>
        </row>
        <row r="212">
          <cell r="B212" t="str">
            <v>ipayin_ashe</v>
          </cell>
          <cell r="C212" t="str">
            <v>incentive pay paid in this period relating to the pay period</v>
          </cell>
          <cell r="D212" t="str">
            <v>ASHE</v>
          </cell>
          <cell r="E212" t="str">
            <v>Included</v>
          </cell>
          <cell r="F212" t="b">
            <v>1</v>
          </cell>
          <cell r="G212" t="b">
            <v>1</v>
          </cell>
          <cell r="H212" t="b">
            <v>1</v>
          </cell>
          <cell r="I212" t="b">
            <v>1</v>
          </cell>
          <cell r="J212">
            <v>1</v>
          </cell>
          <cell r="L212" t="str">
            <v>numeric</v>
          </cell>
          <cell r="M212">
            <v>0</v>
          </cell>
          <cell r="N212">
            <v>4000</v>
          </cell>
        </row>
        <row r="213">
          <cell r="B213" t="str">
            <v>ipin_ashe</v>
          </cell>
          <cell r="C213" t="str">
            <v>incentive pay in this pay period</v>
          </cell>
          <cell r="D213" t="str">
            <v>ASHE</v>
          </cell>
          <cell r="E213" t="str">
            <v>Included</v>
          </cell>
          <cell r="F213" t="b">
            <v>1</v>
          </cell>
          <cell r="G213" t="b">
            <v>1</v>
          </cell>
          <cell r="H213" t="b">
            <v>1</v>
          </cell>
          <cell r="I213" t="b">
            <v>1</v>
          </cell>
        </row>
        <row r="214">
          <cell r="B214" t="str">
            <v>ipop_ashe</v>
          </cell>
          <cell r="C214" t="str">
            <v>incentive pay outside this pay period</v>
          </cell>
          <cell r="D214" t="str">
            <v>ASHE</v>
          </cell>
          <cell r="E214" t="str">
            <v>Included</v>
          </cell>
          <cell r="F214" t="b">
            <v>1</v>
          </cell>
          <cell r="G214" t="b">
            <v>1</v>
          </cell>
          <cell r="H214" t="b">
            <v>1</v>
          </cell>
          <cell r="I214" t="b">
            <v>1</v>
          </cell>
        </row>
        <row r="215">
          <cell r="B215" t="str">
            <v>is_carer_cen</v>
          </cell>
          <cell r="C215" t="str">
            <v>Provision of unpaid care</v>
          </cell>
          <cell r="D215" t="str">
            <v>CENSUS</v>
          </cell>
          <cell r="E215" t="str">
            <v>Similar</v>
          </cell>
          <cell r="F215" t="b">
            <v>0</v>
          </cell>
          <cell r="G215" t="b">
            <v>1</v>
          </cell>
          <cell r="H215" t="b">
            <v>1</v>
          </cell>
          <cell r="I215" t="b">
            <v>1</v>
          </cell>
          <cell r="J215">
            <v>1</v>
          </cell>
          <cell r="L215" t="str">
            <v>numeric</v>
          </cell>
          <cell r="M215">
            <v>1</v>
          </cell>
          <cell r="N215">
            <v>6</v>
          </cell>
        </row>
        <row r="216">
          <cell r="B216" t="str">
            <v>is_hh_term_time_address_cen</v>
          </cell>
          <cell r="C216" t="str">
            <v>Term time address (Indicator)</v>
          </cell>
          <cell r="D216" t="str">
            <v>CENSUS</v>
          </cell>
          <cell r="E216" t="str">
            <v xml:space="preserve">New </v>
          </cell>
          <cell r="F216" t="b">
            <v>0</v>
          </cell>
          <cell r="G216" t="b">
            <v>1</v>
          </cell>
          <cell r="H216" t="b">
            <v>1</v>
          </cell>
          <cell r="I216" t="b">
            <v>1</v>
          </cell>
          <cell r="J216">
            <v>1</v>
          </cell>
          <cell r="L216" t="str">
            <v>numeric</v>
          </cell>
          <cell r="M216">
            <v>1</v>
          </cell>
          <cell r="N216">
            <v>3</v>
          </cell>
          <cell r="O216" t="str">
            <v>2 if alternative_address_indicator?</v>
          </cell>
        </row>
        <row r="217">
          <cell r="B217" t="str">
            <v>isco08_ashe</v>
          </cell>
          <cell r="C217" t="str">
            <v>industrial standard classification 2008</v>
          </cell>
          <cell r="D217" t="str">
            <v>ASHE</v>
          </cell>
          <cell r="E217" t="str">
            <v>Included</v>
          </cell>
          <cell r="F217" t="b">
            <v>1</v>
          </cell>
          <cell r="G217" t="b">
            <v>1</v>
          </cell>
          <cell r="H217" t="b">
            <v>1</v>
          </cell>
          <cell r="I217" t="b">
            <v>1</v>
          </cell>
        </row>
        <row r="218">
          <cell r="B218" t="str">
            <v>isco88_ashe</v>
          </cell>
          <cell r="C218" t="str">
            <v>industrial standard classification 88</v>
          </cell>
          <cell r="D218" t="str">
            <v>ASHE</v>
          </cell>
          <cell r="E218" t="str">
            <v>Included</v>
          </cell>
          <cell r="F218" t="b">
            <v>1</v>
          </cell>
          <cell r="G218" t="b">
            <v>1</v>
          </cell>
          <cell r="H218" t="b">
            <v>1</v>
          </cell>
          <cell r="I218" t="b">
            <v>1</v>
          </cell>
        </row>
        <row r="219">
          <cell r="B219" t="str">
            <v>iteration_ashe</v>
          </cell>
          <cell r="D219" t="str">
            <v>ASHE</v>
          </cell>
          <cell r="E219" t="str">
            <v>Included</v>
          </cell>
          <cell r="F219" t="b">
            <v>1</v>
          </cell>
          <cell r="G219" t="b">
            <v>0</v>
          </cell>
          <cell r="H219" t="b">
            <v>0</v>
          </cell>
          <cell r="I219" t="b">
            <v>0</v>
          </cell>
        </row>
        <row r="220">
          <cell r="B220" t="str">
            <v>jain_ind_cen</v>
          </cell>
          <cell r="C220" t="str">
            <v>Jain identity indicator</v>
          </cell>
          <cell r="D220" t="str">
            <v>CENSUS</v>
          </cell>
          <cell r="E220" t="str">
            <v xml:space="preserve">New </v>
          </cell>
          <cell r="F220" t="b">
            <v>0</v>
          </cell>
          <cell r="G220" t="b">
            <v>1</v>
          </cell>
          <cell r="H220" t="b">
            <v>1</v>
          </cell>
          <cell r="I220" t="b">
            <v>1</v>
          </cell>
          <cell r="J220">
            <v>1</v>
          </cell>
          <cell r="L220" t="str">
            <v>numeric</v>
          </cell>
          <cell r="M220">
            <v>0</v>
          </cell>
          <cell r="N220">
            <v>3</v>
          </cell>
        </row>
        <row r="221">
          <cell r="B221" t="str">
            <v>jewish_ind_cen</v>
          </cell>
          <cell r="C221" t="str">
            <v>Jewish identity indicator</v>
          </cell>
          <cell r="D221" t="str">
            <v>CENSUS</v>
          </cell>
          <cell r="E221" t="str">
            <v xml:space="preserve">New </v>
          </cell>
          <cell r="F221" t="b">
            <v>0</v>
          </cell>
          <cell r="G221" t="b">
            <v>1</v>
          </cell>
          <cell r="H221" t="b">
            <v>1</v>
          </cell>
          <cell r="I221" t="b">
            <v>1</v>
          </cell>
          <cell r="J221">
            <v>1</v>
          </cell>
          <cell r="L221" t="str">
            <v>numeric</v>
          </cell>
          <cell r="M221">
            <v>0</v>
          </cell>
          <cell r="N221">
            <v>3</v>
          </cell>
        </row>
        <row r="222">
          <cell r="B222" t="str">
            <v>key_order_link</v>
          </cell>
          <cell r="D222" t="str">
            <v>link from 2021 cen link encrypt nino</v>
          </cell>
          <cell r="E222" t="str">
            <v xml:space="preserve">New </v>
          </cell>
          <cell r="F222" t="b">
            <v>0</v>
          </cell>
          <cell r="G222" t="b">
            <v>1</v>
          </cell>
          <cell r="H222" t="b">
            <v>1</v>
          </cell>
          <cell r="I222" t="b">
            <v>1</v>
          </cell>
        </row>
        <row r="223">
          <cell r="B223" t="str">
            <v>ldweight_ashe</v>
          </cell>
          <cell r="C223" t="str">
            <v>design weights</v>
          </cell>
          <cell r="D223" t="str">
            <v>ASHE</v>
          </cell>
          <cell r="E223" t="str">
            <v>Included</v>
          </cell>
          <cell r="F223" t="b">
            <v>0</v>
          </cell>
          <cell r="G223" t="b">
            <v>1</v>
          </cell>
          <cell r="H223" t="b">
            <v>1</v>
          </cell>
          <cell r="I223" t="b">
            <v>1</v>
          </cell>
        </row>
        <row r="224">
          <cell r="B224" t="str">
            <v>legal_partnership_status_cen</v>
          </cell>
          <cell r="C224" t="str">
            <v xml:space="preserve">Marital Status collapsed </v>
          </cell>
          <cell r="D224" t="str">
            <v>CENSUS</v>
          </cell>
          <cell r="E224" t="str">
            <v xml:space="preserve">New </v>
          </cell>
          <cell r="F224" t="b">
            <v>0</v>
          </cell>
          <cell r="G224" t="b">
            <v>1</v>
          </cell>
          <cell r="H224" t="b">
            <v>1</v>
          </cell>
          <cell r="I224" t="b">
            <v>1</v>
          </cell>
          <cell r="J224">
            <v>1</v>
          </cell>
          <cell r="L224" t="str">
            <v>numeric</v>
          </cell>
          <cell r="M224">
            <v>1</v>
          </cell>
          <cell r="N224">
            <v>11</v>
          </cell>
        </row>
        <row r="225">
          <cell r="B225" t="str">
            <v>lgbtq_ind_cen</v>
          </cell>
          <cell r="C225" t="str">
            <v xml:space="preserve">
LGBTQ+ Indicator</v>
          </cell>
          <cell r="D225" t="str">
            <v>CENSUS</v>
          </cell>
          <cell r="E225" t="str">
            <v xml:space="preserve">New </v>
          </cell>
          <cell r="F225" t="b">
            <v>0</v>
          </cell>
          <cell r="G225" t="b">
            <v>1</v>
          </cell>
          <cell r="H225" t="b">
            <v>1</v>
          </cell>
          <cell r="I225" t="b">
            <v>1</v>
          </cell>
          <cell r="J225">
            <v>1</v>
          </cell>
          <cell r="L225" t="str">
            <v>numeric</v>
          </cell>
          <cell r="M225">
            <v>0</v>
          </cell>
          <cell r="N225">
            <v>3</v>
          </cell>
        </row>
        <row r="226">
          <cell r="B226" t="str">
            <v>lgpox_ashe</v>
          </cell>
          <cell r="D226" t="str">
            <v>ASHE</v>
          </cell>
          <cell r="E226" t="str">
            <v>Included</v>
          </cell>
          <cell r="F226" t="b">
            <v>1</v>
          </cell>
          <cell r="G226" t="b">
            <v>0</v>
          </cell>
          <cell r="H226" t="b">
            <v>0</v>
          </cell>
          <cell r="I226" t="b">
            <v>0</v>
          </cell>
        </row>
        <row r="227">
          <cell r="B227" t="str">
            <v>livedead_ashe</v>
          </cell>
          <cell r="C227" t="str">
            <v>live or dead compny</v>
          </cell>
          <cell r="D227" t="str">
            <v>ASHE</v>
          </cell>
          <cell r="E227" t="str">
            <v>Included</v>
          </cell>
          <cell r="F227" t="b">
            <v>1</v>
          </cell>
          <cell r="G227" t="b">
            <v>1</v>
          </cell>
          <cell r="H227" t="b">
            <v>1</v>
          </cell>
          <cell r="I227" t="b">
            <v>1</v>
          </cell>
        </row>
        <row r="228">
          <cell r="B228" t="str">
            <v>living_arrangements_cen</v>
          </cell>
          <cell r="C228" t="str">
            <v>Living arrangements</v>
          </cell>
          <cell r="D228" t="str">
            <v>CENSUS</v>
          </cell>
          <cell r="E228" t="str">
            <v xml:space="preserve">New </v>
          </cell>
          <cell r="F228" t="b">
            <v>0</v>
          </cell>
          <cell r="G228" t="b">
            <v>1</v>
          </cell>
          <cell r="H228" t="b">
            <v>1</v>
          </cell>
          <cell r="I228" t="b">
            <v>1</v>
          </cell>
          <cell r="J228">
            <v>1</v>
          </cell>
          <cell r="L228" t="str">
            <v>numeric</v>
          </cell>
          <cell r="M228">
            <v>1</v>
          </cell>
          <cell r="N228">
            <v>16</v>
          </cell>
        </row>
        <row r="229">
          <cell r="B229" t="str">
            <v>looking_for_work_cen</v>
          </cell>
          <cell r="C229" t="str">
            <v>In the last four weeks, were you actively looking for any kind of paid work</v>
          </cell>
          <cell r="D229" t="str">
            <v>CENSUS</v>
          </cell>
          <cell r="E229" t="str">
            <v>Similar</v>
          </cell>
          <cell r="F229" t="b">
            <v>0</v>
          </cell>
          <cell r="G229" t="b">
            <v>1</v>
          </cell>
          <cell r="H229" t="b">
            <v>1</v>
          </cell>
          <cell r="I229" t="b">
            <v>1</v>
          </cell>
          <cell r="J229">
            <v>1</v>
          </cell>
          <cell r="L229" t="str">
            <v>numeric</v>
          </cell>
          <cell r="M229">
            <v>0</v>
          </cell>
          <cell r="N229">
            <v>1</v>
          </cell>
        </row>
        <row r="230">
          <cell r="B230" t="str">
            <v>lop_ashe</v>
          </cell>
          <cell r="C230" t="str">
            <v>loss of pay marker</v>
          </cell>
          <cell r="D230" t="str">
            <v>ASHE</v>
          </cell>
          <cell r="E230" t="str">
            <v>Included</v>
          </cell>
          <cell r="F230" t="b">
            <v>1</v>
          </cell>
          <cell r="G230" t="b">
            <v>1</v>
          </cell>
          <cell r="H230" t="b">
            <v>1</v>
          </cell>
          <cell r="I230" t="b">
            <v>1</v>
          </cell>
          <cell r="J230">
            <v>1</v>
          </cell>
          <cell r="L230" t="str">
            <v>numeric</v>
          </cell>
          <cell r="M230">
            <v>1</v>
          </cell>
          <cell r="N230">
            <v>2</v>
          </cell>
        </row>
        <row r="231">
          <cell r="B231" t="str">
            <v>lopf_ashe</v>
          </cell>
          <cell r="C231" t="str">
            <v>Loss of pay -only available for 2021</v>
          </cell>
          <cell r="D231" t="str">
            <v>ASHE</v>
          </cell>
          <cell r="E231" t="str">
            <v>Included</v>
          </cell>
          <cell r="F231" t="b">
            <v>1</v>
          </cell>
          <cell r="G231" t="b">
            <v>1</v>
          </cell>
          <cell r="H231" t="b">
            <v>1</v>
          </cell>
          <cell r="I231" t="b">
            <v>1</v>
          </cell>
          <cell r="J231">
            <v>1</v>
          </cell>
          <cell r="L231" t="str">
            <v>numeric</v>
          </cell>
          <cell r="M231">
            <v>1</v>
          </cell>
          <cell r="N231">
            <v>2</v>
          </cell>
          <cell r="O231" t="str">
            <v>year==2021</v>
          </cell>
        </row>
        <row r="232">
          <cell r="B232" t="str">
            <v>lowhc_ashe</v>
          </cell>
          <cell r="D232" t="str">
            <v>ASHE</v>
          </cell>
          <cell r="E232" t="str">
            <v>Included</v>
          </cell>
          <cell r="F232" t="b">
            <v>0</v>
          </cell>
          <cell r="G232" t="b">
            <v>0</v>
          </cell>
          <cell r="H232" t="b">
            <v>0</v>
          </cell>
          <cell r="I232" t="b">
            <v>0</v>
          </cell>
        </row>
        <row r="233">
          <cell r="B233" t="str">
            <v>lowl_ashe</v>
          </cell>
          <cell r="D233" t="str">
            <v>ASHE</v>
          </cell>
          <cell r="E233" t="str">
            <v>Included</v>
          </cell>
          <cell r="F233" t="b">
            <v>1</v>
          </cell>
          <cell r="G233" t="b">
            <v>0</v>
          </cell>
          <cell r="H233" t="b">
            <v>0</v>
          </cell>
          <cell r="I233" t="b">
            <v>0</v>
          </cell>
        </row>
        <row r="234">
          <cell r="B234" t="str">
            <v>lowt_ashe</v>
          </cell>
          <cell r="D234" t="str">
            <v>ASHE</v>
          </cell>
          <cell r="E234" t="str">
            <v>Included</v>
          </cell>
          <cell r="F234" t="b">
            <v>1</v>
          </cell>
          <cell r="G234" t="b">
            <v>0</v>
          </cell>
          <cell r="H234" t="b">
            <v>0</v>
          </cell>
          <cell r="I234" t="b">
            <v>0</v>
          </cell>
        </row>
        <row r="235">
          <cell r="B235" t="str">
            <v>lpcalwght_ashe</v>
          </cell>
          <cell r="C235" t="str">
            <v>calibration weight</v>
          </cell>
          <cell r="D235" t="str">
            <v>ASHE</v>
          </cell>
          <cell r="E235" t="str">
            <v xml:space="preserve">New </v>
          </cell>
          <cell r="F235" t="b">
            <v>0</v>
          </cell>
          <cell r="G235" t="b">
            <v>1</v>
          </cell>
          <cell r="H235" t="b">
            <v>1</v>
          </cell>
          <cell r="I235" t="b">
            <v>1</v>
          </cell>
          <cell r="J235">
            <v>1</v>
          </cell>
          <cell r="L235" t="str">
            <v>numeric</v>
          </cell>
          <cell r="M235">
            <v>1</v>
          </cell>
          <cell r="N235">
            <v>100</v>
          </cell>
        </row>
        <row r="236">
          <cell r="B236" t="str">
            <v>lpcalwght_ashe</v>
          </cell>
          <cell r="C236" t="str">
            <v>calibration weight</v>
          </cell>
          <cell r="D236" t="str">
            <v>ASHE</v>
          </cell>
          <cell r="E236" t="str">
            <v xml:space="preserve">New </v>
          </cell>
          <cell r="F236" t="b">
            <v>1</v>
          </cell>
          <cell r="G236" t="b">
            <v>1</v>
          </cell>
          <cell r="H236" t="b">
            <v>1</v>
          </cell>
          <cell r="I236" t="b">
            <v>1</v>
          </cell>
        </row>
        <row r="237">
          <cell r="B237" t="str">
            <v>lpcalwghtf_ashe</v>
          </cell>
          <cell r="C237" t="str">
            <v>Low pay calibration weight -only available for 2021</v>
          </cell>
          <cell r="D237" t="str">
            <v>ASHE</v>
          </cell>
          <cell r="E237" t="str">
            <v>Included</v>
          </cell>
          <cell r="F237" t="b">
            <v>1</v>
          </cell>
          <cell r="G237" t="b">
            <v>1</v>
          </cell>
          <cell r="H237" t="b">
            <v>1</v>
          </cell>
          <cell r="I237" t="b">
            <v>1</v>
          </cell>
          <cell r="J237">
            <v>1</v>
          </cell>
          <cell r="L237" t="str">
            <v>numeric</v>
          </cell>
          <cell r="M237">
            <v>1</v>
          </cell>
          <cell r="N237">
            <v>100</v>
          </cell>
          <cell r="O237" t="str">
            <v>year==2021</v>
          </cell>
        </row>
        <row r="238">
          <cell r="B238" t="str">
            <v>lpdweight_ashe</v>
          </cell>
          <cell r="C238" t="str">
            <v>design weights</v>
          </cell>
          <cell r="D238" t="str">
            <v>ASHE</v>
          </cell>
          <cell r="E238" t="str">
            <v xml:space="preserve">New </v>
          </cell>
          <cell r="F238" t="b">
            <v>1</v>
          </cell>
          <cell r="G238" t="b">
            <v>1</v>
          </cell>
          <cell r="H238" t="b">
            <v>1</v>
          </cell>
          <cell r="I238" t="b">
            <v>1</v>
          </cell>
          <cell r="J238">
            <v>1</v>
          </cell>
          <cell r="L238" t="str">
            <v>numeric</v>
          </cell>
          <cell r="M238">
            <v>1</v>
          </cell>
          <cell r="N238">
            <v>100</v>
          </cell>
        </row>
        <row r="239">
          <cell r="B239" t="str">
            <v>lpdweightf_ashe</v>
          </cell>
          <cell r="C239" t="str">
            <v>Low pay calibration weight -only available for 2021</v>
          </cell>
          <cell r="D239" t="str">
            <v>ASHE</v>
          </cell>
          <cell r="E239" t="str">
            <v>Included</v>
          </cell>
          <cell r="F239" t="b">
            <v>0</v>
          </cell>
          <cell r="G239" t="b">
            <v>1</v>
          </cell>
          <cell r="H239" t="b">
            <v>1</v>
          </cell>
          <cell r="I239" t="b">
            <v>1</v>
          </cell>
          <cell r="J239">
            <v>1</v>
          </cell>
          <cell r="L239" t="str">
            <v>numeric</v>
          </cell>
          <cell r="M239">
            <v>1</v>
          </cell>
          <cell r="N239">
            <v>100</v>
          </cell>
          <cell r="O239" t="str">
            <v>year==2021</v>
          </cell>
        </row>
        <row r="240">
          <cell r="B240" t="str">
            <v>lpgweight_ashe</v>
          </cell>
          <cell r="C240" t="str">
            <v>calibration factor</v>
          </cell>
          <cell r="D240" t="str">
            <v>ASHE</v>
          </cell>
          <cell r="E240" t="str">
            <v>Included</v>
          </cell>
          <cell r="F240" t="b">
            <v>0</v>
          </cell>
          <cell r="G240" t="b">
            <v>1</v>
          </cell>
          <cell r="H240" t="b">
            <v>1</v>
          </cell>
          <cell r="I240" t="b">
            <v>1</v>
          </cell>
          <cell r="J240">
            <v>1</v>
          </cell>
          <cell r="L240" t="str">
            <v>numeric</v>
          </cell>
          <cell r="M240">
            <v>1</v>
          </cell>
          <cell r="N240">
            <v>100</v>
          </cell>
        </row>
        <row r="241">
          <cell r="B241" t="str">
            <v>lpgweightf_ashe</v>
          </cell>
          <cell r="C241" t="str">
            <v>Low pay calibration weight -only available for 2021</v>
          </cell>
          <cell r="D241" t="str">
            <v>ASHE</v>
          </cell>
          <cell r="E241" t="str">
            <v>Included</v>
          </cell>
          <cell r="F241" t="b">
            <v>0</v>
          </cell>
          <cell r="G241" t="b">
            <v>1</v>
          </cell>
          <cell r="H241" t="b">
            <v>1</v>
          </cell>
          <cell r="I241" t="b">
            <v>1</v>
          </cell>
          <cell r="J241">
            <v>1</v>
          </cell>
          <cell r="L241" t="str">
            <v>numeric</v>
          </cell>
          <cell r="M241">
            <v>1</v>
          </cell>
          <cell r="N241">
            <v>100</v>
          </cell>
          <cell r="O241" t="str">
            <v>year==2021</v>
          </cell>
        </row>
        <row r="242">
          <cell r="B242" t="str">
            <v>lpselected_ashe</v>
          </cell>
          <cell r="D242" t="str">
            <v>ASHE</v>
          </cell>
          <cell r="E242" t="str">
            <v>Included</v>
          </cell>
          <cell r="F242" t="b">
            <v>0</v>
          </cell>
          <cell r="G242" t="b">
            <v>0</v>
          </cell>
          <cell r="H242" t="b">
            <v>0</v>
          </cell>
          <cell r="I242" t="b">
            <v>0</v>
          </cell>
        </row>
        <row r="243">
          <cell r="B243" t="str">
            <v>lu1_ashe</v>
          </cell>
          <cell r="D243" t="str">
            <v>ASHE</v>
          </cell>
          <cell r="E243" t="str">
            <v xml:space="preserve">New </v>
          </cell>
          <cell r="F243" t="b">
            <v>0</v>
          </cell>
          <cell r="G243" t="b">
            <v>0</v>
          </cell>
          <cell r="H243" t="b">
            <v>0</v>
          </cell>
          <cell r="I243" t="b">
            <v>0</v>
          </cell>
        </row>
        <row r="244">
          <cell r="B244" t="str">
            <v>luesize_ashe</v>
          </cell>
          <cell r="C244" t="str">
            <v>local unit employment count</v>
          </cell>
          <cell r="D244" t="str">
            <v>ASHE</v>
          </cell>
          <cell r="E244" t="str">
            <v>Included</v>
          </cell>
          <cell r="F244" t="b">
            <v>0</v>
          </cell>
          <cell r="G244" t="b">
            <v>1</v>
          </cell>
          <cell r="H244" t="b">
            <v>1</v>
          </cell>
          <cell r="I244" t="b">
            <v>1</v>
          </cell>
        </row>
        <row r="245">
          <cell r="B245" t="str">
            <v>main_language_cen</v>
          </cell>
          <cell r="C245" t="str">
            <v>main language</v>
          </cell>
          <cell r="D245" t="str">
            <v>CENSUS</v>
          </cell>
          <cell r="E245" t="str">
            <v>Similar</v>
          </cell>
          <cell r="F245" t="b">
            <v>0</v>
          </cell>
          <cell r="G245" t="b">
            <v>1</v>
          </cell>
          <cell r="H245" t="b">
            <v>1</v>
          </cell>
          <cell r="I245" t="b">
            <v>1</v>
          </cell>
          <cell r="L245" t="str">
            <v>numeric</v>
          </cell>
          <cell r="M245">
            <v>1201</v>
          </cell>
          <cell r="N245">
            <v>99999</v>
          </cell>
        </row>
        <row r="246">
          <cell r="B246" t="str">
            <v>main_language_detailed_cen</v>
          </cell>
          <cell r="C246" t="str">
            <v>Main language (detailed)</v>
          </cell>
          <cell r="D246" t="str">
            <v>CENSUS</v>
          </cell>
          <cell r="E246" t="str">
            <v xml:space="preserve">New </v>
          </cell>
          <cell r="F246" t="b">
            <v>0</v>
          </cell>
          <cell r="G246" t="b">
            <v>1</v>
          </cell>
          <cell r="H246" t="b">
            <v>1</v>
          </cell>
          <cell r="I246" t="b">
            <v>1</v>
          </cell>
          <cell r="J246">
            <v>1</v>
          </cell>
          <cell r="L246" t="str">
            <v>numeric</v>
          </cell>
          <cell r="M246">
            <v>1</v>
          </cell>
          <cell r="N246">
            <v>94</v>
          </cell>
        </row>
        <row r="247">
          <cell r="B247" t="str">
            <v>man_ashe</v>
          </cell>
          <cell r="C247" t="str">
            <v>manual marker</v>
          </cell>
          <cell r="D247" t="str">
            <v>ASHE</v>
          </cell>
          <cell r="E247" t="str">
            <v>Included</v>
          </cell>
          <cell r="F247" t="b">
            <v>1</v>
          </cell>
          <cell r="G247" t="b">
            <v>1</v>
          </cell>
          <cell r="H247" t="b">
            <v>1</v>
          </cell>
          <cell r="I247" t="b">
            <v>1</v>
          </cell>
        </row>
        <row r="248">
          <cell r="B248" t="str">
            <v>manualcleaned_ashe</v>
          </cell>
          <cell r="D248" t="str">
            <v>ASHE</v>
          </cell>
          <cell r="E248" t="str">
            <v>Included</v>
          </cell>
          <cell r="F248" t="b">
            <v>1</v>
          </cell>
          <cell r="G248" t="b">
            <v>0</v>
          </cell>
          <cell r="H248" t="b">
            <v>0</v>
          </cell>
          <cell r="I248" t="b">
            <v>0</v>
          </cell>
        </row>
        <row r="249">
          <cell r="B249" t="str">
            <v>marital_status_cen</v>
          </cell>
          <cell r="C249" t="str">
            <v>Marriage and civil partnership status (Derived)</v>
          </cell>
          <cell r="D249" t="str">
            <v>CENSUS</v>
          </cell>
          <cell r="E249" t="str">
            <v>Similar</v>
          </cell>
          <cell r="F249" t="b">
            <v>0</v>
          </cell>
          <cell r="G249" t="b">
            <v>1</v>
          </cell>
          <cell r="H249" t="b">
            <v>1</v>
          </cell>
          <cell r="I249" t="b">
            <v>1</v>
          </cell>
          <cell r="J249">
            <v>1</v>
          </cell>
          <cell r="L249" t="str">
            <v>numeric</v>
          </cell>
          <cell r="M249">
            <v>1</v>
          </cell>
          <cell r="N249">
            <v>17</v>
          </cell>
        </row>
        <row r="250">
          <cell r="B250" t="str">
            <v>match_probability_link</v>
          </cell>
          <cell r="D250" t="str">
            <v>link from 2021 cen link encrypt nino</v>
          </cell>
          <cell r="E250" t="str">
            <v xml:space="preserve">New </v>
          </cell>
          <cell r="F250" t="b">
            <v>0</v>
          </cell>
          <cell r="G250" t="b">
            <v>1</v>
          </cell>
          <cell r="H250" t="b">
            <v>1</v>
          </cell>
          <cell r="I250" t="b">
            <v>1</v>
          </cell>
        </row>
        <row r="251">
          <cell r="B251" t="str">
            <v>matched_resident_link</v>
          </cell>
          <cell r="C251" t="str">
            <v>The Census Resident_ID of the household resident that matched to the Census. Where there are multiple matches in a household this is the match with the lowest Census household_person_number.</v>
          </cell>
          <cell r="D251" t="str">
            <v>link from Ashe id encrypted nino lookup</v>
          </cell>
          <cell r="E251" t="str">
            <v>Included</v>
          </cell>
          <cell r="F251" t="b">
            <v>1</v>
          </cell>
          <cell r="G251" t="b">
            <v>1</v>
          </cell>
          <cell r="H251" t="b">
            <v>1</v>
          </cell>
          <cell r="I251" t="b">
            <v>1</v>
          </cell>
        </row>
        <row r="252">
          <cell r="B252" t="str">
            <v>matchkey_link</v>
          </cell>
          <cell r="D252" t="str">
            <v>link from 2021 cen link encrypt nino</v>
          </cell>
          <cell r="E252" t="str">
            <v xml:space="preserve">New </v>
          </cell>
          <cell r="F252" t="b">
            <v>0</v>
          </cell>
          <cell r="G252" t="b">
            <v>1</v>
          </cell>
          <cell r="H252" t="b">
            <v>1</v>
          </cell>
          <cell r="I252" t="b">
            <v>1</v>
          </cell>
        </row>
        <row r="253">
          <cell r="B253" t="str">
            <v>migrant_ind_cen</v>
          </cell>
          <cell r="C253" t="str">
            <v>Migrant indicator</v>
          </cell>
          <cell r="D253" t="str">
            <v>CENSUS</v>
          </cell>
          <cell r="E253" t="str">
            <v xml:space="preserve">New </v>
          </cell>
          <cell r="F253" t="b">
            <v>0</v>
          </cell>
          <cell r="G253" t="b">
            <v>1</v>
          </cell>
          <cell r="H253" t="b">
            <v>1</v>
          </cell>
          <cell r="I253" t="b">
            <v>1</v>
          </cell>
          <cell r="J253">
            <v>1</v>
          </cell>
          <cell r="L253" t="str">
            <v>numeric</v>
          </cell>
          <cell r="M253">
            <v>0</v>
          </cell>
          <cell r="N253">
            <v>3</v>
          </cell>
        </row>
        <row r="254">
          <cell r="B254" t="str">
            <v>migrant_origin_cen</v>
          </cell>
          <cell r="C254" t="str">
            <v>Migrant country code or postcode of origin</v>
          </cell>
          <cell r="D254" t="str">
            <v>CENSUS</v>
          </cell>
          <cell r="E254" t="str">
            <v xml:space="preserve">New </v>
          </cell>
          <cell r="F254" t="b">
            <v>0</v>
          </cell>
          <cell r="G254" t="b">
            <v>0</v>
          </cell>
          <cell r="H254" t="b">
            <v>0</v>
          </cell>
          <cell r="I254" t="b">
            <v>1</v>
          </cell>
        </row>
        <row r="255">
          <cell r="B255" t="str">
            <v>migrant_origin_country_cen</v>
          </cell>
          <cell r="C255" t="str">
            <v>Migrant country of origin</v>
          </cell>
          <cell r="D255" t="str">
            <v>CENSUS</v>
          </cell>
          <cell r="E255" t="str">
            <v xml:space="preserve">New </v>
          </cell>
          <cell r="F255" t="b">
            <v>0</v>
          </cell>
          <cell r="G255" t="b">
            <v>1</v>
          </cell>
          <cell r="H255" t="b">
            <v>1</v>
          </cell>
          <cell r="I255" t="b">
            <v>1</v>
          </cell>
          <cell r="J255">
            <v>1</v>
          </cell>
          <cell r="L255" t="str">
            <v>numeric</v>
          </cell>
          <cell r="M255">
            <v>0</v>
          </cell>
          <cell r="N255">
            <v>999</v>
          </cell>
        </row>
        <row r="256">
          <cell r="B256" t="str">
            <v>migrant_origin_oa_cen</v>
          </cell>
          <cell r="C256" t="str">
            <v>Specifying the output area of migrant origin</v>
          </cell>
          <cell r="D256" t="str">
            <v>CENSUS</v>
          </cell>
          <cell r="E256" t="str">
            <v xml:space="preserve">New </v>
          </cell>
          <cell r="F256" t="b">
            <v>0</v>
          </cell>
          <cell r="G256" t="b">
            <v>1</v>
          </cell>
          <cell r="H256" t="b">
            <v>1</v>
          </cell>
          <cell r="I256" t="b">
            <v>1</v>
          </cell>
          <cell r="J256">
            <v>1</v>
          </cell>
          <cell r="L256" t="str">
            <v>string</v>
          </cell>
        </row>
        <row r="257">
          <cell r="B257" t="str">
            <v>miss_ind_ashe</v>
          </cell>
          <cell r="C257" t="str">
            <v>pay variables requiring imputation</v>
          </cell>
          <cell r="D257" t="str">
            <v>ASHE</v>
          </cell>
          <cell r="E257" t="str">
            <v>Included</v>
          </cell>
          <cell r="F257" t="b">
            <v>1</v>
          </cell>
          <cell r="G257" t="b">
            <v>1</v>
          </cell>
          <cell r="H257" t="b">
            <v>1</v>
          </cell>
          <cell r="I257" t="b">
            <v>1</v>
          </cell>
        </row>
        <row r="258">
          <cell r="B258" t="str">
            <v>miss_ind2_ashe</v>
          </cell>
          <cell r="C258" t="str">
            <v>imputation indicator</v>
          </cell>
          <cell r="D258" t="str">
            <v>ASHE</v>
          </cell>
          <cell r="E258" t="str">
            <v>Included</v>
          </cell>
          <cell r="F258" t="b">
            <v>1</v>
          </cell>
          <cell r="G258" t="b">
            <v>1</v>
          </cell>
          <cell r="H258" t="b">
            <v>1</v>
          </cell>
          <cell r="I258" t="b">
            <v>1</v>
          </cell>
        </row>
        <row r="259">
          <cell r="B259" t="str">
            <v>mjob_ashe</v>
          </cell>
          <cell r="C259" t="str">
            <v>main job marker</v>
          </cell>
          <cell r="D259" t="str">
            <v>ASHE</v>
          </cell>
          <cell r="E259" t="str">
            <v>Included</v>
          </cell>
          <cell r="F259" t="b">
            <v>1</v>
          </cell>
          <cell r="G259" t="b">
            <v>1</v>
          </cell>
          <cell r="H259" t="b">
            <v>1</v>
          </cell>
          <cell r="I259" t="b">
            <v>1</v>
          </cell>
        </row>
        <row r="260">
          <cell r="B260" t="str">
            <v>model_ashe</v>
          </cell>
          <cell r="C260" t="str">
            <v>alernative ocupation code</v>
          </cell>
          <cell r="D260" t="str">
            <v>ASHE</v>
          </cell>
          <cell r="E260" t="str">
            <v>Included</v>
          </cell>
          <cell r="F260" t="b">
            <v>1</v>
          </cell>
          <cell r="G260" t="b">
            <v>1</v>
          </cell>
          <cell r="H260" t="b">
            <v>1</v>
          </cell>
          <cell r="I260" t="b">
            <v>1</v>
          </cell>
        </row>
        <row r="261">
          <cell r="B261" t="str">
            <v>month_of_arrival_in_country_cen</v>
          </cell>
          <cell r="C261" t="str">
            <v>Month of arrival in UK</v>
          </cell>
          <cell r="D261" t="str">
            <v>CENSUS</v>
          </cell>
          <cell r="E261" t="str">
            <v>Similar</v>
          </cell>
          <cell r="F261" t="b">
            <v>0</v>
          </cell>
          <cell r="G261" t="b">
            <v>1</v>
          </cell>
          <cell r="H261" t="b">
            <v>1</v>
          </cell>
          <cell r="I261" t="b">
            <v>1</v>
          </cell>
          <cell r="J261">
            <v>1</v>
          </cell>
          <cell r="L261" t="str">
            <v>numeric</v>
          </cell>
          <cell r="M261">
            <v>1</v>
          </cell>
          <cell r="N261">
            <v>12</v>
          </cell>
        </row>
        <row r="262">
          <cell r="B262" t="str">
            <v>moving_group_number_cen</v>
          </cell>
          <cell r="C262" t="str">
            <v>Moving group number</v>
          </cell>
          <cell r="D262" t="str">
            <v>CENSUS</v>
          </cell>
          <cell r="E262" t="str">
            <v xml:space="preserve">New </v>
          </cell>
          <cell r="F262" t="b">
            <v>0</v>
          </cell>
          <cell r="G262" t="b">
            <v>1</v>
          </cell>
          <cell r="H262" t="b">
            <v>1</v>
          </cell>
          <cell r="I262" t="b">
            <v>1</v>
          </cell>
          <cell r="J262">
            <v>1</v>
          </cell>
          <cell r="L262" t="str">
            <v>numeric</v>
          </cell>
          <cell r="M262">
            <v>1</v>
          </cell>
          <cell r="N262">
            <v>9999</v>
          </cell>
        </row>
        <row r="263">
          <cell r="B263" t="str">
            <v>moving_group_reference_person_cen</v>
          </cell>
          <cell r="C263" t="str">
            <v>Moving group reference person</v>
          </cell>
          <cell r="D263" t="str">
            <v>CENSUS</v>
          </cell>
          <cell r="E263" t="str">
            <v xml:space="preserve">New </v>
          </cell>
          <cell r="F263" t="b">
            <v>0</v>
          </cell>
          <cell r="G263" t="b">
            <v>1</v>
          </cell>
          <cell r="H263" t="b">
            <v>1</v>
          </cell>
          <cell r="I263" t="b">
            <v>1</v>
          </cell>
          <cell r="J263">
            <v>1</v>
          </cell>
          <cell r="L263" t="str">
            <v>numeric</v>
          </cell>
          <cell r="M263">
            <v>0</v>
          </cell>
          <cell r="N263">
            <v>1</v>
          </cell>
        </row>
        <row r="264">
          <cell r="B264" t="str">
            <v>moving_group_size_cen</v>
          </cell>
          <cell r="C264" t="str">
            <v>Number of people in a person’s moving group</v>
          </cell>
          <cell r="D264" t="str">
            <v>CENSUS</v>
          </cell>
          <cell r="E264" t="str">
            <v xml:space="preserve">New </v>
          </cell>
          <cell r="F264" t="b">
            <v>0</v>
          </cell>
          <cell r="G264" t="b">
            <v>1</v>
          </cell>
          <cell r="H264" t="b">
            <v>1</v>
          </cell>
          <cell r="I264" t="b">
            <v>1</v>
          </cell>
          <cell r="J264">
            <v>1</v>
          </cell>
          <cell r="L264" t="str">
            <v>numeric</v>
          </cell>
          <cell r="M264">
            <v>1</v>
          </cell>
          <cell r="N264">
            <v>4000</v>
          </cell>
        </row>
        <row r="265">
          <cell r="B265" t="str">
            <v>multi_passports_cen</v>
          </cell>
          <cell r="C265" t="str">
            <v>Multiple passports held</v>
          </cell>
          <cell r="D265" t="str">
            <v>CENSUS</v>
          </cell>
          <cell r="E265" t="str">
            <v xml:space="preserve">New </v>
          </cell>
          <cell r="F265" t="b">
            <v>0</v>
          </cell>
          <cell r="G265" t="b">
            <v>1</v>
          </cell>
          <cell r="H265" t="b">
            <v>1</v>
          </cell>
          <cell r="I265" t="b">
            <v>1</v>
          </cell>
          <cell r="J265">
            <v>1</v>
          </cell>
          <cell r="L265" t="str">
            <v>numeric</v>
          </cell>
          <cell r="M265">
            <v>1</v>
          </cell>
          <cell r="N265">
            <v>23</v>
          </cell>
        </row>
        <row r="266">
          <cell r="B266" t="str">
            <v>nat_id_British_cen</v>
          </cell>
          <cell r="C266" t="str">
            <v>British National Identity</v>
          </cell>
          <cell r="D266" t="str">
            <v>CENSUS</v>
          </cell>
          <cell r="E266" t="str">
            <v>Replaced</v>
          </cell>
          <cell r="F266" t="b">
            <v>0</v>
          </cell>
          <cell r="G266" t="b">
            <v>1</v>
          </cell>
          <cell r="H266" t="b">
            <v>1</v>
          </cell>
          <cell r="I266" t="b">
            <v>1</v>
          </cell>
          <cell r="J266">
            <v>1</v>
          </cell>
          <cell r="L266" t="str">
            <v>numeric</v>
          </cell>
          <cell r="M266">
            <v>1</v>
          </cell>
          <cell r="N266">
            <v>3</v>
          </cell>
        </row>
        <row r="267">
          <cell r="B267" t="str">
            <v>nat_id_cornish_cen</v>
          </cell>
          <cell r="C267" t="str">
            <v>Cornish National Identity</v>
          </cell>
          <cell r="D267" t="str">
            <v>CENSUS</v>
          </cell>
          <cell r="E267" t="str">
            <v>Replaced</v>
          </cell>
          <cell r="F267" t="b">
            <v>0</v>
          </cell>
          <cell r="G267" t="b">
            <v>1</v>
          </cell>
          <cell r="H267" t="b">
            <v>1</v>
          </cell>
          <cell r="I267" t="b">
            <v>1</v>
          </cell>
          <cell r="J267">
            <v>1</v>
          </cell>
          <cell r="L267" t="str">
            <v>numeric</v>
          </cell>
          <cell r="M267">
            <v>1</v>
          </cell>
          <cell r="N267">
            <v>4</v>
          </cell>
        </row>
        <row r="268">
          <cell r="B268" t="str">
            <v>nat_id_english_cen</v>
          </cell>
          <cell r="C268" t="str">
            <v>English National Identity</v>
          </cell>
          <cell r="D268" t="str">
            <v>CENSUS</v>
          </cell>
          <cell r="E268" t="str">
            <v>Replaced</v>
          </cell>
          <cell r="F268" t="b">
            <v>0</v>
          </cell>
          <cell r="G268" t="b">
            <v>1</v>
          </cell>
          <cell r="H268" t="b">
            <v>1</v>
          </cell>
          <cell r="I268" t="b">
            <v>1</v>
          </cell>
          <cell r="J268">
            <v>1</v>
          </cell>
          <cell r="L268" t="str">
            <v>numeric</v>
          </cell>
          <cell r="M268">
            <v>1</v>
          </cell>
          <cell r="N268">
            <v>4</v>
          </cell>
        </row>
        <row r="269">
          <cell r="B269" t="str">
            <v>nat_id_irish_cen</v>
          </cell>
          <cell r="C269" t="str">
            <v>Irish national identity</v>
          </cell>
          <cell r="D269" t="str">
            <v>CENSUS</v>
          </cell>
          <cell r="E269" t="str">
            <v>Replaced</v>
          </cell>
          <cell r="F269" t="b">
            <v>0</v>
          </cell>
          <cell r="G269" t="b">
            <v>1</v>
          </cell>
          <cell r="H269" t="b">
            <v>1</v>
          </cell>
          <cell r="I269" t="b">
            <v>1</v>
          </cell>
          <cell r="J269">
            <v>1</v>
          </cell>
          <cell r="L269" t="str">
            <v>numeric</v>
          </cell>
          <cell r="M269">
            <v>1</v>
          </cell>
          <cell r="N269">
            <v>7</v>
          </cell>
        </row>
        <row r="270">
          <cell r="B270" t="str">
            <v>nat_id_northern_irish_cen</v>
          </cell>
          <cell r="C270" t="str">
            <v>Northern Irish National Identity</v>
          </cell>
          <cell r="D270" t="str">
            <v>CENSUS</v>
          </cell>
          <cell r="E270" t="str">
            <v>Replaced</v>
          </cell>
          <cell r="F270" t="b">
            <v>0</v>
          </cell>
          <cell r="G270" t="b">
            <v>1</v>
          </cell>
          <cell r="H270" t="b">
            <v>1</v>
          </cell>
          <cell r="I270" t="b">
            <v>1</v>
          </cell>
          <cell r="J270">
            <v>1</v>
          </cell>
          <cell r="L270" t="str">
            <v>numeric</v>
          </cell>
          <cell r="M270">
            <v>1</v>
          </cell>
          <cell r="N270">
            <v>4</v>
          </cell>
        </row>
        <row r="271">
          <cell r="B271" t="str">
            <v>nat_id_other_cen</v>
          </cell>
          <cell r="C271" t="str">
            <v>Other National Identity</v>
          </cell>
          <cell r="D271" t="str">
            <v>CENSUS</v>
          </cell>
          <cell r="E271" t="str">
            <v>Replaced</v>
          </cell>
          <cell r="F271" t="b">
            <v>0</v>
          </cell>
          <cell r="G271" t="b">
            <v>1</v>
          </cell>
          <cell r="H271" t="b">
            <v>1</v>
          </cell>
          <cell r="I271" t="b">
            <v>1</v>
          </cell>
          <cell r="J271">
            <v>1</v>
          </cell>
          <cell r="L271" t="str">
            <v>numeric</v>
          </cell>
          <cell r="M271">
            <v>1</v>
          </cell>
          <cell r="N271">
            <v>3</v>
          </cell>
        </row>
        <row r="272">
          <cell r="B272" t="str">
            <v>nat_id_scottish_cen</v>
          </cell>
          <cell r="C272" t="str">
            <v>Scottish National Identity</v>
          </cell>
          <cell r="D272" t="str">
            <v>CENSUS</v>
          </cell>
          <cell r="E272" t="str">
            <v>Replaced</v>
          </cell>
          <cell r="F272" t="b">
            <v>0</v>
          </cell>
          <cell r="G272" t="b">
            <v>1</v>
          </cell>
          <cell r="H272" t="b">
            <v>1</v>
          </cell>
          <cell r="I272" t="b">
            <v>1</v>
          </cell>
          <cell r="J272">
            <v>1</v>
          </cell>
          <cell r="L272" t="str">
            <v>numeric</v>
          </cell>
          <cell r="M272">
            <v>1</v>
          </cell>
          <cell r="N272">
            <v>4</v>
          </cell>
        </row>
        <row r="273">
          <cell r="B273" t="str">
            <v>nat_id_ulster_scots_cen</v>
          </cell>
          <cell r="C273" t="str">
            <v>Ulster-Scots National Identity</v>
          </cell>
          <cell r="D273" t="str">
            <v>CENSUS</v>
          </cell>
          <cell r="E273" t="str">
            <v>Replaced</v>
          </cell>
          <cell r="F273" t="b">
            <v>0</v>
          </cell>
          <cell r="G273" t="b">
            <v>1</v>
          </cell>
          <cell r="H273" t="b">
            <v>1</v>
          </cell>
          <cell r="I273" t="b">
            <v>1</v>
          </cell>
          <cell r="J273">
            <v>1</v>
          </cell>
          <cell r="L273" t="str">
            <v>numeric</v>
          </cell>
          <cell r="M273">
            <v>1</v>
          </cell>
          <cell r="N273">
            <v>6</v>
          </cell>
        </row>
        <row r="274">
          <cell r="B274" t="str">
            <v>nat_id_welsh_cen</v>
          </cell>
          <cell r="C274" t="str">
            <v>Welsh National Identity</v>
          </cell>
          <cell r="D274" t="str">
            <v>CENSUS</v>
          </cell>
          <cell r="E274" t="str">
            <v>Replaced</v>
          </cell>
          <cell r="F274" t="b">
            <v>0</v>
          </cell>
          <cell r="G274" t="b">
            <v>1</v>
          </cell>
          <cell r="H274" t="b">
            <v>1</v>
          </cell>
          <cell r="I274" t="b">
            <v>1</v>
          </cell>
          <cell r="J274">
            <v>1</v>
          </cell>
          <cell r="L274" t="str">
            <v>numeric</v>
          </cell>
          <cell r="M274">
            <v>1</v>
          </cell>
          <cell r="N274">
            <v>4</v>
          </cell>
        </row>
        <row r="275">
          <cell r="B275" t="str">
            <v>national_identity_all_cen</v>
          </cell>
          <cell r="C275" t="str">
            <v>National Identity</v>
          </cell>
          <cell r="D275" t="str">
            <v>CENSUS</v>
          </cell>
          <cell r="E275" t="str">
            <v>Similar</v>
          </cell>
          <cell r="F275" t="b">
            <v>0</v>
          </cell>
          <cell r="G275" t="b">
            <v>1</v>
          </cell>
          <cell r="H275" t="b">
            <v>1</v>
          </cell>
          <cell r="I275" t="b">
            <v>1</v>
          </cell>
          <cell r="J275">
            <v>1</v>
          </cell>
          <cell r="L275" t="str">
            <v>numeric</v>
          </cell>
          <cell r="M275">
            <v>1</v>
          </cell>
          <cell r="N275">
            <v>16</v>
          </cell>
        </row>
        <row r="276">
          <cell r="B276" t="str">
            <v>national_identity_row_cen</v>
          </cell>
          <cell r="C276" t="str">
            <v>National identity</v>
          </cell>
          <cell r="D276" t="str">
            <v>CENSUS</v>
          </cell>
          <cell r="E276" t="str">
            <v xml:space="preserve">New </v>
          </cell>
          <cell r="F276" t="b">
            <v>0</v>
          </cell>
          <cell r="G276" t="b">
            <v>1</v>
          </cell>
          <cell r="H276" t="b">
            <v>1</v>
          </cell>
          <cell r="I276" t="b">
            <v>1</v>
          </cell>
          <cell r="J276">
            <v>1</v>
          </cell>
          <cell r="L276" t="str">
            <v>numeric</v>
          </cell>
        </row>
        <row r="277">
          <cell r="B277" t="str">
            <v>national_identity_uk_cen</v>
          </cell>
          <cell r="C277" t="str">
            <v>National identity (UK)</v>
          </cell>
          <cell r="D277" t="str">
            <v>CENSUS</v>
          </cell>
          <cell r="E277" t="str">
            <v xml:space="preserve">New </v>
          </cell>
          <cell r="F277" t="b">
            <v>0</v>
          </cell>
          <cell r="G277" t="b">
            <v>1</v>
          </cell>
          <cell r="H277" t="b">
            <v>1</v>
          </cell>
          <cell r="I277" t="b">
            <v>1</v>
          </cell>
          <cell r="J277">
            <v>1</v>
          </cell>
          <cell r="L277" t="str">
            <v>numeric</v>
          </cell>
        </row>
        <row r="278">
          <cell r="B278" t="str">
            <v>nest_ashe</v>
          </cell>
          <cell r="D278" t="str">
            <v>ASHE</v>
          </cell>
          <cell r="E278" t="str">
            <v>Included</v>
          </cell>
          <cell r="F278" t="b">
            <v>1</v>
          </cell>
          <cell r="G278" t="b">
            <v>0</v>
          </cell>
          <cell r="H278" t="b">
            <v>0</v>
          </cell>
          <cell r="I278" t="b">
            <v>0</v>
          </cell>
        </row>
        <row r="279">
          <cell r="B279" t="str">
            <v>newstrat_ashe</v>
          </cell>
          <cell r="C279" t="str">
            <v>new strata</v>
          </cell>
          <cell r="D279" t="str">
            <v>ASHE</v>
          </cell>
          <cell r="E279" t="str">
            <v>Included</v>
          </cell>
          <cell r="F279" t="b">
            <v>1</v>
          </cell>
          <cell r="G279" t="b">
            <v>1</v>
          </cell>
          <cell r="H279" t="b">
            <v>1</v>
          </cell>
          <cell r="I279" t="b">
            <v>1</v>
          </cell>
        </row>
        <row r="280">
          <cell r="B280" t="str">
            <v>nidata_ashe</v>
          </cell>
          <cell r="C280" t="str">
            <v>northern ireland data</v>
          </cell>
          <cell r="D280" t="str">
            <v>ASHE</v>
          </cell>
          <cell r="E280" t="str">
            <v>Included</v>
          </cell>
          <cell r="F280" t="b">
            <v>1</v>
          </cell>
          <cell r="G280" t="b">
            <v>1</v>
          </cell>
          <cell r="H280" t="b">
            <v>1</v>
          </cell>
          <cell r="I280" t="b">
            <v>1</v>
          </cell>
        </row>
        <row r="281">
          <cell r="B281" t="str">
            <v>nino_contains_multiple_census_id_link</v>
          </cell>
          <cell r="D281" t="str">
            <v>link from 2021 cen link encrypt nino</v>
          </cell>
          <cell r="E281" t="str">
            <v xml:space="preserve">New </v>
          </cell>
          <cell r="F281" t="b">
            <v>0</v>
          </cell>
          <cell r="G281" t="b">
            <v>1</v>
          </cell>
          <cell r="H281" t="b">
            <v>1</v>
          </cell>
          <cell r="I281" t="b">
            <v>1</v>
          </cell>
        </row>
        <row r="282">
          <cell r="B282" t="str">
            <v>nk_ashe</v>
          </cell>
          <cell r="D282" t="str">
            <v>ASHE</v>
          </cell>
          <cell r="E282" t="str">
            <v>Included</v>
          </cell>
          <cell r="F282" t="b">
            <v>1</v>
          </cell>
          <cell r="G282" t="b">
            <v>0</v>
          </cell>
          <cell r="H282" t="b">
            <v>0</v>
          </cell>
          <cell r="I282" t="b">
            <v>0</v>
          </cell>
        </row>
        <row r="283">
          <cell r="B283" t="str">
            <v>nlpflag_ashe</v>
          </cell>
          <cell r="C283" t="str">
            <v>not low pay' flag used in the low pay calculation</v>
          </cell>
          <cell r="D283" t="str">
            <v>ASHE</v>
          </cell>
          <cell r="E283" t="str">
            <v>Included</v>
          </cell>
          <cell r="F283" t="b">
            <v>0</v>
          </cell>
          <cell r="G283" t="b">
            <v>1</v>
          </cell>
          <cell r="H283" t="b">
            <v>1</v>
          </cell>
          <cell r="I283" t="b">
            <v>1</v>
          </cell>
          <cell r="J283">
            <v>1</v>
          </cell>
          <cell r="L283" t="str">
            <v>numeric</v>
          </cell>
          <cell r="M283">
            <v>0</v>
          </cell>
          <cell r="N283">
            <v>1</v>
          </cell>
        </row>
        <row r="284">
          <cell r="B284" t="str">
            <v>non_termtime_oa_cen</v>
          </cell>
          <cell r="C284" t="str">
            <v>Output area of non term-time location</v>
          </cell>
          <cell r="D284" t="str">
            <v>CENSUS</v>
          </cell>
          <cell r="E284" t="str">
            <v xml:space="preserve">New </v>
          </cell>
          <cell r="F284" t="b">
            <v>0</v>
          </cell>
          <cell r="G284" t="b">
            <v>0</v>
          </cell>
          <cell r="H284" t="b">
            <v>0</v>
          </cell>
          <cell r="I284" t="b">
            <v>1</v>
          </cell>
        </row>
        <row r="285">
          <cell r="B285" t="str">
            <v>not_edited_ashe</v>
          </cell>
          <cell r="D285" t="str">
            <v>ASHE</v>
          </cell>
          <cell r="E285" t="str">
            <v>Included</v>
          </cell>
          <cell r="F285" t="b">
            <v>0</v>
          </cell>
          <cell r="G285" t="b">
            <v>0</v>
          </cell>
          <cell r="H285" t="b">
            <v>0</v>
          </cell>
          <cell r="I285" t="b">
            <v>0</v>
          </cell>
        </row>
        <row r="286">
          <cell r="B286" t="str">
            <v>np_ashe</v>
          </cell>
          <cell r="D286" t="str">
            <v>ASHE</v>
          </cell>
          <cell r="E286" t="str">
            <v>Included</v>
          </cell>
          <cell r="F286" t="b">
            <v>0</v>
          </cell>
          <cell r="G286" t="b">
            <v>0</v>
          </cell>
          <cell r="H286" t="b">
            <v>0</v>
          </cell>
          <cell r="I286" t="b">
            <v>0</v>
          </cell>
        </row>
        <row r="287">
          <cell r="B287" t="str">
            <v>ns_sec_cen</v>
          </cell>
          <cell r="C287" t="str">
            <v>National Statistics Socio-Economic Classification</v>
          </cell>
          <cell r="D287" t="str">
            <v>CENSUS</v>
          </cell>
          <cell r="E287" t="str">
            <v>Similar</v>
          </cell>
          <cell r="F287" t="b">
            <v>0</v>
          </cell>
          <cell r="G287" t="b">
            <v>1</v>
          </cell>
          <cell r="H287" t="b">
            <v>1</v>
          </cell>
          <cell r="I287" t="b">
            <v>1</v>
          </cell>
          <cell r="J287">
            <v>1</v>
          </cell>
          <cell r="L287" t="str">
            <v>numeric</v>
          </cell>
          <cell r="M287">
            <v>1</v>
          </cell>
          <cell r="N287">
            <v>16</v>
          </cell>
        </row>
        <row r="288">
          <cell r="B288" t="str">
            <v>nssecmn_ashe</v>
          </cell>
          <cell r="D288" t="str">
            <v>ASHE</v>
          </cell>
          <cell r="E288" t="str">
            <v>Included</v>
          </cell>
          <cell r="F288" t="b">
            <v>1</v>
          </cell>
          <cell r="G288" t="b">
            <v>0</v>
          </cell>
          <cell r="H288" t="b">
            <v>0</v>
          </cell>
          <cell r="I288" t="b">
            <v>0</v>
          </cell>
        </row>
        <row r="289">
          <cell r="B289" t="str">
            <v>oc00_ashe</v>
          </cell>
          <cell r="C289" t="str">
            <v>derived from standard occupational classification</v>
          </cell>
          <cell r="D289" t="str">
            <v>ASHE</v>
          </cell>
          <cell r="E289" t="str">
            <v>Included</v>
          </cell>
          <cell r="F289" t="b">
            <v>1</v>
          </cell>
          <cell r="G289" t="b">
            <v>1</v>
          </cell>
          <cell r="H289" t="b">
            <v>1</v>
          </cell>
          <cell r="I289" t="b">
            <v>1</v>
          </cell>
        </row>
        <row r="290">
          <cell r="B290" t="str">
            <v>oc02_ashe</v>
          </cell>
          <cell r="C290" t="str">
            <v>derived from standard occupational classification</v>
          </cell>
          <cell r="D290" t="str">
            <v>ASHE</v>
          </cell>
          <cell r="E290" t="str">
            <v>Included</v>
          </cell>
          <cell r="F290" t="b">
            <v>1</v>
          </cell>
          <cell r="G290" t="b">
            <v>1</v>
          </cell>
          <cell r="H290" t="b">
            <v>1</v>
          </cell>
          <cell r="I290" t="b">
            <v>1</v>
          </cell>
        </row>
        <row r="291">
          <cell r="B291" t="str">
            <v>oc03_ashe</v>
          </cell>
          <cell r="C291" t="str">
            <v>derived from standard occupational classification</v>
          </cell>
          <cell r="D291" t="str">
            <v>ASHE</v>
          </cell>
          <cell r="E291" t="str">
            <v>Included</v>
          </cell>
          <cell r="F291" t="b">
            <v>0</v>
          </cell>
          <cell r="G291" t="b">
            <v>1</v>
          </cell>
          <cell r="H291" t="b">
            <v>1</v>
          </cell>
          <cell r="I291" t="b">
            <v>1</v>
          </cell>
        </row>
        <row r="292">
          <cell r="B292" t="str">
            <v>oc04_ashe</v>
          </cell>
          <cell r="C292" t="str">
            <v>derived from standard occupational classification</v>
          </cell>
          <cell r="D292" t="str">
            <v>ASHE</v>
          </cell>
          <cell r="E292" t="str">
            <v>Included</v>
          </cell>
          <cell r="F292" t="b">
            <v>0</v>
          </cell>
          <cell r="G292" t="b">
            <v>1</v>
          </cell>
          <cell r="H292" t="b">
            <v>1</v>
          </cell>
          <cell r="I292" t="b">
            <v>1</v>
          </cell>
        </row>
        <row r="293">
          <cell r="B293" t="str">
            <v>oc05_ashe</v>
          </cell>
          <cell r="C293" t="str">
            <v>derived from standard occupational classification</v>
          </cell>
          <cell r="D293" t="str">
            <v>ASHE</v>
          </cell>
          <cell r="E293" t="str">
            <v>Included</v>
          </cell>
          <cell r="F293" t="b">
            <v>1</v>
          </cell>
          <cell r="G293" t="b">
            <v>1</v>
          </cell>
          <cell r="H293" t="b">
            <v>1</v>
          </cell>
          <cell r="I293" t="b">
            <v>1</v>
          </cell>
        </row>
        <row r="294">
          <cell r="B294" t="str">
            <v>oc06_ashe</v>
          </cell>
          <cell r="C294" t="str">
            <v>derived from standard occupational classification</v>
          </cell>
          <cell r="D294" t="str">
            <v>ASHE</v>
          </cell>
          <cell r="E294" t="str">
            <v>Included</v>
          </cell>
          <cell r="F294" t="b">
            <v>1</v>
          </cell>
          <cell r="G294" t="b">
            <v>1</v>
          </cell>
          <cell r="H294" t="b">
            <v>1</v>
          </cell>
          <cell r="I294" t="b">
            <v>1</v>
          </cell>
        </row>
        <row r="295">
          <cell r="B295" t="str">
            <v>oc07_ashe</v>
          </cell>
          <cell r="C295" t="str">
            <v>derived from standard occupational classification</v>
          </cell>
          <cell r="D295" t="str">
            <v>ASHE</v>
          </cell>
          <cell r="E295" t="str">
            <v>Included</v>
          </cell>
          <cell r="F295" t="b">
            <v>1</v>
          </cell>
          <cell r="G295" t="b">
            <v>1</v>
          </cell>
          <cell r="H295" t="b">
            <v>1</v>
          </cell>
          <cell r="I295" t="b">
            <v>1</v>
          </cell>
        </row>
        <row r="296">
          <cell r="B296" t="str">
            <v>occ00_ashe</v>
          </cell>
          <cell r="C296" t="str">
            <v>occupation soc 2000</v>
          </cell>
          <cell r="D296" t="str">
            <v>ASHE</v>
          </cell>
          <cell r="E296" t="str">
            <v>Included</v>
          </cell>
          <cell r="F296" t="b">
            <v>1</v>
          </cell>
          <cell r="G296" t="b">
            <v>1</v>
          </cell>
          <cell r="H296" t="b">
            <v>1</v>
          </cell>
          <cell r="I296" t="b">
            <v>1</v>
          </cell>
          <cell r="J296">
            <v>1</v>
          </cell>
          <cell r="L296" t="str">
            <v>numeric</v>
          </cell>
          <cell r="M296">
            <v>1000</v>
          </cell>
          <cell r="N296">
            <v>9999</v>
          </cell>
          <cell r="O296" t="str">
            <v>if inrange(year,1999,2011)</v>
          </cell>
        </row>
        <row r="297">
          <cell r="B297" t="str">
            <v>occ10_ashe</v>
          </cell>
          <cell r="C297" t="str">
            <v>occupation soc 2010</v>
          </cell>
          <cell r="D297" t="str">
            <v>ASHE</v>
          </cell>
          <cell r="E297" t="str">
            <v>Included</v>
          </cell>
          <cell r="F297" t="b">
            <v>1</v>
          </cell>
          <cell r="G297" t="b">
            <v>1</v>
          </cell>
          <cell r="H297" t="b">
            <v>1</v>
          </cell>
          <cell r="I297" t="b">
            <v>1</v>
          </cell>
          <cell r="J297">
            <v>1</v>
          </cell>
          <cell r="L297" t="str">
            <v>numeric</v>
          </cell>
          <cell r="M297">
            <v>1000</v>
          </cell>
          <cell r="N297">
            <v>9999</v>
          </cell>
          <cell r="O297" t="str">
            <v>if inrange(year,2011,2021)</v>
          </cell>
        </row>
        <row r="298">
          <cell r="B298" t="str">
            <v>occ20_ashe</v>
          </cell>
          <cell r="C298" t="str">
            <v>Occupation - 2021 onwards</v>
          </cell>
          <cell r="D298" t="str">
            <v>ASHE</v>
          </cell>
          <cell r="E298" t="str">
            <v xml:space="preserve">New </v>
          </cell>
          <cell r="F298" t="b">
            <v>0</v>
          </cell>
          <cell r="G298" t="b">
            <v>1</v>
          </cell>
          <cell r="H298" t="b">
            <v>1</v>
          </cell>
          <cell r="I298" t="b">
            <v>1</v>
          </cell>
          <cell r="J298">
            <v>1</v>
          </cell>
          <cell r="L298" t="str">
            <v>numeric</v>
          </cell>
          <cell r="M298">
            <v>1000</v>
          </cell>
          <cell r="N298">
            <v>9999</v>
          </cell>
          <cell r="O298" t="str">
            <v>year&gt;=2021</v>
          </cell>
        </row>
        <row r="299">
          <cell r="B299" t="str">
            <v>occ90_ashe</v>
          </cell>
          <cell r="C299" t="str">
            <v>occupation soc 1990</v>
          </cell>
          <cell r="D299" t="str">
            <v>ASHE</v>
          </cell>
          <cell r="E299" t="str">
            <v>Included</v>
          </cell>
          <cell r="F299" t="b">
            <v>1</v>
          </cell>
          <cell r="G299" t="b">
            <v>1</v>
          </cell>
          <cell r="H299" t="b">
            <v>1</v>
          </cell>
          <cell r="I299" t="b">
            <v>1</v>
          </cell>
        </row>
        <row r="300">
          <cell r="B300" t="str">
            <v>occupation_flat_cen</v>
          </cell>
          <cell r="C300" t="str">
            <v>Occupation (Flat)</v>
          </cell>
          <cell r="D300" t="str">
            <v>CENSUS</v>
          </cell>
          <cell r="E300" t="str">
            <v xml:space="preserve">New </v>
          </cell>
          <cell r="F300" t="b">
            <v>0</v>
          </cell>
          <cell r="G300" t="b">
            <v>1</v>
          </cell>
          <cell r="H300" t="b">
            <v>1</v>
          </cell>
          <cell r="I300" t="b">
            <v>1</v>
          </cell>
          <cell r="J300">
            <v>1</v>
          </cell>
          <cell r="L300" t="str">
            <v>numeric</v>
          </cell>
          <cell r="M300">
            <v>1111</v>
          </cell>
          <cell r="N300">
            <v>9269</v>
          </cell>
        </row>
        <row r="301">
          <cell r="B301" t="str">
            <v>ocup_ashe</v>
          </cell>
          <cell r="D301" t="str">
            <v>ASHE</v>
          </cell>
          <cell r="E301" t="str">
            <v>Included</v>
          </cell>
          <cell r="F301" t="b">
            <v>1</v>
          </cell>
          <cell r="G301" t="b">
            <v>0</v>
          </cell>
          <cell r="H301" t="b">
            <v>0</v>
          </cell>
          <cell r="I301" t="b">
            <v>0</v>
          </cell>
        </row>
        <row r="302">
          <cell r="B302" t="str">
            <v>oldcalwght_ashe</v>
          </cell>
          <cell r="C302" t="str">
            <v>previous calwght</v>
          </cell>
          <cell r="D302" t="str">
            <v>ASHE</v>
          </cell>
          <cell r="E302" t="str">
            <v>Included</v>
          </cell>
          <cell r="F302" t="b">
            <v>1</v>
          </cell>
          <cell r="G302" t="b">
            <v>1</v>
          </cell>
          <cell r="H302" t="b">
            <v>1</v>
          </cell>
          <cell r="I302" t="b">
            <v>1</v>
          </cell>
        </row>
        <row r="303">
          <cell r="B303" t="str">
            <v>oldcompay_ashe</v>
          </cell>
          <cell r="C303" t="str">
            <v>previous compay</v>
          </cell>
          <cell r="D303" t="str">
            <v>ASHE</v>
          </cell>
          <cell r="E303" t="str">
            <v>Included</v>
          </cell>
          <cell r="F303" t="b">
            <v>1</v>
          </cell>
          <cell r="G303" t="b">
            <v>1</v>
          </cell>
          <cell r="H303" t="b">
            <v>1</v>
          </cell>
          <cell r="I303" t="b">
            <v>1</v>
          </cell>
        </row>
        <row r="304">
          <cell r="B304" t="str">
            <v>oldcomperc_ashe</v>
          </cell>
          <cell r="C304" t="str">
            <v>previous comperc</v>
          </cell>
          <cell r="D304" t="str">
            <v>ASHE</v>
          </cell>
          <cell r="E304" t="str">
            <v>Included</v>
          </cell>
          <cell r="F304" t="b">
            <v>1</v>
          </cell>
          <cell r="G304" t="b">
            <v>1</v>
          </cell>
          <cell r="H304" t="b">
            <v>1</v>
          </cell>
          <cell r="I304" t="b">
            <v>1</v>
          </cell>
        </row>
        <row r="305">
          <cell r="B305" t="str">
            <v>oldcosp_ashe</v>
          </cell>
          <cell r="C305" t="str">
            <v>previous cosp</v>
          </cell>
          <cell r="D305" t="str">
            <v>ASHE</v>
          </cell>
          <cell r="E305" t="str">
            <v>Similar</v>
          </cell>
          <cell r="F305" t="b">
            <v>0</v>
          </cell>
          <cell r="G305" t="b">
            <v>1</v>
          </cell>
          <cell r="H305" t="b">
            <v>1</v>
          </cell>
          <cell r="I305" t="b">
            <v>1</v>
          </cell>
        </row>
        <row r="306">
          <cell r="B306" t="str">
            <v>olddweight_ashe</v>
          </cell>
          <cell r="C306" t="str">
            <v>previous dweight</v>
          </cell>
          <cell r="D306" t="str">
            <v>ASHE</v>
          </cell>
          <cell r="E306" t="str">
            <v>Included</v>
          </cell>
          <cell r="F306" t="b">
            <v>1</v>
          </cell>
          <cell r="G306" t="b">
            <v>1</v>
          </cell>
          <cell r="H306" t="b">
            <v>1</v>
          </cell>
          <cell r="I306" t="b">
            <v>1</v>
          </cell>
        </row>
        <row r="307">
          <cell r="B307" t="str">
            <v>oldgweight_ashe</v>
          </cell>
          <cell r="C307" t="str">
            <v>previous gweight</v>
          </cell>
          <cell r="D307" t="str">
            <v>ASHE</v>
          </cell>
          <cell r="E307" t="str">
            <v>Included</v>
          </cell>
          <cell r="F307" t="b">
            <v>1</v>
          </cell>
          <cell r="G307" t="b">
            <v>1</v>
          </cell>
          <cell r="H307" t="b">
            <v>1</v>
          </cell>
          <cell r="I307" t="b">
            <v>1</v>
          </cell>
        </row>
        <row r="308">
          <cell r="B308" t="str">
            <v>oldlpcalwght_ashe</v>
          </cell>
          <cell r="C308" t="str">
            <v>previous lpcalwght</v>
          </cell>
          <cell r="D308" t="str">
            <v>ASHE</v>
          </cell>
          <cell r="E308" t="str">
            <v>Included</v>
          </cell>
          <cell r="F308" t="b">
            <v>1</v>
          </cell>
          <cell r="G308" t="b">
            <v>1</v>
          </cell>
          <cell r="H308" t="b">
            <v>1</v>
          </cell>
          <cell r="I308" t="b">
            <v>1</v>
          </cell>
        </row>
        <row r="309">
          <cell r="B309" t="str">
            <v>oldlpdweight_ashe</v>
          </cell>
          <cell r="C309" t="str">
            <v>previous lpdweight</v>
          </cell>
          <cell r="D309" t="str">
            <v>ASHE</v>
          </cell>
          <cell r="E309" t="str">
            <v>Included</v>
          </cell>
          <cell r="F309" t="b">
            <v>1</v>
          </cell>
          <cell r="G309" t="b">
            <v>1</v>
          </cell>
          <cell r="H309" t="b">
            <v>1</v>
          </cell>
          <cell r="I309" t="b">
            <v>1</v>
          </cell>
        </row>
        <row r="310">
          <cell r="B310" t="str">
            <v>oldlpgweight_ashe</v>
          </cell>
          <cell r="C310" t="str">
            <v>previous lpgweight</v>
          </cell>
          <cell r="D310" t="str">
            <v>ASHE</v>
          </cell>
          <cell r="E310" t="str">
            <v>Included</v>
          </cell>
          <cell r="F310" t="b">
            <v>1</v>
          </cell>
          <cell r="G310" t="b">
            <v>1</v>
          </cell>
          <cell r="H310" t="b">
            <v>1</v>
          </cell>
          <cell r="I310" t="b">
            <v>1</v>
          </cell>
        </row>
        <row r="311">
          <cell r="B311" t="str">
            <v>oldownpay_ashe</v>
          </cell>
          <cell r="C311" t="str">
            <v>previous ownpay</v>
          </cell>
          <cell r="D311" t="str">
            <v>ASHE</v>
          </cell>
          <cell r="E311" t="str">
            <v>Included</v>
          </cell>
          <cell r="F311" t="b">
            <v>1</v>
          </cell>
          <cell r="G311" t="b">
            <v>1</v>
          </cell>
          <cell r="H311" t="b">
            <v>1</v>
          </cell>
          <cell r="I311" t="b">
            <v>1</v>
          </cell>
        </row>
        <row r="312">
          <cell r="B312" t="str">
            <v>oldownperc_ashe</v>
          </cell>
          <cell r="C312" t="str">
            <v>previous ownperc</v>
          </cell>
          <cell r="D312" t="str">
            <v>ASHE</v>
          </cell>
          <cell r="E312" t="str">
            <v>Included</v>
          </cell>
          <cell r="F312" t="b">
            <v>1</v>
          </cell>
          <cell r="G312" t="b">
            <v>1</v>
          </cell>
          <cell r="H312" t="b">
            <v>1</v>
          </cell>
          <cell r="I312" t="b">
            <v>1</v>
          </cell>
        </row>
        <row r="313">
          <cell r="B313" t="str">
            <v>oldpenpay_ashe</v>
          </cell>
          <cell r="C313" t="str">
            <v>previous penpay</v>
          </cell>
          <cell r="D313" t="str">
            <v>ASHE</v>
          </cell>
          <cell r="E313" t="str">
            <v>Included</v>
          </cell>
          <cell r="F313" t="b">
            <v>1</v>
          </cell>
          <cell r="G313" t="b">
            <v>1</v>
          </cell>
          <cell r="H313" t="b">
            <v>1</v>
          </cell>
          <cell r="I313" t="b">
            <v>1</v>
          </cell>
        </row>
        <row r="314">
          <cell r="B314" t="str">
            <v>oldppfilter_ashe</v>
          </cell>
          <cell r="C314" t="str">
            <v>previous ppfilter</v>
          </cell>
          <cell r="D314" t="str">
            <v>ASHE</v>
          </cell>
          <cell r="E314" t="str">
            <v>Included</v>
          </cell>
          <cell r="F314" t="b">
            <v>1</v>
          </cell>
          <cell r="G314" t="b">
            <v>1</v>
          </cell>
          <cell r="H314" t="b">
            <v>1</v>
          </cell>
          <cell r="I314" t="b">
            <v>1</v>
          </cell>
        </row>
        <row r="315">
          <cell r="B315" t="str">
            <v>oldtpen_ashe</v>
          </cell>
          <cell r="C315" t="str">
            <v>previous tpen</v>
          </cell>
          <cell r="D315" t="str">
            <v>ASHE</v>
          </cell>
          <cell r="E315" t="str">
            <v>Included</v>
          </cell>
          <cell r="F315" t="b">
            <v>1</v>
          </cell>
          <cell r="G315" t="b">
            <v>1</v>
          </cell>
          <cell r="H315" t="b">
            <v>1</v>
          </cell>
          <cell r="I315" t="b">
            <v>1</v>
          </cell>
        </row>
        <row r="316">
          <cell r="B316" t="str">
            <v>other_ashe</v>
          </cell>
          <cell r="C316" t="str">
            <v>indicates whether a pupil is taking the international baccalaureate, another course (all categories not counted elsewhere, including general studies) or not taking any other post year 12 courses</v>
          </cell>
          <cell r="D316" t="str">
            <v>ASHE</v>
          </cell>
          <cell r="E316" t="str">
            <v>Included</v>
          </cell>
          <cell r="F316" t="b">
            <v>1</v>
          </cell>
          <cell r="G316" t="b">
            <v>1</v>
          </cell>
          <cell r="H316" t="b">
            <v>1</v>
          </cell>
          <cell r="I316" t="b">
            <v>1</v>
          </cell>
        </row>
        <row r="317">
          <cell r="B317" t="str">
            <v>other_passport_held_cen</v>
          </cell>
          <cell r="C317" t="str">
            <v>Passports held (Text response)</v>
          </cell>
          <cell r="D317" t="str">
            <v>CENSUS</v>
          </cell>
          <cell r="E317" t="str">
            <v xml:space="preserve">New </v>
          </cell>
          <cell r="F317" t="b">
            <v>0</v>
          </cell>
          <cell r="G317" t="b">
            <v>1</v>
          </cell>
          <cell r="H317" t="b">
            <v>1</v>
          </cell>
          <cell r="I317" t="b">
            <v>1</v>
          </cell>
          <cell r="J317">
            <v>1</v>
          </cell>
          <cell r="L317" t="str">
            <v>numeric</v>
          </cell>
          <cell r="M317">
            <v>0</v>
          </cell>
          <cell r="N317">
            <v>999</v>
          </cell>
        </row>
        <row r="318">
          <cell r="B318" t="str">
            <v>othpay_ashe</v>
          </cell>
          <cell r="C318" t="str">
            <v>pay received in the pay period for other reasons</v>
          </cell>
          <cell r="D318" t="str">
            <v>ASHE</v>
          </cell>
          <cell r="E318" t="str">
            <v>Included</v>
          </cell>
          <cell r="F318" t="b">
            <v>1</v>
          </cell>
          <cell r="G318" t="b">
            <v>1</v>
          </cell>
          <cell r="H318" t="b">
            <v>1</v>
          </cell>
          <cell r="I318" t="b">
            <v>1</v>
          </cell>
          <cell r="J318">
            <v>1</v>
          </cell>
          <cell r="L318" t="str">
            <v>numeric</v>
          </cell>
          <cell r="M318">
            <v>0</v>
          </cell>
          <cell r="N318">
            <v>1000</v>
          </cell>
        </row>
        <row r="319">
          <cell r="B319" t="str">
            <v>ovhours_ashe</v>
          </cell>
          <cell r="C319" t="str">
            <v>overtime hours</v>
          </cell>
          <cell r="D319" t="str">
            <v>ASHE</v>
          </cell>
          <cell r="E319" t="str">
            <v>Included</v>
          </cell>
          <cell r="F319" t="b">
            <v>1</v>
          </cell>
          <cell r="G319" t="b">
            <v>1</v>
          </cell>
          <cell r="H319" t="b">
            <v>1</v>
          </cell>
          <cell r="I319" t="b">
            <v>1</v>
          </cell>
        </row>
        <row r="320">
          <cell r="B320" t="str">
            <v>ovhrs_ashe</v>
          </cell>
          <cell r="C320" t="str">
            <v>average weekly paid overtime hours worked during the reference period</v>
          </cell>
          <cell r="D320" t="str">
            <v>ASHE</v>
          </cell>
          <cell r="E320" t="str">
            <v>Included</v>
          </cell>
          <cell r="F320" t="b">
            <v>1</v>
          </cell>
          <cell r="G320" t="b">
            <v>1</v>
          </cell>
          <cell r="H320" t="b">
            <v>1</v>
          </cell>
          <cell r="I320" t="b">
            <v>1</v>
          </cell>
          <cell r="J320">
            <v>1</v>
          </cell>
          <cell r="L320" t="str">
            <v>numeric</v>
          </cell>
          <cell r="M320">
            <v>0</v>
          </cell>
          <cell r="N320">
            <v>20</v>
          </cell>
        </row>
        <row r="321">
          <cell r="B321" t="str">
            <v>ovhrs_x_ashe</v>
          </cell>
          <cell r="C321" t="str">
            <v>paid overtime hours</v>
          </cell>
          <cell r="D321" t="str">
            <v>ASHE</v>
          </cell>
          <cell r="E321" t="str">
            <v>Included</v>
          </cell>
          <cell r="F321" t="b">
            <v>1</v>
          </cell>
          <cell r="G321" t="b">
            <v>1</v>
          </cell>
          <cell r="H321" t="b">
            <v>1</v>
          </cell>
          <cell r="I321" t="b">
            <v>1</v>
          </cell>
        </row>
        <row r="322">
          <cell r="B322" t="str">
            <v>ovmins_ashe</v>
          </cell>
          <cell r="C322" t="str">
            <v>overtime minutes, derived variable</v>
          </cell>
          <cell r="D322" t="str">
            <v>ASHE</v>
          </cell>
          <cell r="E322" t="str">
            <v>Included</v>
          </cell>
          <cell r="F322" t="b">
            <v>1</v>
          </cell>
          <cell r="G322" t="b">
            <v>1</v>
          </cell>
          <cell r="H322" t="b">
            <v>1</v>
          </cell>
          <cell r="I322" t="b">
            <v>1</v>
          </cell>
        </row>
        <row r="323">
          <cell r="B323" t="str">
            <v>ovpay_ashe</v>
          </cell>
          <cell r="C323" t="str">
            <v>average weekly overtime pay for the pay period</v>
          </cell>
          <cell r="D323" t="str">
            <v>ASHE</v>
          </cell>
          <cell r="E323" t="str">
            <v>Included</v>
          </cell>
          <cell r="F323" t="b">
            <v>1</v>
          </cell>
          <cell r="G323" t="b">
            <v>1</v>
          </cell>
          <cell r="H323" t="b">
            <v>1</v>
          </cell>
          <cell r="I323" t="b">
            <v>1</v>
          </cell>
          <cell r="J323">
            <v>1</v>
          </cell>
          <cell r="L323" t="str">
            <v>numeric</v>
          </cell>
          <cell r="M323">
            <v>10</v>
          </cell>
          <cell r="N323">
            <v>1000</v>
          </cell>
          <cell r="O323" t="str">
            <v>if ovhrs_ashe&gt;0</v>
          </cell>
        </row>
        <row r="324">
          <cell r="B324" t="str">
            <v>ownpay_ashe</v>
          </cell>
          <cell r="C324" t="str">
            <v>weekly employee's pension contributions</v>
          </cell>
          <cell r="D324" t="str">
            <v>ASHE</v>
          </cell>
          <cell r="E324" t="str">
            <v>Included</v>
          </cell>
          <cell r="F324" t="b">
            <v>1</v>
          </cell>
          <cell r="G324" t="b">
            <v>1</v>
          </cell>
          <cell r="H324" t="b">
            <v>1</v>
          </cell>
          <cell r="I324" t="b">
            <v>1</v>
          </cell>
          <cell r="J324">
            <v>1</v>
          </cell>
          <cell r="L324" t="str">
            <v>numeric</v>
          </cell>
          <cell r="M324">
            <v>0</v>
          </cell>
          <cell r="N324">
            <v>50000</v>
          </cell>
          <cell r="O324" t="str">
            <v>year&gt;=2005</v>
          </cell>
        </row>
        <row r="325">
          <cell r="B325" t="str">
            <v>ownpay_old_ashe</v>
          </cell>
          <cell r="C325" t="str">
            <v>previous ownpay</v>
          </cell>
          <cell r="D325" t="str">
            <v>ASHE</v>
          </cell>
          <cell r="E325" t="str">
            <v>Included</v>
          </cell>
          <cell r="F325" t="b">
            <v>1</v>
          </cell>
          <cell r="G325" t="b">
            <v>1</v>
          </cell>
          <cell r="H325" t="b">
            <v>1</v>
          </cell>
          <cell r="I325" t="b">
            <v>1</v>
          </cell>
        </row>
        <row r="326">
          <cell r="B326" t="str">
            <v>ownperc_ashe</v>
          </cell>
          <cell r="C326" t="str">
            <v>the percentage of employee's contributions made in the pay period</v>
          </cell>
          <cell r="D326" t="str">
            <v>ASHE</v>
          </cell>
          <cell r="E326" t="str">
            <v>Included</v>
          </cell>
          <cell r="F326" t="b">
            <v>1</v>
          </cell>
          <cell r="G326" t="b">
            <v>1</v>
          </cell>
          <cell r="H326" t="b">
            <v>1</v>
          </cell>
          <cell r="I326" t="b">
            <v>1</v>
          </cell>
          <cell r="J326">
            <v>1</v>
          </cell>
          <cell r="L326" t="str">
            <v>numeric</v>
          </cell>
          <cell r="M326">
            <v>0</v>
          </cell>
          <cell r="N326">
            <v>50</v>
          </cell>
          <cell r="O326" t="str">
            <v>year&gt;=2005</v>
          </cell>
        </row>
        <row r="327">
          <cell r="B327" t="str">
            <v>passport_cen</v>
          </cell>
          <cell r="C327" t="str">
            <v>Passports held (Tickbox response)</v>
          </cell>
          <cell r="D327" t="str">
            <v>CENSUS</v>
          </cell>
          <cell r="E327" t="str">
            <v xml:space="preserve">New </v>
          </cell>
          <cell r="F327" t="b">
            <v>0</v>
          </cell>
          <cell r="G327" t="b">
            <v>1</v>
          </cell>
          <cell r="H327" t="b">
            <v>1</v>
          </cell>
          <cell r="I327" t="b">
            <v>1</v>
          </cell>
          <cell r="J327">
            <v>1</v>
          </cell>
          <cell r="L327" t="str">
            <v>numerc</v>
          </cell>
        </row>
        <row r="328">
          <cell r="B328" t="str">
            <v>passports_all_cen</v>
          </cell>
          <cell r="C328" t="str">
            <v>All passports held (detailed)</v>
          </cell>
          <cell r="D328" t="str">
            <v>CENSUS</v>
          </cell>
          <cell r="E328" t="str">
            <v>Replaced</v>
          </cell>
          <cell r="F328" t="b">
            <v>0</v>
          </cell>
          <cell r="G328" t="b">
            <v>1</v>
          </cell>
          <cell r="H328" t="b">
            <v>1</v>
          </cell>
          <cell r="I328" t="b">
            <v>1</v>
          </cell>
          <cell r="J328">
            <v>1</v>
          </cell>
          <cell r="L328" t="str">
            <v>numeric</v>
          </cell>
          <cell r="M328">
            <v>1</v>
          </cell>
          <cell r="N328">
            <v>52</v>
          </cell>
        </row>
        <row r="329">
          <cell r="B329" t="str">
            <v>passports_held_irish_cen</v>
          </cell>
          <cell r="C329" t="str">
            <v>Passports held</v>
          </cell>
          <cell r="D329" t="str">
            <v>CENSUS</v>
          </cell>
          <cell r="E329" t="str">
            <v>Replaced</v>
          </cell>
          <cell r="F329" t="b">
            <v>0</v>
          </cell>
          <cell r="G329" t="b">
            <v>1</v>
          </cell>
          <cell r="H329" t="b">
            <v>1</v>
          </cell>
          <cell r="I329" t="b">
            <v>1</v>
          </cell>
          <cell r="J329">
            <v>1</v>
          </cell>
          <cell r="L329" t="str">
            <v>numeric</v>
          </cell>
          <cell r="M329">
            <v>0</v>
          </cell>
          <cell r="N329">
            <v>1</v>
          </cell>
          <cell r="O329" t="str">
            <v>1 if passports_all==2</v>
          </cell>
        </row>
        <row r="330">
          <cell r="B330" t="str">
            <v>passports_held_none_cen</v>
          </cell>
          <cell r="C330" t="str">
            <v>Passports held</v>
          </cell>
          <cell r="D330" t="str">
            <v>CENSUS</v>
          </cell>
          <cell r="E330" t="str">
            <v>Replaced</v>
          </cell>
          <cell r="F330" t="b">
            <v>0</v>
          </cell>
          <cell r="G330" t="b">
            <v>1</v>
          </cell>
          <cell r="H330" t="b">
            <v>1</v>
          </cell>
          <cell r="I330" t="b">
            <v>1</v>
          </cell>
          <cell r="J330">
            <v>1</v>
          </cell>
          <cell r="L330" t="str">
            <v>numeric</v>
          </cell>
          <cell r="M330">
            <v>0</v>
          </cell>
          <cell r="N330">
            <v>1</v>
          </cell>
          <cell r="O330" t="str">
            <v>1 if passports_all==52</v>
          </cell>
        </row>
        <row r="331">
          <cell r="B331" t="str">
            <v>passports_held_other_cen</v>
          </cell>
          <cell r="C331" t="str">
            <v>Passports held</v>
          </cell>
          <cell r="D331" t="str">
            <v>CENSUS</v>
          </cell>
          <cell r="E331" t="str">
            <v>Replaced</v>
          </cell>
          <cell r="F331" t="b">
            <v>0</v>
          </cell>
          <cell r="G331" t="b">
            <v>1</v>
          </cell>
          <cell r="H331" t="b">
            <v>1</v>
          </cell>
          <cell r="I331" t="b">
            <v>1</v>
          </cell>
          <cell r="J331">
            <v>1</v>
          </cell>
          <cell r="L331" t="str">
            <v>numeric</v>
          </cell>
          <cell r="M331">
            <v>0</v>
          </cell>
          <cell r="N331">
            <v>1</v>
          </cell>
          <cell r="O331" t="str">
            <v>1 if passports_all!=52|passports_all!=2 | passports_all!=1</v>
          </cell>
        </row>
        <row r="332">
          <cell r="B332" t="str">
            <v>passports_held_uk_cen</v>
          </cell>
          <cell r="C332" t="str">
            <v>Passports held</v>
          </cell>
          <cell r="D332" t="str">
            <v>CENSUS</v>
          </cell>
          <cell r="E332" t="str">
            <v>Replaced</v>
          </cell>
          <cell r="F332" t="b">
            <v>0</v>
          </cell>
          <cell r="G332" t="b">
            <v>1</v>
          </cell>
          <cell r="H332" t="b">
            <v>1</v>
          </cell>
          <cell r="I332" t="b">
            <v>1</v>
          </cell>
          <cell r="J332">
            <v>1</v>
          </cell>
          <cell r="L332" t="str">
            <v>numeric</v>
          </cell>
          <cell r="M332">
            <v>0</v>
          </cell>
          <cell r="N332">
            <v>1</v>
          </cell>
          <cell r="O332" t="str">
            <v>1 if passports_all==1</v>
          </cell>
        </row>
        <row r="333">
          <cell r="B333" t="str">
            <v>payp_ashe</v>
          </cell>
          <cell r="C333" t="str">
            <v>type of pay period that original returned data was based on</v>
          </cell>
          <cell r="D333" t="str">
            <v>ASHE</v>
          </cell>
          <cell r="E333" t="str">
            <v>Included</v>
          </cell>
          <cell r="F333" t="b">
            <v>1</v>
          </cell>
          <cell r="G333" t="b">
            <v>1</v>
          </cell>
          <cell r="H333" t="b">
            <v>1</v>
          </cell>
          <cell r="I333" t="b">
            <v>1</v>
          </cell>
          <cell r="J333">
            <v>1</v>
          </cell>
          <cell r="L333" t="str">
            <v>numeric</v>
          </cell>
          <cell r="M333">
            <v>1</v>
          </cell>
          <cell r="N333">
            <v>4</v>
          </cell>
        </row>
        <row r="334">
          <cell r="B334" t="str">
            <v>payperc_ashe</v>
          </cell>
          <cell r="C334" t="str">
            <v>percentage of pay the employee received from the employer if they were furloughed</v>
          </cell>
          <cell r="D334" t="str">
            <v>ASHE</v>
          </cell>
          <cell r="E334" t="str">
            <v>Similar</v>
          </cell>
          <cell r="F334" t="b">
            <v>0</v>
          </cell>
          <cell r="G334" t="b">
            <v>1</v>
          </cell>
          <cell r="H334" t="b">
            <v>1</v>
          </cell>
          <cell r="I334" t="b">
            <v>1</v>
          </cell>
          <cell r="J334">
            <v>1</v>
          </cell>
          <cell r="L334" t="str">
            <v>numeric</v>
          </cell>
          <cell r="M334">
            <v>0</v>
          </cell>
          <cell r="N334">
            <v>100</v>
          </cell>
          <cell r="O334" t="str">
            <v>year==2021</v>
          </cell>
        </row>
        <row r="335">
          <cell r="B335" t="str">
            <v>pc00_ashe</v>
          </cell>
          <cell r="C335" t="str">
            <v>derived variable unique to 2013</v>
          </cell>
          <cell r="D335" t="str">
            <v>ASHE</v>
          </cell>
          <cell r="E335" t="str">
            <v>Included</v>
          </cell>
          <cell r="F335" t="b">
            <v>0</v>
          </cell>
          <cell r="G335" t="b">
            <v>1</v>
          </cell>
          <cell r="H335" t="b">
            <v>1</v>
          </cell>
          <cell r="I335" t="b">
            <v>1</v>
          </cell>
        </row>
        <row r="336">
          <cell r="B336" t="str">
            <v>pc03_ashe</v>
          </cell>
          <cell r="C336" t="str">
            <v>derived variable unique to 2013</v>
          </cell>
          <cell r="D336" t="str">
            <v>ASHE</v>
          </cell>
          <cell r="E336" t="str">
            <v>Included</v>
          </cell>
          <cell r="F336" t="b">
            <v>1</v>
          </cell>
          <cell r="G336" t="b">
            <v>1</v>
          </cell>
          <cell r="H336" t="b">
            <v>1</v>
          </cell>
          <cell r="I336" t="b">
            <v>1</v>
          </cell>
        </row>
        <row r="337">
          <cell r="B337" t="str">
            <v>pc06_ashe</v>
          </cell>
          <cell r="C337" t="str">
            <v>derived variable unique to 2013</v>
          </cell>
          <cell r="D337" t="str">
            <v>ASHE</v>
          </cell>
          <cell r="E337" t="str">
            <v>Included</v>
          </cell>
          <cell r="F337" t="b">
            <v>1</v>
          </cell>
          <cell r="G337" t="b">
            <v>1</v>
          </cell>
          <cell r="H337" t="b">
            <v>1</v>
          </cell>
          <cell r="I337" t="b">
            <v>1</v>
          </cell>
        </row>
        <row r="338">
          <cell r="B338" t="str">
            <v>pc09_ashe</v>
          </cell>
          <cell r="C338" t="str">
            <v>derived variable unique to 2013</v>
          </cell>
          <cell r="D338" t="str">
            <v>ASHE</v>
          </cell>
          <cell r="E338" t="str">
            <v>Included</v>
          </cell>
          <cell r="F338" t="b">
            <v>1</v>
          </cell>
          <cell r="G338" t="b">
            <v>1</v>
          </cell>
          <cell r="H338" t="b">
            <v>1</v>
          </cell>
          <cell r="I338" t="b">
            <v>1</v>
          </cell>
        </row>
        <row r="339">
          <cell r="B339" t="str">
            <v>pc12_ashe</v>
          </cell>
          <cell r="C339" t="str">
            <v>derived variable unique to 2013</v>
          </cell>
          <cell r="D339" t="str">
            <v>ASHE</v>
          </cell>
          <cell r="E339" t="str">
            <v>Included</v>
          </cell>
          <cell r="F339" t="b">
            <v>1</v>
          </cell>
          <cell r="G339" t="b">
            <v>1</v>
          </cell>
          <cell r="H339" t="b">
            <v>1</v>
          </cell>
          <cell r="I339" t="b">
            <v>1</v>
          </cell>
        </row>
        <row r="340">
          <cell r="B340" t="str">
            <v>pc15_ashe</v>
          </cell>
          <cell r="C340" t="str">
            <v>derived variable unique to 2013</v>
          </cell>
          <cell r="D340" t="str">
            <v>ASHE</v>
          </cell>
          <cell r="E340" t="str">
            <v>Included</v>
          </cell>
          <cell r="F340" t="b">
            <v>1</v>
          </cell>
          <cell r="G340" t="b">
            <v>1</v>
          </cell>
          <cell r="H340" t="b">
            <v>1</v>
          </cell>
          <cell r="I340" t="b">
            <v>1</v>
          </cell>
        </row>
        <row r="341">
          <cell r="B341" t="str">
            <v>pcflag_ashe</v>
          </cell>
          <cell r="C341" t="str">
            <v>payroll calculator flag</v>
          </cell>
          <cell r="D341" t="str">
            <v>ASHE</v>
          </cell>
          <cell r="E341" t="str">
            <v>Included</v>
          </cell>
          <cell r="F341" t="b">
            <v>1</v>
          </cell>
          <cell r="G341" t="b">
            <v>1</v>
          </cell>
          <cell r="H341" t="b">
            <v>1</v>
          </cell>
          <cell r="I341" t="b">
            <v>1</v>
          </cell>
          <cell r="J341">
            <v>1</v>
          </cell>
          <cell r="L341" t="str">
            <v>numeric</v>
          </cell>
          <cell r="M341">
            <v>0</v>
          </cell>
          <cell r="N341">
            <v>1</v>
          </cell>
        </row>
        <row r="342">
          <cell r="B342" t="str">
            <v>pcup_ashe</v>
          </cell>
          <cell r="D342" t="str">
            <v>ASHE</v>
          </cell>
          <cell r="E342" t="str">
            <v>Included</v>
          </cell>
          <cell r="F342" t="b">
            <v>1</v>
          </cell>
          <cell r="G342" t="b">
            <v>0</v>
          </cell>
          <cell r="H342" t="b">
            <v>0</v>
          </cell>
          <cell r="I342" t="b">
            <v>0</v>
          </cell>
        </row>
        <row r="343">
          <cell r="B343" t="str">
            <v>penpay_ashe</v>
          </cell>
          <cell r="C343" t="str">
            <v>the amount of employee's weekly pay that was pensionable</v>
          </cell>
          <cell r="D343" t="str">
            <v>ASHE</v>
          </cell>
          <cell r="E343" t="str">
            <v>Included</v>
          </cell>
          <cell r="F343" t="b">
            <v>1</v>
          </cell>
          <cell r="G343" t="b">
            <v>1</v>
          </cell>
          <cell r="H343" t="b">
            <v>1</v>
          </cell>
          <cell r="I343" t="b">
            <v>1</v>
          </cell>
          <cell r="J343">
            <v>1</v>
          </cell>
          <cell r="L343" t="str">
            <v>numeric</v>
          </cell>
          <cell r="M343">
            <v>200</v>
          </cell>
          <cell r="N343">
            <v>2000</v>
          </cell>
          <cell r="O343" t="str">
            <v>year&gt;=2005</v>
          </cell>
        </row>
        <row r="344">
          <cell r="B344" t="str">
            <v>penpay_old_ashe</v>
          </cell>
          <cell r="C344" t="str">
            <v>previous penpay</v>
          </cell>
          <cell r="D344" t="str">
            <v>ASHE</v>
          </cell>
          <cell r="E344" t="str">
            <v>Included</v>
          </cell>
          <cell r="F344" t="b">
            <v>0</v>
          </cell>
          <cell r="G344" t="b">
            <v>1</v>
          </cell>
          <cell r="H344" t="b">
            <v>1</v>
          </cell>
          <cell r="I344" t="b">
            <v>1</v>
          </cell>
        </row>
        <row r="345">
          <cell r="B345" t="str">
            <v>pens_ashe</v>
          </cell>
          <cell r="C345" t="str">
            <v>pension provision of the employee within the company</v>
          </cell>
          <cell r="D345" t="str">
            <v>ASHE</v>
          </cell>
          <cell r="E345" t="str">
            <v>Included</v>
          </cell>
          <cell r="F345" t="b">
            <v>1</v>
          </cell>
          <cell r="G345" t="b">
            <v>1</v>
          </cell>
          <cell r="H345" t="b">
            <v>1</v>
          </cell>
          <cell r="I345" t="b">
            <v>1</v>
          </cell>
        </row>
        <row r="346">
          <cell r="B346" t="str">
            <v>pensall_ashe</v>
          </cell>
          <cell r="D346" t="str">
            <v>ASHE</v>
          </cell>
          <cell r="E346" t="str">
            <v>Included</v>
          </cell>
          <cell r="F346" t="b">
            <v>1</v>
          </cell>
          <cell r="G346" t="b">
            <v>0</v>
          </cell>
          <cell r="H346" t="b">
            <v>0</v>
          </cell>
          <cell r="I346" t="b">
            <v>0</v>
          </cell>
        </row>
        <row r="347">
          <cell r="B347" t="str">
            <v>penscom_ashe</v>
          </cell>
          <cell r="D347" t="str">
            <v>ASHE</v>
          </cell>
          <cell r="E347" t="str">
            <v>Included</v>
          </cell>
          <cell r="F347" t="b">
            <v>1</v>
          </cell>
          <cell r="G347" t="b">
            <v>0</v>
          </cell>
          <cell r="H347" t="b">
            <v>0</v>
          </cell>
          <cell r="I347" t="b">
            <v>0</v>
          </cell>
        </row>
        <row r="348">
          <cell r="B348" t="str">
            <v>pensown_ashe</v>
          </cell>
          <cell r="D348" t="str">
            <v>ASHE</v>
          </cell>
          <cell r="E348" t="str">
            <v>Included</v>
          </cell>
          <cell r="F348" t="b">
            <v>1</v>
          </cell>
          <cell r="G348" t="b">
            <v>0</v>
          </cell>
          <cell r="H348" t="b">
            <v>0</v>
          </cell>
          <cell r="I348" t="b">
            <v>0</v>
          </cell>
        </row>
        <row r="349">
          <cell r="B349" t="str">
            <v>place_of_work_ind_cen</v>
          </cell>
          <cell r="C349" t="str">
            <v>Place of work indicator</v>
          </cell>
          <cell r="D349" t="str">
            <v>CENSUS</v>
          </cell>
          <cell r="E349" t="str">
            <v>Similar</v>
          </cell>
          <cell r="F349" t="b">
            <v>0</v>
          </cell>
          <cell r="G349" t="b">
            <v>1</v>
          </cell>
          <cell r="H349" t="b">
            <v>1</v>
          </cell>
          <cell r="I349" t="b">
            <v>1</v>
          </cell>
          <cell r="J349">
            <v>1</v>
          </cell>
          <cell r="L349" t="str">
            <v>numeric</v>
          </cell>
          <cell r="M349">
            <v>1</v>
          </cell>
          <cell r="N349">
            <v>5</v>
          </cell>
        </row>
        <row r="350">
          <cell r="B350" t="str">
            <v>position_in_ce_cen</v>
          </cell>
          <cell r="C350" t="str">
            <v>Position in communal establishment</v>
          </cell>
          <cell r="D350" t="str">
            <v>CENSUS</v>
          </cell>
          <cell r="E350" t="str">
            <v>Similar</v>
          </cell>
          <cell r="F350" t="b">
            <v>0</v>
          </cell>
          <cell r="G350" t="b">
            <v>1</v>
          </cell>
          <cell r="H350" t="b">
            <v>1</v>
          </cell>
          <cell r="I350" t="b">
            <v>1</v>
          </cell>
          <cell r="J350">
            <v>1</v>
          </cell>
          <cell r="L350" t="str">
            <v>numeric</v>
          </cell>
          <cell r="M350">
            <v>1</v>
          </cell>
          <cell r="N350">
            <v>4</v>
          </cell>
        </row>
        <row r="351">
          <cell r="B351" t="str">
            <v>ppfilter_ashe</v>
          </cell>
          <cell r="C351" t="str">
            <v>pension provision filter</v>
          </cell>
          <cell r="D351" t="str">
            <v>ASHE</v>
          </cell>
          <cell r="E351" t="str">
            <v>Included</v>
          </cell>
          <cell r="F351" t="b">
            <v>1</v>
          </cell>
          <cell r="G351" t="b">
            <v>1</v>
          </cell>
          <cell r="H351" t="b">
            <v>1</v>
          </cell>
          <cell r="I351" t="b">
            <v>1</v>
          </cell>
          <cell r="J351">
            <v>1</v>
          </cell>
          <cell r="L351" t="str">
            <v>numeric</v>
          </cell>
          <cell r="M351">
            <v>1</v>
          </cell>
          <cell r="N351">
            <v>2</v>
          </cell>
        </row>
        <row r="352">
          <cell r="B352" t="str">
            <v>ppfilter_old_ashe</v>
          </cell>
          <cell r="C352" t="str">
            <v>previous ppfilter</v>
          </cell>
          <cell r="D352" t="str">
            <v>ASHE</v>
          </cell>
          <cell r="E352" t="str">
            <v>Included</v>
          </cell>
          <cell r="F352" t="b">
            <v>1</v>
          </cell>
          <cell r="G352" t="b">
            <v>1</v>
          </cell>
          <cell r="H352" t="b">
            <v>1</v>
          </cell>
          <cell r="I352" t="b">
            <v>1</v>
          </cell>
        </row>
        <row r="353">
          <cell r="B353" t="str">
            <v>ppstart_ashe</v>
          </cell>
          <cell r="C353" t="str">
            <v>start of the employee's pay period</v>
          </cell>
          <cell r="D353" t="str">
            <v>ASHE</v>
          </cell>
          <cell r="E353" t="str">
            <v>Included</v>
          </cell>
          <cell r="F353" t="b">
            <v>1</v>
          </cell>
          <cell r="G353" t="b">
            <v>1</v>
          </cell>
          <cell r="H353" t="b">
            <v>1</v>
          </cell>
          <cell r="I353" t="b">
            <v>1</v>
          </cell>
          <cell r="J353">
            <v>1</v>
          </cell>
          <cell r="L353" t="str">
            <v>string</v>
          </cell>
          <cell r="M353" t="str">
            <v>DDMMYY</v>
          </cell>
          <cell r="N353" t="str">
            <v>DDMMYY</v>
          </cell>
        </row>
        <row r="354">
          <cell r="B354" t="str">
            <v>pr_ashe</v>
          </cell>
          <cell r="D354" t="str">
            <v>ASHE</v>
          </cell>
          <cell r="E354" t="str">
            <v>Included</v>
          </cell>
          <cell r="F354" t="b">
            <v>1</v>
          </cell>
          <cell r="G354" t="b">
            <v>0</v>
          </cell>
          <cell r="H354" t="b">
            <v>0</v>
          </cell>
          <cell r="I354" t="b">
            <v>0</v>
          </cell>
        </row>
        <row r="355">
          <cell r="B355" t="str">
            <v>prfilter_ashe</v>
          </cell>
          <cell r="D355" t="str">
            <v>ASHE</v>
          </cell>
          <cell r="E355" t="str">
            <v>Included</v>
          </cell>
          <cell r="F355" t="b">
            <v>0</v>
          </cell>
          <cell r="G355" t="b">
            <v>0</v>
          </cell>
          <cell r="H355" t="b">
            <v>0</v>
          </cell>
          <cell r="I355" t="b">
            <v>0</v>
          </cell>
        </row>
        <row r="356">
          <cell r="B356" t="str">
            <v>proxy_answer_cen</v>
          </cell>
          <cell r="C356" t="str">
            <v>Answered on behalf of</v>
          </cell>
          <cell r="D356" t="str">
            <v>CENSUS</v>
          </cell>
          <cell r="E356" t="str">
            <v xml:space="preserve">New </v>
          </cell>
          <cell r="F356" t="b">
            <v>0</v>
          </cell>
          <cell r="G356" t="b">
            <v>1</v>
          </cell>
          <cell r="H356" t="b">
            <v>1</v>
          </cell>
          <cell r="I356" t="b">
            <v>1</v>
          </cell>
          <cell r="J356">
            <v>1</v>
          </cell>
          <cell r="L356" t="str">
            <v>numeric</v>
          </cell>
          <cell r="M356">
            <v>1</v>
          </cell>
          <cell r="N356">
            <v>2</v>
          </cell>
        </row>
        <row r="357">
          <cell r="B357" t="str">
            <v>prp_ashe</v>
          </cell>
          <cell r="C357" t="str">
            <v>previous pr</v>
          </cell>
          <cell r="D357" t="str">
            <v>ASHE</v>
          </cell>
          <cell r="E357" t="str">
            <v>Included</v>
          </cell>
          <cell r="F357" t="b">
            <v>1</v>
          </cell>
          <cell r="G357" t="b">
            <v>1</v>
          </cell>
          <cell r="H357" t="b">
            <v>1</v>
          </cell>
          <cell r="I357" t="b">
            <v>1</v>
          </cell>
        </row>
        <row r="358">
          <cell r="B358" t="str">
            <v>pt_ashe</v>
          </cell>
          <cell r="C358" t="str">
            <v>permanent / temporary marker</v>
          </cell>
          <cell r="D358" t="str">
            <v>ASHE</v>
          </cell>
          <cell r="E358" t="str">
            <v>Included</v>
          </cell>
          <cell r="F358" t="b">
            <v>1</v>
          </cell>
          <cell r="G358" t="b">
            <v>1</v>
          </cell>
          <cell r="H358" t="b">
            <v>1</v>
          </cell>
          <cell r="I358" t="b">
            <v>1</v>
          </cell>
          <cell r="J358">
            <v>1</v>
          </cell>
          <cell r="L358" t="str">
            <v>numeric</v>
          </cell>
          <cell r="M358">
            <v>1</v>
          </cell>
          <cell r="N358">
            <v>2</v>
          </cell>
        </row>
        <row r="359">
          <cell r="B359" t="str">
            <v>pt04_ashe</v>
          </cell>
          <cell r="C359" t="str">
            <v>derived from pt, unique to 2013</v>
          </cell>
          <cell r="D359" t="str">
            <v>ASHE</v>
          </cell>
          <cell r="E359" t="str">
            <v>Included</v>
          </cell>
          <cell r="F359" t="b">
            <v>1</v>
          </cell>
          <cell r="G359" t="b">
            <v>1</v>
          </cell>
          <cell r="H359" t="b">
            <v>1</v>
          </cell>
          <cell r="I359" t="b">
            <v>1</v>
          </cell>
        </row>
        <row r="360">
          <cell r="B360" t="str">
            <v>pt08_ashe</v>
          </cell>
          <cell r="C360" t="str">
            <v>derived from pt, unique to 2013</v>
          </cell>
          <cell r="D360" t="str">
            <v>ASHE</v>
          </cell>
          <cell r="E360" t="str">
            <v>Included</v>
          </cell>
          <cell r="F360" t="b">
            <v>1</v>
          </cell>
          <cell r="G360" t="b">
            <v>1</v>
          </cell>
          <cell r="H360" t="b">
            <v>1</v>
          </cell>
          <cell r="I360" t="b">
            <v>1</v>
          </cell>
        </row>
        <row r="361">
          <cell r="B361" t="str">
            <v>pt12_ashe</v>
          </cell>
          <cell r="C361" t="str">
            <v>derived from pt, unique to 2013</v>
          </cell>
          <cell r="D361" t="str">
            <v>ASHE</v>
          </cell>
          <cell r="E361" t="str">
            <v>Included</v>
          </cell>
          <cell r="F361" t="b">
            <v>1</v>
          </cell>
          <cell r="G361" t="b">
            <v>1</v>
          </cell>
          <cell r="H361" t="b">
            <v>1</v>
          </cell>
          <cell r="I361" t="b">
            <v>1</v>
          </cell>
        </row>
        <row r="362">
          <cell r="B362" t="str">
            <v>pt16_ashe</v>
          </cell>
          <cell r="C362" t="str">
            <v>derived from pt, unique to 2013</v>
          </cell>
          <cell r="D362" t="str">
            <v>ASHE</v>
          </cell>
          <cell r="E362" t="str">
            <v>Included</v>
          </cell>
          <cell r="F362" t="b">
            <v>1</v>
          </cell>
          <cell r="G362" t="b">
            <v>1</v>
          </cell>
          <cell r="H362" t="b">
            <v>1</v>
          </cell>
          <cell r="I362" t="b">
            <v>1</v>
          </cell>
        </row>
        <row r="363">
          <cell r="B363" t="str">
            <v>pt20_ashe</v>
          </cell>
          <cell r="C363" t="str">
            <v>derived from pt, unique to 2013</v>
          </cell>
          <cell r="D363" t="str">
            <v>ASHE</v>
          </cell>
          <cell r="E363" t="str">
            <v>Included</v>
          </cell>
          <cell r="F363" t="b">
            <v>1</v>
          </cell>
          <cell r="G363" t="b">
            <v>1</v>
          </cell>
          <cell r="H363" t="b">
            <v>1</v>
          </cell>
          <cell r="I363" t="b">
            <v>1</v>
          </cell>
        </row>
        <row r="364">
          <cell r="B364" t="str">
            <v>pt24_ashe</v>
          </cell>
          <cell r="C364" t="str">
            <v>derived from pt, unique to 2013</v>
          </cell>
          <cell r="D364" t="str">
            <v>ASHE</v>
          </cell>
          <cell r="E364" t="str">
            <v>Included</v>
          </cell>
          <cell r="F364" t="b">
            <v>1</v>
          </cell>
          <cell r="G364" t="b">
            <v>1</v>
          </cell>
          <cell r="H364" t="b">
            <v>1</v>
          </cell>
          <cell r="I364" t="b">
            <v>1</v>
          </cell>
        </row>
        <row r="365">
          <cell r="B365" t="str">
            <v>ptcom_ashe</v>
          </cell>
          <cell r="C365" t="str">
            <v>derived from pt, unique to 2013</v>
          </cell>
          <cell r="D365" t="str">
            <v>ASHE</v>
          </cell>
          <cell r="E365" t="str">
            <v>Included</v>
          </cell>
          <cell r="F365" t="b">
            <v>1</v>
          </cell>
          <cell r="G365" t="b">
            <v>1</v>
          </cell>
          <cell r="H365" t="b">
            <v>1</v>
          </cell>
          <cell r="I365" t="b">
            <v>1</v>
          </cell>
        </row>
        <row r="366">
          <cell r="B366" t="str">
            <v>pttotal_ashe</v>
          </cell>
          <cell r="C366" t="str">
            <v>derived from pt, unique to 2013</v>
          </cell>
          <cell r="D366" t="str">
            <v>ASHE</v>
          </cell>
          <cell r="E366" t="str">
            <v>Included</v>
          </cell>
          <cell r="F366" t="b">
            <v>0</v>
          </cell>
          <cell r="G366" t="b">
            <v>1</v>
          </cell>
          <cell r="H366" t="b">
            <v>1</v>
          </cell>
          <cell r="I366" t="b">
            <v>1</v>
          </cell>
        </row>
        <row r="367">
          <cell r="B367" t="str">
            <v>ptup_ashe</v>
          </cell>
          <cell r="C367" t="str">
            <v>derived from pt, unique to 2013</v>
          </cell>
          <cell r="D367" t="str">
            <v>ASHE</v>
          </cell>
          <cell r="E367" t="str">
            <v>Included</v>
          </cell>
          <cell r="F367" t="b">
            <v>1</v>
          </cell>
          <cell r="G367" t="b">
            <v>1</v>
          </cell>
          <cell r="H367" t="b">
            <v>1</v>
          </cell>
          <cell r="I367" t="b">
            <v>1</v>
          </cell>
        </row>
        <row r="368">
          <cell r="B368" t="str">
            <v>public_transport_users_cen</v>
          </cell>
          <cell r="C368" t="str">
            <v>Public transport users in household</v>
          </cell>
          <cell r="D368" t="str">
            <v>CENSUS</v>
          </cell>
          <cell r="E368" t="str">
            <v xml:space="preserve">New </v>
          </cell>
          <cell r="F368" t="b">
            <v>0</v>
          </cell>
          <cell r="G368" t="b">
            <v>1</v>
          </cell>
          <cell r="H368" t="b">
            <v>1</v>
          </cell>
          <cell r="I368" t="b">
            <v>1</v>
          </cell>
          <cell r="J368">
            <v>1</v>
          </cell>
          <cell r="L368" t="str">
            <v>numeric</v>
          </cell>
          <cell r="M368">
            <v>1</v>
          </cell>
          <cell r="N368">
            <v>3</v>
          </cell>
        </row>
        <row r="369">
          <cell r="B369" t="str">
            <v>pubpriv_ashe</v>
          </cell>
          <cell r="C369" t="str">
            <v>public / private</v>
          </cell>
          <cell r="D369" t="str">
            <v>ASHE</v>
          </cell>
          <cell r="E369" t="str">
            <v>Included</v>
          </cell>
          <cell r="F369" t="b">
            <v>1</v>
          </cell>
          <cell r="G369" t="b">
            <v>1</v>
          </cell>
          <cell r="H369" t="b">
            <v>1</v>
          </cell>
          <cell r="I369" t="b">
            <v>1</v>
          </cell>
          <cell r="J369">
            <v>1</v>
          </cell>
          <cell r="L369" t="str">
            <v>numeric</v>
          </cell>
          <cell r="M369">
            <v>0</v>
          </cell>
          <cell r="N369">
            <v>2</v>
          </cell>
        </row>
        <row r="370">
          <cell r="B370" t="str">
            <v>qualifications_cen</v>
          </cell>
          <cell r="C370" t="str">
            <v>Qualifications</v>
          </cell>
          <cell r="D370" t="str">
            <v>CENSUS</v>
          </cell>
          <cell r="E370" t="str">
            <v xml:space="preserve">New </v>
          </cell>
          <cell r="F370" t="b">
            <v>0</v>
          </cell>
          <cell r="G370" t="b">
            <v>1</v>
          </cell>
          <cell r="H370" t="b">
            <v>1</v>
          </cell>
          <cell r="I370" t="b">
            <v>1</v>
          </cell>
          <cell r="L370" t="str">
            <v>numeric</v>
          </cell>
        </row>
        <row r="371">
          <cell r="B371" t="str">
            <v>qualifications01_cen</v>
          </cell>
          <cell r="C371" t="str">
            <v>Apprenticeship</v>
          </cell>
          <cell r="D371" t="str">
            <v>CENSUS</v>
          </cell>
          <cell r="E371" t="str">
            <v>Similar</v>
          </cell>
          <cell r="F371" t="b">
            <v>0</v>
          </cell>
          <cell r="G371" t="b">
            <v>1</v>
          </cell>
          <cell r="H371" t="b">
            <v>1</v>
          </cell>
          <cell r="I371" t="b">
            <v>1</v>
          </cell>
          <cell r="J371">
            <v>1</v>
          </cell>
          <cell r="L371" t="str">
            <v>numeric</v>
          </cell>
          <cell r="M371">
            <v>0</v>
          </cell>
          <cell r="N371">
            <v>1</v>
          </cell>
        </row>
        <row r="372">
          <cell r="B372" t="str">
            <v>qualifications02_cen</v>
          </cell>
          <cell r="C372" t="str">
            <v>Degree level or above</v>
          </cell>
          <cell r="D372" t="str">
            <v>CENSUS</v>
          </cell>
          <cell r="E372" t="str">
            <v>Similar</v>
          </cell>
          <cell r="F372" t="b">
            <v>0</v>
          </cell>
          <cell r="G372" t="b">
            <v>1</v>
          </cell>
          <cell r="H372" t="b">
            <v>1</v>
          </cell>
          <cell r="I372" t="b">
            <v>1</v>
          </cell>
          <cell r="J372">
            <v>1</v>
          </cell>
          <cell r="L372" t="str">
            <v>numeric</v>
          </cell>
          <cell r="M372">
            <v>0</v>
          </cell>
          <cell r="N372">
            <v>1</v>
          </cell>
        </row>
        <row r="373">
          <cell r="B373" t="str">
            <v>qualifications03_cen</v>
          </cell>
          <cell r="C373" t="str">
            <v xml:space="preserve">5 or more GCSEs (A*-C, 9-4), O level (passes) or CSEs (grade 1) or Intermediate Welsh Baccalaureate </v>
          </cell>
          <cell r="D373" t="str">
            <v>CENSUS</v>
          </cell>
          <cell r="E373" t="str">
            <v>Similar</v>
          </cell>
          <cell r="F373" t="b">
            <v>0</v>
          </cell>
          <cell r="G373" t="b">
            <v>1</v>
          </cell>
          <cell r="H373" t="b">
            <v>1</v>
          </cell>
          <cell r="I373" t="b">
            <v>1</v>
          </cell>
          <cell r="J373">
            <v>1</v>
          </cell>
          <cell r="L373" t="str">
            <v>numeric</v>
          </cell>
          <cell r="M373">
            <v>0</v>
          </cell>
          <cell r="N373">
            <v>1</v>
          </cell>
        </row>
        <row r="374">
          <cell r="B374" t="str">
            <v>qualifications04_cen</v>
          </cell>
          <cell r="C374" t="str">
            <v>Any other GCSEs, O levels or CSEs (any grades), Basic skills course or Foundation Welsh Baccalaureate</v>
          </cell>
          <cell r="D374" t="str">
            <v>CENSUS</v>
          </cell>
          <cell r="E374" t="str">
            <v>Similar</v>
          </cell>
          <cell r="F374" t="b">
            <v>0</v>
          </cell>
          <cell r="G374" t="b">
            <v>1</v>
          </cell>
          <cell r="H374" t="b">
            <v>1</v>
          </cell>
          <cell r="I374" t="b">
            <v>1</v>
          </cell>
          <cell r="J374">
            <v>1</v>
          </cell>
          <cell r="L374" t="str">
            <v>numeric</v>
          </cell>
          <cell r="M374">
            <v>0</v>
          </cell>
          <cell r="N374">
            <v>1</v>
          </cell>
        </row>
        <row r="375">
          <cell r="B375" t="str">
            <v>qualifications05_cen</v>
          </cell>
          <cell r="C375" t="str">
            <v>2 or more A levels, 4 or more AS levels or Advanced Welsh Baccalaureate</v>
          </cell>
          <cell r="D375" t="str">
            <v>CENSUS</v>
          </cell>
          <cell r="E375" t="str">
            <v>Similar</v>
          </cell>
          <cell r="F375" t="b">
            <v>0</v>
          </cell>
          <cell r="G375" t="b">
            <v>1</v>
          </cell>
          <cell r="H375" t="b">
            <v>1</v>
          </cell>
          <cell r="I375" t="b">
            <v>1</v>
          </cell>
          <cell r="J375">
            <v>1</v>
          </cell>
          <cell r="L375" t="str">
            <v>numeric</v>
          </cell>
          <cell r="M375">
            <v>0</v>
          </cell>
          <cell r="N375">
            <v>1</v>
          </cell>
        </row>
        <row r="376">
          <cell r="B376" t="str">
            <v>qualifications06_cen</v>
          </cell>
          <cell r="C376" t="str">
            <v>1 A level, 2-3 AS levels</v>
          </cell>
          <cell r="D376" t="str">
            <v>CENSUS</v>
          </cell>
          <cell r="E376" t="str">
            <v>Similar</v>
          </cell>
          <cell r="F376" t="b">
            <v>0</v>
          </cell>
          <cell r="G376" t="b">
            <v>1</v>
          </cell>
          <cell r="H376" t="b">
            <v>1</v>
          </cell>
          <cell r="I376" t="b">
            <v>1</v>
          </cell>
          <cell r="J376">
            <v>1</v>
          </cell>
          <cell r="L376" t="str">
            <v>numeric</v>
          </cell>
          <cell r="M376">
            <v>0</v>
          </cell>
          <cell r="N376">
            <v>1</v>
          </cell>
        </row>
        <row r="377">
          <cell r="B377" t="str">
            <v>qualifications07_cen</v>
          </cell>
          <cell r="C377" t="str">
            <v xml:space="preserve">1 AS Level </v>
          </cell>
          <cell r="D377" t="str">
            <v>CENSUS</v>
          </cell>
          <cell r="E377" t="str">
            <v>Similar</v>
          </cell>
          <cell r="F377" t="b">
            <v>0</v>
          </cell>
          <cell r="G377" t="b">
            <v>1</v>
          </cell>
          <cell r="H377" t="b">
            <v>1</v>
          </cell>
          <cell r="I377" t="b">
            <v>1</v>
          </cell>
          <cell r="J377">
            <v>1</v>
          </cell>
          <cell r="L377" t="str">
            <v>numeric</v>
          </cell>
          <cell r="M377">
            <v>0</v>
          </cell>
          <cell r="N377">
            <v>1</v>
          </cell>
        </row>
        <row r="378">
          <cell r="B378" t="str">
            <v>qualifications08_cen</v>
          </cell>
          <cell r="C378" t="str">
            <v>NVQ level 3, BTEC National, OND or ONC, City and guilds Advanced Craft</v>
          </cell>
          <cell r="D378" t="str">
            <v>CENSUS</v>
          </cell>
          <cell r="E378" t="str">
            <v>Similar</v>
          </cell>
          <cell r="F378" t="b">
            <v>0</v>
          </cell>
          <cell r="G378" t="b">
            <v>1</v>
          </cell>
          <cell r="H378" t="b">
            <v>1</v>
          </cell>
          <cell r="I378" t="b">
            <v>1</v>
          </cell>
          <cell r="J378">
            <v>1</v>
          </cell>
          <cell r="L378" t="str">
            <v>numeric</v>
          </cell>
          <cell r="M378">
            <v>0</v>
          </cell>
          <cell r="N378">
            <v>1</v>
          </cell>
        </row>
        <row r="379">
          <cell r="B379" t="str">
            <v>qualifications09_cen</v>
          </cell>
          <cell r="C379" t="str">
            <v>NVQ level 2, BTEC General, City and Guilds Craft</v>
          </cell>
          <cell r="D379" t="str">
            <v>CENSUS</v>
          </cell>
          <cell r="E379" t="str">
            <v>Similar</v>
          </cell>
          <cell r="F379" t="b">
            <v>0</v>
          </cell>
          <cell r="G379" t="b">
            <v>1</v>
          </cell>
          <cell r="H379" t="b">
            <v>1</v>
          </cell>
          <cell r="I379" t="b">
            <v>1</v>
          </cell>
          <cell r="J379">
            <v>1</v>
          </cell>
          <cell r="L379" t="str">
            <v>numeric</v>
          </cell>
          <cell r="M379">
            <v>0</v>
          </cell>
          <cell r="N379">
            <v>1</v>
          </cell>
        </row>
        <row r="380">
          <cell r="B380" t="str">
            <v>qualifications10_cen</v>
          </cell>
          <cell r="C380" t="str">
            <v>NVQ level 1</v>
          </cell>
          <cell r="D380" t="str">
            <v>CENSUS</v>
          </cell>
          <cell r="E380" t="str">
            <v>Similar</v>
          </cell>
          <cell r="F380" t="b">
            <v>0</v>
          </cell>
          <cell r="G380" t="b">
            <v>1</v>
          </cell>
          <cell r="H380" t="b">
            <v>1</v>
          </cell>
          <cell r="I380" t="b">
            <v>1</v>
          </cell>
          <cell r="J380">
            <v>1</v>
          </cell>
          <cell r="L380" t="str">
            <v>numeric</v>
          </cell>
          <cell r="M380">
            <v>0</v>
          </cell>
          <cell r="N380">
            <v>1</v>
          </cell>
        </row>
        <row r="381">
          <cell r="B381" t="str">
            <v>qualifications11_cen</v>
          </cell>
          <cell r="C381" t="str">
            <v xml:space="preserve">Any other qualifications, equivalent unknown </v>
          </cell>
          <cell r="D381" t="str">
            <v>CENSUS</v>
          </cell>
          <cell r="E381" t="str">
            <v>Similar</v>
          </cell>
          <cell r="F381" t="b">
            <v>0</v>
          </cell>
          <cell r="G381" t="b">
            <v>1</v>
          </cell>
          <cell r="H381" t="b">
            <v>1</v>
          </cell>
          <cell r="I381" t="b">
            <v>1</v>
          </cell>
          <cell r="J381">
            <v>1</v>
          </cell>
          <cell r="L381" t="str">
            <v>numeric</v>
          </cell>
          <cell r="M381">
            <v>0</v>
          </cell>
          <cell r="N381">
            <v>1</v>
          </cell>
        </row>
        <row r="382">
          <cell r="B382" t="str">
            <v>qualifications12_cen</v>
          </cell>
          <cell r="C382" t="str">
            <v xml:space="preserve">No qualifications </v>
          </cell>
          <cell r="D382" t="str">
            <v>CENSUS</v>
          </cell>
          <cell r="E382" t="str">
            <v>Similar</v>
          </cell>
          <cell r="F382" t="b">
            <v>0</v>
          </cell>
          <cell r="G382" t="b">
            <v>1</v>
          </cell>
          <cell r="H382" t="b">
            <v>1</v>
          </cell>
          <cell r="I382" t="b">
            <v>1</v>
          </cell>
          <cell r="J382">
            <v>1</v>
          </cell>
          <cell r="L382" t="str">
            <v>numeric</v>
          </cell>
          <cell r="M382">
            <v>0</v>
          </cell>
          <cell r="N382">
            <v>1</v>
          </cell>
        </row>
        <row r="383">
          <cell r="B383" t="str">
            <v>raw_file_ashe</v>
          </cell>
          <cell r="D383" t="str">
            <v>ASHE</v>
          </cell>
          <cell r="E383" t="str">
            <v>Included</v>
          </cell>
          <cell r="F383" t="b">
            <v>1</v>
          </cell>
          <cell r="G383" t="b">
            <v>1</v>
          </cell>
          <cell r="H383" t="b">
            <v>1</v>
          </cell>
          <cell r="I383" t="b">
            <v>1</v>
          </cell>
        </row>
        <row r="384">
          <cell r="B384" t="str">
            <v>religion_cen</v>
          </cell>
          <cell r="C384" t="str">
            <v>Religion</v>
          </cell>
          <cell r="D384" t="str">
            <v>CENSUS</v>
          </cell>
          <cell r="E384" t="str">
            <v>Included</v>
          </cell>
          <cell r="F384" t="b">
            <v>0</v>
          </cell>
          <cell r="G384" t="b">
            <v>1</v>
          </cell>
          <cell r="H384" t="b">
            <v>1</v>
          </cell>
          <cell r="I384" t="b">
            <v>1</v>
          </cell>
          <cell r="J384">
            <v>1</v>
          </cell>
          <cell r="L384" t="str">
            <v>numeric</v>
          </cell>
          <cell r="M384">
            <v>1</v>
          </cell>
          <cell r="N384">
            <v>900</v>
          </cell>
        </row>
        <row r="385">
          <cell r="B385" t="str">
            <v>religion_tb_cen</v>
          </cell>
          <cell r="C385" t="str">
            <v>Religion</v>
          </cell>
          <cell r="D385" t="str">
            <v>CENSUS</v>
          </cell>
          <cell r="E385" t="str">
            <v>Similar</v>
          </cell>
          <cell r="F385" t="b">
            <v>0</v>
          </cell>
          <cell r="G385" t="b">
            <v>1</v>
          </cell>
          <cell r="H385" t="b">
            <v>1</v>
          </cell>
          <cell r="I385" t="b">
            <v>1</v>
          </cell>
          <cell r="J385">
            <v>1</v>
          </cell>
          <cell r="L385" t="str">
            <v>numeric</v>
          </cell>
          <cell r="M385">
            <v>1</v>
          </cell>
          <cell r="N385">
            <v>9</v>
          </cell>
        </row>
        <row r="386">
          <cell r="B386" t="str">
            <v>remove_ashe</v>
          </cell>
          <cell r="D386" t="str">
            <v>ASHE</v>
          </cell>
          <cell r="E386" t="str">
            <v>Included</v>
          </cell>
          <cell r="F386" t="b">
            <v>1</v>
          </cell>
          <cell r="G386" t="b">
            <v>0</v>
          </cell>
          <cell r="H386" t="b">
            <v>0</v>
          </cell>
          <cell r="I386" t="b">
            <v>0</v>
          </cell>
        </row>
        <row r="387">
          <cell r="B387" t="str">
            <v>rempay_ashe</v>
          </cell>
          <cell r="D387" t="str">
            <v>ASHE</v>
          </cell>
          <cell r="E387" t="str">
            <v>Included</v>
          </cell>
          <cell r="F387" t="b">
            <v>0</v>
          </cell>
          <cell r="G387" t="b">
            <v>0</v>
          </cell>
          <cell r="H387" t="b">
            <v>0</v>
          </cell>
          <cell r="I387" t="b">
            <v>0</v>
          </cell>
        </row>
        <row r="388">
          <cell r="B388" t="str">
            <v>residence_length_cen</v>
          </cell>
          <cell r="C388" t="str">
            <v>Length of residence in the UK</v>
          </cell>
          <cell r="D388" t="str">
            <v>CENSUS</v>
          </cell>
          <cell r="E388" t="str">
            <v xml:space="preserve">New </v>
          </cell>
          <cell r="F388" t="b">
            <v>0</v>
          </cell>
          <cell r="G388" t="b">
            <v>1</v>
          </cell>
          <cell r="H388" t="b">
            <v>1</v>
          </cell>
          <cell r="I388" t="b">
            <v>1</v>
          </cell>
          <cell r="J388">
            <v>1</v>
          </cell>
          <cell r="L388" t="str">
            <v>numeric</v>
          </cell>
          <cell r="M388">
            <v>1</v>
          </cell>
          <cell r="N388">
            <v>5</v>
          </cell>
        </row>
        <row r="389">
          <cell r="B389" t="str">
            <v>residence_type_cen</v>
          </cell>
          <cell r="C389" t="str">
            <v>Residence Type</v>
          </cell>
          <cell r="D389" t="str">
            <v>CENSUS</v>
          </cell>
          <cell r="E389" t="str">
            <v>Included</v>
          </cell>
          <cell r="F389" t="b">
            <v>0</v>
          </cell>
          <cell r="G389" t="b">
            <v>1</v>
          </cell>
          <cell r="H389" t="b">
            <v>1</v>
          </cell>
          <cell r="I389" t="b">
            <v>1</v>
          </cell>
          <cell r="J389">
            <v>1</v>
          </cell>
          <cell r="L389" t="str">
            <v>numeric</v>
          </cell>
          <cell r="M389">
            <v>1</v>
          </cell>
          <cell r="N389">
            <v>2</v>
          </cell>
        </row>
        <row r="390">
          <cell r="B390" t="str">
            <v>resident_age_cen</v>
          </cell>
          <cell r="C390" t="str">
            <v>age</v>
          </cell>
          <cell r="D390" t="str">
            <v>CENSUS</v>
          </cell>
          <cell r="E390" t="str">
            <v>Similar</v>
          </cell>
          <cell r="F390" t="b">
            <v>0</v>
          </cell>
          <cell r="G390" t="b">
            <v>1</v>
          </cell>
          <cell r="H390" t="b">
            <v>1</v>
          </cell>
          <cell r="I390" t="b">
            <v>1</v>
          </cell>
          <cell r="J390">
            <v>1</v>
          </cell>
          <cell r="L390" t="str">
            <v>numeric</v>
          </cell>
          <cell r="M390">
            <v>0</v>
          </cell>
          <cell r="N390">
            <v>115</v>
          </cell>
        </row>
        <row r="391">
          <cell r="B391" t="str">
            <v>resident_id</v>
          </cell>
          <cell r="C391" t="str">
            <v>Resident unique identifier</v>
          </cell>
          <cell r="D391" t="str">
            <v>CENSUS</v>
          </cell>
          <cell r="E391" t="str">
            <v>Similar</v>
          </cell>
          <cell r="F391" t="b">
            <v>0</v>
          </cell>
          <cell r="G391" t="b">
            <v>1</v>
          </cell>
          <cell r="H391" t="b">
            <v>1</v>
          </cell>
          <cell r="I391" t="b">
            <v>1</v>
          </cell>
          <cell r="J391">
            <v>1</v>
          </cell>
          <cell r="L391" t="str">
            <v>string</v>
          </cell>
        </row>
        <row r="392">
          <cell r="B392" t="str">
            <v>resident_month_of_birth_cen</v>
          </cell>
          <cell r="C392" t="str">
            <v>Date of birth month</v>
          </cell>
          <cell r="D392" t="str">
            <v>CENSUS</v>
          </cell>
          <cell r="E392" t="str">
            <v xml:space="preserve">New </v>
          </cell>
          <cell r="F392" t="b">
            <v>0</v>
          </cell>
          <cell r="G392" t="b">
            <v>1</v>
          </cell>
          <cell r="H392" t="b">
            <v>1</v>
          </cell>
          <cell r="I392" t="b">
            <v>1</v>
          </cell>
          <cell r="J392">
            <v>1</v>
          </cell>
          <cell r="L392" t="str">
            <v>numeric</v>
          </cell>
          <cell r="M392">
            <v>1</v>
          </cell>
          <cell r="N392">
            <v>12</v>
          </cell>
        </row>
        <row r="393">
          <cell r="B393" t="str">
            <v>resident_record_key_cen</v>
          </cell>
          <cell r="C393" t="str">
            <v>Resident Record Key</v>
          </cell>
          <cell r="D393" t="str">
            <v>CENSUS</v>
          </cell>
          <cell r="E393" t="str">
            <v xml:space="preserve">New </v>
          </cell>
          <cell r="F393" t="b">
            <v>0</v>
          </cell>
          <cell r="G393" t="b">
            <v>1</v>
          </cell>
          <cell r="H393" t="b">
            <v>1</v>
          </cell>
          <cell r="I393" t="b">
            <v>1</v>
          </cell>
          <cell r="J393">
            <v>1</v>
          </cell>
          <cell r="L393" t="str">
            <v>numeric</v>
          </cell>
          <cell r="M393">
            <v>0</v>
          </cell>
          <cell r="N393">
            <v>225</v>
          </cell>
        </row>
        <row r="394">
          <cell r="B394" t="str">
            <v>resident_response_mode_20_cen</v>
          </cell>
          <cell r="C394" t="str">
            <v>Resident Response Mode</v>
          </cell>
          <cell r="D394" t="str">
            <v>CENSUS</v>
          </cell>
          <cell r="E394" t="str">
            <v xml:space="preserve">New </v>
          </cell>
          <cell r="F394" t="b">
            <v>0</v>
          </cell>
          <cell r="G394" t="b">
            <v>1</v>
          </cell>
          <cell r="H394" t="b">
            <v>1</v>
          </cell>
          <cell r="I394" t="b">
            <v>1</v>
          </cell>
          <cell r="J394">
            <v>1</v>
          </cell>
          <cell r="L394" t="str">
            <v>numeric</v>
          </cell>
          <cell r="M394">
            <v>1</v>
          </cell>
          <cell r="N394">
            <v>2</v>
          </cell>
        </row>
        <row r="395">
          <cell r="B395" t="str">
            <v>resident_year_of_birth_cen</v>
          </cell>
          <cell r="C395" t="str">
            <v>Date of birth year</v>
          </cell>
          <cell r="D395" t="str">
            <v>CENSUS</v>
          </cell>
          <cell r="E395" t="str">
            <v xml:space="preserve">New </v>
          </cell>
          <cell r="F395" t="b">
            <v>0</v>
          </cell>
          <cell r="G395" t="b">
            <v>1</v>
          </cell>
          <cell r="H395" t="b">
            <v>1</v>
          </cell>
          <cell r="I395" t="b">
            <v>1</v>
          </cell>
          <cell r="J395">
            <v>1</v>
          </cell>
          <cell r="L395" t="str">
            <v>numeric</v>
          </cell>
          <cell r="M395">
            <v>1906</v>
          </cell>
          <cell r="N395">
            <v>2021</v>
          </cell>
        </row>
        <row r="396">
          <cell r="B396" t="str">
            <v>response_id_cen</v>
          </cell>
          <cell r="C396" t="str">
            <v>Response unique identifier</v>
          </cell>
          <cell r="D396" t="str">
            <v>CENSUS</v>
          </cell>
          <cell r="E396" t="str">
            <v xml:space="preserve">New </v>
          </cell>
          <cell r="F396" t="b">
            <v>0</v>
          </cell>
          <cell r="G396" t="b">
            <v>1</v>
          </cell>
          <cell r="H396" t="b">
            <v>1</v>
          </cell>
          <cell r="I396" t="b">
            <v>1</v>
          </cell>
          <cell r="J396">
            <v>1</v>
          </cell>
          <cell r="L396" t="str">
            <v>string</v>
          </cell>
          <cell r="O396" t="str">
            <v>17 digit character string</v>
          </cell>
        </row>
        <row r="397">
          <cell r="B397" t="str">
            <v>ruref_ashe</v>
          </cell>
          <cell r="C397" t="str">
            <v>reporting unit reference (unsupported)</v>
          </cell>
          <cell r="D397" t="str">
            <v>ASHE</v>
          </cell>
          <cell r="E397" t="str">
            <v>Included</v>
          </cell>
          <cell r="F397" t="b">
            <v>0</v>
          </cell>
          <cell r="G397" t="b">
            <v>1</v>
          </cell>
          <cell r="H397" t="b">
            <v>1</v>
          </cell>
          <cell r="I397" t="b">
            <v>1</v>
          </cell>
        </row>
        <row r="398">
          <cell r="B398" t="str">
            <v>salsac_ashe</v>
          </cell>
          <cell r="C398" t="str">
            <v>salary sacrifice</v>
          </cell>
          <cell r="D398" t="str">
            <v>ASHE</v>
          </cell>
          <cell r="E398" t="str">
            <v>Included</v>
          </cell>
          <cell r="F398" t="b">
            <v>1</v>
          </cell>
          <cell r="G398" t="b">
            <v>1</v>
          </cell>
          <cell r="H398" t="b">
            <v>1</v>
          </cell>
          <cell r="I398" t="b">
            <v>1</v>
          </cell>
        </row>
        <row r="399">
          <cell r="B399" t="str">
            <v>sam_ashe</v>
          </cell>
          <cell r="C399" t="str">
            <v>years in sample</v>
          </cell>
          <cell r="D399" t="str">
            <v>ASHE</v>
          </cell>
          <cell r="E399" t="str">
            <v>Included</v>
          </cell>
          <cell r="F399" t="b">
            <v>1</v>
          </cell>
          <cell r="G399" t="b">
            <v>1</v>
          </cell>
          <cell r="H399" t="b">
            <v>1</v>
          </cell>
          <cell r="I399" t="b">
            <v>1</v>
          </cell>
        </row>
        <row r="400">
          <cell r="B400" t="str">
            <v>sano_ashe</v>
          </cell>
          <cell r="C400" t="str">
            <v>special arrangement number</v>
          </cell>
          <cell r="D400" t="str">
            <v>ASHE</v>
          </cell>
          <cell r="E400" t="str">
            <v>Included</v>
          </cell>
          <cell r="F400" t="b">
            <v>1</v>
          </cell>
          <cell r="G400" t="b">
            <v>1</v>
          </cell>
          <cell r="H400" t="b">
            <v>1</v>
          </cell>
          <cell r="I400" t="b">
            <v>1</v>
          </cell>
          <cell r="J400">
            <v>1</v>
          </cell>
          <cell r="L400" t="str">
            <v>numeric</v>
          </cell>
          <cell r="M400">
            <v>1</v>
          </cell>
          <cell r="N400">
            <v>100</v>
          </cell>
        </row>
        <row r="401">
          <cell r="B401" t="str">
            <v>seagp_ashe</v>
          </cell>
          <cell r="D401" t="str">
            <v>ASHE</v>
          </cell>
          <cell r="E401" t="str">
            <v>Included</v>
          </cell>
          <cell r="F401" t="b">
            <v>1</v>
          </cell>
          <cell r="G401" t="b">
            <v>0</v>
          </cell>
          <cell r="H401" t="b">
            <v>0</v>
          </cell>
          <cell r="I401" t="b">
            <v>0</v>
          </cell>
        </row>
        <row r="402">
          <cell r="B402" t="str">
            <v>second_address_country_cen</v>
          </cell>
          <cell r="C402" t="str">
            <v>Stay at second address by country of second address</v>
          </cell>
          <cell r="D402" t="str">
            <v>CENSUS</v>
          </cell>
          <cell r="E402" t="str">
            <v xml:space="preserve">New </v>
          </cell>
          <cell r="F402" t="b">
            <v>0</v>
          </cell>
          <cell r="G402" t="b">
            <v>1</v>
          </cell>
          <cell r="H402" t="b">
            <v>1</v>
          </cell>
          <cell r="I402" t="b">
            <v>1</v>
          </cell>
          <cell r="J402">
            <v>1</v>
          </cell>
          <cell r="L402" t="str">
            <v>numeric</v>
          </cell>
          <cell r="M402">
            <v>1</v>
          </cell>
          <cell r="N402">
            <v>6</v>
          </cell>
        </row>
        <row r="403">
          <cell r="B403" t="str">
            <v>second_address_oa_cen</v>
          </cell>
          <cell r="C403" t="str">
            <v>Output Area of Second Address</v>
          </cell>
          <cell r="D403" t="str">
            <v>CENSUS</v>
          </cell>
          <cell r="E403" t="str">
            <v xml:space="preserve">New </v>
          </cell>
          <cell r="F403" t="b">
            <v>0</v>
          </cell>
          <cell r="G403" t="b">
            <v>0</v>
          </cell>
          <cell r="H403" t="b">
            <v>0</v>
          </cell>
          <cell r="I403" t="b">
            <v>1</v>
          </cell>
        </row>
        <row r="404">
          <cell r="B404" t="str">
            <v>second_address_type_priority_cen</v>
          </cell>
          <cell r="C404" t="str">
            <v>Second address type priority</v>
          </cell>
          <cell r="D404" t="str">
            <v>CENSUS</v>
          </cell>
          <cell r="E404" t="str">
            <v>Similar</v>
          </cell>
          <cell r="F404" t="b">
            <v>0</v>
          </cell>
          <cell r="G404" t="b">
            <v>1</v>
          </cell>
          <cell r="H404" t="b">
            <v>1</v>
          </cell>
          <cell r="I404" t="b">
            <v>1</v>
          </cell>
          <cell r="J404">
            <v>1</v>
          </cell>
          <cell r="L404" t="str">
            <v>numeric</v>
          </cell>
          <cell r="M404">
            <v>1</v>
          </cell>
          <cell r="N404">
            <v>9</v>
          </cell>
        </row>
        <row r="405">
          <cell r="B405" t="str">
            <v>segpay_ashe</v>
          </cell>
          <cell r="D405" t="str">
            <v>ASHE</v>
          </cell>
          <cell r="E405" t="str">
            <v>Included</v>
          </cell>
          <cell r="F405" t="b">
            <v>1</v>
          </cell>
          <cell r="G405" t="b">
            <v>0</v>
          </cell>
          <cell r="H405" t="b">
            <v>0</v>
          </cell>
          <cell r="I405" t="b">
            <v>0</v>
          </cell>
        </row>
        <row r="406">
          <cell r="B406" t="str">
            <v>segpox_ashe</v>
          </cell>
          <cell r="D406" t="str">
            <v>ASHE</v>
          </cell>
          <cell r="E406" t="str">
            <v>Included</v>
          </cell>
          <cell r="F406" t="b">
            <v>1</v>
          </cell>
          <cell r="G406" t="b">
            <v>0</v>
          </cell>
          <cell r="H406" t="b">
            <v>0</v>
          </cell>
          <cell r="I406" t="b">
            <v>0</v>
          </cell>
        </row>
        <row r="407">
          <cell r="B407" t="str">
            <v>sehe_ashe</v>
          </cell>
          <cell r="D407" t="str">
            <v>ASHE</v>
          </cell>
          <cell r="E407" t="str">
            <v>Included</v>
          </cell>
          <cell r="F407" t="b">
            <v>1</v>
          </cell>
          <cell r="G407" t="b">
            <v>0</v>
          </cell>
          <cell r="H407" t="b">
            <v>0</v>
          </cell>
          <cell r="I407" t="b">
            <v>0</v>
          </cell>
        </row>
        <row r="408">
          <cell r="B408" t="str">
            <v>sehexo_ashe</v>
          </cell>
          <cell r="D408" t="str">
            <v>ASHE</v>
          </cell>
          <cell r="E408" t="str">
            <v>Included</v>
          </cell>
          <cell r="F408" t="b">
            <v>1</v>
          </cell>
          <cell r="G408" t="b">
            <v>0</v>
          </cell>
          <cell r="H408" t="b">
            <v>0</v>
          </cell>
          <cell r="I408" t="b">
            <v>0</v>
          </cell>
        </row>
        <row r="409">
          <cell r="B409" t="str">
            <v>serno_ashe</v>
          </cell>
          <cell r="C409" t="str">
            <v>uniquely identifies records within each year within the ons datasets (unsupported)</v>
          </cell>
          <cell r="D409" t="str">
            <v>ASHE</v>
          </cell>
          <cell r="E409" t="str">
            <v>Included</v>
          </cell>
          <cell r="F409" t="b">
            <v>1</v>
          </cell>
          <cell r="G409" t="b">
            <v>1</v>
          </cell>
          <cell r="H409" t="b">
            <v>1</v>
          </cell>
          <cell r="I409" t="b">
            <v>1</v>
          </cell>
          <cell r="L409" t="str">
            <v>numeric</v>
          </cell>
        </row>
        <row r="410">
          <cell r="B410" t="str">
            <v>sernol_ashe</v>
          </cell>
          <cell r="C410" t="str">
            <v>serial number (unsupported)</v>
          </cell>
          <cell r="D410" t="str">
            <v>ASHE</v>
          </cell>
          <cell r="E410" t="str">
            <v>Included</v>
          </cell>
          <cell r="F410" t="b">
            <v>1</v>
          </cell>
          <cell r="G410" t="b">
            <v>1</v>
          </cell>
          <cell r="H410" t="b">
            <v>1</v>
          </cell>
          <cell r="I410" t="b">
            <v>1</v>
          </cell>
        </row>
        <row r="411">
          <cell r="B411" t="str">
            <v>sex_ashe</v>
          </cell>
          <cell r="C411" t="str">
            <v>sex</v>
          </cell>
          <cell r="D411" t="str">
            <v>ASHE</v>
          </cell>
          <cell r="E411" t="str">
            <v>Included</v>
          </cell>
          <cell r="F411" t="b">
            <v>1</v>
          </cell>
          <cell r="G411" t="b">
            <v>1</v>
          </cell>
          <cell r="H411" t="b">
            <v>1</v>
          </cell>
          <cell r="I411" t="b">
            <v>1</v>
          </cell>
          <cell r="J411">
            <v>1</v>
          </cell>
          <cell r="K411">
            <v>1</v>
          </cell>
          <cell r="L411" t="str">
            <v>numeric</v>
          </cell>
          <cell r="M411">
            <v>1</v>
          </cell>
          <cell r="N411">
            <v>2</v>
          </cell>
        </row>
        <row r="412">
          <cell r="B412" t="str">
            <v>sex_cen</v>
          </cell>
          <cell r="C412" t="str">
            <v>sex</v>
          </cell>
          <cell r="D412" t="str">
            <v>CENSUS</v>
          </cell>
          <cell r="E412" t="str">
            <v>Included</v>
          </cell>
          <cell r="F412" t="b">
            <v>1</v>
          </cell>
          <cell r="G412" t="b">
            <v>1</v>
          </cell>
          <cell r="H412" t="b">
            <v>1</v>
          </cell>
          <cell r="I412" t="b">
            <v>1</v>
          </cell>
          <cell r="J412">
            <v>1</v>
          </cell>
          <cell r="L412" t="str">
            <v>numeric</v>
          </cell>
          <cell r="M412">
            <v>1</v>
          </cell>
          <cell r="N412">
            <v>2</v>
          </cell>
        </row>
        <row r="413">
          <cell r="B413" t="str">
            <v>sexual_orientation_cen</v>
          </cell>
          <cell r="C413" t="str">
            <v xml:space="preserve">
Sexual orientation (coded)</v>
          </cell>
          <cell r="D413" t="str">
            <v>CENSUS</v>
          </cell>
          <cell r="E413" t="str">
            <v>Similar</v>
          </cell>
          <cell r="F413" t="b">
            <v>0</v>
          </cell>
          <cell r="G413" t="b">
            <v>1</v>
          </cell>
          <cell r="H413" t="b">
            <v>1</v>
          </cell>
          <cell r="I413" t="b">
            <v>1</v>
          </cell>
          <cell r="J413">
            <v>1</v>
          </cell>
          <cell r="L413" t="str">
            <v>numeric</v>
          </cell>
          <cell r="M413">
            <v>1</v>
          </cell>
          <cell r="N413">
            <v>8</v>
          </cell>
        </row>
        <row r="414">
          <cell r="B414" t="str">
            <v>sic_cen</v>
          </cell>
          <cell r="C414" t="str">
            <v>Industry description</v>
          </cell>
          <cell r="D414" t="str">
            <v>CENSUS</v>
          </cell>
          <cell r="E414" t="str">
            <v>Replaced</v>
          </cell>
          <cell r="F414" t="b">
            <v>0</v>
          </cell>
          <cell r="G414" t="b">
            <v>1</v>
          </cell>
          <cell r="H414" t="b">
            <v>1</v>
          </cell>
          <cell r="I414" t="b">
            <v>1</v>
          </cell>
          <cell r="J414">
            <v>1</v>
          </cell>
          <cell r="L414" t="str">
            <v>numeric</v>
          </cell>
        </row>
        <row r="415">
          <cell r="B415" t="str">
            <v>sic03_ashe</v>
          </cell>
          <cell r="C415" t="str">
            <v>industry sic 2003</v>
          </cell>
          <cell r="D415" t="str">
            <v>ASHE</v>
          </cell>
          <cell r="E415" t="str">
            <v>Included</v>
          </cell>
          <cell r="F415" t="b">
            <v>1</v>
          </cell>
          <cell r="G415" t="b">
            <v>1</v>
          </cell>
          <cell r="H415" t="b">
            <v>1</v>
          </cell>
          <cell r="I415" t="b">
            <v>1</v>
          </cell>
          <cell r="J415">
            <v>1</v>
          </cell>
          <cell r="L415" t="str">
            <v>numeric</v>
          </cell>
          <cell r="M415">
            <v>1000</v>
          </cell>
          <cell r="N415">
            <v>9999</v>
          </cell>
          <cell r="O415" t="str">
            <v>year&lt;=2008</v>
          </cell>
        </row>
        <row r="416">
          <cell r="B416" t="str">
            <v>sic07_ashe</v>
          </cell>
          <cell r="C416" t="str">
            <v>industry sic 2007</v>
          </cell>
          <cell r="D416" t="str">
            <v>ASHE</v>
          </cell>
          <cell r="E416" t="str">
            <v>Included</v>
          </cell>
          <cell r="F416" t="b">
            <v>1</v>
          </cell>
          <cell r="G416" t="b">
            <v>1</v>
          </cell>
          <cell r="H416" t="b">
            <v>1</v>
          </cell>
          <cell r="I416" t="b">
            <v>1</v>
          </cell>
          <cell r="J416">
            <v>1</v>
          </cell>
          <cell r="L416" t="str">
            <v>numeric</v>
          </cell>
          <cell r="M416">
            <v>1000</v>
          </cell>
          <cell r="N416">
            <v>9999</v>
          </cell>
          <cell r="O416" t="str">
            <v>year&gt;=2008</v>
          </cell>
        </row>
        <row r="417">
          <cell r="B417" t="str">
            <v>sikh_ind_cen</v>
          </cell>
          <cell r="C417" t="str">
            <v>Sikh identity indicator</v>
          </cell>
          <cell r="D417" t="str">
            <v>CENSUS</v>
          </cell>
          <cell r="E417" t="str">
            <v xml:space="preserve">New </v>
          </cell>
          <cell r="F417" t="b">
            <v>0</v>
          </cell>
          <cell r="G417" t="b">
            <v>1</v>
          </cell>
          <cell r="H417" t="b">
            <v>1</v>
          </cell>
          <cell r="I417" t="b">
            <v>1</v>
          </cell>
          <cell r="J417">
            <v>1</v>
          </cell>
          <cell r="L417" t="str">
            <v>numeric</v>
          </cell>
          <cell r="M417">
            <v>0</v>
          </cell>
          <cell r="N417">
            <v>3</v>
          </cell>
        </row>
        <row r="418">
          <cell r="B418" t="str">
            <v>simple_ashe</v>
          </cell>
          <cell r="C418" t="str">
            <v>sample type: 0=this year only 1=last yr only 2=t yr/lst yr</v>
          </cell>
          <cell r="D418" t="str">
            <v>ASHE</v>
          </cell>
          <cell r="E418" t="str">
            <v>Included</v>
          </cell>
          <cell r="F418" t="b">
            <v>1</v>
          </cell>
          <cell r="G418" t="b">
            <v>1</v>
          </cell>
          <cell r="H418" t="b">
            <v>1</v>
          </cell>
          <cell r="I418" t="b">
            <v>1</v>
          </cell>
        </row>
        <row r="419">
          <cell r="B419" t="str">
            <v>sipp_ashe</v>
          </cell>
          <cell r="D419" t="str">
            <v>ASHE</v>
          </cell>
          <cell r="E419" t="str">
            <v>Included</v>
          </cell>
          <cell r="F419" t="b">
            <v>1</v>
          </cell>
          <cell r="G419" t="b">
            <v>0</v>
          </cell>
          <cell r="H419" t="b">
            <v>0</v>
          </cell>
          <cell r="I419" t="b">
            <v>0</v>
          </cell>
        </row>
        <row r="420">
          <cell r="B420" t="str">
            <v>sjd_ashe</v>
          </cell>
          <cell r="C420" t="str">
            <v>has the employee worked in the same job for more than one year</v>
          </cell>
          <cell r="D420" t="str">
            <v>ASHE</v>
          </cell>
          <cell r="E420" t="str">
            <v>Included</v>
          </cell>
          <cell r="F420" t="b">
            <v>1</v>
          </cell>
          <cell r="G420" t="b">
            <v>1</v>
          </cell>
          <cell r="H420" t="b">
            <v>1</v>
          </cell>
          <cell r="I420" t="b">
            <v>1</v>
          </cell>
          <cell r="J420">
            <v>1</v>
          </cell>
          <cell r="L420" t="str">
            <v>numeric</v>
          </cell>
          <cell r="M420">
            <v>1</v>
          </cell>
          <cell r="N420">
            <v>2</v>
          </cell>
        </row>
        <row r="421">
          <cell r="B421" t="str">
            <v>sm_ashe</v>
          </cell>
          <cell r="C421" t="str">
            <v>manage role</v>
          </cell>
          <cell r="D421" t="str">
            <v>ASHE</v>
          </cell>
          <cell r="E421" t="str">
            <v>Included</v>
          </cell>
          <cell r="F421" t="b">
            <v>1</v>
          </cell>
          <cell r="G421" t="b">
            <v>1</v>
          </cell>
          <cell r="H421" t="b">
            <v>1</v>
          </cell>
          <cell r="I421" t="b">
            <v>1</v>
          </cell>
          <cell r="J421">
            <v>1</v>
          </cell>
          <cell r="L421" t="str">
            <v>numeric</v>
          </cell>
          <cell r="M421">
            <v>1</v>
          </cell>
          <cell r="N421">
            <v>2</v>
          </cell>
        </row>
        <row r="422">
          <cell r="B422" t="str">
            <v>soc_cen</v>
          </cell>
          <cell r="C422" t="str">
            <v>Occupation description</v>
          </cell>
          <cell r="D422" t="str">
            <v>CENSUS</v>
          </cell>
          <cell r="E422" t="str">
            <v xml:space="preserve">New </v>
          </cell>
          <cell r="F422" t="b">
            <v>0</v>
          </cell>
          <cell r="G422" t="b">
            <v>1</v>
          </cell>
          <cell r="H422" t="b">
            <v>1</v>
          </cell>
          <cell r="I422" t="b">
            <v>1</v>
          </cell>
          <cell r="J422">
            <v>1</v>
          </cell>
          <cell r="L422" t="str">
            <v>numeric</v>
          </cell>
        </row>
        <row r="423">
          <cell r="B423" t="str">
            <v>spay_ashe</v>
          </cell>
          <cell r="D423" t="str">
            <v>ASHE</v>
          </cell>
          <cell r="E423" t="str">
            <v>Included</v>
          </cell>
          <cell r="F423" t="b">
            <v>1</v>
          </cell>
          <cell r="G423" t="b">
            <v>0</v>
          </cell>
          <cell r="H423" t="b">
            <v>0</v>
          </cell>
          <cell r="I423" t="b">
            <v>0</v>
          </cell>
          <cell r="J423">
            <v>1</v>
          </cell>
        </row>
        <row r="424">
          <cell r="B424" t="str">
            <v>spayd_ashe</v>
          </cell>
          <cell r="C424" t="str">
            <v>stakeholder payment marker</v>
          </cell>
          <cell r="D424" t="str">
            <v>ASHE</v>
          </cell>
          <cell r="E424" t="str">
            <v>Included</v>
          </cell>
          <cell r="F424" t="b">
            <v>1</v>
          </cell>
          <cell r="G424" t="b">
            <v>1</v>
          </cell>
          <cell r="H424" t="b">
            <v>1</v>
          </cell>
          <cell r="I424" t="b">
            <v>1</v>
          </cell>
        </row>
        <row r="425">
          <cell r="B425" t="str">
            <v>spens_ashe</v>
          </cell>
          <cell r="C425" t="str">
            <v>stakeholder pensions marker</v>
          </cell>
          <cell r="D425" t="str">
            <v>ASHE</v>
          </cell>
          <cell r="E425" t="str">
            <v>Included</v>
          </cell>
          <cell r="F425" t="b">
            <v>0</v>
          </cell>
          <cell r="G425" t="b">
            <v>1</v>
          </cell>
          <cell r="H425" t="b">
            <v>1</v>
          </cell>
          <cell r="I425" t="b">
            <v>1</v>
          </cell>
        </row>
        <row r="426">
          <cell r="B426" t="str">
            <v>sppay_ashe</v>
          </cell>
          <cell r="C426" t="str">
            <v>shift and premium payments</v>
          </cell>
          <cell r="D426" t="str">
            <v>ASHE</v>
          </cell>
          <cell r="E426" t="str">
            <v>Included</v>
          </cell>
          <cell r="F426" t="b">
            <v>0</v>
          </cell>
          <cell r="G426" t="b">
            <v>1</v>
          </cell>
          <cell r="H426" t="b">
            <v>1</v>
          </cell>
          <cell r="I426" t="b">
            <v>1</v>
          </cell>
          <cell r="J426">
            <v>1</v>
          </cell>
          <cell r="L426" t="str">
            <v>numeric</v>
          </cell>
          <cell r="M426">
            <v>0</v>
          </cell>
          <cell r="N426">
            <v>1000</v>
          </cell>
        </row>
        <row r="427">
          <cell r="B427" t="str">
            <v>staddr_flag_20_cen</v>
          </cell>
          <cell r="C427" t="str">
            <v>Indicator for students who are completing the form at their address during term-time</v>
          </cell>
          <cell r="D427" t="str">
            <v>CENSUS</v>
          </cell>
          <cell r="E427" t="str">
            <v xml:space="preserve">New </v>
          </cell>
          <cell r="F427" t="b">
            <v>0</v>
          </cell>
          <cell r="G427" t="b">
            <v>1</v>
          </cell>
          <cell r="H427" t="b">
            <v>1</v>
          </cell>
          <cell r="I427" t="b">
            <v>1</v>
          </cell>
          <cell r="J427">
            <v>1</v>
          </cell>
          <cell r="L427" t="str">
            <v>numeric</v>
          </cell>
          <cell r="M427">
            <v>1</v>
          </cell>
          <cell r="N427">
            <v>2</v>
          </cell>
        </row>
        <row r="428">
          <cell r="B428" t="str">
            <v>status_ashe</v>
          </cell>
          <cell r="C428" t="str">
            <v>legal status</v>
          </cell>
          <cell r="D428" t="str">
            <v>ASHE</v>
          </cell>
          <cell r="E428" t="str">
            <v>Included</v>
          </cell>
          <cell r="F428" t="b">
            <v>0</v>
          </cell>
          <cell r="G428" t="b">
            <v>1</v>
          </cell>
          <cell r="H428" t="b">
            <v>1</v>
          </cell>
          <cell r="I428" t="b">
            <v>1</v>
          </cell>
        </row>
        <row r="429">
          <cell r="B429" t="str">
            <v>stopcheck_ashe</v>
          </cell>
          <cell r="D429" t="str">
            <v>ASHE</v>
          </cell>
          <cell r="E429" t="str">
            <v>Included</v>
          </cell>
          <cell r="F429" t="b">
            <v>1</v>
          </cell>
          <cell r="G429" t="b">
            <v>0</v>
          </cell>
          <cell r="H429" t="b">
            <v>0</v>
          </cell>
          <cell r="I429" t="b">
            <v>0</v>
          </cell>
        </row>
        <row r="430">
          <cell r="B430" t="str">
            <v>strat_ashe</v>
          </cell>
          <cell r="D430" t="str">
            <v>ASHE</v>
          </cell>
          <cell r="E430" t="str">
            <v>Included</v>
          </cell>
          <cell r="F430" t="b">
            <v>1</v>
          </cell>
          <cell r="G430" t="b">
            <v>0</v>
          </cell>
          <cell r="H430" t="b">
            <v>0</v>
          </cell>
          <cell r="I430" t="b">
            <v>0</v>
          </cell>
        </row>
        <row r="431">
          <cell r="B431" t="str">
            <v>stratum_ashe</v>
          </cell>
          <cell r="C431" t="str">
            <v>stratum</v>
          </cell>
          <cell r="D431" t="str">
            <v>ASHE</v>
          </cell>
          <cell r="E431" t="str">
            <v>Included</v>
          </cell>
          <cell r="F431" t="b">
            <v>1</v>
          </cell>
          <cell r="G431" t="b">
            <v>1</v>
          </cell>
          <cell r="H431" t="b">
            <v>1</v>
          </cell>
          <cell r="I431" t="b">
            <v>1</v>
          </cell>
          <cell r="J431">
            <v>1</v>
          </cell>
          <cell r="L431" t="str">
            <v>numeric</v>
          </cell>
          <cell r="M431">
            <v>0</v>
          </cell>
          <cell r="N431">
            <v>3</v>
          </cell>
        </row>
        <row r="432">
          <cell r="B432" t="str">
            <v>stratum2_ashe</v>
          </cell>
          <cell r="C432" t="str">
            <v>derived from stratum</v>
          </cell>
          <cell r="D432" t="str">
            <v>ASHE</v>
          </cell>
          <cell r="E432" t="str">
            <v>Included</v>
          </cell>
          <cell r="F432" t="b">
            <v>1</v>
          </cell>
          <cell r="G432" t="b">
            <v>1</v>
          </cell>
          <cell r="H432" t="b">
            <v>1</v>
          </cell>
          <cell r="I432" t="b">
            <v>1</v>
          </cell>
        </row>
        <row r="433">
          <cell r="B433" t="str">
            <v>student_accommodation_cen</v>
          </cell>
          <cell r="C433" t="str">
            <v>Student accommodation</v>
          </cell>
          <cell r="D433" t="str">
            <v>CENSUS</v>
          </cell>
          <cell r="E433" t="str">
            <v xml:space="preserve">New </v>
          </cell>
          <cell r="F433" t="b">
            <v>0</v>
          </cell>
          <cell r="G433" t="b">
            <v>1</v>
          </cell>
          <cell r="H433" t="b">
            <v>1</v>
          </cell>
          <cell r="I433" t="b">
            <v>1</v>
          </cell>
          <cell r="J433">
            <v>1</v>
          </cell>
          <cell r="L433" t="str">
            <v>numeric</v>
          </cell>
          <cell r="M433">
            <v>1</v>
          </cell>
          <cell r="N433">
            <v>8</v>
          </cell>
        </row>
        <row r="434">
          <cell r="B434" t="str">
            <v>supervises_or_manages_cen</v>
          </cell>
          <cell r="C434" t="str">
            <v>Supervisor of employees</v>
          </cell>
          <cell r="D434" t="str">
            <v>CENSUS</v>
          </cell>
          <cell r="E434" t="str">
            <v>Similar</v>
          </cell>
          <cell r="F434" t="b">
            <v>0</v>
          </cell>
          <cell r="G434" t="b">
            <v>1</v>
          </cell>
          <cell r="H434" t="b">
            <v>1</v>
          </cell>
          <cell r="I434" t="b">
            <v>1</v>
          </cell>
          <cell r="J434">
            <v>1</v>
          </cell>
          <cell r="L434" t="str">
            <v>numeric</v>
          </cell>
          <cell r="M434">
            <v>1</v>
          </cell>
          <cell r="N434">
            <v>2</v>
          </cell>
        </row>
        <row r="435">
          <cell r="B435" t="str">
            <v>teach_ashe</v>
          </cell>
          <cell r="D435" t="str">
            <v>ASHE</v>
          </cell>
          <cell r="E435" t="str">
            <v>Included</v>
          </cell>
          <cell r="F435" t="b">
            <v>1</v>
          </cell>
          <cell r="G435" t="b">
            <v>0</v>
          </cell>
          <cell r="H435" t="b">
            <v>0</v>
          </cell>
          <cell r="I435" t="b">
            <v>0</v>
          </cell>
        </row>
        <row r="436">
          <cell r="B436" t="str">
            <v>term_time_address_flag_cen</v>
          </cell>
          <cell r="C436" t="str">
            <v>Term Time Address</v>
          </cell>
          <cell r="D436" t="str">
            <v>CENSUS</v>
          </cell>
          <cell r="E436" t="str">
            <v>Similar</v>
          </cell>
          <cell r="F436" t="b">
            <v>0</v>
          </cell>
          <cell r="G436" t="b">
            <v>1</v>
          </cell>
          <cell r="H436" t="b">
            <v>1</v>
          </cell>
          <cell r="I436" t="b">
            <v>1</v>
          </cell>
          <cell r="J436">
            <v>1</v>
          </cell>
          <cell r="L436" t="str">
            <v>numeric</v>
          </cell>
          <cell r="M436">
            <v>1</v>
          </cell>
          <cell r="N436">
            <v>5</v>
          </cell>
        </row>
        <row r="437">
          <cell r="B437" t="str">
            <v>thrs_ashe</v>
          </cell>
          <cell r="C437" t="str">
            <v>average total paid hours worked during the reference period</v>
          </cell>
          <cell r="D437" t="str">
            <v>ASHE</v>
          </cell>
          <cell r="E437" t="str">
            <v>Included</v>
          </cell>
          <cell r="F437" t="b">
            <v>1</v>
          </cell>
          <cell r="G437" t="b">
            <v>1</v>
          </cell>
          <cell r="H437" t="b">
            <v>1</v>
          </cell>
          <cell r="I437" t="b">
            <v>1</v>
          </cell>
          <cell r="J437">
            <v>1</v>
          </cell>
          <cell r="L437" t="str">
            <v>numeric</v>
          </cell>
          <cell r="M437">
            <v>1</v>
          </cell>
          <cell r="N437">
            <v>99</v>
          </cell>
        </row>
        <row r="438">
          <cell r="B438" t="str">
            <v>thrs_x_ashe</v>
          </cell>
          <cell r="C438" t="str">
            <v>total hours</v>
          </cell>
          <cell r="D438" t="str">
            <v>ASHE</v>
          </cell>
          <cell r="E438" t="str">
            <v>Included</v>
          </cell>
          <cell r="F438" t="b">
            <v>1</v>
          </cell>
          <cell r="G438" t="b">
            <v>1</v>
          </cell>
          <cell r="H438" t="b">
            <v>1</v>
          </cell>
          <cell r="I438" t="b">
            <v>1</v>
          </cell>
        </row>
        <row r="439">
          <cell r="B439" t="str">
            <v>totperc_ashe</v>
          </cell>
          <cell r="D439" t="str">
            <v>ASHE</v>
          </cell>
          <cell r="E439" t="str">
            <v>Included</v>
          </cell>
          <cell r="F439" t="b">
            <v>1</v>
          </cell>
          <cell r="G439" t="b">
            <v>0</v>
          </cell>
          <cell r="H439" t="b">
            <v>0</v>
          </cell>
          <cell r="I439" t="b">
            <v>0</v>
          </cell>
        </row>
        <row r="440">
          <cell r="B440" t="str">
            <v>tpay_ashe</v>
          </cell>
          <cell r="C440" t="str">
            <v>total pay as stated by respondent</v>
          </cell>
          <cell r="D440" t="str">
            <v>ASHE</v>
          </cell>
          <cell r="E440" t="str">
            <v>Included</v>
          </cell>
          <cell r="F440" t="b">
            <v>1</v>
          </cell>
          <cell r="G440" t="b">
            <v>1</v>
          </cell>
          <cell r="H440" t="b">
            <v>1</v>
          </cell>
          <cell r="I440" t="b">
            <v>1</v>
          </cell>
          <cell r="J440">
            <v>1</v>
          </cell>
          <cell r="L440" t="str">
            <v>numeric</v>
          </cell>
          <cell r="M440">
            <v>200</v>
          </cell>
          <cell r="N440">
            <v>2000</v>
          </cell>
        </row>
        <row r="441">
          <cell r="B441" t="str">
            <v>tpen_ashe</v>
          </cell>
          <cell r="C441" t="str">
            <v>type of pension scheme</v>
          </cell>
          <cell r="D441" t="str">
            <v>ASHE</v>
          </cell>
          <cell r="E441" t="str">
            <v>Included</v>
          </cell>
          <cell r="F441" t="b">
            <v>1</v>
          </cell>
          <cell r="G441" t="b">
            <v>1</v>
          </cell>
          <cell r="H441" t="b">
            <v>1</v>
          </cell>
          <cell r="I441" t="b">
            <v>1</v>
          </cell>
          <cell r="J441">
            <v>1</v>
          </cell>
          <cell r="L441" t="str">
            <v>numeric</v>
          </cell>
          <cell r="M441">
            <v>0</v>
          </cell>
          <cell r="N441">
            <v>7</v>
          </cell>
        </row>
        <row r="442">
          <cell r="B442" t="str">
            <v>tpen_old_ashe</v>
          </cell>
          <cell r="C442" t="str">
            <v>previous tpen</v>
          </cell>
          <cell r="D442" t="str">
            <v>ASHE</v>
          </cell>
          <cell r="E442" t="str">
            <v>Included</v>
          </cell>
          <cell r="F442" t="b">
            <v>1</v>
          </cell>
          <cell r="G442" t="b">
            <v>1</v>
          </cell>
          <cell r="H442" t="b">
            <v>1</v>
          </cell>
          <cell r="I442" t="b">
            <v>1</v>
          </cell>
        </row>
        <row r="443">
          <cell r="B443" t="str">
            <v>transport_to_work_cen</v>
          </cell>
          <cell r="C443" t="str">
            <v>Method of travel to work</v>
          </cell>
          <cell r="D443" t="str">
            <v>CENSUS</v>
          </cell>
          <cell r="E443" t="str">
            <v xml:space="preserve">New </v>
          </cell>
          <cell r="F443" t="b">
            <v>0</v>
          </cell>
          <cell r="G443" t="b">
            <v>1</v>
          </cell>
          <cell r="H443" t="b">
            <v>1</v>
          </cell>
          <cell r="I443" t="b">
            <v>1</v>
          </cell>
          <cell r="J443">
            <v>1</v>
          </cell>
          <cell r="L443" t="str">
            <v>numeric</v>
          </cell>
          <cell r="M443">
            <v>1</v>
          </cell>
          <cell r="N443">
            <v>11</v>
          </cell>
        </row>
        <row r="444">
          <cell r="B444" t="str">
            <v>transport_to_workplace_cen</v>
          </cell>
          <cell r="C444" t="str">
            <v>Method of travel to workplace</v>
          </cell>
          <cell r="D444" t="str">
            <v>CENSUS</v>
          </cell>
          <cell r="E444" t="str">
            <v>Similar</v>
          </cell>
          <cell r="F444" t="b">
            <v>0</v>
          </cell>
          <cell r="G444" t="b">
            <v>1</v>
          </cell>
          <cell r="H444" t="b">
            <v>1</v>
          </cell>
          <cell r="I444" t="b">
            <v>1</v>
          </cell>
          <cell r="J444">
            <v>1</v>
          </cell>
          <cell r="L444" t="str">
            <v>numeric</v>
          </cell>
          <cell r="M444">
            <v>1</v>
          </cell>
          <cell r="N444">
            <v>13</v>
          </cell>
        </row>
        <row r="445">
          <cell r="B445" t="str">
            <v>travel_destination_oa_cen</v>
          </cell>
          <cell r="C445" t="str">
            <v>Output area of travel destination</v>
          </cell>
          <cell r="D445" t="str">
            <v>CENSUS</v>
          </cell>
          <cell r="E445" t="str">
            <v xml:space="preserve">New </v>
          </cell>
          <cell r="F445" t="b">
            <v>0</v>
          </cell>
          <cell r="G445" t="b">
            <v>0</v>
          </cell>
          <cell r="H445" t="b">
            <v>0</v>
          </cell>
          <cell r="I445" t="b">
            <v>1</v>
          </cell>
        </row>
        <row r="446">
          <cell r="B446" t="str">
            <v>type_of_establishment_cen</v>
          </cell>
          <cell r="C446" t="str">
            <v>Type of Establishment</v>
          </cell>
          <cell r="D446" t="str">
            <v>CENSUS</v>
          </cell>
          <cell r="E446" t="str">
            <v xml:space="preserve">New </v>
          </cell>
          <cell r="F446" t="b">
            <v>0</v>
          </cell>
          <cell r="G446" t="b">
            <v>1</v>
          </cell>
          <cell r="H446" t="b">
            <v>1</v>
          </cell>
          <cell r="I446" t="b">
            <v>1</v>
          </cell>
          <cell r="J446">
            <v>1</v>
          </cell>
          <cell r="L446" t="str">
            <v>numeric</v>
          </cell>
          <cell r="M446">
            <v>1</v>
          </cell>
          <cell r="N446">
            <v>2</v>
          </cell>
        </row>
        <row r="447">
          <cell r="B447" t="str">
            <v>ugpox_ashe</v>
          </cell>
          <cell r="D447" t="str">
            <v>ASHE</v>
          </cell>
          <cell r="E447" t="str">
            <v>Included</v>
          </cell>
          <cell r="F447" t="b">
            <v>1</v>
          </cell>
          <cell r="G447" t="b">
            <v>0</v>
          </cell>
          <cell r="H447" t="b">
            <v>0</v>
          </cell>
          <cell r="I447" t="b">
            <v>0</v>
          </cell>
        </row>
        <row r="448">
          <cell r="B448" t="str">
            <v>uk_armed_forces_cen</v>
          </cell>
          <cell r="C448" t="str">
            <v>Previous service in UK Armed Forces</v>
          </cell>
          <cell r="D448" t="str">
            <v>CENSUS</v>
          </cell>
          <cell r="E448" t="str">
            <v xml:space="preserve">New </v>
          </cell>
          <cell r="F448" t="b">
            <v>0</v>
          </cell>
          <cell r="G448" t="b">
            <v>1</v>
          </cell>
          <cell r="H448" t="b">
            <v>1</v>
          </cell>
          <cell r="I448" t="b">
            <v>1</v>
          </cell>
          <cell r="J448">
            <v>1</v>
          </cell>
          <cell r="L448" t="str">
            <v>numeric</v>
          </cell>
          <cell r="M448">
            <v>1</v>
          </cell>
          <cell r="N448">
            <v>4</v>
          </cell>
        </row>
        <row r="449">
          <cell r="B449" t="str">
            <v>ukdata_ashe</v>
          </cell>
          <cell r="C449" t="str">
            <v>united kingdom data</v>
          </cell>
          <cell r="D449" t="str">
            <v>ASHE</v>
          </cell>
          <cell r="E449" t="str">
            <v>Included</v>
          </cell>
          <cell r="F449" t="b">
            <v>1</v>
          </cell>
          <cell r="G449" t="b">
            <v>1</v>
          </cell>
          <cell r="H449" t="b">
            <v>1</v>
          </cell>
          <cell r="I449" t="b">
            <v>1</v>
          </cell>
        </row>
        <row r="450">
          <cell r="B450" t="str">
            <v>usual_resident_ind_cen</v>
          </cell>
          <cell r="C450" t="str">
            <v>Usual resident indicator</v>
          </cell>
          <cell r="D450" t="str">
            <v>CENSUS</v>
          </cell>
          <cell r="E450" t="str">
            <v xml:space="preserve">New </v>
          </cell>
          <cell r="F450" t="b">
            <v>0</v>
          </cell>
          <cell r="G450" t="b">
            <v>1</v>
          </cell>
          <cell r="H450" t="b">
            <v>1</v>
          </cell>
          <cell r="I450" t="b">
            <v>1</v>
          </cell>
          <cell r="J450">
            <v>1</v>
          </cell>
          <cell r="L450" t="str">
            <v>numeric</v>
          </cell>
          <cell r="M450">
            <v>0</v>
          </cell>
          <cell r="N450">
            <v>1</v>
          </cell>
        </row>
        <row r="451">
          <cell r="B451" t="str">
            <v>valerr_lowp_ashe</v>
          </cell>
          <cell r="D451" t="str">
            <v>ASHE</v>
          </cell>
          <cell r="E451" t="str">
            <v>Included</v>
          </cell>
          <cell r="F451" t="b">
            <v>1</v>
          </cell>
          <cell r="G451" t="b">
            <v>0</v>
          </cell>
          <cell r="H451" t="b">
            <v>0</v>
          </cell>
          <cell r="I451" t="b">
            <v>0</v>
          </cell>
        </row>
        <row r="452">
          <cell r="B452" t="str">
            <v>valerr_main_ashe</v>
          </cell>
          <cell r="D452" t="str">
            <v>ASHE</v>
          </cell>
          <cell r="E452" t="str">
            <v>Included</v>
          </cell>
          <cell r="F452" t="b">
            <v>1</v>
          </cell>
          <cell r="G452" t="b">
            <v>0</v>
          </cell>
          <cell r="H452" t="b">
            <v>0</v>
          </cell>
          <cell r="I452" t="b">
            <v>0</v>
          </cell>
        </row>
        <row r="453">
          <cell r="B453" t="str">
            <v>valerr_outlier_ashe</v>
          </cell>
          <cell r="D453" t="str">
            <v>ASHE</v>
          </cell>
          <cell r="E453" t="str">
            <v>Included</v>
          </cell>
          <cell r="F453" t="b">
            <v>1</v>
          </cell>
          <cell r="G453" t="b">
            <v>0</v>
          </cell>
          <cell r="H453" t="b">
            <v>0</v>
          </cell>
          <cell r="I453" t="b">
            <v>0</v>
          </cell>
        </row>
        <row r="454">
          <cell r="B454" t="str">
            <v>valpen_ashe</v>
          </cell>
          <cell r="D454" t="str">
            <v>ASHE</v>
          </cell>
          <cell r="E454" t="str">
            <v>Included</v>
          </cell>
          <cell r="F454" t="b">
            <v>1</v>
          </cell>
          <cell r="G454" t="b">
            <v>0</v>
          </cell>
          <cell r="H454" t="b">
            <v>0</v>
          </cell>
          <cell r="I454" t="b">
            <v>0</v>
          </cell>
        </row>
        <row r="455">
          <cell r="B455" t="str">
            <v>w_bua11_ashe</v>
          </cell>
          <cell r="C455" t="str">
            <v>work Built-up Area (BUA)</v>
          </cell>
          <cell r="D455" t="str">
            <v>ASHE</v>
          </cell>
          <cell r="E455" t="str">
            <v>Included</v>
          </cell>
          <cell r="F455" t="b">
            <v>0</v>
          </cell>
          <cell r="G455" t="b">
            <v>1</v>
          </cell>
          <cell r="H455" t="b">
            <v>1</v>
          </cell>
          <cell r="I455" t="b">
            <v>1</v>
          </cell>
        </row>
        <row r="456">
          <cell r="B456" t="str">
            <v>w_buasd11_ashe</v>
          </cell>
          <cell r="C456" t="str">
            <v>work Built-up Area Sub-division (BUASD)</v>
          </cell>
          <cell r="D456" t="str">
            <v>ASHE</v>
          </cell>
          <cell r="E456" t="str">
            <v>Included</v>
          </cell>
          <cell r="F456" t="b">
            <v>0</v>
          </cell>
          <cell r="G456" t="b">
            <v>1</v>
          </cell>
          <cell r="H456" t="b">
            <v>1</v>
          </cell>
          <cell r="I456" t="b">
            <v>1</v>
          </cell>
        </row>
        <row r="457">
          <cell r="B457" t="str">
            <v>w_calncv_ashe</v>
          </cell>
          <cell r="C457" t="str">
            <v>work cancer alliance / national cancer vanguard</v>
          </cell>
          <cell r="D457" t="str">
            <v>ASHE</v>
          </cell>
          <cell r="E457" t="str">
            <v>Included</v>
          </cell>
          <cell r="F457" t="b">
            <v>1</v>
          </cell>
          <cell r="G457" t="b">
            <v>1</v>
          </cell>
          <cell r="H457" t="b">
            <v>1</v>
          </cell>
          <cell r="I457" t="b">
            <v>1</v>
          </cell>
        </row>
        <row r="458">
          <cell r="B458" t="str">
            <v>w_ccg_ashe</v>
          </cell>
          <cell r="C458" t="str">
            <v>work Clinical Commissioning Group (CCG)/ Local Health Board (LHB)/ Community Health Partnership (CHP)/ Local Commissioning Group (LCG)/ Primary Healthcare Directorate (PHD)</v>
          </cell>
          <cell r="D458" t="str">
            <v>ASHE</v>
          </cell>
          <cell r="E458" t="str">
            <v>Included</v>
          </cell>
          <cell r="F458" t="b">
            <v>0</v>
          </cell>
          <cell r="G458" t="b">
            <v>1</v>
          </cell>
          <cell r="H458" t="b">
            <v>1</v>
          </cell>
          <cell r="I458" t="b">
            <v>1</v>
          </cell>
        </row>
        <row r="459">
          <cell r="B459" t="str">
            <v>w_ced_ashe</v>
          </cell>
          <cell r="C459" t="str">
            <v>work County Electoral Division</v>
          </cell>
          <cell r="D459" t="str">
            <v>ASHE</v>
          </cell>
          <cell r="E459" t="str">
            <v>Included</v>
          </cell>
          <cell r="F459" t="b">
            <v>1</v>
          </cell>
          <cell r="G459" t="b">
            <v>1</v>
          </cell>
          <cell r="H459" t="b">
            <v>1</v>
          </cell>
          <cell r="I459" t="b">
            <v>1</v>
          </cell>
        </row>
        <row r="460">
          <cell r="B460" t="str">
            <v>w_ctry_ashe</v>
          </cell>
          <cell r="C460" t="str">
            <v>work Country</v>
          </cell>
          <cell r="D460" t="str">
            <v>ASHE</v>
          </cell>
          <cell r="E460" t="str">
            <v>Included</v>
          </cell>
          <cell r="F460" t="b">
            <v>1</v>
          </cell>
          <cell r="G460" t="b">
            <v>1</v>
          </cell>
          <cell r="H460" t="b">
            <v>1</v>
          </cell>
          <cell r="I460" t="b">
            <v>1</v>
          </cell>
        </row>
        <row r="461">
          <cell r="B461" t="str">
            <v>w_cty_ashe</v>
          </cell>
          <cell r="C461" t="str">
            <v>work County</v>
          </cell>
          <cell r="D461" t="str">
            <v>ASHE</v>
          </cell>
          <cell r="E461" t="str">
            <v>Included</v>
          </cell>
          <cell r="F461" t="b">
            <v>1</v>
          </cell>
          <cell r="G461" t="b">
            <v>1</v>
          </cell>
          <cell r="H461" t="b">
            <v>1</v>
          </cell>
          <cell r="I461" t="b">
            <v>1</v>
          </cell>
        </row>
        <row r="462">
          <cell r="B462" t="str">
            <v>w_eer_ashe</v>
          </cell>
          <cell r="C462" t="str">
            <v>work European Electoral Region (EER)</v>
          </cell>
          <cell r="D462" t="str">
            <v>ASHE</v>
          </cell>
          <cell r="E462" t="str">
            <v>Included</v>
          </cell>
          <cell r="F462" t="b">
            <v>1</v>
          </cell>
          <cell r="G462" t="b">
            <v>1</v>
          </cell>
          <cell r="H462" t="b">
            <v>1</v>
          </cell>
          <cell r="I462" t="b">
            <v>1</v>
          </cell>
        </row>
        <row r="463">
          <cell r="B463" t="str">
            <v>w_guid_ashe</v>
          </cell>
          <cell r="C463" t="str">
            <v>work grid refernce</v>
          </cell>
          <cell r="D463" t="str">
            <v>ASHE</v>
          </cell>
          <cell r="E463" t="str">
            <v>Included</v>
          </cell>
          <cell r="F463" t="b">
            <v>1</v>
          </cell>
          <cell r="G463" t="b">
            <v>0</v>
          </cell>
          <cell r="H463" t="b">
            <v>0</v>
          </cell>
          <cell r="I463" t="b">
            <v>1</v>
          </cell>
        </row>
        <row r="464">
          <cell r="B464" t="str">
            <v>w_ha_ashe</v>
          </cell>
          <cell r="C464" t="str">
            <v>health authority</v>
          </cell>
          <cell r="D464" t="str">
            <v>ASHE</v>
          </cell>
          <cell r="E464" t="str">
            <v>Included</v>
          </cell>
          <cell r="F464" t="b">
            <v>1</v>
          </cell>
          <cell r="G464" t="b">
            <v>1</v>
          </cell>
          <cell r="H464" t="b">
            <v>1</v>
          </cell>
          <cell r="I464" t="b">
            <v>1</v>
          </cell>
        </row>
        <row r="465">
          <cell r="B465" t="str">
            <v>w_hlthau_ashe</v>
          </cell>
          <cell r="C465" t="str">
            <v>work Former Strategic Health Authority (SHA)/ Local Health Board (LHB)/ Health Board (HB)/ Health Authority (HA)/ Health &amp; Social Care Board (HSCB)</v>
          </cell>
          <cell r="D465" t="str">
            <v>ASHE</v>
          </cell>
          <cell r="E465" t="str">
            <v>Included</v>
          </cell>
          <cell r="F465" t="b">
            <v>1</v>
          </cell>
          <cell r="G465" t="b">
            <v>1</v>
          </cell>
          <cell r="H465" t="b">
            <v>1</v>
          </cell>
          <cell r="I465" t="b">
            <v>1</v>
          </cell>
        </row>
        <row r="466">
          <cell r="B466" t="str">
            <v>w_imd_ashe</v>
          </cell>
          <cell r="C466" t="str">
            <v>work Index of Multiple Deprivation (IMD)</v>
          </cell>
          <cell r="D466" t="str">
            <v>ASHE</v>
          </cell>
          <cell r="E466" t="str">
            <v>Included</v>
          </cell>
          <cell r="F466" t="b">
            <v>0</v>
          </cell>
          <cell r="G466" t="b">
            <v>1</v>
          </cell>
          <cell r="H466" t="b">
            <v>1</v>
          </cell>
          <cell r="I466" t="b">
            <v>1</v>
          </cell>
        </row>
        <row r="467">
          <cell r="B467" t="str">
            <v>w_itl_ashe</v>
          </cell>
          <cell r="C467" t="str">
            <v>work LAU2 area</v>
          </cell>
          <cell r="D467" t="str">
            <v>ASHE</v>
          </cell>
          <cell r="E467" t="str">
            <v xml:space="preserve">New </v>
          </cell>
          <cell r="F467" t="b">
            <v>0</v>
          </cell>
          <cell r="G467" t="b">
            <v>1</v>
          </cell>
          <cell r="H467" t="b">
            <v>1</v>
          </cell>
          <cell r="I467" t="b">
            <v>1</v>
          </cell>
        </row>
        <row r="468">
          <cell r="B468" t="str">
            <v>w_lat_ashe</v>
          </cell>
          <cell r="C468" t="str">
            <v>work Decimal degrees latitude</v>
          </cell>
          <cell r="D468" t="str">
            <v>ASHE</v>
          </cell>
          <cell r="E468" t="str">
            <v>Included</v>
          </cell>
          <cell r="F468" t="b">
            <v>0</v>
          </cell>
          <cell r="G468" t="b">
            <v>0</v>
          </cell>
          <cell r="H468" t="b">
            <v>0</v>
          </cell>
          <cell r="I468" t="b">
            <v>1</v>
          </cell>
        </row>
        <row r="469">
          <cell r="B469" t="str">
            <v>w_laua_ashe</v>
          </cell>
          <cell r="C469" t="str">
            <v>work Local Authority District (LAD)/unitary authority (UA)/ metropolitan district (MD)/ London borough (LB)/ council area (CA)/district council area (DCA)</v>
          </cell>
          <cell r="D469" t="str">
            <v>ASHE</v>
          </cell>
          <cell r="E469" t="str">
            <v>Included</v>
          </cell>
          <cell r="F469" t="b">
            <v>0</v>
          </cell>
          <cell r="G469" t="b">
            <v>1</v>
          </cell>
          <cell r="H469" t="b">
            <v>1</v>
          </cell>
          <cell r="I469" t="b">
            <v>1</v>
          </cell>
        </row>
        <row r="470">
          <cell r="B470" t="str">
            <v>w_lep1_ashe</v>
          </cell>
          <cell r="C470" t="str">
            <v>work Local Enterprise Partnership (LEP) - first instance</v>
          </cell>
          <cell r="D470" t="str">
            <v>ASHE</v>
          </cell>
          <cell r="E470" t="str">
            <v>Included</v>
          </cell>
          <cell r="F470" t="b">
            <v>1</v>
          </cell>
          <cell r="G470" t="b">
            <v>1</v>
          </cell>
          <cell r="H470" t="b">
            <v>1</v>
          </cell>
          <cell r="I470" t="b">
            <v>1</v>
          </cell>
        </row>
        <row r="471">
          <cell r="B471" t="str">
            <v>w_lep2_ashe</v>
          </cell>
          <cell r="C471" t="str">
            <v>work Local Enterprise Partnership (LEP) - second instance</v>
          </cell>
          <cell r="D471" t="str">
            <v>ASHE</v>
          </cell>
          <cell r="E471" t="str">
            <v>Included</v>
          </cell>
          <cell r="F471" t="b">
            <v>1</v>
          </cell>
          <cell r="G471" t="b">
            <v>1</v>
          </cell>
          <cell r="H471" t="b">
            <v>1</v>
          </cell>
          <cell r="I471" t="b">
            <v>1</v>
          </cell>
        </row>
        <row r="472">
          <cell r="B472" t="str">
            <v>w_long_ashe</v>
          </cell>
          <cell r="C472" t="str">
            <v>work Decimal degrees longitude</v>
          </cell>
          <cell r="D472" t="str">
            <v>ASHE</v>
          </cell>
          <cell r="E472" t="str">
            <v>Included</v>
          </cell>
          <cell r="F472" t="b">
            <v>1</v>
          </cell>
          <cell r="G472" t="b">
            <v>0</v>
          </cell>
          <cell r="H472" t="b">
            <v>0</v>
          </cell>
          <cell r="I472" t="b">
            <v>1</v>
          </cell>
        </row>
        <row r="473">
          <cell r="B473" t="str">
            <v>w_lsoa21_ashe</v>
          </cell>
          <cell r="C473" t="str">
            <v>work 2021 Census Lower Layer Super Output Area (LSOA)/ Data Zone (DZ)/ SOA</v>
          </cell>
          <cell r="D473" t="str">
            <v>ASHE</v>
          </cell>
          <cell r="E473" t="str">
            <v>Similar</v>
          </cell>
          <cell r="F473" t="b">
            <v>0</v>
          </cell>
          <cell r="G473" t="b">
            <v>0</v>
          </cell>
          <cell r="H473" t="b">
            <v>0</v>
          </cell>
          <cell r="I473" t="b">
            <v>1</v>
          </cell>
        </row>
        <row r="474">
          <cell r="B474" t="str">
            <v>w_msoa21_ashe</v>
          </cell>
          <cell r="C474" t="str">
            <v>work Middle Layer Super Output Area (MSOA)/ Intermediate Zone (IZ)</v>
          </cell>
          <cell r="D474" t="str">
            <v>ASHE</v>
          </cell>
          <cell r="E474" t="str">
            <v>Similar</v>
          </cell>
          <cell r="F474" t="b">
            <v>0</v>
          </cell>
          <cell r="G474" t="b">
            <v>0</v>
          </cell>
          <cell r="H474" t="b">
            <v>0</v>
          </cell>
          <cell r="I474" t="b">
            <v>1</v>
          </cell>
        </row>
        <row r="475">
          <cell r="B475" t="str">
            <v>w_nhser_ashe</v>
          </cell>
          <cell r="C475" t="str">
            <v>work NHS England (Region) (NHS ER)</v>
          </cell>
          <cell r="D475" t="str">
            <v>ASHE</v>
          </cell>
          <cell r="E475" t="str">
            <v>Included</v>
          </cell>
          <cell r="F475" t="b">
            <v>1</v>
          </cell>
          <cell r="G475" t="b">
            <v>1</v>
          </cell>
          <cell r="H475" t="b">
            <v>1</v>
          </cell>
          <cell r="I475" t="b">
            <v>1</v>
          </cell>
        </row>
        <row r="476">
          <cell r="B476" t="str">
            <v>w_oa21_ashe</v>
          </cell>
          <cell r="C476" t="str">
            <v>work 2021 Census Output Area (OA)/ Small Area (SA)</v>
          </cell>
          <cell r="D476" t="str">
            <v>ASHE</v>
          </cell>
          <cell r="E476" t="str">
            <v>Similar</v>
          </cell>
          <cell r="F476" t="b">
            <v>0</v>
          </cell>
          <cell r="G476" t="b">
            <v>0</v>
          </cell>
          <cell r="H476" t="b">
            <v>0</v>
          </cell>
          <cell r="I476" t="b">
            <v>1</v>
          </cell>
        </row>
        <row r="477">
          <cell r="B477" t="str">
            <v>w_oac11_ashe</v>
          </cell>
          <cell r="C477" t="str">
            <v>work 2021 Census Output Area classification (OAC)</v>
          </cell>
          <cell r="D477" t="str">
            <v>ASHE</v>
          </cell>
          <cell r="E477" t="str">
            <v>Included</v>
          </cell>
          <cell r="F477" t="b">
            <v>1</v>
          </cell>
          <cell r="G477" t="b">
            <v>1</v>
          </cell>
          <cell r="H477" t="b">
            <v>1</v>
          </cell>
          <cell r="I477" t="b">
            <v>1</v>
          </cell>
        </row>
        <row r="478">
          <cell r="B478" t="str">
            <v>w_oseast1m_ashe</v>
          </cell>
          <cell r="C478" t="str">
            <v>work National grid reference - Easting</v>
          </cell>
          <cell r="D478" t="str">
            <v>ASHE</v>
          </cell>
          <cell r="E478" t="str">
            <v>Included</v>
          </cell>
          <cell r="F478" t="b">
            <v>0</v>
          </cell>
          <cell r="G478" t="b">
            <v>0</v>
          </cell>
          <cell r="H478" t="b">
            <v>0</v>
          </cell>
          <cell r="I478" t="b">
            <v>1</v>
          </cell>
        </row>
        <row r="479">
          <cell r="B479" t="str">
            <v>w_osgrdind_ashe</v>
          </cell>
          <cell r="C479" t="str">
            <v>work Grid reference positional quality indicator</v>
          </cell>
          <cell r="D479" t="str">
            <v>ASHE</v>
          </cell>
          <cell r="E479" t="str">
            <v>Included</v>
          </cell>
          <cell r="F479" t="b">
            <v>0</v>
          </cell>
          <cell r="G479" t="b">
            <v>0</v>
          </cell>
          <cell r="H479" t="b">
            <v>0</v>
          </cell>
          <cell r="I479" t="b">
            <v>1</v>
          </cell>
        </row>
        <row r="480">
          <cell r="B480" t="str">
            <v>w_osnrth1m_ashe</v>
          </cell>
          <cell r="C480" t="str">
            <v>work National grid reference - Northing</v>
          </cell>
          <cell r="D480" t="str">
            <v>ASHE</v>
          </cell>
          <cell r="E480" t="str">
            <v>Included</v>
          </cell>
          <cell r="F480" t="b">
            <v>0</v>
          </cell>
          <cell r="G480" t="b">
            <v>0</v>
          </cell>
          <cell r="H480" t="b">
            <v>0</v>
          </cell>
          <cell r="I480" t="b">
            <v>1</v>
          </cell>
        </row>
        <row r="481">
          <cell r="B481" t="str">
            <v>w_park_ashe</v>
          </cell>
          <cell r="C481" t="str">
            <v>work National park</v>
          </cell>
          <cell r="D481" t="str">
            <v>ASHE</v>
          </cell>
          <cell r="E481" t="str">
            <v>Included</v>
          </cell>
          <cell r="F481" t="b">
            <v>1</v>
          </cell>
          <cell r="G481" t="b">
            <v>1</v>
          </cell>
          <cell r="H481" t="b">
            <v>1</v>
          </cell>
          <cell r="I481" t="b">
            <v>1</v>
          </cell>
        </row>
        <row r="482">
          <cell r="B482" t="str">
            <v>w_pcon_ashe</v>
          </cell>
          <cell r="C482" t="str">
            <v>work Westminster parliamentary constituency</v>
          </cell>
          <cell r="D482" t="str">
            <v>ASHE</v>
          </cell>
          <cell r="E482" t="str">
            <v>Included</v>
          </cell>
          <cell r="F482" t="b">
            <v>1</v>
          </cell>
          <cell r="G482" t="b">
            <v>1</v>
          </cell>
          <cell r="H482" t="b">
            <v>1</v>
          </cell>
          <cell r="I482" t="b">
            <v>1</v>
          </cell>
        </row>
        <row r="483">
          <cell r="B483" t="str">
            <v>w_pct_ashe</v>
          </cell>
          <cell r="C483" t="str">
            <v>work Primary Care Trust (PCT)/ Care Trust/ Care Trust Plus (CT)/ Local Health Board (LHB)/ Community Health  Partnership  (CHP)/ Local Commissioning Group (LCG)/ Primary Healthcare Directorate (PHD)</v>
          </cell>
          <cell r="D483" t="str">
            <v>ASHE</v>
          </cell>
          <cell r="E483" t="str">
            <v>Included</v>
          </cell>
          <cell r="F483" t="b">
            <v>1</v>
          </cell>
          <cell r="G483" t="b">
            <v>1</v>
          </cell>
          <cell r="H483" t="b">
            <v>1</v>
          </cell>
          <cell r="I483" t="b">
            <v>1</v>
          </cell>
        </row>
        <row r="484">
          <cell r="B484" t="str">
            <v>w_pfa_ashe</v>
          </cell>
          <cell r="C484" t="str">
            <v>work Police Force Area (PFA)</v>
          </cell>
          <cell r="D484" t="str">
            <v>ASHE</v>
          </cell>
          <cell r="E484" t="str">
            <v>Included</v>
          </cell>
          <cell r="F484" t="b">
            <v>1</v>
          </cell>
          <cell r="G484" t="b">
            <v>1</v>
          </cell>
          <cell r="H484" t="b">
            <v>1</v>
          </cell>
          <cell r="I484" t="b">
            <v>1</v>
          </cell>
        </row>
        <row r="485">
          <cell r="B485" t="str">
            <v>w_rgn_ashe</v>
          </cell>
          <cell r="C485" t="str">
            <v>work Region (former GOR)</v>
          </cell>
          <cell r="D485" t="str">
            <v>ASHE</v>
          </cell>
          <cell r="E485" t="str">
            <v>Included</v>
          </cell>
          <cell r="F485" t="b">
            <v>1</v>
          </cell>
          <cell r="G485" t="b">
            <v>1</v>
          </cell>
          <cell r="H485" t="b">
            <v>1</v>
          </cell>
          <cell r="I485" t="b">
            <v>1</v>
          </cell>
        </row>
        <row r="486">
          <cell r="B486" t="str">
            <v>w_ru11ind_ashe</v>
          </cell>
          <cell r="C486" t="str">
            <v>work 2011 Census rural-urban classification</v>
          </cell>
          <cell r="D486" t="str">
            <v>ASHE</v>
          </cell>
          <cell r="E486" t="str">
            <v>Included</v>
          </cell>
          <cell r="F486" t="b">
            <v>0</v>
          </cell>
          <cell r="G486" t="b">
            <v>1</v>
          </cell>
          <cell r="H486" t="b">
            <v>1</v>
          </cell>
          <cell r="I486" t="b">
            <v>1</v>
          </cell>
        </row>
        <row r="487">
          <cell r="B487" t="str">
            <v>w_stp_ashe</v>
          </cell>
          <cell r="C487" t="str">
            <v>work sustainability and transformation Partnerships</v>
          </cell>
          <cell r="D487" t="str">
            <v>ASHE</v>
          </cell>
          <cell r="E487" t="str">
            <v>Included</v>
          </cell>
          <cell r="F487" t="b">
            <v>1</v>
          </cell>
          <cell r="G487" t="b">
            <v>1</v>
          </cell>
          <cell r="H487" t="b">
            <v>1</v>
          </cell>
          <cell r="I487" t="b">
            <v>1</v>
          </cell>
        </row>
        <row r="488">
          <cell r="B488" t="str">
            <v>w_teclec_ashe</v>
          </cell>
          <cell r="C488" t="str">
            <v>work Local Learning and Skills Council (LLSC)/ Dept. of Children, Education, Lifelong Learning and Skills (DCELLS)/</v>
          </cell>
          <cell r="D488" t="str">
            <v>ASHE</v>
          </cell>
          <cell r="E488" t="str">
            <v>Included</v>
          </cell>
          <cell r="F488" t="b">
            <v>1</v>
          </cell>
          <cell r="G488" t="b">
            <v>1</v>
          </cell>
          <cell r="H488" t="b">
            <v>1</v>
          </cell>
          <cell r="I488" t="b">
            <v>1</v>
          </cell>
        </row>
        <row r="489">
          <cell r="B489" t="str">
            <v>w_ttwa_ashe</v>
          </cell>
          <cell r="C489" t="str">
            <v>work Travel to Work Area</v>
          </cell>
          <cell r="D489" t="str">
            <v>ASHE</v>
          </cell>
          <cell r="E489" t="str">
            <v>Included</v>
          </cell>
          <cell r="F489" t="b">
            <v>1</v>
          </cell>
          <cell r="G489" t="b">
            <v>0</v>
          </cell>
          <cell r="H489" t="b">
            <v>0</v>
          </cell>
          <cell r="I489" t="b">
            <v>1</v>
          </cell>
        </row>
        <row r="490">
          <cell r="B490" t="str">
            <v>w_ward_ashe</v>
          </cell>
          <cell r="C490" t="str">
            <v>work (Electoral) ward/division</v>
          </cell>
          <cell r="D490" t="str">
            <v>ASHE</v>
          </cell>
          <cell r="E490" t="str">
            <v>Included</v>
          </cell>
          <cell r="F490" t="b">
            <v>1</v>
          </cell>
          <cell r="G490" t="b">
            <v>1</v>
          </cell>
          <cell r="H490" t="b">
            <v>1</v>
          </cell>
          <cell r="I490" t="b">
            <v>1</v>
          </cell>
        </row>
        <row r="491">
          <cell r="B491" t="str">
            <v>w_wz11_ashe</v>
          </cell>
          <cell r="C491" t="str">
            <v>work 2011 Census Workplace Zone</v>
          </cell>
          <cell r="D491" t="str">
            <v>ASHE</v>
          </cell>
          <cell r="E491" t="str">
            <v>Included</v>
          </cell>
          <cell r="F491" t="b">
            <v>1</v>
          </cell>
          <cell r="G491" t="b">
            <v>1</v>
          </cell>
          <cell r="H491" t="b">
            <v>1</v>
          </cell>
          <cell r="I491" t="b">
            <v>1</v>
          </cell>
        </row>
        <row r="492">
          <cell r="B492" t="str">
            <v>waiting_for_work_cen</v>
          </cell>
          <cell r="C492" t="str">
            <v>In the last seven days, were you waiting to start a job already accepted</v>
          </cell>
          <cell r="D492" t="str">
            <v>CENSUS</v>
          </cell>
          <cell r="E492" t="str">
            <v>Similar</v>
          </cell>
          <cell r="F492" t="b">
            <v>0</v>
          </cell>
          <cell r="G492" t="b">
            <v>1</v>
          </cell>
          <cell r="H492" t="b">
            <v>1</v>
          </cell>
          <cell r="I492" t="b">
            <v>1</v>
          </cell>
          <cell r="J492">
            <v>1</v>
          </cell>
          <cell r="L492" t="str">
            <v>numeric</v>
          </cell>
          <cell r="M492">
            <v>1</v>
          </cell>
          <cell r="N492">
            <v>2</v>
          </cell>
        </row>
        <row r="493">
          <cell r="B493" t="str">
            <v>wareac_ashe</v>
          </cell>
          <cell r="D493" t="str">
            <v>ASHE</v>
          </cell>
          <cell r="E493" t="str">
            <v>Included</v>
          </cell>
          <cell r="F493" t="b">
            <v>1</v>
          </cell>
          <cell r="G493" t="b">
            <v>0</v>
          </cell>
          <cell r="H493" t="b">
            <v>0</v>
          </cell>
          <cell r="I493" t="b">
            <v>0</v>
          </cell>
        </row>
        <row r="494">
          <cell r="B494" t="str">
            <v>welsh_language_proficiency_cen</v>
          </cell>
          <cell r="C494" t="str">
            <v>Welsh language</v>
          </cell>
          <cell r="D494" t="str">
            <v>CENSUS</v>
          </cell>
          <cell r="E494" t="str">
            <v xml:space="preserve">New </v>
          </cell>
          <cell r="F494" t="b">
            <v>0</v>
          </cell>
          <cell r="G494" t="b">
            <v>1</v>
          </cell>
          <cell r="H494" t="b">
            <v>1</v>
          </cell>
          <cell r="I494" t="b">
            <v>1</v>
          </cell>
          <cell r="J494">
            <v>1</v>
          </cell>
        </row>
        <row r="495">
          <cell r="B495" t="str">
            <v>welsh_skills_all_cen</v>
          </cell>
          <cell r="C495" t="str">
            <v>Welsh language skills</v>
          </cell>
          <cell r="D495" t="str">
            <v>CENSUS</v>
          </cell>
          <cell r="E495" t="str">
            <v>Replaced</v>
          </cell>
          <cell r="F495" t="b">
            <v>0</v>
          </cell>
          <cell r="G495" t="b">
            <v>1</v>
          </cell>
          <cell r="H495" t="b">
            <v>1</v>
          </cell>
          <cell r="I495" t="b">
            <v>1</v>
          </cell>
          <cell r="J495">
            <v>1</v>
          </cell>
          <cell r="L495" t="str">
            <v>numeric</v>
          </cell>
          <cell r="M495">
            <v>1</v>
          </cell>
          <cell r="N495">
            <v>8</v>
          </cell>
        </row>
        <row r="496">
          <cell r="B496" t="str">
            <v>welsh_skills_read_cen</v>
          </cell>
          <cell r="C496" t="str">
            <v>Ability to read Welsh</v>
          </cell>
          <cell r="D496" t="str">
            <v>CENSUS</v>
          </cell>
          <cell r="E496" t="str">
            <v>Replaced</v>
          </cell>
          <cell r="F496" t="b">
            <v>0</v>
          </cell>
          <cell r="G496" t="b">
            <v>1</v>
          </cell>
          <cell r="H496" t="b">
            <v>1</v>
          </cell>
          <cell r="I496" t="b">
            <v>1</v>
          </cell>
          <cell r="J496">
            <v>1</v>
          </cell>
          <cell r="L496" t="str">
            <v>numeric</v>
          </cell>
          <cell r="M496">
            <v>0</v>
          </cell>
          <cell r="N496">
            <v>1</v>
          </cell>
        </row>
        <row r="497">
          <cell r="B497" t="str">
            <v>welsh_skills_speak_cen</v>
          </cell>
          <cell r="C497" t="str">
            <v>Ability to speak Welsh</v>
          </cell>
          <cell r="D497" t="str">
            <v>CENSUS</v>
          </cell>
          <cell r="E497" t="str">
            <v>Replaced</v>
          </cell>
          <cell r="F497" t="b">
            <v>0</v>
          </cell>
          <cell r="G497" t="b">
            <v>1</v>
          </cell>
          <cell r="H497" t="b">
            <v>1</v>
          </cell>
          <cell r="I497" t="b">
            <v>1</v>
          </cell>
          <cell r="J497">
            <v>1</v>
          </cell>
          <cell r="L497" t="str">
            <v>numeric</v>
          </cell>
          <cell r="M497">
            <v>0</v>
          </cell>
          <cell r="N497">
            <v>1</v>
          </cell>
        </row>
        <row r="498">
          <cell r="B498" t="str">
            <v>welsh_skills_understand_cen</v>
          </cell>
          <cell r="C498" t="str">
            <v>Ability to understand Welsh</v>
          </cell>
          <cell r="D498" t="str">
            <v>CENSUS</v>
          </cell>
          <cell r="E498" t="str">
            <v>Replaced</v>
          </cell>
          <cell r="F498" t="b">
            <v>0</v>
          </cell>
          <cell r="G498" t="b">
            <v>1</v>
          </cell>
          <cell r="H498" t="b">
            <v>1</v>
          </cell>
          <cell r="I498" t="b">
            <v>1</v>
          </cell>
          <cell r="J498">
            <v>1</v>
          </cell>
          <cell r="L498" t="str">
            <v>numeric</v>
          </cell>
          <cell r="M498">
            <v>0</v>
          </cell>
          <cell r="N498">
            <v>1</v>
          </cell>
        </row>
        <row r="499">
          <cell r="B499" t="str">
            <v>welsh_skills_write_cen</v>
          </cell>
          <cell r="C499" t="str">
            <v>Ability to write in Welsh</v>
          </cell>
          <cell r="D499" t="str">
            <v>CENSUS</v>
          </cell>
          <cell r="E499" t="str">
            <v>Replaced</v>
          </cell>
          <cell r="F499" t="b">
            <v>0</v>
          </cell>
          <cell r="G499" t="b">
            <v>1</v>
          </cell>
          <cell r="H499" t="b">
            <v>1</v>
          </cell>
          <cell r="I499" t="b">
            <v>1</v>
          </cell>
          <cell r="J499">
            <v>1</v>
          </cell>
          <cell r="L499" t="str">
            <v>numeric</v>
          </cell>
          <cell r="M499">
            <v>0</v>
          </cell>
          <cell r="N499">
            <v>1</v>
          </cell>
        </row>
        <row r="500">
          <cell r="B500" t="str">
            <v>welsh_speaking_3_plus_cen</v>
          </cell>
          <cell r="C500" t="str">
            <v>Welsh speaking indicator for people aged 3 and over</v>
          </cell>
          <cell r="D500" t="str">
            <v>CENSUS</v>
          </cell>
          <cell r="E500" t="str">
            <v xml:space="preserve">New </v>
          </cell>
          <cell r="F500" t="b">
            <v>0</v>
          </cell>
          <cell r="G500" t="b">
            <v>1</v>
          </cell>
          <cell r="H500" t="b">
            <v>1</v>
          </cell>
          <cell r="I500" t="b">
            <v>1</v>
          </cell>
          <cell r="J500">
            <v>1</v>
          </cell>
          <cell r="L500" t="str">
            <v>numeric</v>
          </cell>
          <cell r="M500">
            <v>0</v>
          </cell>
          <cell r="N500">
            <v>1</v>
          </cell>
        </row>
        <row r="501">
          <cell r="B501" t="str">
            <v>welsh_speaking_dependent_child_cen</v>
          </cell>
          <cell r="C501" t="str">
            <v>Dependent children aged 3 and over living in a family and their ability to speak Welsh</v>
          </cell>
          <cell r="D501" t="str">
            <v>CENSUS</v>
          </cell>
          <cell r="E501" t="str">
            <v xml:space="preserve">New </v>
          </cell>
          <cell r="F501" t="b">
            <v>0</v>
          </cell>
          <cell r="G501" t="b">
            <v>1</v>
          </cell>
          <cell r="H501" t="b">
            <v>1</v>
          </cell>
          <cell r="I501" t="b">
            <v>1</v>
          </cell>
          <cell r="J501">
            <v>1</v>
          </cell>
          <cell r="L501" t="str">
            <v>numeric</v>
          </cell>
          <cell r="M501">
            <v>1</v>
          </cell>
          <cell r="N501">
            <v>8</v>
          </cell>
        </row>
        <row r="502">
          <cell r="B502" t="str">
            <v>witl1_ashe</v>
          </cell>
          <cell r="C502" t="str">
            <v>territorial units for statistics, level 1, work location</v>
          </cell>
          <cell r="D502" t="str">
            <v>ASHE</v>
          </cell>
          <cell r="E502" t="str">
            <v xml:space="preserve">New </v>
          </cell>
          <cell r="F502" t="b">
            <v>0</v>
          </cell>
          <cell r="G502" t="b">
            <v>1</v>
          </cell>
          <cell r="H502" t="b">
            <v>1</v>
          </cell>
          <cell r="I502" t="b">
            <v>1</v>
          </cell>
        </row>
        <row r="503">
          <cell r="B503" t="str">
            <v>witl2_ashe</v>
          </cell>
          <cell r="C503" t="str">
            <v>territorial units for statistics, level 2, work location</v>
          </cell>
          <cell r="D503" t="str">
            <v>ASHE</v>
          </cell>
          <cell r="E503" t="str">
            <v xml:space="preserve">New </v>
          </cell>
          <cell r="F503" t="b">
            <v>0</v>
          </cell>
          <cell r="G503" t="b">
            <v>1</v>
          </cell>
          <cell r="H503" t="b">
            <v>1</v>
          </cell>
          <cell r="I503" t="b">
            <v>1</v>
          </cell>
        </row>
        <row r="504">
          <cell r="B504" t="str">
            <v>witl3_ashe</v>
          </cell>
          <cell r="C504" t="str">
            <v>territorial units for statistics, level 3, work location</v>
          </cell>
          <cell r="D504" t="str">
            <v>ASHE</v>
          </cell>
          <cell r="E504" t="str">
            <v xml:space="preserve">New </v>
          </cell>
          <cell r="F504" t="b">
            <v>0</v>
          </cell>
          <cell r="G504" t="b">
            <v>1</v>
          </cell>
          <cell r="H504" t="b">
            <v>1</v>
          </cell>
          <cell r="I504" t="b">
            <v>1</v>
          </cell>
        </row>
        <row r="505">
          <cell r="B505" t="str">
            <v>working_age_ind_cen</v>
          </cell>
          <cell r="C505" t="str">
            <v>Working Age Indicator</v>
          </cell>
          <cell r="D505" t="str">
            <v>CENSUS</v>
          </cell>
          <cell r="E505" t="str">
            <v xml:space="preserve">New </v>
          </cell>
          <cell r="F505" t="b">
            <v>0</v>
          </cell>
          <cell r="G505" t="b">
            <v>1</v>
          </cell>
          <cell r="H505" t="b">
            <v>1</v>
          </cell>
          <cell r="I505" t="b">
            <v>1</v>
          </cell>
          <cell r="J505">
            <v>1</v>
          </cell>
          <cell r="L505" t="str">
            <v>numeric</v>
          </cell>
          <cell r="M505">
            <v>1</v>
          </cell>
          <cell r="N505">
            <v>2</v>
          </cell>
        </row>
        <row r="506">
          <cell r="B506" t="str">
            <v>workplace_address_cen</v>
          </cell>
          <cell r="C506" t="str">
            <v>Workplace address (Matched/captured)</v>
          </cell>
          <cell r="D506" t="str">
            <v>CENSUS</v>
          </cell>
          <cell r="E506" t="str">
            <v xml:space="preserve">New </v>
          </cell>
          <cell r="F506" t="b">
            <v>0</v>
          </cell>
          <cell r="G506" t="b">
            <v>0</v>
          </cell>
          <cell r="H506" t="b">
            <v>0</v>
          </cell>
          <cell r="I506" t="b">
            <v>1</v>
          </cell>
        </row>
        <row r="507">
          <cell r="B507" t="str">
            <v>workplace_address_country_cen</v>
          </cell>
          <cell r="C507" t="str">
            <v>Workplace (Outside UK)</v>
          </cell>
          <cell r="D507" t="str">
            <v>CENSUS</v>
          </cell>
          <cell r="E507" t="str">
            <v>Replaced</v>
          </cell>
          <cell r="F507" t="b">
            <v>0</v>
          </cell>
          <cell r="G507" t="b">
            <v>1</v>
          </cell>
          <cell r="H507" t="b">
            <v>1</v>
          </cell>
          <cell r="I507" t="b">
            <v>1</v>
          </cell>
          <cell r="J507">
            <v>1</v>
          </cell>
        </row>
        <row r="508">
          <cell r="B508" t="str">
            <v>workplace_address_latitude_cen</v>
          </cell>
          <cell r="C508" t="str">
            <v xml:space="preserve">
Workplace address (Latitude)</v>
          </cell>
          <cell r="D508" t="str">
            <v>CENSUS</v>
          </cell>
          <cell r="E508" t="str">
            <v>Replaced</v>
          </cell>
          <cell r="F508" t="b">
            <v>0</v>
          </cell>
          <cell r="G508" t="b">
            <v>0</v>
          </cell>
          <cell r="H508" t="b">
            <v>0</v>
          </cell>
          <cell r="I508" t="b">
            <v>1</v>
          </cell>
        </row>
        <row r="509">
          <cell r="B509" t="str">
            <v>workplace_address_longitude_cen</v>
          </cell>
          <cell r="C509" t="str">
            <v xml:space="preserve">
Workplace address (Longitude)</v>
          </cell>
          <cell r="D509" t="str">
            <v>CENSUS</v>
          </cell>
          <cell r="E509" t="str">
            <v>Replaced</v>
          </cell>
          <cell r="F509" t="b">
            <v>0</v>
          </cell>
          <cell r="G509" t="b">
            <v>0</v>
          </cell>
          <cell r="H509" t="b">
            <v>0</v>
          </cell>
          <cell r="I509" t="b">
            <v>1</v>
          </cell>
        </row>
        <row r="510">
          <cell r="B510" t="str">
            <v>workplace_address_output_area_cen</v>
          </cell>
          <cell r="C510" t="str">
            <v>Workplace Address Output Area</v>
          </cell>
          <cell r="D510" t="str">
            <v>CENSUS</v>
          </cell>
          <cell r="E510" t="str">
            <v>Replaced</v>
          </cell>
          <cell r="F510" t="b">
            <v>0</v>
          </cell>
          <cell r="G510" t="b">
            <v>0</v>
          </cell>
          <cell r="H510" t="b">
            <v>0</v>
          </cell>
          <cell r="I510" t="b">
            <v>1</v>
          </cell>
        </row>
        <row r="511">
          <cell r="B511" t="str">
            <v>workplace_address_postcode_cen</v>
          </cell>
          <cell r="C511" t="str">
            <v xml:space="preserve">
Workplace address (Postcode)</v>
          </cell>
          <cell r="D511" t="str">
            <v>CENSUS</v>
          </cell>
          <cell r="E511" t="str">
            <v>Replaced</v>
          </cell>
          <cell r="F511" t="b">
            <v>0</v>
          </cell>
          <cell r="G511" t="b">
            <v>0</v>
          </cell>
          <cell r="H511" t="b">
            <v>0</v>
          </cell>
          <cell r="I511" t="b">
            <v>1</v>
          </cell>
        </row>
        <row r="512">
          <cell r="B512" t="str">
            <v>workplace_address_uprn_cen</v>
          </cell>
          <cell r="C512" t="str">
            <v>Workplace address (UPRN)</v>
          </cell>
          <cell r="D512" t="str">
            <v>CENSUS</v>
          </cell>
          <cell r="E512" t="str">
            <v xml:space="preserve">New </v>
          </cell>
          <cell r="F512" t="b">
            <v>0</v>
          </cell>
          <cell r="G512" t="b">
            <v>0</v>
          </cell>
          <cell r="H512" t="b">
            <v>0</v>
          </cell>
          <cell r="I512" t="b">
            <v>1</v>
          </cell>
        </row>
        <row r="513">
          <cell r="B513" t="str">
            <v>workplace_oa_cen</v>
          </cell>
          <cell r="C513" t="str">
            <v>Output area of workplace</v>
          </cell>
          <cell r="D513" t="str">
            <v>CENSUS</v>
          </cell>
          <cell r="E513" t="str">
            <v xml:space="preserve">New </v>
          </cell>
          <cell r="F513" t="b">
            <v>0</v>
          </cell>
          <cell r="G513" t="b">
            <v>0</v>
          </cell>
          <cell r="H513" t="b">
            <v>0</v>
          </cell>
          <cell r="I513" t="b">
            <v>1</v>
          </cell>
        </row>
        <row r="514">
          <cell r="B514" t="str">
            <v>workplace_travel_cen</v>
          </cell>
          <cell r="C514" t="str">
            <v>Distance travelled to work and place of work</v>
          </cell>
          <cell r="D514" t="str">
            <v>CENSUS</v>
          </cell>
          <cell r="E514" t="str">
            <v xml:space="preserve">New </v>
          </cell>
          <cell r="F514" t="b">
            <v>0</v>
          </cell>
          <cell r="G514" t="b">
            <v>1</v>
          </cell>
          <cell r="H514" t="b">
            <v>1</v>
          </cell>
          <cell r="I514" t="b">
            <v>1</v>
          </cell>
          <cell r="J514">
            <v>1</v>
          </cell>
          <cell r="L514" t="str">
            <v>numeric</v>
          </cell>
          <cell r="M514">
            <v>1</v>
          </cell>
          <cell r="N514">
            <v>10</v>
          </cell>
        </row>
        <row r="515">
          <cell r="B515" t="str">
            <v>workplace_type_cen</v>
          </cell>
          <cell r="C515" t="str">
            <v>Workplace address (Indicator)</v>
          </cell>
          <cell r="D515" t="str">
            <v>CENSUS</v>
          </cell>
          <cell r="E515" t="str">
            <v>Replaced</v>
          </cell>
          <cell r="F515" t="b">
            <v>0</v>
          </cell>
          <cell r="G515" t="b">
            <v>1</v>
          </cell>
          <cell r="H515" t="b">
            <v>1</v>
          </cell>
          <cell r="I515" t="b">
            <v>1</v>
          </cell>
          <cell r="J515">
            <v>1</v>
          </cell>
          <cell r="L515" t="str">
            <v>numeric</v>
          </cell>
          <cell r="M515">
            <v>1</v>
          </cell>
          <cell r="N515">
            <v>4</v>
          </cell>
        </row>
        <row r="516">
          <cell r="B516" t="str">
            <v>wpost_ashe</v>
          </cell>
          <cell r="C516" t="str">
            <v>work postcode</v>
          </cell>
          <cell r="D516" t="str">
            <v>ASHE</v>
          </cell>
          <cell r="E516" t="str">
            <v>Included</v>
          </cell>
          <cell r="F516" t="b">
            <v>1</v>
          </cell>
          <cell r="G516" t="b">
            <v>0</v>
          </cell>
          <cell r="H516" t="b">
            <v>0</v>
          </cell>
          <cell r="I516" t="b">
            <v>1</v>
          </cell>
        </row>
        <row r="517">
          <cell r="B517" t="str">
            <v>year_ashe</v>
          </cell>
          <cell r="C517" t="str">
            <v>year of survey</v>
          </cell>
          <cell r="D517" t="str">
            <v>ASHE</v>
          </cell>
          <cell r="E517" t="str">
            <v>Included</v>
          </cell>
          <cell r="F517" t="b">
            <v>1</v>
          </cell>
          <cell r="G517" t="b">
            <v>1</v>
          </cell>
          <cell r="H517" t="b">
            <v>1</v>
          </cell>
          <cell r="I517" t="b">
            <v>1</v>
          </cell>
        </row>
        <row r="518">
          <cell r="B518" t="str">
            <v>year_arrival_uk_cen</v>
          </cell>
          <cell r="C518" t="str">
            <v>Year of arrival in the UK</v>
          </cell>
          <cell r="D518" t="str">
            <v>CENSUS</v>
          </cell>
          <cell r="E518" t="str">
            <v xml:space="preserve">New </v>
          </cell>
          <cell r="F518" t="b">
            <v>0</v>
          </cell>
          <cell r="G518" t="b">
            <v>1</v>
          </cell>
          <cell r="H518" t="b">
            <v>1</v>
          </cell>
          <cell r="I518" t="b">
            <v>1</v>
          </cell>
          <cell r="J518">
            <v>1</v>
          </cell>
          <cell r="L518" t="str">
            <v>numeric</v>
          </cell>
          <cell r="M518">
            <v>1</v>
          </cell>
          <cell r="N518">
            <v>12</v>
          </cell>
        </row>
        <row r="519">
          <cell r="B519" t="str">
            <v>year_of_arrival_in_country_cen</v>
          </cell>
          <cell r="C519" t="str">
            <v>Year of arrival in UK</v>
          </cell>
          <cell r="D519" t="str">
            <v>CENSUS</v>
          </cell>
          <cell r="E519" t="str">
            <v>Similar</v>
          </cell>
          <cell r="F519" t="b">
            <v>0</v>
          </cell>
          <cell r="G519" t="b">
            <v>1</v>
          </cell>
          <cell r="H519" t="b">
            <v>1</v>
          </cell>
          <cell r="I519" t="b">
            <v>1</v>
          </cell>
          <cell r="J519">
            <v>1</v>
          </cell>
          <cell r="L519" t="str">
            <v>numeric</v>
          </cell>
        </row>
        <row r="520">
          <cell r="B520" t="str">
            <v>yob_ashe</v>
          </cell>
          <cell r="C520" t="str">
            <v>year of birth</v>
          </cell>
          <cell r="D520" t="str">
            <v>ASHE</v>
          </cell>
          <cell r="E520" t="str">
            <v>Included</v>
          </cell>
          <cell r="F520" t="b">
            <v>1</v>
          </cell>
          <cell r="G520" t="b">
            <v>1</v>
          </cell>
          <cell r="H520" t="b">
            <v>1</v>
          </cell>
          <cell r="I520" t="b">
            <v>1</v>
          </cell>
        </row>
        <row r="521">
          <cell r="B521" t="str">
            <v>empref_ashe</v>
          </cell>
          <cell r="C521" t="str">
            <v>employee reference number</v>
          </cell>
          <cell r="D521" t="str">
            <v>ASHE</v>
          </cell>
          <cell r="E521" t="str">
            <v>Included</v>
          </cell>
          <cell r="G521" t="b">
            <v>0</v>
          </cell>
          <cell r="H521" t="b">
            <v>0</v>
          </cell>
          <cell r="I521" t="b">
            <v>1</v>
          </cell>
        </row>
        <row r="522">
          <cell r="B522" t="str">
            <v>ida_guid_link</v>
          </cell>
          <cell r="C522" t="str">
            <v>Unique Identifier for the data</v>
          </cell>
          <cell r="D522" t="str">
            <v>link from Ashe id encrypted nino lookup</v>
          </cell>
          <cell r="E522" t="str">
            <v xml:space="preserve">New </v>
          </cell>
          <cell r="G522" t="b">
            <v>0</v>
          </cell>
          <cell r="H522" t="b">
            <v>0</v>
          </cell>
          <cell r="I522" t="b">
            <v>1</v>
          </cell>
        </row>
        <row r="523">
          <cell r="B523" t="str">
            <v>demographic_entry_id_adr_id_link</v>
          </cell>
          <cell r="C523" t="str">
            <v>Demographic Entry ID from rdmf for the anonymised version of National Insurance number</v>
          </cell>
          <cell r="D523" t="str">
            <v>link from Ashe id encrypted nino lookup</v>
          </cell>
          <cell r="E523" t="str">
            <v xml:space="preserve">New </v>
          </cell>
          <cell r="G523" t="b">
            <v>0</v>
          </cell>
          <cell r="H523" t="b">
            <v>0</v>
          </cell>
          <cell r="I523" t="b">
            <v>1</v>
          </cell>
        </row>
        <row r="524">
          <cell r="B524" t="str">
            <v>geography_entry_id_h_lsoa21_link</v>
          </cell>
          <cell r="C524" t="str">
            <v xml:space="preserve">Geography Entry ID from rdmf for the home 2011 Census Lower Layer Super Output Area (LSOA)/ Data Zone (DZ)/ SOA </v>
          </cell>
          <cell r="D524" t="str">
            <v>link from Ashe id encrypted nino lookup</v>
          </cell>
          <cell r="E524" t="str">
            <v xml:space="preserve">New </v>
          </cell>
          <cell r="G524" t="b">
            <v>0</v>
          </cell>
          <cell r="H524" t="b">
            <v>0</v>
          </cell>
          <cell r="I524" t="b">
            <v>1</v>
          </cell>
        </row>
        <row r="525">
          <cell r="B525" t="str">
            <v>geography_entry_id_h_msoa21_link</v>
          </cell>
          <cell r="C525" t="str">
            <v>Geography Entry ID from rdmf for the home Middle Layer Super Output Area (MSOA)/ Intermediate Zone (IZ)</v>
          </cell>
          <cell r="D525" t="str">
            <v>link from Ashe id encrypted nino lookup</v>
          </cell>
          <cell r="E525" t="str">
            <v xml:space="preserve">New </v>
          </cell>
          <cell r="G525" t="b">
            <v>0</v>
          </cell>
          <cell r="H525" t="b">
            <v>0</v>
          </cell>
          <cell r="I525" t="b">
            <v>1</v>
          </cell>
        </row>
        <row r="526">
          <cell r="B526" t="str">
            <v>geography_entry_id_h_oa21_link</v>
          </cell>
          <cell r="C526" t="str">
            <v>Geography Entry ID from rdmf for the home 2011 Census Output Area (OA)/ Small Area (SA)</v>
          </cell>
          <cell r="D526" t="str">
            <v>link from Ashe id encrypted nino lookup</v>
          </cell>
          <cell r="E526" t="str">
            <v xml:space="preserve">New </v>
          </cell>
          <cell r="G526" t="b">
            <v>0</v>
          </cell>
          <cell r="H526" t="b">
            <v>0</v>
          </cell>
          <cell r="I526" t="b">
            <v>1</v>
          </cell>
        </row>
        <row r="527">
          <cell r="B527" t="str">
            <v>geography_entry_id_idbrhpst_link</v>
          </cell>
          <cell r="C527" t="str">
            <v>Geography Entry ID from rdmf for the idbr home postcode</v>
          </cell>
          <cell r="D527" t="str">
            <v>link from Ashe id encrypted nino lookup</v>
          </cell>
          <cell r="E527" t="str">
            <v xml:space="preserve">New </v>
          </cell>
          <cell r="G527" t="b">
            <v>0</v>
          </cell>
          <cell r="H527" t="b">
            <v>0</v>
          </cell>
          <cell r="I527" t="b">
            <v>1</v>
          </cell>
        </row>
        <row r="528">
          <cell r="B528" t="str">
            <v>geography_entry_id_idbrwpst_link</v>
          </cell>
          <cell r="C528" t="str">
            <v>Geography Entry ID from rdmf for the idbr work postcode</v>
          </cell>
          <cell r="D528" t="str">
            <v>link from Ashe id encrypted nino lookup</v>
          </cell>
          <cell r="E528" t="str">
            <v xml:space="preserve">New </v>
          </cell>
          <cell r="G528" t="b">
            <v>0</v>
          </cell>
          <cell r="H528" t="b">
            <v>0</v>
          </cell>
          <cell r="I528" t="b">
            <v>1</v>
          </cell>
        </row>
        <row r="529">
          <cell r="B529" t="str">
            <v>geography_entry_id_w_lsoa21_link</v>
          </cell>
          <cell r="C529" t="str">
            <v>Geography Entry ID from rdmf for the work 2021 Census Lower Layer Super Output Area (LSOA)/ Data Zone (DZ)/ SOA</v>
          </cell>
          <cell r="D529" t="str">
            <v>link from Ashe id encrypted nino lookup</v>
          </cell>
          <cell r="E529" t="str">
            <v xml:space="preserve">New </v>
          </cell>
          <cell r="G529" t="b">
            <v>0</v>
          </cell>
          <cell r="H529" t="b">
            <v>0</v>
          </cell>
          <cell r="I529" t="b">
            <v>1</v>
          </cell>
        </row>
        <row r="530">
          <cell r="B530" t="str">
            <v>geography_entry_id_w_msoa21_link</v>
          </cell>
          <cell r="C530" t="str">
            <v>Geography Entry ID from rdmf for the work Middle Layer Super Output Area (MSOA)/ Intermediate Zone (IZ)</v>
          </cell>
          <cell r="D530" t="str">
            <v>link from Ashe id encrypted nino lookup</v>
          </cell>
          <cell r="E530" t="str">
            <v xml:space="preserve">New </v>
          </cell>
          <cell r="G530" t="b">
            <v>0</v>
          </cell>
          <cell r="H530" t="b">
            <v>0</v>
          </cell>
          <cell r="I530" t="b">
            <v>1</v>
          </cell>
        </row>
        <row r="531">
          <cell r="B531" t="str">
            <v>geography_entry_id_w_oa21_link</v>
          </cell>
          <cell r="C531" t="str">
            <v>Geography Entry ID from rdmf for the work 2021 Census Output Area (OA)/ Small Area (SA)</v>
          </cell>
          <cell r="D531" t="str">
            <v>link from Ashe id encrypted nino lookup</v>
          </cell>
          <cell r="E531" t="str">
            <v xml:space="preserve">New </v>
          </cell>
          <cell r="G531" t="b">
            <v>0</v>
          </cell>
          <cell r="H531" t="b">
            <v>0</v>
          </cell>
          <cell r="I531" t="b">
            <v>1</v>
          </cell>
        </row>
        <row r="532">
          <cell r="B532" t="str">
            <v>geography_entry_id_wpost_link</v>
          </cell>
          <cell r="C532" t="str">
            <v>Geography Entry ID from rdmf for the Work postcode</v>
          </cell>
          <cell r="D532" t="str">
            <v>link from Ashe id encrypted nino lookup</v>
          </cell>
          <cell r="E532" t="str">
            <v xml:space="preserve">New </v>
          </cell>
          <cell r="G532" t="b">
            <v>0</v>
          </cell>
          <cell r="H532" t="b">
            <v>0</v>
          </cell>
          <cell r="I532" t="b">
            <v>1</v>
          </cell>
        </row>
        <row r="533">
          <cell r="B533" t="str">
            <v>adr_id_hashed_link</v>
          </cell>
          <cell r="C533" t="str">
            <v>Hashed version of anonymised version of National Insurance number</v>
          </cell>
          <cell r="D533" t="str">
            <v>link from Ashe id encrypted nino lookup</v>
          </cell>
          <cell r="E533" t="str">
            <v xml:space="preserve">New </v>
          </cell>
          <cell r="G533" t="b">
            <v>0</v>
          </cell>
          <cell r="H533" t="b">
            <v>0</v>
          </cell>
          <cell r="I533" t="b">
            <v>1</v>
          </cell>
        </row>
        <row r="534">
          <cell r="B534" t="str">
            <v>gor_hashed_link</v>
          </cell>
          <cell r="C534" t="str">
            <v>Hashed version of government office region</v>
          </cell>
          <cell r="D534" t="str">
            <v>link from Ashe id encrypted nino lookup</v>
          </cell>
          <cell r="E534" t="str">
            <v xml:space="preserve">New </v>
          </cell>
          <cell r="G534" t="b">
            <v>0</v>
          </cell>
          <cell r="H534" t="b">
            <v>0</v>
          </cell>
          <cell r="I534" t="b">
            <v>1</v>
          </cell>
        </row>
        <row r="535">
          <cell r="B535" t="str">
            <v>h_ctry_hashed_link</v>
          </cell>
          <cell r="C535" t="str">
            <v>*** This is an 'encrypted' (or hashed) version of an respondants home Country where a matched person has NOT been found on RDMF Demographic matching. It requires a key to un-encrypt content. ***</v>
          </cell>
          <cell r="D535" t="str">
            <v>link from Ashe id encrypted nino lookup</v>
          </cell>
          <cell r="E535" t="str">
            <v xml:space="preserve">New </v>
          </cell>
          <cell r="G535" t="b">
            <v>0</v>
          </cell>
          <cell r="H535" t="b">
            <v>0</v>
          </cell>
          <cell r="I535" t="b">
            <v>1</v>
          </cell>
        </row>
        <row r="536">
          <cell r="B536" t="str">
            <v>h_cty_hashed_link</v>
          </cell>
          <cell r="C536" t="str">
            <v>Hashed Version of Home Country</v>
          </cell>
          <cell r="D536" t="str">
            <v>link from Ashe id encrypted nino lookup</v>
          </cell>
          <cell r="E536" t="str">
            <v xml:space="preserve">New </v>
          </cell>
          <cell r="G536" t="b">
            <v>0</v>
          </cell>
          <cell r="H536" t="b">
            <v>0</v>
          </cell>
          <cell r="I536" t="b">
            <v>1</v>
          </cell>
        </row>
        <row r="537">
          <cell r="B537" t="str">
            <v>h_itl_hashed_link</v>
          </cell>
          <cell r="C537" t="str">
            <v>Hashed Version of home LAU2 area</v>
          </cell>
          <cell r="D537" t="str">
            <v>link from Ashe id encrypted nino lookup</v>
          </cell>
          <cell r="E537" t="str">
            <v xml:space="preserve">New </v>
          </cell>
          <cell r="G537" t="b">
            <v>0</v>
          </cell>
          <cell r="H537" t="b">
            <v>0</v>
          </cell>
          <cell r="I537" t="b">
            <v>1</v>
          </cell>
        </row>
        <row r="538">
          <cell r="B538" t="str">
            <v>h_laua_hashed_link</v>
          </cell>
          <cell r="C538" t="str">
            <v>Hashed Version of home Local Authority District (LAD)/unitary authority (UA)/ metropolitan district (MD)/ London borough (LB)/ council area (CA)/district council area (DCA)</v>
          </cell>
          <cell r="D538" t="str">
            <v>link from Ashe id encrypted nino lookup</v>
          </cell>
          <cell r="E538" t="str">
            <v xml:space="preserve">New </v>
          </cell>
          <cell r="G538" t="b">
            <v>0</v>
          </cell>
          <cell r="H538" t="b">
            <v>0</v>
          </cell>
          <cell r="I538" t="b">
            <v>1</v>
          </cell>
        </row>
        <row r="539">
          <cell r="B539" t="str">
            <v>h_lsoa21_hashed_link</v>
          </cell>
          <cell r="C539" t="str">
            <v>Hashed Version of home 2011 Census Lower Layer Super Output Area (LSOA)/ Data Zone (DZ)/ SOA</v>
          </cell>
          <cell r="D539" t="str">
            <v>link from Ashe id encrypted nino lookup</v>
          </cell>
          <cell r="E539" t="str">
            <v xml:space="preserve">New </v>
          </cell>
          <cell r="G539" t="b">
            <v>0</v>
          </cell>
          <cell r="H539" t="b">
            <v>0</v>
          </cell>
          <cell r="I539" t="b">
            <v>1</v>
          </cell>
        </row>
        <row r="540">
          <cell r="B540" t="str">
            <v>h_msoa21_hashed_link</v>
          </cell>
          <cell r="C540" t="str">
            <v>Hashed Version of home Middle Layer Super Output Area (MSOA)/ Intermediate Zone (IZ)</v>
          </cell>
          <cell r="D540" t="str">
            <v>link from Ashe id encrypted nino lookup</v>
          </cell>
          <cell r="E540" t="str">
            <v xml:space="preserve">New </v>
          </cell>
          <cell r="G540" t="b">
            <v>0</v>
          </cell>
          <cell r="H540" t="b">
            <v>0</v>
          </cell>
          <cell r="I540" t="b">
            <v>1</v>
          </cell>
        </row>
        <row r="541">
          <cell r="B541" t="str">
            <v>h_oa21_hashed_link</v>
          </cell>
          <cell r="C541" t="str">
            <v>Hashed Version of home 2011 Census Output Area (OA)/ Small Area (SA)</v>
          </cell>
          <cell r="D541" t="str">
            <v>link from Ashe id encrypted nino lookup</v>
          </cell>
          <cell r="E541" t="str">
            <v xml:space="preserve">New </v>
          </cell>
          <cell r="G541" t="b">
            <v>0</v>
          </cell>
          <cell r="H541" t="b">
            <v>0</v>
          </cell>
          <cell r="I541" t="b">
            <v>1</v>
          </cell>
        </row>
        <row r="542">
          <cell r="B542" t="str">
            <v>h_rgn_hashed_link</v>
          </cell>
          <cell r="C542" t="str">
            <v>Hashed Version of home Region (former GOR)</v>
          </cell>
          <cell r="D542" t="str">
            <v>link from Ashe id encrypted nino lookup</v>
          </cell>
          <cell r="E542" t="str">
            <v xml:space="preserve">New </v>
          </cell>
          <cell r="G542" t="b">
            <v>0</v>
          </cell>
          <cell r="H542" t="b">
            <v>0</v>
          </cell>
          <cell r="I542" t="b">
            <v>1</v>
          </cell>
        </row>
        <row r="543">
          <cell r="B543" t="str">
            <v>hpost_hashed_link</v>
          </cell>
          <cell r="C543" t="str">
            <v>Hashed Version of Home postcode</v>
          </cell>
          <cell r="D543" t="str">
            <v>link from Ashe id encrypted nino lookup</v>
          </cell>
          <cell r="E543" t="str">
            <v xml:space="preserve">New </v>
          </cell>
          <cell r="G543" t="b">
            <v>0</v>
          </cell>
          <cell r="H543" t="b">
            <v>0</v>
          </cell>
          <cell r="I543" t="b">
            <v>1</v>
          </cell>
        </row>
        <row r="544">
          <cell r="B544" t="str">
            <v>idbrhpst_hashed_link</v>
          </cell>
          <cell r="C544" t="str">
            <v>Hashed Version of idbr home postcode</v>
          </cell>
          <cell r="D544" t="str">
            <v>link from Ashe id encrypted nino lookup</v>
          </cell>
          <cell r="E544" t="str">
            <v xml:space="preserve">New </v>
          </cell>
          <cell r="G544" t="b">
            <v>0</v>
          </cell>
          <cell r="H544" t="b">
            <v>0</v>
          </cell>
          <cell r="I544" t="b">
            <v>1</v>
          </cell>
        </row>
        <row r="545">
          <cell r="B545" t="str">
            <v>idbrwpst_hashed_link</v>
          </cell>
          <cell r="C545" t="str">
            <v>Hashed Version of idbr work postcode</v>
          </cell>
          <cell r="D545" t="str">
            <v>link from Ashe id encrypted nino lookup</v>
          </cell>
          <cell r="E545" t="str">
            <v xml:space="preserve">New </v>
          </cell>
          <cell r="G545" t="b">
            <v>0</v>
          </cell>
          <cell r="H545" t="b">
            <v>0</v>
          </cell>
          <cell r="I545" t="b">
            <v>1</v>
          </cell>
        </row>
        <row r="546">
          <cell r="B546" t="str">
            <v>w_ctry_hashed_link</v>
          </cell>
          <cell r="C546" t="str">
            <v>Hashed Version of work Country</v>
          </cell>
          <cell r="D546" t="str">
            <v>link from Ashe id encrypted nino lookup</v>
          </cell>
          <cell r="E546" t="str">
            <v xml:space="preserve">New </v>
          </cell>
          <cell r="G546" t="b">
            <v>0</v>
          </cell>
          <cell r="H546" t="b">
            <v>0</v>
          </cell>
          <cell r="I546" t="b">
            <v>1</v>
          </cell>
        </row>
        <row r="547">
          <cell r="B547" t="str">
            <v>w_cty_hashed_link</v>
          </cell>
          <cell r="C547" t="str">
            <v>Hashed Version of work County</v>
          </cell>
          <cell r="D547" t="str">
            <v>link from Ashe id encrypted nino lookup</v>
          </cell>
          <cell r="E547" t="str">
            <v xml:space="preserve">New </v>
          </cell>
          <cell r="G547" t="b">
            <v>0</v>
          </cell>
          <cell r="H547" t="b">
            <v>0</v>
          </cell>
          <cell r="I547" t="b">
            <v>1</v>
          </cell>
        </row>
        <row r="548">
          <cell r="B548" t="str">
            <v>w_itl_hashed_link</v>
          </cell>
          <cell r="C548" t="str">
            <v>Hashed Version of work LAU2 area</v>
          </cell>
          <cell r="D548" t="str">
            <v>link from Ashe id encrypted nino lookup</v>
          </cell>
          <cell r="E548" t="str">
            <v xml:space="preserve">New </v>
          </cell>
          <cell r="G548" t="b">
            <v>0</v>
          </cell>
          <cell r="H548" t="b">
            <v>0</v>
          </cell>
          <cell r="I548" t="b">
            <v>1</v>
          </cell>
        </row>
        <row r="549">
          <cell r="B549" t="str">
            <v>w_laua_hashed_link</v>
          </cell>
          <cell r="C549" t="str">
            <v>Hashed Version of work Local Authority District (LAD)/unitary authority (UA)/ metropolitan district (MD)/ London borough (LB)/ council area (CA)/district council area (DCA)</v>
          </cell>
          <cell r="D549" t="str">
            <v>link from Ashe id encrypted nino lookup</v>
          </cell>
          <cell r="E549" t="str">
            <v xml:space="preserve">New </v>
          </cell>
          <cell r="G549" t="b">
            <v>0</v>
          </cell>
          <cell r="H549" t="b">
            <v>0</v>
          </cell>
          <cell r="I549" t="b">
            <v>1</v>
          </cell>
        </row>
        <row r="550">
          <cell r="B550" t="str">
            <v>w_lsoa21_hashed_link</v>
          </cell>
          <cell r="C550" t="str">
            <v>Hashed Version of work 2021 Census Lower Layer Super Output Area (LSOA)/ Data Zone (DZ)/ SOA</v>
          </cell>
          <cell r="D550" t="str">
            <v>link from Ashe id encrypted nino lookup</v>
          </cell>
          <cell r="E550" t="str">
            <v xml:space="preserve">New </v>
          </cell>
          <cell r="G550" t="b">
            <v>0</v>
          </cell>
          <cell r="H550" t="b">
            <v>0</v>
          </cell>
          <cell r="I550" t="b">
            <v>1</v>
          </cell>
        </row>
        <row r="551">
          <cell r="B551" t="str">
            <v>w_msoa21_hashed_link</v>
          </cell>
          <cell r="C551" t="str">
            <v>Hashed Version of work Middle Layer Super Output Area (MSOA)/ Intermediate Zone (IZ)</v>
          </cell>
          <cell r="D551" t="str">
            <v>link from Ashe id encrypted nino lookup</v>
          </cell>
          <cell r="E551" t="str">
            <v xml:space="preserve">New </v>
          </cell>
          <cell r="G551" t="b">
            <v>0</v>
          </cell>
          <cell r="H551" t="b">
            <v>0</v>
          </cell>
          <cell r="I551" t="b">
            <v>1</v>
          </cell>
        </row>
        <row r="552">
          <cell r="B552" t="str">
            <v>w_oa21_hashed_link</v>
          </cell>
          <cell r="C552" t="str">
            <v>Hashed Version of work 2021 Census Output Area (OA)/ Small Area (SA)</v>
          </cell>
          <cell r="D552" t="str">
            <v>link from Ashe id encrypted nino lookup</v>
          </cell>
          <cell r="E552" t="str">
            <v xml:space="preserve">New </v>
          </cell>
          <cell r="G552" t="b">
            <v>0</v>
          </cell>
          <cell r="H552" t="b">
            <v>0</v>
          </cell>
          <cell r="I552" t="b">
            <v>1</v>
          </cell>
        </row>
        <row r="553">
          <cell r="B553" t="str">
            <v>w_rgn_hashed_link</v>
          </cell>
          <cell r="C553" t="str">
            <v>Hashed Version of work Region (former GOR)</v>
          </cell>
          <cell r="D553" t="str">
            <v>link from Ashe id encrypted nino lookup</v>
          </cell>
          <cell r="E553" t="str">
            <v xml:space="preserve">New </v>
          </cell>
          <cell r="G553" t="b">
            <v>0</v>
          </cell>
          <cell r="H553" t="b">
            <v>0</v>
          </cell>
          <cell r="I553" t="b">
            <v>1</v>
          </cell>
        </row>
        <row r="554">
          <cell r="B554" t="str">
            <v>wpost_hashed_link</v>
          </cell>
          <cell r="C554" t="str">
            <v>Hashed Version of Work postcode</v>
          </cell>
          <cell r="D554" t="str">
            <v>link from Ashe id encrypted nino lookup</v>
          </cell>
          <cell r="E554" t="str">
            <v xml:space="preserve">New </v>
          </cell>
          <cell r="G554" t="b">
            <v>0</v>
          </cell>
          <cell r="H554" t="b">
            <v>0</v>
          </cell>
          <cell r="I554" t="b">
            <v>1</v>
          </cell>
        </row>
        <row r="555">
          <cell r="B555" t="str">
            <v>second_address_oa_cen</v>
          </cell>
          <cell r="C555" t="str">
            <v>Output Area of Second Address</v>
          </cell>
          <cell r="D555" t="str">
            <v>Census</v>
          </cell>
          <cell r="E555" t="str">
            <v>Included</v>
          </cell>
          <cell r="G555" t="b">
            <v>0</v>
          </cell>
          <cell r="H555" t="b">
            <v>0</v>
          </cell>
          <cell r="I555" t="b">
            <v>1</v>
          </cell>
        </row>
        <row r="556">
          <cell r="B556" t="str">
            <v>nino_join</v>
          </cell>
          <cell r="C556" t="str">
            <v>TRUE if resident ID present after joining Census data to ASHE data</v>
          </cell>
          <cell r="D556" t="str">
            <v>Derived by pipeline</v>
          </cell>
          <cell r="E556" t="str">
            <v>Included</v>
          </cell>
          <cell r="F556" t="b">
            <v>1</v>
          </cell>
          <cell r="G556" t="b">
            <v>1</v>
          </cell>
          <cell r="H556" t="b">
            <v>1</v>
          </cell>
          <cell r="I556" t="b">
            <v>1</v>
          </cell>
          <cell r="J556">
            <v>1</v>
          </cell>
          <cell r="K556">
            <v>1</v>
          </cell>
          <cell r="L556" t="str">
            <v>numeric</v>
          </cell>
          <cell r="M556">
            <v>0</v>
          </cell>
          <cell r="N556">
            <v>1</v>
          </cell>
        </row>
        <row r="557">
          <cell r="B557" t="str">
            <v>di_join</v>
          </cell>
          <cell r="C557" t="str">
            <v xml:space="preserve">TRUE if matched on the indexed tables
</v>
          </cell>
          <cell r="D557" t="str">
            <v>Derived by pipeline</v>
          </cell>
          <cell r="E557" t="str">
            <v>Included</v>
          </cell>
          <cell r="F557" t="b">
            <v>1</v>
          </cell>
          <cell r="G557" t="b">
            <v>1</v>
          </cell>
          <cell r="H557" t="b">
            <v>1</v>
          </cell>
          <cell r="I557" t="b">
            <v>1</v>
          </cell>
          <cell r="J557">
            <v>1</v>
          </cell>
          <cell r="K557">
            <v>1</v>
          </cell>
          <cell r="L557" t="str">
            <v>numeric</v>
          </cell>
          <cell r="M557">
            <v>0</v>
          </cell>
          <cell r="N557">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etadata"/>
      <sheetName val="Metadata_Household"/>
      <sheetName val="Metadata_Relationships"/>
      <sheetName val="ASHE Codebook"/>
      <sheetName val="Census Codebook"/>
      <sheetName val="Codebook_Country"/>
      <sheetName val="Codebook_Nationality"/>
      <sheetName val="Codebook_Language"/>
      <sheetName val="Codebook_Household"/>
      <sheetName val="Codebook_Relationships"/>
      <sheetName val="Supporting&gt;&gt;"/>
      <sheetName val="ASHE metadata"/>
      <sheetName val="2011 metadata"/>
      <sheetName val="Variable typ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B6" t="str">
            <v>name</v>
          </cell>
          <cell r="F6" t="str">
            <v>type (updated)</v>
          </cell>
        </row>
        <row r="7">
          <cell r="B7" t="str">
            <v>_plus_employment_cen</v>
          </cell>
          <cell r="F7" t="str">
            <v>Integer</v>
          </cell>
        </row>
        <row r="8">
          <cell r="B8" t="str">
            <v>_plus_ind_cen</v>
          </cell>
          <cell r="F8" t="str">
            <v>Integer</v>
          </cell>
        </row>
        <row r="9">
          <cell r="B9" t="str">
            <v>acthrs_ashe</v>
          </cell>
          <cell r="F9" t="str">
            <v>Floating Point</v>
          </cell>
        </row>
        <row r="10">
          <cell r="B10" t="str">
            <v>activity_last_week_cen</v>
          </cell>
          <cell r="F10" t="str">
            <v>Integer</v>
          </cell>
        </row>
        <row r="11">
          <cell r="B11" t="str">
            <v>adr_ashe</v>
          </cell>
          <cell r="F11" t="str">
            <v>Integer</v>
          </cell>
        </row>
        <row r="12">
          <cell r="B12" t="str">
            <v>adr_id_ashe</v>
          </cell>
          <cell r="F12" t="str">
            <v>String</v>
          </cell>
        </row>
        <row r="13">
          <cell r="B13" t="str">
            <v>adult_lifestage_cen</v>
          </cell>
          <cell r="F13" t="str">
            <v>Integer</v>
          </cell>
        </row>
        <row r="14">
          <cell r="B14" t="str">
            <v>age_ashe</v>
          </cell>
          <cell r="F14" t="str">
            <v>Integer</v>
          </cell>
        </row>
        <row r="15">
          <cell r="B15" t="str">
            <v>age_arrival_uk_cen</v>
          </cell>
          <cell r="F15" t="str">
            <v>Integer</v>
          </cell>
        </row>
        <row r="16">
          <cell r="B16" t="str">
            <v>agenew_ashe</v>
          </cell>
          <cell r="F16" t="str">
            <v>Integer</v>
          </cell>
        </row>
        <row r="17">
          <cell r="B17" t="str">
            <v>agetemp_ashe</v>
          </cell>
          <cell r="F17" t="str">
            <v>Integer</v>
          </cell>
        </row>
        <row r="18">
          <cell r="B18" t="str">
            <v>agp_ashe</v>
          </cell>
          <cell r="F18" t="str">
            <v>Floating Point</v>
          </cell>
        </row>
        <row r="19">
          <cell r="B19" t="str">
            <v>agpox_ashe</v>
          </cell>
          <cell r="F19" t="str">
            <v>Floating Point</v>
          </cell>
        </row>
        <row r="20">
          <cell r="B20" t="str">
            <v>al_ashe</v>
          </cell>
          <cell r="F20" t="str">
            <v>Integer</v>
          </cell>
        </row>
        <row r="21">
          <cell r="B21" t="str">
            <v>alday_ashe</v>
          </cell>
          <cell r="F21" t="str">
            <v>Floating Point</v>
          </cell>
        </row>
        <row r="22">
          <cell r="B22" t="str">
            <v>aldh_ashe</v>
          </cell>
          <cell r="F22" t="str">
            <v>Floating Point</v>
          </cell>
        </row>
        <row r="23">
          <cell r="B23" t="str">
            <v>alternative_address_country_cen</v>
          </cell>
          <cell r="F23" t="str">
            <v>Integer</v>
          </cell>
        </row>
        <row r="24">
          <cell r="B24" t="str">
            <v>alternative_address_indicator_ce</v>
          </cell>
          <cell r="F24" t="str">
            <v>Integer</v>
          </cell>
        </row>
        <row r="25">
          <cell r="B25" t="str">
            <v>alternative_address_type_cen</v>
          </cell>
          <cell r="F25" t="str">
            <v>Floating Point</v>
          </cell>
        </row>
        <row r="26">
          <cell r="B26" t="str">
            <v>anipay_ashe</v>
          </cell>
          <cell r="F26" t="str">
            <v>Floating Point</v>
          </cell>
        </row>
        <row r="27">
          <cell r="B27" t="str">
            <v>app_ashe</v>
          </cell>
          <cell r="F27" t="str">
            <v>Integer</v>
          </cell>
        </row>
        <row r="28">
          <cell r="B28" t="str">
            <v>appdate_ashe</v>
          </cell>
          <cell r="F28" t="str">
            <v>Floating Point</v>
          </cell>
        </row>
        <row r="29">
          <cell r="B29" t="str">
            <v>appmonth_ashe</v>
          </cell>
          <cell r="F29" t="str">
            <v>Integer</v>
          </cell>
        </row>
        <row r="30">
          <cell r="B30" t="str">
            <v>appmonthchar_ashe</v>
          </cell>
          <cell r="F30" t="str">
            <v>Integer</v>
          </cell>
        </row>
        <row r="31">
          <cell r="B31" t="str">
            <v>appyear_ashe</v>
          </cell>
          <cell r="F31" t="str">
            <v>Integer</v>
          </cell>
        </row>
        <row r="32">
          <cell r="B32" t="str">
            <v>appyearchar_ashe</v>
          </cell>
          <cell r="F32" t="str">
            <v>Integer</v>
          </cell>
        </row>
        <row r="33">
          <cell r="B33" t="str">
            <v>ashefurlough_ashe</v>
          </cell>
          <cell r="F33" t="str">
            <v>Integer</v>
          </cell>
        </row>
        <row r="34">
          <cell r="B34" t="str">
            <v>autopen_ashe</v>
          </cell>
          <cell r="F34" t="str">
            <v>Integer</v>
          </cell>
        </row>
        <row r="35">
          <cell r="B35" t="str">
            <v>available_for_work_cen</v>
          </cell>
          <cell r="F35" t="str">
            <v>Integer</v>
          </cell>
        </row>
        <row r="36">
          <cell r="B36" t="str">
            <v>away_student_ind_cen</v>
          </cell>
          <cell r="F36" t="str">
            <v>Integer</v>
          </cell>
        </row>
        <row r="37">
          <cell r="B37" t="str">
            <v>bhours_ashe</v>
          </cell>
          <cell r="F37" t="str">
            <v>Integer</v>
          </cell>
        </row>
        <row r="38">
          <cell r="B38" t="str">
            <v>bhr_ashe</v>
          </cell>
          <cell r="F38" t="str">
            <v>Floating Point</v>
          </cell>
        </row>
        <row r="39">
          <cell r="B39" t="str">
            <v>bhr_x_ashe</v>
          </cell>
          <cell r="F39" t="str">
            <v>Floating Point</v>
          </cell>
        </row>
        <row r="40">
          <cell r="B40" t="str">
            <v>bik_ashe</v>
          </cell>
          <cell r="F40" t="str">
            <v>Floating Point</v>
          </cell>
        </row>
        <row r="41">
          <cell r="B41" t="str">
            <v>bikfilter_ashe</v>
          </cell>
          <cell r="F41" t="str">
            <v>Integer</v>
          </cell>
        </row>
        <row r="42">
          <cell r="B42" t="str">
            <v>bpay_ashe</v>
          </cell>
          <cell r="F42" t="str">
            <v>Floating Point</v>
          </cell>
        </row>
        <row r="43">
          <cell r="B43" t="str">
            <v>bpayinc_ashe</v>
          </cell>
          <cell r="F43" t="str">
            <v>Floating Point</v>
          </cell>
        </row>
        <row r="44">
          <cell r="B44" t="str">
            <v>calwght_ashe</v>
          </cell>
          <cell r="F44" t="str">
            <v>Floating Point</v>
          </cell>
        </row>
        <row r="45">
          <cell r="B45" t="str">
            <v>ce_id_cen</v>
          </cell>
          <cell r="F45" t="str">
            <v>Floating Point</v>
          </cell>
        </row>
        <row r="46">
          <cell r="B46" t="str">
            <v>cen_id_contains_multiple_ninos_l</v>
          </cell>
          <cell r="F46" t="str">
            <v>Integer</v>
          </cell>
        </row>
        <row r="47">
          <cell r="B47" t="str">
            <v>census_id_link</v>
          </cell>
          <cell r="F47" t="str">
            <v>String</v>
          </cell>
        </row>
        <row r="48">
          <cell r="B48" t="str">
            <v>child_family_status_cen</v>
          </cell>
          <cell r="F48" t="str">
            <v>Integer</v>
          </cell>
        </row>
        <row r="49">
          <cell r="B49" t="str">
            <v>cluster_ashe</v>
          </cell>
          <cell r="F49" t="str">
            <v>Floating Point</v>
          </cell>
        </row>
        <row r="50">
          <cell r="B50" t="str">
            <v>colag_ashe</v>
          </cell>
          <cell r="F50" t="str">
            <v>Integer</v>
          </cell>
        </row>
        <row r="51">
          <cell r="B51" t="str">
            <v>compay_ashe</v>
          </cell>
          <cell r="F51" t="str">
            <v>Floating Point</v>
          </cell>
        </row>
        <row r="52">
          <cell r="B52" t="str">
            <v>compay_old_ashe</v>
          </cell>
          <cell r="F52" t="str">
            <v>Floating Point</v>
          </cell>
        </row>
        <row r="53">
          <cell r="B53" t="str">
            <v>comperc_ashe</v>
          </cell>
          <cell r="F53" t="str">
            <v>Floating Point</v>
          </cell>
        </row>
        <row r="54">
          <cell r="B54" t="str">
            <v>cornish_ind_cen</v>
          </cell>
          <cell r="F54" t="str">
            <v>Integer</v>
          </cell>
        </row>
        <row r="55">
          <cell r="B55" t="str">
            <v>cosp_ashe</v>
          </cell>
          <cell r="F55" t="str">
            <v>Integer</v>
          </cell>
        </row>
        <row r="56">
          <cell r="B56" t="str">
            <v>cosp_old_ashe</v>
          </cell>
          <cell r="F56" t="str">
            <v>Integer</v>
          </cell>
        </row>
        <row r="57">
          <cell r="B57" t="str">
            <v>country_of_birth_cen</v>
          </cell>
          <cell r="F57" t="str">
            <v>Integer</v>
          </cell>
        </row>
        <row r="58">
          <cell r="B58" t="str">
            <v>delete_ashe</v>
          </cell>
          <cell r="F58" t="str">
            <v>Integer</v>
          </cell>
        </row>
        <row r="59">
          <cell r="B59" t="str">
            <v>demographic_entry_id_link</v>
          </cell>
          <cell r="F59" t="str">
            <v>Floating Point</v>
          </cell>
        </row>
        <row r="60">
          <cell r="B60" t="str">
            <v>dependent_child_ind_cen</v>
          </cell>
          <cell r="F60" t="str">
            <v>Integer</v>
          </cell>
        </row>
        <row r="61">
          <cell r="B61" t="str">
            <v>disability_cen</v>
          </cell>
          <cell r="F61" t="str">
            <v>Integer</v>
          </cell>
        </row>
        <row r="62">
          <cell r="B62" t="str">
            <v>distance_to_work_cen</v>
          </cell>
          <cell r="F62" t="str">
            <v>Integer</v>
          </cell>
        </row>
        <row r="63">
          <cell r="B63" t="str">
            <v>djob_ashe</v>
          </cell>
          <cell r="F63" t="str">
            <v>Integer</v>
          </cell>
        </row>
        <row r="64">
          <cell r="B64" t="str">
            <v>dweight_ashe</v>
          </cell>
          <cell r="F64" t="str">
            <v>Floating Point</v>
          </cell>
        </row>
        <row r="65">
          <cell r="B65" t="str">
            <v>ec00_ashe</v>
          </cell>
          <cell r="F65" t="str">
            <v>Integer</v>
          </cell>
        </row>
        <row r="66">
          <cell r="B66" t="str">
            <v>ec04_ashe</v>
          </cell>
          <cell r="F66" t="str">
            <v>Integer</v>
          </cell>
        </row>
        <row r="67">
          <cell r="B67" t="str">
            <v>ec08_ashe</v>
          </cell>
          <cell r="F67" t="str">
            <v>Integer</v>
          </cell>
        </row>
        <row r="68">
          <cell r="B68" t="str">
            <v>ec10_ashe</v>
          </cell>
          <cell r="F68" t="str">
            <v>Integer</v>
          </cell>
        </row>
        <row r="69">
          <cell r="B69" t="str">
            <v>ec12_ashe</v>
          </cell>
          <cell r="F69" t="str">
            <v>Integer</v>
          </cell>
        </row>
        <row r="70">
          <cell r="B70" t="str">
            <v>ec15_ashe</v>
          </cell>
          <cell r="F70" t="str">
            <v>Integer</v>
          </cell>
        </row>
        <row r="71">
          <cell r="B71" t="str">
            <v>ec20_ashe</v>
          </cell>
          <cell r="F71" t="str">
            <v>Integer</v>
          </cell>
        </row>
        <row r="72">
          <cell r="B72" t="str">
            <v>economic_activity_cen</v>
          </cell>
          <cell r="F72" t="str">
            <v>Integer</v>
          </cell>
        </row>
        <row r="73">
          <cell r="B73" t="str">
            <v>economic_category_cen</v>
          </cell>
          <cell r="F73" t="str">
            <v>Integer</v>
          </cell>
        </row>
        <row r="74">
          <cell r="B74" t="str">
            <v>economic_inactive_status_cen</v>
          </cell>
          <cell r="F74" t="str">
            <v>Integer</v>
          </cell>
        </row>
        <row r="75">
          <cell r="B75" t="str">
            <v>edit_ashe</v>
          </cell>
          <cell r="F75" t="str">
            <v>Integer</v>
          </cell>
        </row>
        <row r="76">
          <cell r="B76" t="str">
            <v>element_ashe</v>
          </cell>
          <cell r="F76" t="str">
            <v>Floating Point</v>
          </cell>
        </row>
        <row r="77">
          <cell r="B77" t="str">
            <v>element2_ashe</v>
          </cell>
          <cell r="F77" t="str">
            <v>Floating Point</v>
          </cell>
        </row>
        <row r="78">
          <cell r="B78" t="str">
            <v>employed_last_week_indicator_cen</v>
          </cell>
          <cell r="F78" t="str">
            <v>Integer</v>
          </cell>
        </row>
        <row r="79">
          <cell r="B79" t="str">
            <v>employment_status_cen</v>
          </cell>
          <cell r="F79" t="str">
            <v>Integer</v>
          </cell>
        </row>
        <row r="80">
          <cell r="B80" t="str">
            <v>empref_ashe</v>
          </cell>
          <cell r="F80" t="str">
            <v>String</v>
          </cell>
        </row>
        <row r="81">
          <cell r="B81" t="str">
            <v>empsta_ashe</v>
          </cell>
          <cell r="F81" t="str">
            <v>Floating Point</v>
          </cell>
        </row>
        <row r="82">
          <cell r="B82" t="str">
            <v>english_language_proficiency_cen</v>
          </cell>
          <cell r="F82" t="str">
            <v>Integer</v>
          </cell>
        </row>
        <row r="83">
          <cell r="B83" t="str">
            <v>english_proficiency_cen</v>
          </cell>
          <cell r="F83" t="str">
            <v>Integer</v>
          </cell>
        </row>
        <row r="84">
          <cell r="B84" t="str">
            <v>entref_ashe</v>
          </cell>
          <cell r="F84" t="str">
            <v>Floating Point</v>
          </cell>
        </row>
        <row r="85">
          <cell r="B85" t="str">
            <v>err_ashe</v>
          </cell>
          <cell r="F85" t="str">
            <v>String</v>
          </cell>
        </row>
        <row r="86">
          <cell r="B86" t="str">
            <v>ethnic_group_cen</v>
          </cell>
          <cell r="F86" t="str">
            <v>Integer</v>
          </cell>
        </row>
        <row r="87">
          <cell r="B87" t="str">
            <v>ethnic_group_tb_cen</v>
          </cell>
          <cell r="F87" t="str">
            <v>Integer</v>
          </cell>
        </row>
        <row r="88">
          <cell r="B88" t="str">
            <v>ethnic05_20_cen</v>
          </cell>
          <cell r="F88" t="str">
            <v>Integer</v>
          </cell>
        </row>
        <row r="89">
          <cell r="B89" t="str">
            <v>fail_ashe</v>
          </cell>
          <cell r="F89" t="str">
            <v>Integer</v>
          </cell>
        </row>
        <row r="90">
          <cell r="B90" t="str">
            <v>family_reference_person_ind_cen</v>
          </cell>
          <cell r="F90" t="str">
            <v>Integer</v>
          </cell>
        </row>
        <row r="91">
          <cell r="B91" t="str">
            <v>family_status_cen</v>
          </cell>
          <cell r="F91" t="str">
            <v>Integer</v>
          </cell>
        </row>
        <row r="92">
          <cell r="B92" t="str">
            <v>firstyear_ashe</v>
          </cell>
          <cell r="F92" t="str">
            <v>Integer</v>
          </cell>
        </row>
        <row r="93">
          <cell r="B93" t="str">
            <v>ft_ashe</v>
          </cell>
          <cell r="F93" t="str">
            <v>Integer</v>
          </cell>
        </row>
        <row r="94">
          <cell r="B94" t="str">
            <v>gbdata_ashe</v>
          </cell>
          <cell r="F94" t="str">
            <v>Integer</v>
          </cell>
        </row>
        <row r="95">
          <cell r="B95" t="str">
            <v>generation_cen</v>
          </cell>
          <cell r="F95" t="str">
            <v>Integer</v>
          </cell>
        </row>
        <row r="96">
          <cell r="B96" t="str">
            <v>gor_ashe</v>
          </cell>
          <cell r="F96" t="str">
            <v>String</v>
          </cell>
        </row>
        <row r="97">
          <cell r="B97" t="str">
            <v>gpay_ashe</v>
          </cell>
          <cell r="F97" t="str">
            <v>Floating Point</v>
          </cell>
        </row>
        <row r="98">
          <cell r="B98" t="str">
            <v>gpox_ashe</v>
          </cell>
          <cell r="F98" t="str">
            <v>Floating Point</v>
          </cell>
        </row>
        <row r="99">
          <cell r="B99" t="str">
            <v>gpp_ashe</v>
          </cell>
          <cell r="F99" t="str">
            <v>Integer</v>
          </cell>
        </row>
        <row r="100">
          <cell r="B100" t="str">
            <v>gsp_ashe</v>
          </cell>
          <cell r="F100" t="str">
            <v>Integer</v>
          </cell>
        </row>
        <row r="101">
          <cell r="B101" t="str">
            <v>guid_di_link</v>
          </cell>
          <cell r="F101" t="str">
            <v>String</v>
          </cell>
        </row>
        <row r="102">
          <cell r="B102" t="str">
            <v>gweight_ashe</v>
          </cell>
          <cell r="F102" t="str">
            <v>Floating Point</v>
          </cell>
        </row>
        <row r="103">
          <cell r="B103" t="str">
            <v>h_lep2_ashe</v>
          </cell>
          <cell r="F103" t="str">
            <v>String</v>
          </cell>
        </row>
        <row r="104">
          <cell r="B104" t="str">
            <v>h_bua11_ashe</v>
          </cell>
          <cell r="F104" t="str">
            <v>String</v>
          </cell>
        </row>
        <row r="105">
          <cell r="B105" t="str">
            <v>h_buasd11_ashe</v>
          </cell>
          <cell r="F105" t="str">
            <v>String</v>
          </cell>
        </row>
        <row r="106">
          <cell r="B106" t="str">
            <v>h_calncv_ashe</v>
          </cell>
          <cell r="F106" t="str">
            <v>String</v>
          </cell>
        </row>
        <row r="107">
          <cell r="B107" t="str">
            <v>h_ccg_ashe</v>
          </cell>
          <cell r="F107" t="str">
            <v>String</v>
          </cell>
        </row>
        <row r="108">
          <cell r="B108" t="str">
            <v>h_ced_ashe</v>
          </cell>
          <cell r="F108" t="str">
            <v>String</v>
          </cell>
        </row>
        <row r="109">
          <cell r="B109" t="str">
            <v>h_ctry_ashe</v>
          </cell>
          <cell r="F109" t="str">
            <v>String</v>
          </cell>
        </row>
        <row r="110">
          <cell r="B110" t="str">
            <v>h_cty_ashe</v>
          </cell>
          <cell r="F110" t="str">
            <v>String</v>
          </cell>
        </row>
        <row r="111">
          <cell r="B111" t="str">
            <v>h_eer_ashe</v>
          </cell>
          <cell r="F111" t="str">
            <v>String</v>
          </cell>
        </row>
        <row r="112">
          <cell r="B112" t="str">
            <v>h_hlthau_ashe</v>
          </cell>
          <cell r="F112" t="str">
            <v>String</v>
          </cell>
        </row>
        <row r="113">
          <cell r="B113" t="str">
            <v>h_imd_ashe</v>
          </cell>
          <cell r="F113" t="str">
            <v>Floating Point</v>
          </cell>
        </row>
        <row r="114">
          <cell r="B114" t="str">
            <v>h_itl_ashe</v>
          </cell>
          <cell r="F114" t="str">
            <v>String</v>
          </cell>
        </row>
        <row r="115">
          <cell r="B115" t="str">
            <v>h_laua_ashe</v>
          </cell>
          <cell r="F115" t="str">
            <v>String</v>
          </cell>
        </row>
        <row r="116">
          <cell r="B116" t="str">
            <v>h_lep1_ashe</v>
          </cell>
          <cell r="F116" t="str">
            <v>String</v>
          </cell>
        </row>
        <row r="117">
          <cell r="B117" t="str">
            <v>h_nhser_ashe</v>
          </cell>
          <cell r="F117" t="str">
            <v>String</v>
          </cell>
        </row>
        <row r="118">
          <cell r="B118" t="str">
            <v>h_oac11_ashe</v>
          </cell>
          <cell r="F118" t="str">
            <v>String</v>
          </cell>
        </row>
        <row r="119">
          <cell r="B119" t="str">
            <v>h_park_ashe</v>
          </cell>
          <cell r="F119" t="str">
            <v>String</v>
          </cell>
        </row>
        <row r="120">
          <cell r="B120" t="str">
            <v>h_pcon_ashe</v>
          </cell>
          <cell r="F120" t="str">
            <v>String</v>
          </cell>
        </row>
        <row r="121">
          <cell r="B121" t="str">
            <v>h_pct_ashe</v>
          </cell>
          <cell r="F121" t="str">
            <v>String</v>
          </cell>
        </row>
        <row r="122">
          <cell r="B122" t="str">
            <v>h_pfa_ashe</v>
          </cell>
          <cell r="F122" t="str">
            <v>String</v>
          </cell>
        </row>
        <row r="123">
          <cell r="B123" t="str">
            <v>h_rgn_ashe</v>
          </cell>
          <cell r="F123" t="str">
            <v>String</v>
          </cell>
        </row>
        <row r="124">
          <cell r="B124" t="str">
            <v>h_ru11ind_ashe</v>
          </cell>
          <cell r="F124" t="str">
            <v>String</v>
          </cell>
        </row>
        <row r="125">
          <cell r="B125" t="str">
            <v>h_stp_ashe</v>
          </cell>
          <cell r="F125" t="str">
            <v>String</v>
          </cell>
        </row>
        <row r="126">
          <cell r="B126" t="str">
            <v>h_teclec_ashe</v>
          </cell>
          <cell r="F126" t="str">
            <v>String</v>
          </cell>
        </row>
        <row r="127">
          <cell r="B127" t="str">
            <v>h_ttwa_ashe</v>
          </cell>
          <cell r="F127" t="str">
            <v>String</v>
          </cell>
        </row>
        <row r="128">
          <cell r="B128" t="str">
            <v>h_wz11_ashe</v>
          </cell>
          <cell r="F128" t="str">
            <v>String</v>
          </cell>
        </row>
        <row r="129">
          <cell r="B129" t="str">
            <v>has_ever_worked_cen</v>
          </cell>
          <cell r="F129" t="str">
            <v>Integer</v>
          </cell>
        </row>
        <row r="130">
          <cell r="B130" t="str">
            <v>hbpay_ashe</v>
          </cell>
          <cell r="F130" t="str">
            <v>Integer</v>
          </cell>
        </row>
        <row r="131">
          <cell r="B131" t="str">
            <v>he_ashe</v>
          </cell>
          <cell r="F131" t="str">
            <v>Floating Point</v>
          </cell>
        </row>
        <row r="132">
          <cell r="B132" t="str">
            <v>health_in_general_cen</v>
          </cell>
          <cell r="F132" t="str">
            <v>Integer</v>
          </cell>
        </row>
        <row r="133">
          <cell r="B133" t="str">
            <v>hexo_ashe</v>
          </cell>
          <cell r="F133" t="str">
            <v>Floating Point</v>
          </cell>
        </row>
        <row r="134">
          <cell r="B134" t="str">
            <v>hh_reference_person_ind_cen</v>
          </cell>
          <cell r="F134" t="str">
            <v>Integer</v>
          </cell>
        </row>
        <row r="135">
          <cell r="B135" t="str">
            <v>highest_qualification_cen</v>
          </cell>
          <cell r="F135" t="str">
            <v>Integer</v>
          </cell>
        </row>
        <row r="136">
          <cell r="B136" t="str">
            <v>hitl1_ashe</v>
          </cell>
          <cell r="F136" t="str">
            <v>String</v>
          </cell>
        </row>
        <row r="137">
          <cell r="B137" t="str">
            <v>hitl2_ashe</v>
          </cell>
          <cell r="F137" t="str">
            <v>String</v>
          </cell>
        </row>
        <row r="138">
          <cell r="B138" t="str">
            <v>hitl3_ashe</v>
          </cell>
          <cell r="F138" t="str">
            <v>String</v>
          </cell>
        </row>
        <row r="139">
          <cell r="B139" t="str">
            <v>hours_per_week_worked_cen</v>
          </cell>
          <cell r="F139" t="str">
            <v>Integer</v>
          </cell>
        </row>
        <row r="140">
          <cell r="B140" t="str">
            <v>household_id_cen</v>
          </cell>
          <cell r="F140" t="str">
            <v>Floating Point</v>
          </cell>
        </row>
        <row r="141">
          <cell r="B141" t="str">
            <v>household_person_number_cen</v>
          </cell>
          <cell r="F141" t="str">
            <v>Integer</v>
          </cell>
        </row>
        <row r="142">
          <cell r="B142" t="str">
            <v>hpay_ashe</v>
          </cell>
          <cell r="F142" t="str">
            <v>Floating Point</v>
          </cell>
        </row>
        <row r="143">
          <cell r="B143" t="str">
            <v>hpayfilter_ashe</v>
          </cell>
          <cell r="F143" t="str">
            <v>Integer</v>
          </cell>
        </row>
        <row r="144">
          <cell r="B144" t="str">
            <v>hrpay_ashe</v>
          </cell>
          <cell r="F144" t="str">
            <v>Floating Point</v>
          </cell>
        </row>
        <row r="145">
          <cell r="B145" t="str">
            <v>hrpayx_ashe</v>
          </cell>
          <cell r="F145" t="str">
            <v>Floating Point</v>
          </cell>
        </row>
        <row r="146">
          <cell r="B146" t="str">
            <v>idbr_marker_ashe</v>
          </cell>
          <cell r="F146" t="str">
            <v>Integer</v>
          </cell>
        </row>
        <row r="147">
          <cell r="B147" t="str">
            <v>idbrnemp_ashe</v>
          </cell>
          <cell r="F147" t="str">
            <v>Floating Point</v>
          </cell>
        </row>
        <row r="148">
          <cell r="B148" t="str">
            <v>idbrpaye_ashe</v>
          </cell>
          <cell r="F148" t="str">
            <v>String</v>
          </cell>
        </row>
        <row r="149">
          <cell r="B149" t="str">
            <v>idbrsta_ashe</v>
          </cell>
          <cell r="F149" t="str">
            <v>Integer</v>
          </cell>
        </row>
        <row r="150">
          <cell r="B150" t="str">
            <v>imp_ashe</v>
          </cell>
          <cell r="F150" t="str">
            <v>Integer</v>
          </cell>
        </row>
        <row r="151">
          <cell r="B151" t="str">
            <v>impcos_ashe</v>
          </cell>
          <cell r="F151" t="str">
            <v>Integer</v>
          </cell>
        </row>
        <row r="152">
          <cell r="B152" t="str">
            <v>imppen_ashe</v>
          </cell>
          <cell r="F152" t="str">
            <v>Integer</v>
          </cell>
        </row>
        <row r="153">
          <cell r="B153" t="str">
            <v>imputeeditflag_ashe</v>
          </cell>
          <cell r="F153" t="str">
            <v>Integer</v>
          </cell>
        </row>
        <row r="154">
          <cell r="B154" t="str">
            <v>impvalue_ashe</v>
          </cell>
          <cell r="F154" t="str">
            <v>Integer</v>
          </cell>
        </row>
        <row r="155">
          <cell r="B155" t="str">
            <v>in_full_time_education_cen</v>
          </cell>
          <cell r="F155" t="str">
            <v>Integer</v>
          </cell>
        </row>
        <row r="156">
          <cell r="B156" t="str">
            <v>industry_business_extn_cen</v>
          </cell>
          <cell r="F156" t="str">
            <v>Integer</v>
          </cell>
        </row>
        <row r="157">
          <cell r="B157" t="str">
            <v>intention_to_stay_cen</v>
          </cell>
          <cell r="F157" t="str">
            <v>Integer</v>
          </cell>
        </row>
        <row r="158">
          <cell r="B158" t="str">
            <v>ipay_ashe</v>
          </cell>
          <cell r="F158" t="str">
            <v>Floating Point</v>
          </cell>
        </row>
        <row r="159">
          <cell r="B159" t="str">
            <v>ipayall_ashe</v>
          </cell>
          <cell r="F159" t="str">
            <v>Floating Point</v>
          </cell>
        </row>
        <row r="160">
          <cell r="B160" t="str">
            <v>ipayin_ashe</v>
          </cell>
          <cell r="F160" t="str">
            <v>Floating Point</v>
          </cell>
        </row>
        <row r="161">
          <cell r="B161" t="str">
            <v>lpcalwght_ashe</v>
          </cell>
          <cell r="F161" t="str">
            <v>Floating Point</v>
          </cell>
        </row>
        <row r="162">
          <cell r="B162" t="str">
            <v>lpdweight_ashe</v>
          </cell>
          <cell r="F162" t="str">
            <v>Floating Point</v>
          </cell>
        </row>
        <row r="163">
          <cell r="B163" t="str">
            <v>lpdweightf_ashe</v>
          </cell>
          <cell r="F163" t="str">
            <v>Floating Point</v>
          </cell>
        </row>
        <row r="164">
          <cell r="B164" t="str">
            <v>lpgweight_ashe</v>
          </cell>
          <cell r="F164" t="str">
            <v>Floating Point</v>
          </cell>
        </row>
        <row r="165">
          <cell r="B165" t="str">
            <v>lpgweightf_ashe</v>
          </cell>
          <cell r="F165" t="str">
            <v>Floating Point</v>
          </cell>
        </row>
        <row r="166">
          <cell r="B166" t="str">
            <v>ipin_ashe</v>
          </cell>
          <cell r="F166" t="str">
            <v>Floating Point</v>
          </cell>
        </row>
        <row r="167">
          <cell r="B167" t="str">
            <v>ipop_ashe</v>
          </cell>
          <cell r="F167" t="str">
            <v>Floating Point</v>
          </cell>
        </row>
        <row r="168">
          <cell r="B168" t="str">
            <v>is_carer_cen</v>
          </cell>
          <cell r="F168" t="str">
            <v>Integer</v>
          </cell>
        </row>
        <row r="169">
          <cell r="B169" t="str">
            <v>is_hh_term_time_address_cen</v>
          </cell>
          <cell r="F169" t="str">
            <v>Integer</v>
          </cell>
        </row>
        <row r="170">
          <cell r="B170" t="str">
            <v>isco08_ashe</v>
          </cell>
          <cell r="F170" t="str">
            <v>Integer</v>
          </cell>
        </row>
        <row r="171">
          <cell r="B171" t="str">
            <v>isco88_ashe</v>
          </cell>
          <cell r="F171" t="str">
            <v>Integer</v>
          </cell>
        </row>
        <row r="172">
          <cell r="B172" t="str">
            <v>luesize_ashe</v>
          </cell>
          <cell r="F172" t="str">
            <v>Floating Point</v>
          </cell>
        </row>
        <row r="173">
          <cell r="B173" t="str">
            <v>jain_ind_cen</v>
          </cell>
          <cell r="F173" t="str">
            <v>Integer</v>
          </cell>
        </row>
        <row r="174">
          <cell r="B174" t="str">
            <v>jewish_ind_cen</v>
          </cell>
          <cell r="F174" t="str">
            <v>Integer</v>
          </cell>
        </row>
        <row r="175">
          <cell r="B175" t="str">
            <v>key_order_link</v>
          </cell>
          <cell r="F175" t="str">
            <v>Integer</v>
          </cell>
        </row>
        <row r="176">
          <cell r="B176" t="str">
            <v>legal_partnership_status_cen</v>
          </cell>
          <cell r="F176" t="str">
            <v>Integer</v>
          </cell>
        </row>
        <row r="177">
          <cell r="B177" t="str">
            <v>lgbtq_ind_cen</v>
          </cell>
          <cell r="F177" t="str">
            <v>Integer</v>
          </cell>
        </row>
        <row r="178">
          <cell r="B178" t="str">
            <v>livedead_ashe</v>
          </cell>
          <cell r="F178" t="str">
            <v>String</v>
          </cell>
        </row>
        <row r="179">
          <cell r="B179" t="str">
            <v>living_arrangements_cen</v>
          </cell>
          <cell r="F179" t="str">
            <v>Integer</v>
          </cell>
        </row>
        <row r="180">
          <cell r="B180" t="str">
            <v>looking_for_work_cen</v>
          </cell>
          <cell r="F180" t="str">
            <v>Integer</v>
          </cell>
        </row>
        <row r="181">
          <cell r="B181" t="str">
            <v>lop_ashe</v>
          </cell>
          <cell r="F181" t="str">
            <v>Integer</v>
          </cell>
        </row>
        <row r="182">
          <cell r="B182" t="str">
            <v>lopf_ashe</v>
          </cell>
          <cell r="F182" t="str">
            <v>Integer</v>
          </cell>
        </row>
        <row r="183">
          <cell r="B183" t="str">
            <v>lpcalwghtf_ashe</v>
          </cell>
          <cell r="F183" t="str">
            <v>Floating Point</v>
          </cell>
        </row>
        <row r="184">
          <cell r="B184" t="str">
            <v>main_language_cen</v>
          </cell>
          <cell r="F184" t="str">
            <v>Floating Point</v>
          </cell>
        </row>
        <row r="185">
          <cell r="B185" t="str">
            <v>main_language_detailed_cen</v>
          </cell>
          <cell r="F185" t="str">
            <v>Integer</v>
          </cell>
        </row>
        <row r="186">
          <cell r="B186" t="str">
            <v>man_ashe</v>
          </cell>
          <cell r="F186" t="str">
            <v>Integer</v>
          </cell>
        </row>
        <row r="187">
          <cell r="B187" t="str">
            <v>marital_status_cen</v>
          </cell>
          <cell r="F187" t="str">
            <v>Integer</v>
          </cell>
        </row>
        <row r="188">
          <cell r="B188" t="str">
            <v>match_probability_link</v>
          </cell>
          <cell r="F188" t="str">
            <v>Floating Point</v>
          </cell>
        </row>
        <row r="189">
          <cell r="B189" t="str">
            <v>matched_resident_hh_id_cen</v>
          </cell>
          <cell r="F189" t="str">
            <v>String</v>
          </cell>
        </row>
        <row r="190">
          <cell r="B190" t="str">
            <v>matchkey_link</v>
          </cell>
          <cell r="F190" t="str">
            <v>String</v>
          </cell>
        </row>
        <row r="191">
          <cell r="B191" t="str">
            <v>migrant_ind_cen</v>
          </cell>
          <cell r="F191" t="str">
            <v>Integer</v>
          </cell>
        </row>
        <row r="192">
          <cell r="B192" t="str">
            <v>migrant_origin_country_cen</v>
          </cell>
          <cell r="F192" t="str">
            <v>Integer</v>
          </cell>
        </row>
        <row r="193">
          <cell r="B193" t="str">
            <v>migrant_origin_oa_cen</v>
          </cell>
          <cell r="F193" t="str">
            <v>String</v>
          </cell>
        </row>
        <row r="194">
          <cell r="B194" t="str">
            <v>miss_ind_ashe</v>
          </cell>
          <cell r="F194" t="str">
            <v>String</v>
          </cell>
        </row>
        <row r="195">
          <cell r="B195" t="str">
            <v>miss_ind2_ashe</v>
          </cell>
          <cell r="F195" t="str">
            <v>Floating Point</v>
          </cell>
        </row>
        <row r="196">
          <cell r="B196" t="str">
            <v>mjob_ashe</v>
          </cell>
          <cell r="F196" t="str">
            <v>Integer</v>
          </cell>
        </row>
        <row r="197">
          <cell r="B197" t="str">
            <v>model_ashe</v>
          </cell>
          <cell r="F197" t="str">
            <v>Integer</v>
          </cell>
        </row>
        <row r="198">
          <cell r="B198" t="str">
            <v>month_of_arrival_in_country_cen</v>
          </cell>
          <cell r="F198" t="str">
            <v>Integer</v>
          </cell>
        </row>
        <row r="199">
          <cell r="B199" t="str">
            <v>moving_group_number_cen</v>
          </cell>
          <cell r="F199" t="str">
            <v>Integer</v>
          </cell>
        </row>
        <row r="200">
          <cell r="B200" t="str">
            <v>moving_group_reference_person_ce</v>
          </cell>
          <cell r="F200" t="str">
            <v>Integer</v>
          </cell>
        </row>
        <row r="201">
          <cell r="B201" t="str">
            <v>moving_group_size_cen</v>
          </cell>
          <cell r="F201" t="str">
            <v>Integer</v>
          </cell>
        </row>
        <row r="202">
          <cell r="B202" t="str">
            <v>multi_passports_cen</v>
          </cell>
          <cell r="F202" t="str">
            <v>Integer</v>
          </cell>
        </row>
        <row r="203">
          <cell r="B203" t="str">
            <v>nat_id_british_cen</v>
          </cell>
          <cell r="F203" t="str">
            <v>Integer</v>
          </cell>
        </row>
        <row r="204">
          <cell r="B204" t="str">
            <v>nat_id_cornish_cen</v>
          </cell>
          <cell r="F204" t="str">
            <v>Integer</v>
          </cell>
        </row>
        <row r="205">
          <cell r="B205" t="str">
            <v>nat_id_english_cen</v>
          </cell>
          <cell r="F205" t="str">
            <v>Integer</v>
          </cell>
        </row>
        <row r="206">
          <cell r="B206" t="str">
            <v>nat_id_irish_cen</v>
          </cell>
          <cell r="F206" t="str">
            <v>Integer</v>
          </cell>
        </row>
        <row r="207">
          <cell r="B207" t="str">
            <v>nat_id_northern_irish_cen</v>
          </cell>
          <cell r="F207" t="str">
            <v>Integer</v>
          </cell>
        </row>
        <row r="208">
          <cell r="B208" t="str">
            <v>nat_id_other_cen</v>
          </cell>
          <cell r="F208" t="str">
            <v>Integer</v>
          </cell>
        </row>
        <row r="209">
          <cell r="B209" t="str">
            <v>nat_id_scottish_cen</v>
          </cell>
          <cell r="F209" t="str">
            <v>Integer</v>
          </cell>
        </row>
        <row r="210">
          <cell r="B210" t="str">
            <v>nat_id_ulster_scots_cen</v>
          </cell>
          <cell r="F210" t="str">
            <v>Integer</v>
          </cell>
        </row>
        <row r="211">
          <cell r="B211" t="str">
            <v>nat_id_welsh_cen</v>
          </cell>
          <cell r="F211" t="str">
            <v>Integer</v>
          </cell>
        </row>
        <row r="212">
          <cell r="B212" t="str">
            <v>national_identity_all_cen</v>
          </cell>
          <cell r="F212" t="str">
            <v>Integer</v>
          </cell>
        </row>
        <row r="213">
          <cell r="B213" t="str">
            <v>national_identity_row_cen</v>
          </cell>
          <cell r="F213" t="str">
            <v>Integer</v>
          </cell>
        </row>
        <row r="214">
          <cell r="B214" t="str">
            <v>national_identity_uk_cen</v>
          </cell>
          <cell r="F214" t="str">
            <v>Integer</v>
          </cell>
        </row>
        <row r="215">
          <cell r="B215" t="str">
            <v>newstrat_ashe</v>
          </cell>
          <cell r="F215" t="str">
            <v>String</v>
          </cell>
        </row>
        <row r="216">
          <cell r="B216" t="str">
            <v>nidata_ashe</v>
          </cell>
          <cell r="F216" t="str">
            <v>Integer</v>
          </cell>
        </row>
        <row r="217">
          <cell r="B217" t="str">
            <v>nino_contains_multiple_census_id</v>
          </cell>
          <cell r="F217" t="str">
            <v>Integer</v>
          </cell>
        </row>
        <row r="218">
          <cell r="B218" t="str">
            <v>nlpflag_ashe</v>
          </cell>
          <cell r="F218" t="str">
            <v>Integer</v>
          </cell>
        </row>
        <row r="219">
          <cell r="B219" t="str">
            <v>ns_sec_cen</v>
          </cell>
          <cell r="F219" t="str">
            <v>Integer</v>
          </cell>
        </row>
        <row r="220">
          <cell r="B220" t="str">
            <v>oc00_ashe</v>
          </cell>
          <cell r="F220" t="str">
            <v>Integer</v>
          </cell>
        </row>
        <row r="221">
          <cell r="B221" t="str">
            <v>oc02_ashe</v>
          </cell>
          <cell r="F221" t="str">
            <v>Integer</v>
          </cell>
        </row>
        <row r="222">
          <cell r="B222" t="str">
            <v>oc03_ashe</v>
          </cell>
          <cell r="F222" t="str">
            <v>Integer</v>
          </cell>
        </row>
        <row r="223">
          <cell r="B223" t="str">
            <v>oc04_ashe</v>
          </cell>
          <cell r="F223" t="str">
            <v>Integer</v>
          </cell>
        </row>
        <row r="224">
          <cell r="B224" t="str">
            <v>oc05_ashe</v>
          </cell>
          <cell r="F224" t="str">
            <v>Integer</v>
          </cell>
        </row>
        <row r="225">
          <cell r="B225" t="str">
            <v>oc06_ashe</v>
          </cell>
          <cell r="F225" t="str">
            <v>Integer</v>
          </cell>
        </row>
        <row r="226">
          <cell r="B226" t="str">
            <v>oc07_ashe</v>
          </cell>
          <cell r="F226" t="str">
            <v>Integer</v>
          </cell>
        </row>
        <row r="227">
          <cell r="B227" t="str">
            <v>occ00_ashe</v>
          </cell>
          <cell r="F227" t="str">
            <v>Integer</v>
          </cell>
        </row>
        <row r="228">
          <cell r="B228" t="str">
            <v>occ10_ashe</v>
          </cell>
          <cell r="F228" t="str">
            <v>Integer</v>
          </cell>
        </row>
        <row r="229">
          <cell r="B229" t="str">
            <v>occ20_ashe</v>
          </cell>
          <cell r="F229" t="str">
            <v>Integer</v>
          </cell>
        </row>
        <row r="230">
          <cell r="B230" t="str">
            <v>occ90_ashe</v>
          </cell>
          <cell r="F230" t="str">
            <v>Integer</v>
          </cell>
        </row>
        <row r="231">
          <cell r="B231" t="str">
            <v>occupation_flat_cen</v>
          </cell>
          <cell r="F231" t="str">
            <v>Integer</v>
          </cell>
        </row>
        <row r="232">
          <cell r="B232" t="str">
            <v>oldcalwght_ashe</v>
          </cell>
          <cell r="F232" t="str">
            <v>Floating Point</v>
          </cell>
        </row>
        <row r="233">
          <cell r="B233" t="str">
            <v>oldcompay_ashe</v>
          </cell>
          <cell r="F233" t="str">
            <v>Floating Point</v>
          </cell>
        </row>
        <row r="234">
          <cell r="B234" t="str">
            <v>oldcomperc_ashe</v>
          </cell>
          <cell r="F234" t="str">
            <v>Floating Point</v>
          </cell>
        </row>
        <row r="235">
          <cell r="B235" t="str">
            <v>oldcosp_ashe</v>
          </cell>
          <cell r="F235" t="str">
            <v>Integer</v>
          </cell>
        </row>
        <row r="236">
          <cell r="B236" t="str">
            <v>olddweight_ashe</v>
          </cell>
          <cell r="F236" t="str">
            <v>Floating Point</v>
          </cell>
        </row>
        <row r="237">
          <cell r="B237" t="str">
            <v>oldgweight_ashe</v>
          </cell>
          <cell r="F237" t="str">
            <v>Floating Point</v>
          </cell>
        </row>
        <row r="238">
          <cell r="B238" t="str">
            <v>oldlpcalwght_ashe</v>
          </cell>
          <cell r="F238" t="str">
            <v>Floating Point</v>
          </cell>
        </row>
        <row r="239">
          <cell r="B239" t="str">
            <v>oldlpdweight_ashe</v>
          </cell>
          <cell r="F239" t="str">
            <v>Floating Point</v>
          </cell>
        </row>
        <row r="240">
          <cell r="B240" t="str">
            <v>oldlpgweight_ashe</v>
          </cell>
          <cell r="F240" t="str">
            <v>Floating Point</v>
          </cell>
        </row>
        <row r="241">
          <cell r="B241" t="str">
            <v>oldownpay_ashe</v>
          </cell>
          <cell r="F241" t="str">
            <v>Floating Point</v>
          </cell>
        </row>
        <row r="242">
          <cell r="B242" t="str">
            <v>oldownperc_ashe</v>
          </cell>
          <cell r="F242" t="str">
            <v>Floating Point</v>
          </cell>
        </row>
        <row r="243">
          <cell r="B243" t="str">
            <v>oldpenpay_ashe</v>
          </cell>
          <cell r="F243" t="str">
            <v>Floating Point</v>
          </cell>
        </row>
        <row r="244">
          <cell r="B244" t="str">
            <v>oldppfilter_ashe</v>
          </cell>
          <cell r="F244" t="str">
            <v>Integer</v>
          </cell>
        </row>
        <row r="245">
          <cell r="B245" t="str">
            <v>oldtpen_ashe</v>
          </cell>
          <cell r="F245" t="str">
            <v>Integer</v>
          </cell>
        </row>
        <row r="246">
          <cell r="B246" t="str">
            <v>other_ashe</v>
          </cell>
          <cell r="F246" t="str">
            <v>String</v>
          </cell>
        </row>
        <row r="247">
          <cell r="B247" t="str">
            <v>other_passport_held_cen</v>
          </cell>
          <cell r="F247" t="str">
            <v>Integer</v>
          </cell>
        </row>
        <row r="248">
          <cell r="B248" t="str">
            <v>othpay_ashe</v>
          </cell>
          <cell r="F248" t="str">
            <v>Floating Point</v>
          </cell>
        </row>
        <row r="249">
          <cell r="B249" t="str">
            <v>ovhours_ashe</v>
          </cell>
          <cell r="F249" t="str">
            <v>Integer</v>
          </cell>
        </row>
        <row r="250">
          <cell r="B250" t="str">
            <v>ovhrs_ashe</v>
          </cell>
          <cell r="F250" t="str">
            <v>Floating Point</v>
          </cell>
        </row>
        <row r="251">
          <cell r="B251" t="str">
            <v>ovhrs_x_ashe</v>
          </cell>
          <cell r="F251" t="str">
            <v>Floating Point</v>
          </cell>
        </row>
        <row r="252">
          <cell r="B252" t="str">
            <v>ovmins_ashe</v>
          </cell>
          <cell r="F252" t="str">
            <v>Integer</v>
          </cell>
        </row>
        <row r="253">
          <cell r="B253" t="str">
            <v>ovpay_ashe</v>
          </cell>
          <cell r="F253" t="str">
            <v>Floating Point</v>
          </cell>
        </row>
        <row r="254">
          <cell r="B254" t="str">
            <v>ownpay_ashe</v>
          </cell>
          <cell r="F254" t="str">
            <v>Floating Point</v>
          </cell>
        </row>
        <row r="255">
          <cell r="B255" t="str">
            <v>ownpay_old_ashe</v>
          </cell>
          <cell r="F255" t="str">
            <v>Floating Point</v>
          </cell>
        </row>
        <row r="256">
          <cell r="B256" t="str">
            <v>ownperc_ashe</v>
          </cell>
          <cell r="F256" t="str">
            <v>Floating Point</v>
          </cell>
        </row>
        <row r="257">
          <cell r="B257" t="str">
            <v>passport_cen</v>
          </cell>
          <cell r="F257" t="str">
            <v>Integer</v>
          </cell>
        </row>
        <row r="258">
          <cell r="B258" t="str">
            <v>passports_all_cen</v>
          </cell>
          <cell r="F258" t="str">
            <v>Integer</v>
          </cell>
        </row>
        <row r="259">
          <cell r="B259" t="str">
            <v>passports_held_irish_cen</v>
          </cell>
          <cell r="F259" t="str">
            <v>Integer</v>
          </cell>
        </row>
        <row r="260">
          <cell r="B260" t="str">
            <v>passports_held_none_cen</v>
          </cell>
          <cell r="F260" t="str">
            <v>Integer</v>
          </cell>
        </row>
        <row r="261">
          <cell r="B261" t="str">
            <v>passports_held_other_cen</v>
          </cell>
          <cell r="F261" t="str">
            <v>Integer</v>
          </cell>
        </row>
        <row r="262">
          <cell r="B262" t="str">
            <v>passports_held_uk_cen</v>
          </cell>
          <cell r="F262" t="str">
            <v>Integer</v>
          </cell>
        </row>
        <row r="263">
          <cell r="B263" t="str">
            <v>payp_ashe</v>
          </cell>
          <cell r="F263" t="str">
            <v>Integer</v>
          </cell>
        </row>
        <row r="264">
          <cell r="B264" t="str">
            <v>payperc_ashe</v>
          </cell>
          <cell r="F264" t="str">
            <v>Floating Point</v>
          </cell>
        </row>
        <row r="265">
          <cell r="B265" t="str">
            <v>pc00_ashe</v>
          </cell>
          <cell r="F265" t="str">
            <v>Integer</v>
          </cell>
        </row>
        <row r="266">
          <cell r="B266" t="str">
            <v>pc03_ashe</v>
          </cell>
          <cell r="F266" t="str">
            <v>Integer</v>
          </cell>
        </row>
        <row r="267">
          <cell r="B267" t="str">
            <v>pc06_ashe</v>
          </cell>
          <cell r="F267" t="str">
            <v>Integer</v>
          </cell>
        </row>
        <row r="268">
          <cell r="B268" t="str">
            <v>pc09_ashe</v>
          </cell>
          <cell r="F268" t="str">
            <v>Integer</v>
          </cell>
        </row>
        <row r="269">
          <cell r="B269" t="str">
            <v>pc12_ashe</v>
          </cell>
          <cell r="F269" t="str">
            <v>Integer</v>
          </cell>
        </row>
        <row r="270">
          <cell r="B270" t="str">
            <v>pc15_ashe</v>
          </cell>
          <cell r="F270" t="str">
            <v>Integer</v>
          </cell>
        </row>
        <row r="271">
          <cell r="B271" t="str">
            <v>pcflag_ashe</v>
          </cell>
          <cell r="F271" t="str">
            <v>Integer</v>
          </cell>
        </row>
        <row r="272">
          <cell r="B272" t="str">
            <v>penpay_ashe</v>
          </cell>
          <cell r="F272" t="str">
            <v>Floating Point</v>
          </cell>
        </row>
        <row r="273">
          <cell r="B273" t="str">
            <v>penpay_old_ashe</v>
          </cell>
          <cell r="F273" t="str">
            <v>Floating Point</v>
          </cell>
        </row>
        <row r="274">
          <cell r="B274" t="str">
            <v>pens_ashe</v>
          </cell>
          <cell r="F274" t="str">
            <v>Integer</v>
          </cell>
        </row>
        <row r="275">
          <cell r="B275" t="str">
            <v>place_of_work_ind_cen</v>
          </cell>
          <cell r="F275" t="str">
            <v>Integer</v>
          </cell>
        </row>
        <row r="276">
          <cell r="B276" t="str">
            <v>position_in_ce_cen</v>
          </cell>
          <cell r="F276" t="str">
            <v>Integer</v>
          </cell>
        </row>
        <row r="277">
          <cell r="B277" t="str">
            <v>ppfilter_ashe</v>
          </cell>
          <cell r="F277" t="str">
            <v>Integer</v>
          </cell>
        </row>
        <row r="278">
          <cell r="B278" t="str">
            <v>ppfilter_old_ashe</v>
          </cell>
          <cell r="F278" t="str">
            <v>Integer</v>
          </cell>
        </row>
        <row r="279">
          <cell r="B279" t="str">
            <v>ppstart_ashe</v>
          </cell>
          <cell r="F279" t="str">
            <v>Floating Point</v>
          </cell>
        </row>
        <row r="280">
          <cell r="B280" t="str">
            <v>proxy_answer_cen</v>
          </cell>
          <cell r="F280" t="str">
            <v>Integer</v>
          </cell>
        </row>
        <row r="281">
          <cell r="B281" t="str">
            <v>prp_ashe</v>
          </cell>
          <cell r="F281" t="str">
            <v>Floating Point</v>
          </cell>
        </row>
        <row r="282">
          <cell r="B282" t="str">
            <v>pt_ashe</v>
          </cell>
          <cell r="F282" t="str">
            <v>Integer</v>
          </cell>
        </row>
        <row r="283">
          <cell r="B283" t="str">
            <v>pt04_ashe</v>
          </cell>
          <cell r="F283" t="str">
            <v>Integer</v>
          </cell>
        </row>
        <row r="284">
          <cell r="B284" t="str">
            <v>pt08_ashe</v>
          </cell>
          <cell r="F284" t="str">
            <v>Integer</v>
          </cell>
        </row>
        <row r="285">
          <cell r="B285" t="str">
            <v>pt12_ashe</v>
          </cell>
          <cell r="F285" t="str">
            <v>Integer</v>
          </cell>
        </row>
        <row r="286">
          <cell r="B286" t="str">
            <v>pt16_ashe</v>
          </cell>
          <cell r="F286" t="str">
            <v>Integer</v>
          </cell>
        </row>
        <row r="287">
          <cell r="B287" t="str">
            <v>pt20_ashe</v>
          </cell>
          <cell r="F287" t="str">
            <v>Integer</v>
          </cell>
        </row>
        <row r="288">
          <cell r="B288" t="str">
            <v>pt24_ashe</v>
          </cell>
          <cell r="F288" t="str">
            <v>Integer</v>
          </cell>
        </row>
        <row r="289">
          <cell r="B289" t="str">
            <v>ptcom_ashe</v>
          </cell>
          <cell r="F289" t="str">
            <v>Integer</v>
          </cell>
        </row>
        <row r="290">
          <cell r="B290" t="str">
            <v>pttotal_ashe</v>
          </cell>
          <cell r="F290" t="str">
            <v>Integer</v>
          </cell>
        </row>
        <row r="291">
          <cell r="B291" t="str">
            <v>ptup_ashe</v>
          </cell>
          <cell r="F291" t="str">
            <v>Integer</v>
          </cell>
        </row>
        <row r="292">
          <cell r="B292" t="str">
            <v>public_transport_users_cen</v>
          </cell>
          <cell r="F292" t="str">
            <v>Integer</v>
          </cell>
        </row>
        <row r="293">
          <cell r="B293" t="str">
            <v>pubpriv_ashe</v>
          </cell>
          <cell r="F293" t="str">
            <v>Integer</v>
          </cell>
        </row>
        <row r="294">
          <cell r="B294" t="str">
            <v>qualifications_cen</v>
          </cell>
          <cell r="F294" t="str">
            <v>Floating Point</v>
          </cell>
        </row>
        <row r="295">
          <cell r="B295" t="str">
            <v>qualifications01_cen</v>
          </cell>
          <cell r="F295" t="str">
            <v>Integer</v>
          </cell>
        </row>
        <row r="296">
          <cell r="B296" t="str">
            <v>qualifications02_cen</v>
          </cell>
          <cell r="F296" t="str">
            <v>Integer</v>
          </cell>
        </row>
        <row r="297">
          <cell r="B297" t="str">
            <v>qualifications03_cen</v>
          </cell>
          <cell r="F297" t="str">
            <v>Integer</v>
          </cell>
        </row>
        <row r="298">
          <cell r="B298" t="str">
            <v>qualifications04_cen</v>
          </cell>
          <cell r="F298" t="str">
            <v>Integer</v>
          </cell>
        </row>
        <row r="299">
          <cell r="B299" t="str">
            <v>qualifications05_cen</v>
          </cell>
          <cell r="F299" t="str">
            <v>Integer</v>
          </cell>
        </row>
        <row r="300">
          <cell r="B300" t="str">
            <v>qualifications06_cen</v>
          </cell>
          <cell r="F300" t="str">
            <v>Integer</v>
          </cell>
        </row>
        <row r="301">
          <cell r="B301" t="str">
            <v>qualifications07_cen</v>
          </cell>
          <cell r="F301" t="str">
            <v>Integer</v>
          </cell>
        </row>
        <row r="302">
          <cell r="B302" t="str">
            <v>qualifications08_cen</v>
          </cell>
          <cell r="F302" t="str">
            <v>Integer</v>
          </cell>
        </row>
        <row r="303">
          <cell r="B303" t="str">
            <v>qualifications09_cen</v>
          </cell>
          <cell r="F303" t="str">
            <v>Integer</v>
          </cell>
        </row>
        <row r="304">
          <cell r="B304" t="str">
            <v>qualifications10_cen</v>
          </cell>
          <cell r="F304" t="str">
            <v>Integer</v>
          </cell>
        </row>
        <row r="305">
          <cell r="B305" t="str">
            <v>qualifications11_cen</v>
          </cell>
          <cell r="F305" t="str">
            <v>Integer</v>
          </cell>
        </row>
        <row r="306">
          <cell r="B306" t="str">
            <v>qualifications12_cen</v>
          </cell>
          <cell r="F306" t="str">
            <v>Integer</v>
          </cell>
        </row>
        <row r="307">
          <cell r="B307" t="str">
            <v>raw_file_ashe</v>
          </cell>
          <cell r="F307" t="str">
            <v>String</v>
          </cell>
        </row>
        <row r="308">
          <cell r="B308" t="str">
            <v>religion_cen</v>
          </cell>
          <cell r="F308" t="str">
            <v>Integer</v>
          </cell>
        </row>
        <row r="309">
          <cell r="B309" t="str">
            <v>religion_tb_cen</v>
          </cell>
          <cell r="F309" t="str">
            <v>Integer</v>
          </cell>
        </row>
        <row r="310">
          <cell r="B310" t="str">
            <v>residence_length_cen</v>
          </cell>
          <cell r="F310" t="str">
            <v>Integer</v>
          </cell>
        </row>
        <row r="311">
          <cell r="B311" t="str">
            <v>residence_type_cen</v>
          </cell>
          <cell r="F311" t="str">
            <v>Integer</v>
          </cell>
        </row>
        <row r="312">
          <cell r="B312" t="str">
            <v>resident_age_cen</v>
          </cell>
          <cell r="F312" t="str">
            <v>Integer</v>
          </cell>
        </row>
        <row r="313">
          <cell r="B313" t="str">
            <v>resident_month_of_birth_cen</v>
          </cell>
          <cell r="F313" t="str">
            <v>Integer</v>
          </cell>
        </row>
        <row r="314">
          <cell r="B314" t="str">
            <v>resident_record_key_cen</v>
          </cell>
          <cell r="F314" t="str">
            <v>Integer</v>
          </cell>
        </row>
        <row r="315">
          <cell r="B315" t="str">
            <v>resident_response_mode_20_cen</v>
          </cell>
          <cell r="F315" t="str">
            <v>Integer</v>
          </cell>
        </row>
        <row r="316">
          <cell r="B316" t="str">
            <v>resident_year_of_birth_cen</v>
          </cell>
          <cell r="F316" t="str">
            <v>Integer</v>
          </cell>
        </row>
        <row r="317">
          <cell r="B317" t="str">
            <v>response_id_cen</v>
          </cell>
          <cell r="F317" t="str">
            <v>Floating Point</v>
          </cell>
        </row>
        <row r="318">
          <cell r="B318" t="str">
            <v>ruref_ashe</v>
          </cell>
          <cell r="F318" t="str">
            <v>Floating Point</v>
          </cell>
        </row>
        <row r="319">
          <cell r="B319" t="str">
            <v>salsac_ashe</v>
          </cell>
          <cell r="F319" t="str">
            <v>Integer</v>
          </cell>
        </row>
        <row r="320">
          <cell r="B320" t="str">
            <v>sam_ashe</v>
          </cell>
          <cell r="F320" t="str">
            <v>Integer</v>
          </cell>
        </row>
        <row r="321">
          <cell r="B321" t="str">
            <v>sano_ashe</v>
          </cell>
          <cell r="F321" t="str">
            <v>Integer</v>
          </cell>
        </row>
        <row r="322">
          <cell r="B322" t="str">
            <v>second_address_country_cen</v>
          </cell>
          <cell r="F322" t="str">
            <v>Integer</v>
          </cell>
        </row>
        <row r="323">
          <cell r="B323" t="str">
            <v>second_address_type_priority_cen</v>
          </cell>
          <cell r="F323" t="str">
            <v>Integer</v>
          </cell>
        </row>
        <row r="324">
          <cell r="B324" t="str">
            <v>serno_ashe</v>
          </cell>
          <cell r="F324" t="str">
            <v>Floating Point</v>
          </cell>
        </row>
        <row r="325">
          <cell r="B325" t="str">
            <v>sernol_ashe</v>
          </cell>
          <cell r="F325" t="str">
            <v>Floating Point</v>
          </cell>
        </row>
        <row r="326">
          <cell r="B326" t="str">
            <v>sex_ashe</v>
          </cell>
          <cell r="F326" t="str">
            <v>Integer</v>
          </cell>
        </row>
        <row r="327">
          <cell r="B327" t="str">
            <v>sex_cen</v>
          </cell>
          <cell r="F327" t="str">
            <v>Integer</v>
          </cell>
        </row>
        <row r="328">
          <cell r="B328" t="str">
            <v>sexual_orientation_cen</v>
          </cell>
          <cell r="F328" t="str">
            <v>Integer</v>
          </cell>
        </row>
        <row r="329">
          <cell r="B329" t="str">
            <v>sic_cen</v>
          </cell>
          <cell r="F329" t="str">
            <v>Integer</v>
          </cell>
        </row>
        <row r="330">
          <cell r="B330" t="str">
            <v>sic03_ashe</v>
          </cell>
          <cell r="F330" t="str">
            <v>Floating Point</v>
          </cell>
        </row>
        <row r="331">
          <cell r="B331" t="str">
            <v>sic07_ashe</v>
          </cell>
          <cell r="F331" t="str">
            <v>Floating Point</v>
          </cell>
        </row>
        <row r="332">
          <cell r="B332" t="str">
            <v>sikh_ind_cen</v>
          </cell>
          <cell r="F332" t="str">
            <v>Integer</v>
          </cell>
        </row>
        <row r="333">
          <cell r="B333" t="str">
            <v>simple_ashe</v>
          </cell>
          <cell r="F333" t="str">
            <v>Floating Point</v>
          </cell>
        </row>
        <row r="334">
          <cell r="B334" t="str">
            <v>sjd_ashe</v>
          </cell>
          <cell r="F334" t="str">
            <v>Integer</v>
          </cell>
        </row>
        <row r="335">
          <cell r="B335" t="str">
            <v>sm_ashe</v>
          </cell>
          <cell r="F335" t="str">
            <v>Integer</v>
          </cell>
        </row>
        <row r="336">
          <cell r="B336" t="str">
            <v>soc_cen</v>
          </cell>
          <cell r="F336" t="str">
            <v>Integer</v>
          </cell>
        </row>
        <row r="337">
          <cell r="B337" t="str">
            <v>spayd_ashe</v>
          </cell>
          <cell r="F337" t="str">
            <v>Integer</v>
          </cell>
        </row>
        <row r="338">
          <cell r="B338" t="str">
            <v>spens_ashe</v>
          </cell>
          <cell r="F338" t="str">
            <v>Integer</v>
          </cell>
        </row>
        <row r="339">
          <cell r="B339" t="str">
            <v>sppay_ashe</v>
          </cell>
          <cell r="F339" t="str">
            <v>Floating Point</v>
          </cell>
        </row>
        <row r="340">
          <cell r="B340" t="str">
            <v>staddr_flag_20_cen</v>
          </cell>
          <cell r="F340" t="str">
            <v>Integer</v>
          </cell>
        </row>
        <row r="341">
          <cell r="B341" t="str">
            <v>status_ashe</v>
          </cell>
          <cell r="F341" t="str">
            <v>Integer</v>
          </cell>
        </row>
        <row r="342">
          <cell r="B342" t="str">
            <v>stratum_ashe</v>
          </cell>
          <cell r="F342" t="str">
            <v>Integer</v>
          </cell>
        </row>
        <row r="343">
          <cell r="B343" t="str">
            <v>stratum2_ashe</v>
          </cell>
          <cell r="F343" t="str">
            <v>Integer</v>
          </cell>
        </row>
        <row r="344">
          <cell r="B344" t="str">
            <v>student_accommodation_cen</v>
          </cell>
          <cell r="F344" t="str">
            <v>Integer</v>
          </cell>
        </row>
        <row r="345">
          <cell r="B345" t="str">
            <v>supervises_or_manages_cen</v>
          </cell>
          <cell r="F345" t="str">
            <v>Integer</v>
          </cell>
        </row>
        <row r="346">
          <cell r="B346" t="str">
            <v>term_time_address_flag_cen</v>
          </cell>
          <cell r="F346" t="str">
            <v>Integer</v>
          </cell>
        </row>
        <row r="347">
          <cell r="B347" t="str">
            <v>thrs_ashe</v>
          </cell>
          <cell r="F347" t="str">
            <v>Floating Point</v>
          </cell>
        </row>
        <row r="348">
          <cell r="B348" t="str">
            <v>thrs_x_ashe</v>
          </cell>
          <cell r="F348" t="str">
            <v>Floating Point</v>
          </cell>
        </row>
        <row r="349">
          <cell r="B349" t="str">
            <v>tpay_ashe</v>
          </cell>
          <cell r="F349" t="str">
            <v>Floating Point</v>
          </cell>
        </row>
        <row r="350">
          <cell r="B350" t="str">
            <v>tpen_ashe</v>
          </cell>
          <cell r="F350" t="str">
            <v>Integer</v>
          </cell>
        </row>
        <row r="351">
          <cell r="B351" t="str">
            <v>tpen_old_ashe</v>
          </cell>
          <cell r="F351" t="str">
            <v>Integer</v>
          </cell>
        </row>
        <row r="352">
          <cell r="B352" t="str">
            <v>transport_to_work_cen</v>
          </cell>
          <cell r="F352" t="str">
            <v>Integer</v>
          </cell>
        </row>
        <row r="353">
          <cell r="B353" t="str">
            <v>transport_to_workplace_cen</v>
          </cell>
          <cell r="F353" t="str">
            <v>Integer</v>
          </cell>
        </row>
        <row r="354">
          <cell r="B354" t="str">
            <v>type_of_establishment_cen</v>
          </cell>
          <cell r="F354" t="str">
            <v>Integer</v>
          </cell>
        </row>
        <row r="355">
          <cell r="B355" t="str">
            <v>uk_armed_forces_cen</v>
          </cell>
          <cell r="F355" t="str">
            <v>Integer</v>
          </cell>
        </row>
        <row r="356">
          <cell r="B356" t="str">
            <v>ukdata_ashe</v>
          </cell>
          <cell r="F356" t="str">
            <v>Integer</v>
          </cell>
        </row>
        <row r="357">
          <cell r="B357" t="str">
            <v>usual_resident_ind_cen</v>
          </cell>
          <cell r="F357" t="str">
            <v>Integer</v>
          </cell>
        </row>
        <row r="358">
          <cell r="B358" t="str">
            <v>w_bua11_ashe</v>
          </cell>
          <cell r="F358" t="str">
            <v>String</v>
          </cell>
        </row>
        <row r="359">
          <cell r="B359" t="str">
            <v>w_buasd11_ashe</v>
          </cell>
          <cell r="F359" t="str">
            <v>String</v>
          </cell>
        </row>
        <row r="360">
          <cell r="B360" t="str">
            <v>w_calncv_ashe</v>
          </cell>
          <cell r="F360" t="str">
            <v>String</v>
          </cell>
        </row>
        <row r="361">
          <cell r="B361" t="str">
            <v>w_ccg_ashe</v>
          </cell>
          <cell r="F361" t="str">
            <v>String</v>
          </cell>
        </row>
        <row r="362">
          <cell r="B362" t="str">
            <v>w_ced_ashe</v>
          </cell>
          <cell r="F362" t="str">
            <v>String</v>
          </cell>
        </row>
        <row r="363">
          <cell r="B363" t="str">
            <v>w_ctry_ashe</v>
          </cell>
          <cell r="F363" t="str">
            <v>String</v>
          </cell>
        </row>
        <row r="364">
          <cell r="B364" t="str">
            <v>w_cty_ashe</v>
          </cell>
          <cell r="F364" t="str">
            <v>String</v>
          </cell>
        </row>
        <row r="365">
          <cell r="B365" t="str">
            <v>w_eer_ashe</v>
          </cell>
          <cell r="F365" t="str">
            <v>String</v>
          </cell>
        </row>
        <row r="366">
          <cell r="B366" t="str">
            <v>w_ha_ashe</v>
          </cell>
          <cell r="F366" t="str">
            <v>String</v>
          </cell>
        </row>
        <row r="367">
          <cell r="B367" t="str">
            <v>w_hlthau_ashe</v>
          </cell>
          <cell r="F367" t="str">
            <v>String</v>
          </cell>
        </row>
        <row r="368">
          <cell r="B368" t="str">
            <v>w_imd_ashe</v>
          </cell>
          <cell r="F368" t="str">
            <v>Floating Point</v>
          </cell>
        </row>
        <row r="369">
          <cell r="B369" t="str">
            <v>w_itl_ashe</v>
          </cell>
          <cell r="F369" t="str">
            <v>String</v>
          </cell>
        </row>
        <row r="370">
          <cell r="B370" t="str">
            <v>w_laua_ashe</v>
          </cell>
          <cell r="F370" t="str">
            <v>String</v>
          </cell>
        </row>
        <row r="371">
          <cell r="B371" t="str">
            <v>w_lep1_ashe</v>
          </cell>
          <cell r="F371" t="str">
            <v>String</v>
          </cell>
        </row>
        <row r="372">
          <cell r="B372" t="str">
            <v>w_lep2_ashe</v>
          </cell>
          <cell r="F372" t="str">
            <v>String</v>
          </cell>
        </row>
        <row r="373">
          <cell r="B373" t="str">
            <v>w_nhser_ashe</v>
          </cell>
          <cell r="F373" t="str">
            <v>String</v>
          </cell>
        </row>
        <row r="374">
          <cell r="B374" t="str">
            <v>w_oac11_ashe</v>
          </cell>
          <cell r="F374" t="str">
            <v>String</v>
          </cell>
        </row>
        <row r="375">
          <cell r="B375" t="str">
            <v>w_park_ashe</v>
          </cell>
          <cell r="F375" t="str">
            <v>String</v>
          </cell>
        </row>
        <row r="376">
          <cell r="B376" t="str">
            <v>w_pcon_ashe</v>
          </cell>
          <cell r="F376" t="str">
            <v>String</v>
          </cell>
        </row>
        <row r="377">
          <cell r="B377" t="str">
            <v>w_pct_ashe</v>
          </cell>
          <cell r="F377" t="str">
            <v>String</v>
          </cell>
        </row>
        <row r="378">
          <cell r="B378" t="str">
            <v>w_pfa_ashe</v>
          </cell>
          <cell r="F378" t="str">
            <v>String</v>
          </cell>
        </row>
        <row r="379">
          <cell r="B379" t="str">
            <v>w_rgn_ashe</v>
          </cell>
          <cell r="F379" t="str">
            <v>String</v>
          </cell>
        </row>
        <row r="380">
          <cell r="B380" t="str">
            <v>w_ru11ind_ashe</v>
          </cell>
          <cell r="F380" t="str">
            <v>String</v>
          </cell>
        </row>
        <row r="381">
          <cell r="B381" t="str">
            <v>w_stp_ashe</v>
          </cell>
          <cell r="F381" t="str">
            <v>String</v>
          </cell>
        </row>
        <row r="382">
          <cell r="B382" t="str">
            <v>w_teclec_ashe</v>
          </cell>
          <cell r="F382" t="str">
            <v>String</v>
          </cell>
        </row>
        <row r="383">
          <cell r="B383" t="str">
            <v>w_ward_ashe</v>
          </cell>
          <cell r="F383" t="str">
            <v>String</v>
          </cell>
        </row>
        <row r="384">
          <cell r="B384" t="str">
            <v>w_wz11_ashe</v>
          </cell>
          <cell r="F384" t="str">
            <v>String</v>
          </cell>
        </row>
        <row r="385">
          <cell r="B385" t="str">
            <v>waiting_for_work_cen</v>
          </cell>
          <cell r="F385" t="str">
            <v>Integer</v>
          </cell>
        </row>
        <row r="386">
          <cell r="B386" t="str">
            <v>welsh_language_proficiency_cen</v>
          </cell>
          <cell r="F386" t="str">
            <v>Integer</v>
          </cell>
        </row>
        <row r="387">
          <cell r="B387" t="str">
            <v>welsh_skills_all_cen</v>
          </cell>
          <cell r="F387" t="str">
            <v>Integer</v>
          </cell>
        </row>
        <row r="388">
          <cell r="B388" t="str">
            <v>welsh_skills_read_cen</v>
          </cell>
          <cell r="F388" t="str">
            <v>Integer</v>
          </cell>
        </row>
        <row r="389">
          <cell r="B389" t="str">
            <v>welsh_skills_speak_cen</v>
          </cell>
          <cell r="F389" t="str">
            <v>Integer</v>
          </cell>
        </row>
        <row r="390">
          <cell r="B390" t="str">
            <v>welsh_skills_understand_cen</v>
          </cell>
          <cell r="F390" t="str">
            <v>Integer</v>
          </cell>
        </row>
        <row r="391">
          <cell r="B391" t="str">
            <v>welsh_skills_write_cen</v>
          </cell>
          <cell r="F391" t="str">
            <v>Integer</v>
          </cell>
        </row>
        <row r="392">
          <cell r="B392" t="str">
            <v>welsh_speaking_3_plus_cen</v>
          </cell>
          <cell r="F392" t="str">
            <v>Integer</v>
          </cell>
        </row>
        <row r="393">
          <cell r="B393" t="str">
            <v>welsh_speaking_dependent_child_c</v>
          </cell>
          <cell r="F393" t="str">
            <v>Integer</v>
          </cell>
        </row>
        <row r="394">
          <cell r="B394" t="str">
            <v>witl1_ashe</v>
          </cell>
          <cell r="F394" t="str">
            <v>String</v>
          </cell>
        </row>
        <row r="395">
          <cell r="B395" t="str">
            <v>witl2_ashe</v>
          </cell>
          <cell r="F395" t="str">
            <v>String</v>
          </cell>
        </row>
        <row r="396">
          <cell r="B396" t="str">
            <v>witl3_ashe</v>
          </cell>
          <cell r="F396" t="str">
            <v>String</v>
          </cell>
        </row>
        <row r="397">
          <cell r="B397" t="str">
            <v>working_age_ind_cen</v>
          </cell>
          <cell r="F397" t="str">
            <v>Integer</v>
          </cell>
        </row>
        <row r="398">
          <cell r="B398" t="str">
            <v>workplace_address_country_cen</v>
          </cell>
          <cell r="F398" t="str">
            <v>Integer</v>
          </cell>
        </row>
        <row r="399">
          <cell r="B399" t="str">
            <v>workplace_travel_cen</v>
          </cell>
          <cell r="F399" t="str">
            <v>Integer</v>
          </cell>
        </row>
        <row r="400">
          <cell r="B400" t="str">
            <v>workplace_type_cen</v>
          </cell>
          <cell r="F400" t="str">
            <v>Integer</v>
          </cell>
        </row>
        <row r="401">
          <cell r="B401" t="str">
            <v>year_ashe</v>
          </cell>
          <cell r="F401" t="str">
            <v>Integer</v>
          </cell>
        </row>
        <row r="402">
          <cell r="B402" t="str">
            <v>year_arrival_uk_cen</v>
          </cell>
          <cell r="F402" t="str">
            <v>Integer</v>
          </cell>
        </row>
        <row r="403">
          <cell r="B403" t="str">
            <v>year_of_arrival_in_country_cen</v>
          </cell>
          <cell r="F403" t="str">
            <v>Integer</v>
          </cell>
        </row>
        <row r="404">
          <cell r="B404" t="str">
            <v>yob_ashe</v>
          </cell>
          <cell r="F404" t="str">
            <v>Integer</v>
          </cell>
        </row>
        <row r="405">
          <cell r="B405" t="str">
            <v>di_join</v>
          </cell>
          <cell r="F405" t="str">
            <v>String</v>
          </cell>
        </row>
        <row r="406">
          <cell r="B406" t="str">
            <v>nino_join</v>
          </cell>
          <cell r="F406" t="str">
            <v>String</v>
          </cell>
        </row>
        <row r="407">
          <cell r="B407" t="str">
            <v>resident_id_cen</v>
          </cell>
          <cell r="F407" t="str">
            <v>String</v>
          </cell>
        </row>
        <row r="408">
          <cell r="B408" t="str">
            <v>ashe_nino_adr_id</v>
          </cell>
          <cell r="F408" t="str">
            <v>Floating Point</v>
          </cell>
        </row>
        <row r="409">
          <cell r="B409" t="str">
            <v>part</v>
          </cell>
          <cell r="F409" t="str">
            <v>Integer</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cloud.google.com/bigquery/docs/reference/standard-sql/data-types" TargetMode="External"/><Relationship Id="rId13" Type="http://schemas.openxmlformats.org/officeDocument/2006/relationships/hyperlink" Target="https://cloud.google.com/bigquery/docs/reference/standard-sql/data-types" TargetMode="External"/><Relationship Id="rId3" Type="http://schemas.openxmlformats.org/officeDocument/2006/relationships/hyperlink" Target="https://cloud.google.com/bigquery/docs/reference/standard-sql/data-types" TargetMode="External"/><Relationship Id="rId7" Type="http://schemas.openxmlformats.org/officeDocument/2006/relationships/hyperlink" Target="https://cloud.google.com/bigquery/docs/reference/standard-sql/data-types" TargetMode="External"/><Relationship Id="rId12" Type="http://schemas.openxmlformats.org/officeDocument/2006/relationships/hyperlink" Target="https://cloud.google.com/bigquery/docs/reference/standard-sql/data-types" TargetMode="External"/><Relationship Id="rId2" Type="http://schemas.openxmlformats.org/officeDocument/2006/relationships/hyperlink" Target="https://cloud.google.com/bigquery/docs/reference/standard-sql/data-types" TargetMode="External"/><Relationship Id="rId1" Type="http://schemas.openxmlformats.org/officeDocument/2006/relationships/hyperlink" Target="https://cloud.google.com/bigquery/docs/reference/standard-sql/data-types" TargetMode="External"/><Relationship Id="rId6" Type="http://schemas.openxmlformats.org/officeDocument/2006/relationships/hyperlink" Target="https://cloud.google.com/bigquery/docs/reference/standard-sql/data-types" TargetMode="External"/><Relationship Id="rId11" Type="http://schemas.openxmlformats.org/officeDocument/2006/relationships/hyperlink" Target="https://cloud.google.com/bigquery/docs/reference/standard-sql/data-types" TargetMode="External"/><Relationship Id="rId5" Type="http://schemas.openxmlformats.org/officeDocument/2006/relationships/hyperlink" Target="https://cloud.google.com/bigquery/docs/reference/standard-sql/data-types" TargetMode="External"/><Relationship Id="rId15" Type="http://schemas.openxmlformats.org/officeDocument/2006/relationships/printerSettings" Target="../printerSettings/printerSettings3.bin"/><Relationship Id="rId10" Type="http://schemas.openxmlformats.org/officeDocument/2006/relationships/hyperlink" Target="https://cloud.google.com/bigquery/docs/reference/standard-sql/data-types" TargetMode="External"/><Relationship Id="rId4" Type="http://schemas.openxmlformats.org/officeDocument/2006/relationships/hyperlink" Target="https://cloud.google.com/bigquery/docs/reference/standard-sql/data-types" TargetMode="External"/><Relationship Id="rId9" Type="http://schemas.openxmlformats.org/officeDocument/2006/relationships/hyperlink" Target="https://cloud.google.com/bigquery/docs/reference/standard-sql/data-types" TargetMode="External"/><Relationship Id="rId14" Type="http://schemas.openxmlformats.org/officeDocument/2006/relationships/hyperlink" Target="http://earth-info.nga.mil/GandG/update/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B612-E8BE-4BF8-B633-18847E1A930E}">
  <dimension ref="A1:F37"/>
  <sheetViews>
    <sheetView tabSelected="1" zoomScale="90" zoomScaleNormal="90" workbookViewId="0"/>
  </sheetViews>
  <sheetFormatPr defaultColWidth="8.85546875" defaultRowHeight="15" x14ac:dyDescent="0.2"/>
  <cols>
    <col min="1" max="1" width="45" style="18" customWidth="1"/>
    <col min="2" max="2" width="128.42578125" style="18" customWidth="1"/>
    <col min="3" max="3" width="37.7109375" style="18" customWidth="1"/>
    <col min="4" max="4" width="36.140625" style="18" customWidth="1"/>
    <col min="5" max="5" width="29.28515625" style="18" customWidth="1"/>
    <col min="6" max="6" width="25.7109375" style="18" customWidth="1"/>
    <col min="7" max="16384" width="8.85546875" style="18"/>
  </cols>
  <sheetData>
    <row r="1" spans="1:4" ht="25.9" customHeight="1" x14ac:dyDescent="0.25">
      <c r="A1" s="7" t="s">
        <v>0</v>
      </c>
      <c r="B1" s="82">
        <v>46107</v>
      </c>
    </row>
    <row r="2" spans="1:4" x14ac:dyDescent="0.2">
      <c r="A2" s="19"/>
    </row>
    <row r="3" spans="1:4" ht="26.45" customHeight="1" x14ac:dyDescent="0.25">
      <c r="A3" s="7" t="s">
        <v>1</v>
      </c>
      <c r="B3" s="8"/>
    </row>
    <row r="4" spans="1:4" ht="33.950000000000003" customHeight="1" x14ac:dyDescent="0.25">
      <c r="A4" s="7" t="s">
        <v>2</v>
      </c>
      <c r="B4" s="56" t="s">
        <v>3640</v>
      </c>
      <c r="D4" s="20"/>
    </row>
    <row r="5" spans="1:4" ht="33.950000000000003" customHeight="1" x14ac:dyDescent="0.25">
      <c r="A5" s="7" t="s">
        <v>3</v>
      </c>
      <c r="B5" s="9" t="s">
        <v>557</v>
      </c>
    </row>
    <row r="6" spans="1:4" ht="33.950000000000003" customHeight="1" x14ac:dyDescent="0.25">
      <c r="A6" s="7" t="s">
        <v>4</v>
      </c>
      <c r="B6" s="9" t="s">
        <v>3073</v>
      </c>
    </row>
    <row r="7" spans="1:4" ht="219.75" customHeight="1" x14ac:dyDescent="0.25">
      <c r="A7" s="10" t="s">
        <v>5</v>
      </c>
      <c r="B7" s="57" t="s">
        <v>3623</v>
      </c>
      <c r="D7" s="20"/>
    </row>
    <row r="8" spans="1:4" ht="33.950000000000003" customHeight="1" x14ac:dyDescent="0.25">
      <c r="A8" s="7" t="s">
        <v>6</v>
      </c>
      <c r="B8" s="9" t="s">
        <v>3074</v>
      </c>
      <c r="C8" s="20"/>
      <c r="D8" s="20"/>
    </row>
    <row r="9" spans="1:4" ht="33.950000000000003" customHeight="1" x14ac:dyDescent="0.25">
      <c r="A9" s="11" t="s">
        <v>7</v>
      </c>
      <c r="B9" s="9" t="s">
        <v>557</v>
      </c>
      <c r="C9" s="20"/>
    </row>
    <row r="10" spans="1:4" ht="33.950000000000003" customHeight="1" x14ac:dyDescent="0.25">
      <c r="A10" s="7" t="s">
        <v>8</v>
      </c>
      <c r="B10" s="9" t="s">
        <v>557</v>
      </c>
      <c r="C10" s="20"/>
    </row>
    <row r="11" spans="1:4" ht="33.950000000000003" customHeight="1" x14ac:dyDescent="0.25">
      <c r="A11" s="7" t="s">
        <v>9</v>
      </c>
      <c r="B11" s="9" t="s">
        <v>557</v>
      </c>
      <c r="C11" s="20"/>
    </row>
    <row r="12" spans="1:4" ht="27.6" customHeight="1" x14ac:dyDescent="0.25">
      <c r="A12" s="7" t="s">
        <v>10</v>
      </c>
      <c r="B12" s="9" t="s">
        <v>557</v>
      </c>
      <c r="D12" s="20"/>
    </row>
    <row r="13" spans="1:4" ht="27.6" customHeight="1" x14ac:dyDescent="0.25">
      <c r="A13" s="7" t="s">
        <v>11</v>
      </c>
      <c r="B13" s="9" t="s">
        <v>557</v>
      </c>
      <c r="D13" s="20"/>
    </row>
    <row r="14" spans="1:4" ht="27.6" customHeight="1" x14ac:dyDescent="0.25">
      <c r="A14" s="7" t="s">
        <v>12</v>
      </c>
      <c r="B14" s="12" t="s">
        <v>3075</v>
      </c>
      <c r="D14" s="20"/>
    </row>
    <row r="15" spans="1:4" ht="37.9" customHeight="1" x14ac:dyDescent="0.25">
      <c r="A15" s="15" t="s">
        <v>13</v>
      </c>
      <c r="B15" s="12" t="s">
        <v>3075</v>
      </c>
      <c r="D15" s="20"/>
    </row>
    <row r="16" spans="1:4" ht="27.6" customHeight="1" x14ac:dyDescent="0.2">
      <c r="A16" s="14"/>
      <c r="B16" s="13"/>
      <c r="D16" s="20"/>
    </row>
    <row r="17" spans="1:6" ht="27.6" customHeight="1" x14ac:dyDescent="0.25">
      <c r="A17" s="7" t="s">
        <v>14</v>
      </c>
      <c r="B17" s="13"/>
      <c r="D17" s="20"/>
    </row>
    <row r="18" spans="1:6" ht="27.6" customHeight="1" x14ac:dyDescent="0.25">
      <c r="A18" s="7" t="s">
        <v>15</v>
      </c>
      <c r="B18" s="12" t="s">
        <v>3075</v>
      </c>
      <c r="D18" s="20"/>
    </row>
    <row r="19" spans="1:6" ht="27.6" customHeight="1" x14ac:dyDescent="0.25">
      <c r="A19" s="7" t="s">
        <v>16</v>
      </c>
      <c r="B19" s="12" t="s">
        <v>3075</v>
      </c>
      <c r="D19" s="20"/>
    </row>
    <row r="20" spans="1:6" ht="27.6" customHeight="1" x14ac:dyDescent="0.25">
      <c r="A20" s="7"/>
      <c r="B20" s="14"/>
    </row>
    <row r="21" spans="1:6" ht="27.6" customHeight="1" x14ac:dyDescent="0.25">
      <c r="A21" s="15" t="s">
        <v>17</v>
      </c>
      <c r="B21" s="14" t="s">
        <v>18</v>
      </c>
      <c r="C21" s="14" t="s">
        <v>19</v>
      </c>
      <c r="D21" s="14" t="s">
        <v>20</v>
      </c>
      <c r="E21" s="14" t="s">
        <v>21</v>
      </c>
      <c r="F21" s="14" t="s">
        <v>22</v>
      </c>
    </row>
    <row r="22" spans="1:6" ht="27.6" customHeight="1" x14ac:dyDescent="0.25">
      <c r="A22" s="15" t="s">
        <v>23</v>
      </c>
      <c r="B22" s="9" t="s">
        <v>557</v>
      </c>
      <c r="C22" s="12"/>
      <c r="D22" s="12"/>
      <c r="E22" s="12"/>
      <c r="F22" s="12"/>
    </row>
    <row r="23" spans="1:6" ht="27.6" customHeight="1" x14ac:dyDescent="0.25">
      <c r="A23" s="15" t="s">
        <v>24</v>
      </c>
      <c r="B23" s="9" t="s">
        <v>557</v>
      </c>
      <c r="C23" s="12"/>
      <c r="D23" s="12"/>
      <c r="E23" s="12"/>
      <c r="F23" s="12"/>
    </row>
    <row r="24" spans="1:6" ht="34.15" customHeight="1" x14ac:dyDescent="0.25">
      <c r="A24" s="15" t="s">
        <v>25</v>
      </c>
      <c r="B24" s="9" t="s">
        <v>557</v>
      </c>
      <c r="C24" s="12"/>
      <c r="D24" s="12"/>
      <c r="E24" s="12"/>
      <c r="F24" s="12"/>
    </row>
    <row r="25" spans="1:6" ht="38.450000000000003" customHeight="1" x14ac:dyDescent="0.25">
      <c r="A25" s="15" t="s">
        <v>26</v>
      </c>
      <c r="B25" s="9" t="s">
        <v>557</v>
      </c>
      <c r="C25" s="12"/>
      <c r="D25" s="12"/>
      <c r="E25" s="12"/>
      <c r="F25" s="12"/>
    </row>
    <row r="26" spans="1:6" ht="38.450000000000003" customHeight="1" x14ac:dyDescent="0.25">
      <c r="A26" s="15" t="s">
        <v>27</v>
      </c>
      <c r="B26" s="9" t="s">
        <v>557</v>
      </c>
      <c r="C26" s="12"/>
      <c r="D26" s="12"/>
      <c r="E26" s="12"/>
      <c r="F26" s="12"/>
    </row>
    <row r="27" spans="1:6" ht="38.450000000000003" customHeight="1" x14ac:dyDescent="0.25">
      <c r="A27" s="15" t="s">
        <v>28</v>
      </c>
      <c r="B27" s="9" t="s">
        <v>557</v>
      </c>
      <c r="C27" s="12"/>
      <c r="D27" s="12"/>
      <c r="E27" s="12"/>
      <c r="F27" s="12"/>
    </row>
    <row r="28" spans="1:6" ht="38.450000000000003" customHeight="1" x14ac:dyDescent="0.25">
      <c r="A28" s="7" t="s">
        <v>29</v>
      </c>
      <c r="B28" s="9" t="s">
        <v>557</v>
      </c>
      <c r="C28" s="9"/>
      <c r="D28" s="9"/>
      <c r="E28" s="9"/>
      <c r="F28" s="9"/>
    </row>
    <row r="29" spans="1:6" ht="38.450000000000003" customHeight="1" x14ac:dyDescent="0.25">
      <c r="A29" s="7" t="s">
        <v>30</v>
      </c>
      <c r="B29" s="9" t="s">
        <v>557</v>
      </c>
      <c r="C29" s="9"/>
      <c r="D29" s="9"/>
      <c r="E29" s="9"/>
      <c r="F29" s="9"/>
    </row>
    <row r="30" spans="1:6" ht="38.450000000000003" customHeight="1" x14ac:dyDescent="0.25">
      <c r="A30" s="7" t="s">
        <v>31</v>
      </c>
      <c r="B30" s="9" t="s">
        <v>557</v>
      </c>
      <c r="C30" s="9"/>
      <c r="D30" s="9"/>
      <c r="E30" s="9"/>
      <c r="F30" s="9"/>
    </row>
    <row r="31" spans="1:6" ht="38.450000000000003" customHeight="1" x14ac:dyDescent="0.25">
      <c r="A31" s="7" t="s">
        <v>32</v>
      </c>
      <c r="B31" s="9" t="s">
        <v>557</v>
      </c>
      <c r="C31" s="9"/>
      <c r="D31" s="9"/>
      <c r="E31" s="9"/>
      <c r="F31" s="9"/>
    </row>
    <row r="32" spans="1:6" ht="38.450000000000003" customHeight="1" x14ac:dyDescent="0.25">
      <c r="A32" s="7" t="s">
        <v>33</v>
      </c>
      <c r="B32" s="9" t="s">
        <v>557</v>
      </c>
      <c r="C32" s="9"/>
      <c r="D32" s="9"/>
      <c r="E32" s="9"/>
      <c r="F32" s="9"/>
    </row>
    <row r="33" spans="1:6" ht="38.450000000000003" customHeight="1" x14ac:dyDescent="0.25">
      <c r="A33" s="15" t="s">
        <v>34</v>
      </c>
      <c r="B33" s="9" t="s">
        <v>557</v>
      </c>
      <c r="C33" s="12"/>
      <c r="D33" s="12"/>
      <c r="E33" s="12"/>
      <c r="F33" s="12"/>
    </row>
    <row r="34" spans="1:6" ht="39.6" customHeight="1" x14ac:dyDescent="0.2">
      <c r="A34" s="19"/>
    </row>
    <row r="35" spans="1:6" ht="28.9" customHeight="1" x14ac:dyDescent="0.25">
      <c r="A35" s="7" t="s">
        <v>35</v>
      </c>
      <c r="B35" s="17"/>
    </row>
    <row r="36" spans="1:6" ht="57.6" customHeight="1" x14ac:dyDescent="0.25">
      <c r="A36" s="15" t="s">
        <v>36</v>
      </c>
      <c r="B36" s="16"/>
    </row>
    <row r="37" spans="1:6" ht="75.599999999999994" customHeight="1" x14ac:dyDescent="0.25">
      <c r="A37" s="15" t="s">
        <v>37</v>
      </c>
      <c r="B37" s="12" t="s">
        <v>3641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69F5-BFAD-446A-91E2-71217F834503}">
  <dimension ref="A1:O327"/>
  <sheetViews>
    <sheetView zoomScale="80" zoomScaleNormal="80" workbookViewId="0">
      <pane xSplit="3" ySplit="1" topLeftCell="D2" activePane="bottomRight" state="frozen"/>
      <selection pane="topRight" activeCell="D1" sqref="D1"/>
      <selection pane="bottomLeft" activeCell="A2" sqref="A2"/>
      <selection pane="bottomRight" activeCell="D2" sqref="D2"/>
    </sheetView>
  </sheetViews>
  <sheetFormatPr defaultColWidth="8.85546875" defaultRowHeight="14.25" x14ac:dyDescent="0.2"/>
  <cols>
    <col min="1" max="1" width="15.7109375" style="28" customWidth="1"/>
    <col min="2" max="2" width="22.85546875" style="28" customWidth="1"/>
    <col min="3" max="3" width="38.7109375" style="28" customWidth="1"/>
    <col min="4" max="4" width="46.28515625" style="28" customWidth="1"/>
    <col min="5" max="6" width="23.140625" style="28" customWidth="1"/>
    <col min="7" max="7" width="20.28515625" style="28" customWidth="1"/>
    <col min="8" max="8" width="20" style="28" customWidth="1"/>
    <col min="9" max="9" width="14.140625" style="28" customWidth="1"/>
    <col min="10" max="10" width="72.28515625" style="28" customWidth="1"/>
    <col min="11" max="11" width="18.28515625" style="23" customWidth="1"/>
    <col min="12" max="14" width="8.85546875" style="23"/>
    <col min="15" max="15" width="0" style="23" hidden="1" customWidth="1"/>
    <col min="16" max="16384" width="8.85546875" style="23"/>
  </cols>
  <sheetData>
    <row r="1" spans="1:15" ht="30" thickBot="1" x14ac:dyDescent="0.3">
      <c r="A1" s="24" t="s">
        <v>38</v>
      </c>
      <c r="B1" s="24" t="s">
        <v>39</v>
      </c>
      <c r="C1" s="24" t="s">
        <v>40</v>
      </c>
      <c r="D1" s="24" t="s">
        <v>41</v>
      </c>
      <c r="E1" s="24" t="s">
        <v>556</v>
      </c>
      <c r="F1" s="24" t="s">
        <v>42</v>
      </c>
      <c r="G1" s="79" t="s">
        <v>3624</v>
      </c>
      <c r="H1" s="24" t="s">
        <v>43</v>
      </c>
      <c r="I1" s="24" t="s">
        <v>44</v>
      </c>
      <c r="J1" s="25" t="s">
        <v>45</v>
      </c>
      <c r="K1" s="26" t="s">
        <v>46</v>
      </c>
    </row>
    <row r="2" spans="1:15" ht="17.25" customHeight="1" x14ac:dyDescent="0.2">
      <c r="A2" s="27" t="s">
        <v>557</v>
      </c>
      <c r="B2" s="27" t="s">
        <v>3222</v>
      </c>
      <c r="C2" s="22" t="s">
        <v>3629</v>
      </c>
      <c r="D2" s="22" t="s">
        <v>91</v>
      </c>
      <c r="E2" s="22" t="s">
        <v>89</v>
      </c>
      <c r="F2" s="22" t="s">
        <v>52</v>
      </c>
      <c r="G2" s="22">
        <v>1</v>
      </c>
      <c r="H2" s="27"/>
      <c r="I2" s="27"/>
      <c r="J2" s="80" t="s">
        <v>3626</v>
      </c>
      <c r="O2" s="23" t="b">
        <v>1</v>
      </c>
    </row>
    <row r="3" spans="1:15" ht="17.25" customHeight="1" x14ac:dyDescent="0.2">
      <c r="A3" s="27" t="s">
        <v>557</v>
      </c>
      <c r="B3" s="27" t="s">
        <v>3222</v>
      </c>
      <c r="C3" s="22" t="s">
        <v>3628</v>
      </c>
      <c r="D3" s="22" t="s">
        <v>92</v>
      </c>
      <c r="E3" s="22" t="s">
        <v>89</v>
      </c>
      <c r="F3" s="22" t="s">
        <v>52</v>
      </c>
      <c r="G3" s="22">
        <v>1</v>
      </c>
      <c r="J3" s="80" t="s">
        <v>3627</v>
      </c>
      <c r="O3" s="23" t="b">
        <v>0</v>
      </c>
    </row>
    <row r="4" spans="1:15" x14ac:dyDescent="0.2">
      <c r="A4" s="27" t="s">
        <v>557</v>
      </c>
      <c r="B4" s="27" t="s">
        <v>3222</v>
      </c>
      <c r="C4" s="22" t="s">
        <v>93</v>
      </c>
      <c r="D4" s="22" t="s">
        <v>94</v>
      </c>
      <c r="E4" s="22" t="s">
        <v>95</v>
      </c>
      <c r="F4" s="22" t="s">
        <v>3076</v>
      </c>
      <c r="G4" s="22">
        <f>VLOOKUP($C4,[1]Metadata!$B$1:$O$557,9,FALSE)</f>
        <v>1</v>
      </c>
    </row>
    <row r="5" spans="1:15" x14ac:dyDescent="0.2">
      <c r="A5" s="27" t="s">
        <v>557</v>
      </c>
      <c r="B5" s="27" t="s">
        <v>3222</v>
      </c>
      <c r="C5" s="22" t="s">
        <v>96</v>
      </c>
      <c r="D5" s="22" t="s">
        <v>97</v>
      </c>
      <c r="E5" s="22" t="s">
        <v>89</v>
      </c>
      <c r="F5" s="22" t="s">
        <v>52</v>
      </c>
      <c r="G5" s="22">
        <f>VLOOKUP($C5,[1]Metadata!$B$1:$O$557,9,FALSE)</f>
        <v>1</v>
      </c>
    </row>
    <row r="6" spans="1:15" x14ac:dyDescent="0.2">
      <c r="A6" s="27" t="s">
        <v>557</v>
      </c>
      <c r="B6" s="27" t="s">
        <v>3222</v>
      </c>
      <c r="C6" s="22" t="s">
        <v>98</v>
      </c>
      <c r="D6" s="22" t="s">
        <v>99</v>
      </c>
      <c r="E6" s="22" t="s">
        <v>95</v>
      </c>
      <c r="F6" s="22" t="s">
        <v>52</v>
      </c>
      <c r="G6" s="22">
        <f>VLOOKUP($C6,[1]Metadata!$B$1:$O$557,9,FALSE)</f>
        <v>1</v>
      </c>
    </row>
    <row r="7" spans="1:15" x14ac:dyDescent="0.2">
      <c r="A7" s="27" t="s">
        <v>557</v>
      </c>
      <c r="B7" s="27" t="s">
        <v>3222</v>
      </c>
      <c r="C7" s="22" t="s">
        <v>100</v>
      </c>
      <c r="D7" s="22" t="s">
        <v>101</v>
      </c>
      <c r="E7" s="22" t="s">
        <v>95</v>
      </c>
      <c r="F7" s="22" t="s">
        <v>47</v>
      </c>
      <c r="G7" s="22">
        <v>1</v>
      </c>
    </row>
    <row r="8" spans="1:15" x14ac:dyDescent="0.2">
      <c r="A8" s="27" t="s">
        <v>557</v>
      </c>
      <c r="B8" s="27" t="s">
        <v>3222</v>
      </c>
      <c r="C8" s="22" t="s">
        <v>3613</v>
      </c>
      <c r="D8" s="22" t="s">
        <v>3614</v>
      </c>
      <c r="E8" s="22" t="s">
        <v>89</v>
      </c>
      <c r="F8" s="22" t="str">
        <f>IFERROR(_xlfn.XLOOKUP(C8,'[2]Variable types'!$B:$B,'[2]Variable types'!$F:$F),"")</f>
        <v>Integer</v>
      </c>
      <c r="G8" s="22">
        <f>VLOOKUP($C8,[1]Metadata!$B$1:$O$557,9,FALSE)</f>
        <v>1</v>
      </c>
    </row>
    <row r="9" spans="1:15" x14ac:dyDescent="0.2">
      <c r="A9" s="27" t="s">
        <v>557</v>
      </c>
      <c r="B9" s="27" t="s">
        <v>3222</v>
      </c>
      <c r="C9" s="22" t="s">
        <v>102</v>
      </c>
      <c r="D9" s="22" t="s">
        <v>103</v>
      </c>
      <c r="E9" s="22" t="s">
        <v>95</v>
      </c>
      <c r="F9" s="22" t="s">
        <v>52</v>
      </c>
      <c r="G9" s="22">
        <f>VLOOKUP($C9,[1]Metadata!$B$1:$O$557,9,FALSE)</f>
        <v>1</v>
      </c>
    </row>
    <row r="10" spans="1:15" x14ac:dyDescent="0.2">
      <c r="A10" s="27" t="s">
        <v>557</v>
      </c>
      <c r="B10" s="27" t="s">
        <v>3222</v>
      </c>
      <c r="C10" s="22" t="s">
        <v>104</v>
      </c>
      <c r="D10" s="22" t="s">
        <v>105</v>
      </c>
      <c r="E10" s="22" t="s">
        <v>89</v>
      </c>
      <c r="F10" s="22" t="s">
        <v>52</v>
      </c>
      <c r="G10" s="22">
        <f>VLOOKUP($C10,[1]Metadata!$B$1:$O$557,9,FALSE)</f>
        <v>1</v>
      </c>
    </row>
    <row r="11" spans="1:15" x14ac:dyDescent="0.2">
      <c r="A11" s="27" t="s">
        <v>557</v>
      </c>
      <c r="B11" s="27" t="s">
        <v>3222</v>
      </c>
      <c r="C11" s="22" t="s">
        <v>106</v>
      </c>
      <c r="D11" s="22" t="s">
        <v>107</v>
      </c>
      <c r="E11" s="22" t="s">
        <v>95</v>
      </c>
      <c r="F11" s="22" t="s">
        <v>52</v>
      </c>
      <c r="G11" s="22">
        <f>VLOOKUP($C11,[1]Metadata!$B$1:$O$557,9,FALSE)</f>
        <v>0</v>
      </c>
    </row>
    <row r="12" spans="1:15" x14ac:dyDescent="0.2">
      <c r="A12" s="27" t="s">
        <v>557</v>
      </c>
      <c r="B12" s="27" t="s">
        <v>3222</v>
      </c>
      <c r="C12" s="22" t="s">
        <v>108</v>
      </c>
      <c r="D12" s="22" t="s">
        <v>107</v>
      </c>
      <c r="E12" s="22" t="s">
        <v>95</v>
      </c>
      <c r="F12" s="22" t="s">
        <v>52</v>
      </c>
      <c r="G12" s="22">
        <f>VLOOKUP($C12,[1]Metadata!$B$1:$O$557,9,FALSE)</f>
        <v>0</v>
      </c>
    </row>
    <row r="13" spans="1:15" x14ac:dyDescent="0.2">
      <c r="A13" s="27" t="s">
        <v>557</v>
      </c>
      <c r="B13" s="27" t="s">
        <v>3222</v>
      </c>
      <c r="C13" s="22" t="s">
        <v>109</v>
      </c>
      <c r="D13" s="22" t="s">
        <v>110</v>
      </c>
      <c r="E13" s="22" t="s">
        <v>95</v>
      </c>
      <c r="F13" s="22" t="s">
        <v>3076</v>
      </c>
      <c r="G13" s="22">
        <f>VLOOKUP($C13,[1]Metadata!$B$1:$O$557,9,FALSE)</f>
        <v>1</v>
      </c>
    </row>
    <row r="14" spans="1:15" x14ac:dyDescent="0.2">
      <c r="A14" s="27" t="s">
        <v>557</v>
      </c>
      <c r="B14" s="27" t="s">
        <v>3222</v>
      </c>
      <c r="C14" s="22" t="s">
        <v>111</v>
      </c>
      <c r="D14" s="22" t="s">
        <v>112</v>
      </c>
      <c r="E14" s="22" t="s">
        <v>95</v>
      </c>
      <c r="F14" s="22" t="s">
        <v>3076</v>
      </c>
      <c r="G14" s="22">
        <f>VLOOKUP($C14,[1]Metadata!$B$1:$O$557,9,FALSE)</f>
        <v>0</v>
      </c>
    </row>
    <row r="15" spans="1:15" x14ac:dyDescent="0.2">
      <c r="A15" s="27" t="s">
        <v>557</v>
      </c>
      <c r="B15" s="27" t="s">
        <v>3222</v>
      </c>
      <c r="C15" s="22" t="s">
        <v>113</v>
      </c>
      <c r="D15" s="22" t="s">
        <v>114</v>
      </c>
      <c r="E15" s="22" t="s">
        <v>95</v>
      </c>
      <c r="F15" s="22" t="s">
        <v>52</v>
      </c>
      <c r="G15" s="22">
        <f>VLOOKUP($C15,[1]Metadata!$B$1:$O$557,9,FALSE)</f>
        <v>0</v>
      </c>
    </row>
    <row r="16" spans="1:15" x14ac:dyDescent="0.2">
      <c r="A16" s="27" t="s">
        <v>557</v>
      </c>
      <c r="B16" s="27" t="s">
        <v>3222</v>
      </c>
      <c r="C16" s="22" t="s">
        <v>115</v>
      </c>
      <c r="D16" s="22" t="s">
        <v>116</v>
      </c>
      <c r="E16" s="22" t="s">
        <v>95</v>
      </c>
      <c r="F16" s="22" t="s">
        <v>3076</v>
      </c>
      <c r="G16" s="22">
        <f>VLOOKUP($C16,[1]Metadata!$B$1:$O$557,9,FALSE)</f>
        <v>1</v>
      </c>
    </row>
    <row r="17" spans="1:10" x14ac:dyDescent="0.2">
      <c r="A17" s="27" t="s">
        <v>557</v>
      </c>
      <c r="B17" s="27" t="s">
        <v>3222</v>
      </c>
      <c r="C17" s="22" t="s">
        <v>117</v>
      </c>
      <c r="D17" s="22" t="s">
        <v>116</v>
      </c>
      <c r="E17" s="22" t="s">
        <v>95</v>
      </c>
      <c r="F17" s="22" t="s">
        <v>3076</v>
      </c>
      <c r="G17" s="22">
        <f>VLOOKUP($C17,[1]Metadata!$B$1:$O$557,9,FALSE)</f>
        <v>0</v>
      </c>
    </row>
    <row r="18" spans="1:10" x14ac:dyDescent="0.2">
      <c r="A18" s="27" t="s">
        <v>557</v>
      </c>
      <c r="B18" s="27" t="s">
        <v>3222</v>
      </c>
      <c r="C18" s="22" t="s">
        <v>118</v>
      </c>
      <c r="D18" s="22" t="s">
        <v>119</v>
      </c>
      <c r="E18" s="22" t="s">
        <v>89</v>
      </c>
      <c r="F18" s="22" t="s">
        <v>52</v>
      </c>
      <c r="G18" s="22">
        <f>VLOOKUP($C18,[1]Metadata!$B$1:$O$557,9,FALSE)</f>
        <v>1</v>
      </c>
    </row>
    <row r="19" spans="1:10" ht="15.75" customHeight="1" x14ac:dyDescent="0.2">
      <c r="A19" s="27" t="s">
        <v>557</v>
      </c>
      <c r="B19" s="27" t="s">
        <v>3222</v>
      </c>
      <c r="C19" s="22" t="s">
        <v>3634</v>
      </c>
      <c r="D19" s="22" t="s">
        <v>120</v>
      </c>
      <c r="E19" s="22" t="s">
        <v>89</v>
      </c>
      <c r="F19" s="22" t="s">
        <v>90</v>
      </c>
      <c r="G19" s="22">
        <v>1</v>
      </c>
      <c r="J19" s="28" t="s">
        <v>3625</v>
      </c>
    </row>
    <row r="20" spans="1:10" x14ac:dyDescent="0.2">
      <c r="A20" s="27" t="s">
        <v>557</v>
      </c>
      <c r="B20" s="27" t="s">
        <v>3222</v>
      </c>
      <c r="C20" s="22" t="s">
        <v>121</v>
      </c>
      <c r="D20" s="22" t="s">
        <v>122</v>
      </c>
      <c r="E20" s="22" t="s">
        <v>89</v>
      </c>
      <c r="F20" s="22" t="s">
        <v>3076</v>
      </c>
      <c r="G20" s="22">
        <f>VLOOKUP($C20,[1]Metadata!$B$1:$O$557,9,FALSE)</f>
        <v>1</v>
      </c>
    </row>
    <row r="21" spans="1:10" x14ac:dyDescent="0.2">
      <c r="A21" s="27" t="s">
        <v>557</v>
      </c>
      <c r="B21" s="27" t="s">
        <v>3222</v>
      </c>
      <c r="C21" s="22" t="s">
        <v>123</v>
      </c>
      <c r="D21" s="22" t="s">
        <v>124</v>
      </c>
      <c r="E21" s="22" t="s">
        <v>95</v>
      </c>
      <c r="F21" s="22" t="s">
        <v>3076</v>
      </c>
      <c r="G21" s="22">
        <f>VLOOKUP($C21,[1]Metadata!$B$1:$O$557,9,FALSE)</f>
        <v>1</v>
      </c>
    </row>
    <row r="22" spans="1:10" x14ac:dyDescent="0.2">
      <c r="A22" s="27" t="s">
        <v>557</v>
      </c>
      <c r="B22" s="27" t="s">
        <v>3222</v>
      </c>
      <c r="C22" s="22" t="s">
        <v>125</v>
      </c>
      <c r="D22" s="22" t="s">
        <v>126</v>
      </c>
      <c r="E22" s="22" t="s">
        <v>95</v>
      </c>
      <c r="F22" s="22" t="s">
        <v>52</v>
      </c>
      <c r="G22" s="22">
        <f>VLOOKUP($C22,[1]Metadata!$B$1:$O$557,9,FALSE)</f>
        <v>1</v>
      </c>
    </row>
    <row r="23" spans="1:10" x14ac:dyDescent="0.2">
      <c r="A23" s="27" t="s">
        <v>557</v>
      </c>
      <c r="B23" s="27" t="s">
        <v>3222</v>
      </c>
      <c r="C23" s="22" t="s">
        <v>127</v>
      </c>
      <c r="D23" s="22" t="s">
        <v>128</v>
      </c>
      <c r="E23" s="22" t="s">
        <v>95</v>
      </c>
      <c r="F23" s="22" t="s">
        <v>3076</v>
      </c>
      <c r="G23" s="22">
        <f>VLOOKUP($C23,[1]Metadata!$B$1:$O$557,9,FALSE)</f>
        <v>1</v>
      </c>
    </row>
    <row r="24" spans="1:10" x14ac:dyDescent="0.2">
      <c r="A24" s="27" t="s">
        <v>557</v>
      </c>
      <c r="B24" s="27" t="s">
        <v>3222</v>
      </c>
      <c r="C24" s="22" t="s">
        <v>129</v>
      </c>
      <c r="D24" s="22" t="s">
        <v>130</v>
      </c>
      <c r="E24" s="22" t="s">
        <v>95</v>
      </c>
      <c r="F24" s="22" t="s">
        <v>52</v>
      </c>
      <c r="G24" s="22">
        <f>VLOOKUP($C24,[1]Metadata!$B$1:$O$557,9,FALSE)</f>
        <v>0</v>
      </c>
    </row>
    <row r="25" spans="1:10" x14ac:dyDescent="0.2">
      <c r="A25" s="27" t="s">
        <v>557</v>
      </c>
      <c r="B25" s="27" t="s">
        <v>3222</v>
      </c>
      <c r="C25" s="22" t="s">
        <v>131</v>
      </c>
      <c r="D25" s="22" t="s">
        <v>132</v>
      </c>
      <c r="E25" s="22" t="s">
        <v>95</v>
      </c>
      <c r="F25" s="22" t="s">
        <v>52</v>
      </c>
      <c r="G25" s="22">
        <f>VLOOKUP($C25,[1]Metadata!$B$1:$O$557,9,FALSE)</f>
        <v>0</v>
      </c>
    </row>
    <row r="26" spans="1:10" x14ac:dyDescent="0.2">
      <c r="A26" s="27" t="s">
        <v>557</v>
      </c>
      <c r="B26" s="27" t="s">
        <v>3222</v>
      </c>
      <c r="C26" s="22" t="s">
        <v>133</v>
      </c>
      <c r="D26" s="22" t="s">
        <v>134</v>
      </c>
      <c r="E26" s="22" t="s">
        <v>95</v>
      </c>
      <c r="F26" s="22" t="s">
        <v>52</v>
      </c>
      <c r="G26" s="22">
        <f>VLOOKUP($C26,[1]Metadata!$B$1:$O$557,9,FALSE)</f>
        <v>0</v>
      </c>
    </row>
    <row r="27" spans="1:10" x14ac:dyDescent="0.2">
      <c r="A27" s="27" t="s">
        <v>557</v>
      </c>
      <c r="B27" s="27" t="s">
        <v>3222</v>
      </c>
      <c r="C27" s="22" t="s">
        <v>135</v>
      </c>
      <c r="D27" s="22" t="s">
        <v>136</v>
      </c>
      <c r="E27" s="22" t="s">
        <v>95</v>
      </c>
      <c r="F27" s="22" t="s">
        <v>52</v>
      </c>
      <c r="G27" s="22">
        <f>VLOOKUP($C27,[1]Metadata!$B$1:$O$557,9,FALSE)</f>
        <v>0</v>
      </c>
    </row>
    <row r="28" spans="1:10" x14ac:dyDescent="0.2">
      <c r="A28" s="27" t="s">
        <v>557</v>
      </c>
      <c r="B28" s="27" t="s">
        <v>3222</v>
      </c>
      <c r="C28" s="22" t="s">
        <v>558</v>
      </c>
      <c r="D28" s="22" t="s">
        <v>559</v>
      </c>
      <c r="E28" s="22" t="s">
        <v>95</v>
      </c>
      <c r="F28" s="22" t="s">
        <v>90</v>
      </c>
      <c r="G28" s="22">
        <v>0</v>
      </c>
    </row>
    <row r="29" spans="1:10" x14ac:dyDescent="0.2">
      <c r="A29" s="27" t="s">
        <v>557</v>
      </c>
      <c r="B29" s="27" t="s">
        <v>3222</v>
      </c>
      <c r="C29" s="22" t="s">
        <v>560</v>
      </c>
      <c r="D29" s="22" t="s">
        <v>561</v>
      </c>
      <c r="E29" s="22" t="s">
        <v>95</v>
      </c>
      <c r="F29" s="22" t="s">
        <v>52</v>
      </c>
      <c r="G29" s="22">
        <f>VLOOKUP($C29,[1]Metadata!$B$1:$O$557,9,FALSE)</f>
        <v>1</v>
      </c>
    </row>
    <row r="30" spans="1:10" x14ac:dyDescent="0.2">
      <c r="A30" s="27" t="s">
        <v>557</v>
      </c>
      <c r="B30" s="27" t="s">
        <v>3222</v>
      </c>
      <c r="C30" s="22" t="s">
        <v>137</v>
      </c>
      <c r="D30" s="22" t="s">
        <v>138</v>
      </c>
      <c r="E30" s="22" t="s">
        <v>95</v>
      </c>
      <c r="F30" s="22" t="s">
        <v>52</v>
      </c>
      <c r="G30" s="22">
        <f>VLOOKUP($C30,[1]Metadata!$B$1:$O$557,9,FALSE)</f>
        <v>1</v>
      </c>
    </row>
    <row r="31" spans="1:10" x14ac:dyDescent="0.2">
      <c r="A31" s="27" t="s">
        <v>557</v>
      </c>
      <c r="B31" s="27" t="s">
        <v>3222</v>
      </c>
      <c r="C31" s="22" t="s">
        <v>139</v>
      </c>
      <c r="D31" s="22" t="s">
        <v>140</v>
      </c>
      <c r="E31" s="22" t="s">
        <v>89</v>
      </c>
      <c r="F31" s="22" t="s">
        <v>52</v>
      </c>
      <c r="G31" s="22">
        <f>VLOOKUP($C31,[1]Metadata!$B$1:$O$557,9,FALSE)</f>
        <v>1</v>
      </c>
    </row>
    <row r="32" spans="1:10" x14ac:dyDescent="0.2">
      <c r="A32" s="27" t="s">
        <v>557</v>
      </c>
      <c r="B32" s="27" t="s">
        <v>3222</v>
      </c>
      <c r="C32" s="22" t="s">
        <v>141</v>
      </c>
      <c r="D32" s="22" t="s">
        <v>142</v>
      </c>
      <c r="E32" s="22" t="s">
        <v>89</v>
      </c>
      <c r="F32" s="22" t="s">
        <v>52</v>
      </c>
      <c r="G32" s="22">
        <f>VLOOKUP($C32,[1]Metadata!$B$1:$O$557,9,FALSE)</f>
        <v>1</v>
      </c>
    </row>
    <row r="33" spans="1:7" x14ac:dyDescent="0.2">
      <c r="A33" s="27" t="s">
        <v>557</v>
      </c>
      <c r="B33" s="27" t="s">
        <v>3222</v>
      </c>
      <c r="C33" s="22" t="s">
        <v>143</v>
      </c>
      <c r="D33" s="22" t="s">
        <v>144</v>
      </c>
      <c r="E33" s="22" t="s">
        <v>95</v>
      </c>
      <c r="F33" s="22" t="s">
        <v>52</v>
      </c>
      <c r="G33" s="22">
        <f>VLOOKUP($C33,[1]Metadata!$B$1:$O$557,9,FALSE)</f>
        <v>0</v>
      </c>
    </row>
    <row r="34" spans="1:7" x14ac:dyDescent="0.2">
      <c r="A34" s="27" t="s">
        <v>557</v>
      </c>
      <c r="B34" s="27" t="s">
        <v>3222</v>
      </c>
      <c r="C34" s="22" t="s">
        <v>145</v>
      </c>
      <c r="D34" s="22" t="s">
        <v>146</v>
      </c>
      <c r="E34" s="22" t="s">
        <v>95</v>
      </c>
      <c r="F34" s="22" t="s">
        <v>3076</v>
      </c>
      <c r="G34" s="22">
        <f>VLOOKUP($C34,[1]Metadata!$B$1:$O$557,9,FALSE)</f>
        <v>1</v>
      </c>
    </row>
    <row r="35" spans="1:7" x14ac:dyDescent="0.2">
      <c r="A35" s="27" t="s">
        <v>557</v>
      </c>
      <c r="B35" s="27" t="s">
        <v>3222</v>
      </c>
      <c r="C35" s="22" t="s">
        <v>147</v>
      </c>
      <c r="D35" s="22" t="s">
        <v>148</v>
      </c>
      <c r="E35" s="22" t="s">
        <v>95</v>
      </c>
      <c r="F35" s="22" t="s">
        <v>3076</v>
      </c>
      <c r="G35" s="22">
        <f>VLOOKUP($C35,[1]Metadata!$B$1:$O$557,9,FALSE)</f>
        <v>0</v>
      </c>
    </row>
    <row r="36" spans="1:7" x14ac:dyDescent="0.2">
      <c r="A36" s="27" t="s">
        <v>557</v>
      </c>
      <c r="B36" s="27" t="s">
        <v>3222</v>
      </c>
      <c r="C36" s="22" t="s">
        <v>149</v>
      </c>
      <c r="D36" s="22" t="s">
        <v>150</v>
      </c>
      <c r="E36" s="22" t="s">
        <v>95</v>
      </c>
      <c r="F36" s="22" t="s">
        <v>3076</v>
      </c>
      <c r="G36" s="22">
        <f>VLOOKUP($C36,[1]Metadata!$B$1:$O$557,9,FALSE)</f>
        <v>1</v>
      </c>
    </row>
    <row r="37" spans="1:7" x14ac:dyDescent="0.2">
      <c r="A37" s="27" t="s">
        <v>557</v>
      </c>
      <c r="B37" s="27" t="s">
        <v>3222</v>
      </c>
      <c r="C37" s="22" t="s">
        <v>151</v>
      </c>
      <c r="D37" s="22" t="s">
        <v>562</v>
      </c>
      <c r="E37" s="22" t="s">
        <v>95</v>
      </c>
      <c r="F37" s="22" t="s">
        <v>52</v>
      </c>
      <c r="G37" s="22">
        <f>VLOOKUP($C37,[1]Metadata!$B$1:$O$557,9,FALSE)</f>
        <v>1</v>
      </c>
    </row>
    <row r="38" spans="1:7" x14ac:dyDescent="0.2">
      <c r="A38" s="27" t="s">
        <v>557</v>
      </c>
      <c r="B38" s="27" t="s">
        <v>3222</v>
      </c>
      <c r="C38" s="22" t="s">
        <v>152</v>
      </c>
      <c r="D38" s="22" t="s">
        <v>153</v>
      </c>
      <c r="E38" s="22" t="s">
        <v>95</v>
      </c>
      <c r="F38" s="22" t="s">
        <v>3076</v>
      </c>
      <c r="G38" s="22">
        <f>VLOOKUP($C38,[1]Metadata!$B$1:$O$557,9,FALSE)</f>
        <v>1</v>
      </c>
    </row>
    <row r="39" spans="1:7" x14ac:dyDescent="0.2">
      <c r="A39" s="27" t="s">
        <v>557</v>
      </c>
      <c r="B39" s="27" t="s">
        <v>3222</v>
      </c>
      <c r="C39" s="22" t="s">
        <v>154</v>
      </c>
      <c r="D39" s="22" t="s">
        <v>155</v>
      </c>
      <c r="E39" s="22" t="s">
        <v>95</v>
      </c>
      <c r="F39" s="22" t="s">
        <v>3076</v>
      </c>
      <c r="G39" s="22">
        <f>VLOOKUP($C39,[1]Metadata!$B$1:$O$557,9,FALSE)</f>
        <v>1</v>
      </c>
    </row>
    <row r="40" spans="1:7" x14ac:dyDescent="0.2">
      <c r="A40" s="27" t="s">
        <v>557</v>
      </c>
      <c r="B40" s="27" t="s">
        <v>3222</v>
      </c>
      <c r="C40" s="22" t="s">
        <v>156</v>
      </c>
      <c r="D40" s="22" t="s">
        <v>157</v>
      </c>
      <c r="E40" s="22" t="s">
        <v>95</v>
      </c>
      <c r="F40" s="22" t="s">
        <v>3076</v>
      </c>
      <c r="G40" s="22">
        <f>VLOOKUP($C40,[1]Metadata!$B$1:$O$557,9,FALSE)</f>
        <v>1</v>
      </c>
    </row>
    <row r="41" spans="1:7" x14ac:dyDescent="0.2">
      <c r="A41" s="27" t="s">
        <v>557</v>
      </c>
      <c r="B41" s="27" t="s">
        <v>3222</v>
      </c>
      <c r="C41" s="22" t="s">
        <v>158</v>
      </c>
      <c r="D41" s="22" t="s">
        <v>159</v>
      </c>
      <c r="E41" s="22" t="s">
        <v>89</v>
      </c>
      <c r="F41" s="22" t="s">
        <v>3076</v>
      </c>
      <c r="G41" s="22">
        <f>VLOOKUP($C41,[1]Metadata!$B$1:$O$557,9,FALSE)</f>
        <v>1</v>
      </c>
    </row>
    <row r="42" spans="1:7" x14ac:dyDescent="0.2">
      <c r="A42" s="27" t="s">
        <v>557</v>
      </c>
      <c r="B42" s="27" t="s">
        <v>3222</v>
      </c>
      <c r="C42" s="22" t="s">
        <v>160</v>
      </c>
      <c r="D42" s="22" t="s">
        <v>161</v>
      </c>
      <c r="E42" s="22" t="s">
        <v>89</v>
      </c>
      <c r="F42" s="22" t="s">
        <v>52</v>
      </c>
      <c r="G42" s="22">
        <f>VLOOKUP($C42,[1]Metadata!$B$1:$O$557,9,FALSE)</f>
        <v>1</v>
      </c>
    </row>
    <row r="43" spans="1:7" x14ac:dyDescent="0.2">
      <c r="A43" s="27" t="s">
        <v>557</v>
      </c>
      <c r="B43" s="27" t="s">
        <v>3222</v>
      </c>
      <c r="C43" s="22" t="s">
        <v>162</v>
      </c>
      <c r="D43" s="22" t="s">
        <v>163</v>
      </c>
      <c r="E43" s="22" t="s">
        <v>95</v>
      </c>
      <c r="F43" s="22" t="s">
        <v>52</v>
      </c>
      <c r="G43" s="22">
        <f>VLOOKUP($C43,[1]Metadata!$B$1:$O$557,9,FALSE)</f>
        <v>1</v>
      </c>
    </row>
    <row r="44" spans="1:7" x14ac:dyDescent="0.2">
      <c r="A44" s="27" t="s">
        <v>557</v>
      </c>
      <c r="B44" s="27" t="s">
        <v>3222</v>
      </c>
      <c r="C44" s="22" t="s">
        <v>164</v>
      </c>
      <c r="D44" s="22" t="s">
        <v>165</v>
      </c>
      <c r="E44" s="22" t="s">
        <v>95</v>
      </c>
      <c r="F44" s="22" t="s">
        <v>3076</v>
      </c>
      <c r="G44" s="22">
        <f>VLOOKUP($C44,[1]Metadata!$B$1:$O$557,9,FALSE)</f>
        <v>1</v>
      </c>
    </row>
    <row r="45" spans="1:7" x14ac:dyDescent="0.2">
      <c r="A45" s="27" t="s">
        <v>557</v>
      </c>
      <c r="B45" s="27" t="s">
        <v>3222</v>
      </c>
      <c r="C45" s="22" t="s">
        <v>166</v>
      </c>
      <c r="D45" s="22" t="s">
        <v>167</v>
      </c>
      <c r="E45" s="22" t="s">
        <v>95</v>
      </c>
      <c r="F45" s="22" t="s">
        <v>3076</v>
      </c>
      <c r="G45" s="22">
        <f>VLOOKUP($C45,[1]Metadata!$B$1:$O$557,9,FALSE)</f>
        <v>0</v>
      </c>
    </row>
    <row r="46" spans="1:7" x14ac:dyDescent="0.2">
      <c r="A46" s="27" t="s">
        <v>557</v>
      </c>
      <c r="B46" s="27" t="s">
        <v>3222</v>
      </c>
      <c r="C46" s="22" t="s">
        <v>168</v>
      </c>
      <c r="D46" s="22" t="s">
        <v>169</v>
      </c>
      <c r="E46" s="22" t="s">
        <v>95</v>
      </c>
      <c r="F46" s="22" t="s">
        <v>3076</v>
      </c>
      <c r="G46" s="22">
        <f>VLOOKUP($C46,[1]Metadata!$B$1:$O$557,9,FALSE)</f>
        <v>1</v>
      </c>
    </row>
    <row r="47" spans="1:7" x14ac:dyDescent="0.2">
      <c r="A47" s="27" t="s">
        <v>557</v>
      </c>
      <c r="B47" s="27" t="s">
        <v>3222</v>
      </c>
      <c r="C47" s="22" t="s">
        <v>170</v>
      </c>
      <c r="D47" s="22" t="s">
        <v>171</v>
      </c>
      <c r="E47" s="22" t="s">
        <v>89</v>
      </c>
      <c r="F47" s="22" t="s">
        <v>52</v>
      </c>
      <c r="G47" s="22">
        <f>VLOOKUP($C47,[1]Metadata!$B$1:$O$557,9,FALSE)</f>
        <v>1</v>
      </c>
    </row>
    <row r="48" spans="1:7" x14ac:dyDescent="0.2">
      <c r="A48" s="27" t="s">
        <v>557</v>
      </c>
      <c r="B48" s="27" t="s">
        <v>3222</v>
      </c>
      <c r="C48" s="22" t="s">
        <v>172</v>
      </c>
      <c r="D48" s="22" t="s">
        <v>173</v>
      </c>
      <c r="E48" s="22" t="s">
        <v>95</v>
      </c>
      <c r="F48" s="22" t="s">
        <v>52</v>
      </c>
      <c r="G48" s="22">
        <f>VLOOKUP($C48,[1]Metadata!$B$1:$O$557,9,FALSE)</f>
        <v>1</v>
      </c>
    </row>
    <row r="49" spans="1:7" x14ac:dyDescent="0.2">
      <c r="A49" s="27" t="s">
        <v>557</v>
      </c>
      <c r="B49" s="27" t="s">
        <v>3222</v>
      </c>
      <c r="C49" s="22" t="s">
        <v>174</v>
      </c>
      <c r="D49" s="22" t="s">
        <v>175</v>
      </c>
      <c r="E49" s="22" t="s">
        <v>95</v>
      </c>
      <c r="F49" s="22" t="s">
        <v>52</v>
      </c>
      <c r="G49" s="22">
        <f>VLOOKUP($C49,[1]Metadata!$B$1:$O$557,9,FALSE)</f>
        <v>0</v>
      </c>
    </row>
    <row r="50" spans="1:7" x14ac:dyDescent="0.2">
      <c r="A50" s="27" t="s">
        <v>557</v>
      </c>
      <c r="B50" s="27" t="s">
        <v>3222</v>
      </c>
      <c r="C50" s="22" t="s">
        <v>176</v>
      </c>
      <c r="D50" s="22" t="s">
        <v>177</v>
      </c>
      <c r="E50" s="22" t="s">
        <v>89</v>
      </c>
      <c r="F50" s="22" t="s">
        <v>52</v>
      </c>
      <c r="G50" s="22">
        <f>VLOOKUP($C50,[1]Metadata!$B$1:$O$557,9,FALSE)</f>
        <v>1</v>
      </c>
    </row>
    <row r="51" spans="1:7" x14ac:dyDescent="0.2">
      <c r="A51" s="27" t="s">
        <v>557</v>
      </c>
      <c r="B51" s="27" t="s">
        <v>3222</v>
      </c>
      <c r="C51" s="22" t="s">
        <v>178</v>
      </c>
      <c r="D51" s="22" t="s">
        <v>179</v>
      </c>
      <c r="E51" s="22" t="s">
        <v>89</v>
      </c>
      <c r="F51" s="22" t="s">
        <v>52</v>
      </c>
      <c r="G51" s="22">
        <f>VLOOKUP($C51,[1]Metadata!$B$1:$O$557,9,FALSE)</f>
        <v>1</v>
      </c>
    </row>
    <row r="52" spans="1:7" x14ac:dyDescent="0.2">
      <c r="A52" s="27" t="s">
        <v>557</v>
      </c>
      <c r="B52" s="27" t="s">
        <v>3222</v>
      </c>
      <c r="C52" s="22" t="s">
        <v>180</v>
      </c>
      <c r="D52" s="22" t="s">
        <v>181</v>
      </c>
      <c r="E52" s="22" t="s">
        <v>89</v>
      </c>
      <c r="F52" s="22" t="s">
        <v>52</v>
      </c>
      <c r="G52" s="22">
        <f>VLOOKUP($C52,[1]Metadata!$B$1:$O$557,9,FALSE)</f>
        <v>1</v>
      </c>
    </row>
    <row r="53" spans="1:7" x14ac:dyDescent="0.2">
      <c r="A53" s="27" t="s">
        <v>557</v>
      </c>
      <c r="B53" s="27" t="s">
        <v>3222</v>
      </c>
      <c r="C53" s="22" t="s">
        <v>182</v>
      </c>
      <c r="D53" s="22" t="s">
        <v>183</v>
      </c>
      <c r="E53" s="22" t="s">
        <v>89</v>
      </c>
      <c r="F53" s="22" t="s">
        <v>52</v>
      </c>
      <c r="G53" s="22">
        <f>VLOOKUP($C53,[1]Metadata!$B$1:$O$557,9,FALSE)</f>
        <v>1</v>
      </c>
    </row>
    <row r="54" spans="1:7" x14ac:dyDescent="0.2">
      <c r="A54" s="27" t="s">
        <v>557</v>
      </c>
      <c r="B54" s="27" t="s">
        <v>3222</v>
      </c>
      <c r="C54" s="22" t="s">
        <v>184</v>
      </c>
      <c r="D54" s="22" t="s">
        <v>185</v>
      </c>
      <c r="E54" s="22" t="s">
        <v>95</v>
      </c>
      <c r="F54" s="22" t="s">
        <v>52</v>
      </c>
      <c r="G54" s="22">
        <v>1</v>
      </c>
    </row>
    <row r="55" spans="1:7" x14ac:dyDescent="0.2">
      <c r="A55" s="27" t="s">
        <v>557</v>
      </c>
      <c r="B55" s="27" t="s">
        <v>3222</v>
      </c>
      <c r="C55" s="22" t="s">
        <v>186</v>
      </c>
      <c r="D55" s="22" t="s">
        <v>187</v>
      </c>
      <c r="E55" s="22" t="s">
        <v>95</v>
      </c>
      <c r="F55" s="22" t="s">
        <v>3076</v>
      </c>
      <c r="G55" s="22">
        <f>VLOOKUP($C55,[1]Metadata!$B$1:$O$557,9,FALSE)</f>
        <v>1</v>
      </c>
    </row>
    <row r="56" spans="1:7" x14ac:dyDescent="0.2">
      <c r="A56" s="27" t="s">
        <v>557</v>
      </c>
      <c r="B56" s="27" t="s">
        <v>3222</v>
      </c>
      <c r="C56" s="22" t="s">
        <v>188</v>
      </c>
      <c r="D56" s="22" t="s">
        <v>189</v>
      </c>
      <c r="E56" s="22" t="s">
        <v>89</v>
      </c>
      <c r="F56" s="22" t="s">
        <v>52</v>
      </c>
      <c r="G56" s="22">
        <f>VLOOKUP($C56,[1]Metadata!$B$1:$O$557,9,FALSE)</f>
        <v>1</v>
      </c>
    </row>
    <row r="57" spans="1:7" x14ac:dyDescent="0.2">
      <c r="A57" s="27" t="s">
        <v>557</v>
      </c>
      <c r="B57" s="27" t="s">
        <v>3222</v>
      </c>
      <c r="C57" s="22" t="s">
        <v>190</v>
      </c>
      <c r="D57" s="22" t="s">
        <v>191</v>
      </c>
      <c r="E57" s="22" t="s">
        <v>89</v>
      </c>
      <c r="F57" s="22" t="s">
        <v>52</v>
      </c>
      <c r="G57" s="22">
        <f>VLOOKUP($C57,[1]Metadata!$B$1:$O$557,9,FALSE)</f>
        <v>1</v>
      </c>
    </row>
    <row r="58" spans="1:7" x14ac:dyDescent="0.2">
      <c r="A58" s="27" t="s">
        <v>557</v>
      </c>
      <c r="B58" s="27" t="s">
        <v>3222</v>
      </c>
      <c r="C58" s="22" t="s">
        <v>192</v>
      </c>
      <c r="D58" s="22" t="s">
        <v>193</v>
      </c>
      <c r="E58" s="22" t="s">
        <v>89</v>
      </c>
      <c r="F58" s="22" t="s">
        <v>52</v>
      </c>
      <c r="G58" s="22">
        <f>VLOOKUP($C58,[1]Metadata!$B$1:$O$557,9,FALSE)</f>
        <v>1</v>
      </c>
    </row>
    <row r="59" spans="1:7" x14ac:dyDescent="0.2">
      <c r="A59" s="27" t="s">
        <v>557</v>
      </c>
      <c r="B59" s="27" t="s">
        <v>3222</v>
      </c>
      <c r="C59" s="22" t="s">
        <v>194</v>
      </c>
      <c r="D59" s="22" t="s">
        <v>195</v>
      </c>
      <c r="E59" s="22" t="s">
        <v>89</v>
      </c>
      <c r="F59" s="22" t="s">
        <v>52</v>
      </c>
      <c r="G59" s="22">
        <f>VLOOKUP($C59,[1]Metadata!$B$1:$O$557,9,FALSE)</f>
        <v>1</v>
      </c>
    </row>
    <row r="60" spans="1:7" x14ac:dyDescent="0.2">
      <c r="A60" s="27" t="s">
        <v>557</v>
      </c>
      <c r="B60" s="27" t="s">
        <v>3222</v>
      </c>
      <c r="C60" s="22" t="s">
        <v>196</v>
      </c>
      <c r="D60" s="22" t="s">
        <v>197</v>
      </c>
      <c r="E60" s="22" t="s">
        <v>89</v>
      </c>
      <c r="F60" s="22" t="s">
        <v>52</v>
      </c>
      <c r="G60" s="22">
        <f>VLOOKUP($C60,[1]Metadata!$B$1:$O$557,9,FALSE)</f>
        <v>1</v>
      </c>
    </row>
    <row r="61" spans="1:7" x14ac:dyDescent="0.2">
      <c r="A61" s="27" t="s">
        <v>557</v>
      </c>
      <c r="B61" s="27" t="s">
        <v>3222</v>
      </c>
      <c r="C61" s="22" t="s">
        <v>198</v>
      </c>
      <c r="D61" s="22" t="s">
        <v>199</v>
      </c>
      <c r="E61" s="22" t="s">
        <v>95</v>
      </c>
      <c r="F61" s="22" t="s">
        <v>3076</v>
      </c>
      <c r="G61" s="22">
        <f>VLOOKUP($C61,[1]Metadata!$B$1:$O$557,9,FALSE)</f>
        <v>1</v>
      </c>
    </row>
    <row r="62" spans="1:7" x14ac:dyDescent="0.2">
      <c r="A62" s="27" t="s">
        <v>557</v>
      </c>
      <c r="B62" s="27" t="s">
        <v>3222</v>
      </c>
      <c r="C62" s="22" t="s">
        <v>200</v>
      </c>
      <c r="D62" s="22" t="s">
        <v>201</v>
      </c>
      <c r="E62" s="22" t="s">
        <v>89</v>
      </c>
      <c r="F62" s="22" t="s">
        <v>52</v>
      </c>
      <c r="G62" s="22">
        <f>VLOOKUP($C62,[1]Metadata!$B$1:$O$557,9,FALSE)</f>
        <v>1</v>
      </c>
    </row>
    <row r="63" spans="1:7" x14ac:dyDescent="0.2">
      <c r="A63" s="27" t="s">
        <v>557</v>
      </c>
      <c r="B63" s="27" t="s">
        <v>3222</v>
      </c>
      <c r="C63" s="22" t="s">
        <v>202</v>
      </c>
      <c r="D63" s="22" t="s">
        <v>203</v>
      </c>
      <c r="E63" s="22" t="s">
        <v>89</v>
      </c>
      <c r="F63" s="22" t="s">
        <v>52</v>
      </c>
      <c r="G63" s="22">
        <f>VLOOKUP($C63,[1]Metadata!$B$1:$O$557,9,FALSE)</f>
        <v>1</v>
      </c>
    </row>
    <row r="64" spans="1:7" x14ac:dyDescent="0.2">
      <c r="A64" s="27" t="s">
        <v>557</v>
      </c>
      <c r="B64" s="27" t="s">
        <v>3222</v>
      </c>
      <c r="C64" s="22" t="s">
        <v>204</v>
      </c>
      <c r="D64" s="22" t="s">
        <v>205</v>
      </c>
      <c r="E64" s="22" t="s">
        <v>95</v>
      </c>
      <c r="F64" s="22" t="s">
        <v>3076</v>
      </c>
      <c r="G64" s="22">
        <f>VLOOKUP($C64,[1]Metadata!$B$1:$O$557,9,FALSE)</f>
        <v>1</v>
      </c>
    </row>
    <row r="65" spans="1:7" x14ac:dyDescent="0.2">
      <c r="A65" s="27" t="s">
        <v>557</v>
      </c>
      <c r="B65" s="27" t="s">
        <v>3222</v>
      </c>
      <c r="C65" s="22" t="s">
        <v>206</v>
      </c>
      <c r="D65" s="22" t="s">
        <v>207</v>
      </c>
      <c r="E65" s="22" t="s">
        <v>89</v>
      </c>
      <c r="F65" s="22" t="s">
        <v>52</v>
      </c>
      <c r="G65" s="22">
        <f>VLOOKUP($C65,[1]Metadata!$B$1:$O$557,9,FALSE)</f>
        <v>0</v>
      </c>
    </row>
    <row r="66" spans="1:7" x14ac:dyDescent="0.2">
      <c r="A66" s="27" t="s">
        <v>557</v>
      </c>
      <c r="B66" s="27" t="s">
        <v>3222</v>
      </c>
      <c r="C66" s="22" t="s">
        <v>208</v>
      </c>
      <c r="D66" s="22" t="s">
        <v>207</v>
      </c>
      <c r="E66" s="22" t="s">
        <v>89</v>
      </c>
      <c r="F66" s="22" t="s">
        <v>52</v>
      </c>
      <c r="G66" s="22">
        <f>VLOOKUP($C66,[1]Metadata!$B$1:$O$557,9,FALSE)</f>
        <v>1</v>
      </c>
    </row>
    <row r="67" spans="1:7" x14ac:dyDescent="0.2">
      <c r="A67" s="27" t="s">
        <v>557</v>
      </c>
      <c r="B67" s="27" t="s">
        <v>3222</v>
      </c>
      <c r="C67" s="22" t="s">
        <v>209</v>
      </c>
      <c r="D67" s="22" t="s">
        <v>210</v>
      </c>
      <c r="E67" s="22" t="s">
        <v>89</v>
      </c>
      <c r="F67" s="22" t="s">
        <v>52</v>
      </c>
      <c r="G67" s="22">
        <f>VLOOKUP($C67,[1]Metadata!$B$1:$O$557,9,FALSE)</f>
        <v>1</v>
      </c>
    </row>
    <row r="68" spans="1:7" x14ac:dyDescent="0.2">
      <c r="A68" s="27" t="s">
        <v>557</v>
      </c>
      <c r="B68" s="27" t="s">
        <v>3222</v>
      </c>
      <c r="C68" s="22" t="s">
        <v>211</v>
      </c>
      <c r="D68" s="22" t="s">
        <v>212</v>
      </c>
      <c r="E68" s="22" t="s">
        <v>89</v>
      </c>
      <c r="F68" s="22" t="s">
        <v>52</v>
      </c>
      <c r="G68" s="22">
        <f>VLOOKUP($C68,[1]Metadata!$B$1:$O$557,9,FALSE)</f>
        <v>1</v>
      </c>
    </row>
    <row r="69" spans="1:7" x14ac:dyDescent="0.2">
      <c r="A69" s="27" t="s">
        <v>557</v>
      </c>
      <c r="B69" s="27" t="s">
        <v>3222</v>
      </c>
      <c r="C69" s="22" t="s">
        <v>213</v>
      </c>
      <c r="D69" s="22" t="s">
        <v>214</v>
      </c>
      <c r="E69" s="22" t="s">
        <v>89</v>
      </c>
      <c r="F69" s="22" t="s">
        <v>52</v>
      </c>
      <c r="G69" s="22">
        <f>VLOOKUP($C69,[1]Metadata!$B$1:$O$557,9,FALSE)</f>
        <v>1</v>
      </c>
    </row>
    <row r="70" spans="1:7" x14ac:dyDescent="0.2">
      <c r="A70" s="27" t="s">
        <v>557</v>
      </c>
      <c r="B70" s="27" t="s">
        <v>3222</v>
      </c>
      <c r="C70" s="22" t="s">
        <v>215</v>
      </c>
      <c r="D70" s="22" t="s">
        <v>216</v>
      </c>
      <c r="E70" s="22" t="s">
        <v>95</v>
      </c>
      <c r="F70" s="22" t="s">
        <v>52</v>
      </c>
      <c r="G70" s="22">
        <f>VLOOKUP($C70,[1]Metadata!$B$1:$O$557,9,FALSE)</f>
        <v>0</v>
      </c>
    </row>
    <row r="71" spans="1:7" x14ac:dyDescent="0.2">
      <c r="A71" s="27" t="s">
        <v>557</v>
      </c>
      <c r="B71" s="27" t="s">
        <v>3222</v>
      </c>
      <c r="C71" s="22" t="s">
        <v>217</v>
      </c>
      <c r="D71" s="22" t="s">
        <v>218</v>
      </c>
      <c r="E71" s="22" t="s">
        <v>95</v>
      </c>
      <c r="F71" s="22" t="s">
        <v>52</v>
      </c>
      <c r="G71" s="22">
        <f>VLOOKUP($C71,[1]Metadata!$B$1:$O$557,9,FALSE)</f>
        <v>1</v>
      </c>
    </row>
    <row r="72" spans="1:7" x14ac:dyDescent="0.2">
      <c r="A72" s="27" t="s">
        <v>557</v>
      </c>
      <c r="B72" s="27" t="s">
        <v>3222</v>
      </c>
      <c r="C72" s="22" t="s">
        <v>219</v>
      </c>
      <c r="D72" s="22" t="s">
        <v>220</v>
      </c>
      <c r="E72" s="22" t="s">
        <v>89</v>
      </c>
      <c r="F72" s="22" t="s">
        <v>52</v>
      </c>
      <c r="G72" s="22">
        <f>VLOOKUP($C72,[1]Metadata!$B$1:$O$557,9,FALSE)</f>
        <v>1</v>
      </c>
    </row>
    <row r="73" spans="1:7" x14ac:dyDescent="0.2">
      <c r="A73" s="27" t="s">
        <v>557</v>
      </c>
      <c r="B73" s="27" t="s">
        <v>3222</v>
      </c>
      <c r="C73" s="22" t="s">
        <v>221</v>
      </c>
      <c r="D73" s="22" t="s">
        <v>222</v>
      </c>
      <c r="E73" s="22" t="s">
        <v>95</v>
      </c>
      <c r="F73" s="22" t="s">
        <v>3076</v>
      </c>
      <c r="G73" s="22">
        <f>VLOOKUP($C73,[1]Metadata!$B$1:$O$557,9,FALSE)</f>
        <v>1</v>
      </c>
    </row>
    <row r="74" spans="1:7" x14ac:dyDescent="0.2">
      <c r="A74" s="27" t="s">
        <v>557</v>
      </c>
      <c r="B74" s="27" t="s">
        <v>3222</v>
      </c>
      <c r="C74" s="22" t="s">
        <v>223</v>
      </c>
      <c r="D74" s="22" t="s">
        <v>224</v>
      </c>
      <c r="E74" s="22" t="s">
        <v>95</v>
      </c>
      <c r="F74" s="22" t="s">
        <v>3076</v>
      </c>
      <c r="G74" s="22">
        <f>VLOOKUP($C74,[1]Metadata!$B$1:$O$557,9,FALSE)</f>
        <v>1</v>
      </c>
    </row>
    <row r="75" spans="1:7" x14ac:dyDescent="0.2">
      <c r="A75" s="27" t="s">
        <v>557</v>
      </c>
      <c r="B75" s="27" t="s">
        <v>3222</v>
      </c>
      <c r="C75" s="22" t="s">
        <v>225</v>
      </c>
      <c r="D75" s="22" t="s">
        <v>226</v>
      </c>
      <c r="E75" s="22" t="s">
        <v>95</v>
      </c>
      <c r="F75" s="22" t="s">
        <v>52</v>
      </c>
      <c r="G75" s="22">
        <f>VLOOKUP($C75,[1]Metadata!$B$1:$O$557,9,FALSE)</f>
        <v>0</v>
      </c>
    </row>
    <row r="76" spans="1:7" x14ac:dyDescent="0.2">
      <c r="A76" s="27" t="s">
        <v>557</v>
      </c>
      <c r="B76" s="27" t="s">
        <v>3222</v>
      </c>
      <c r="C76" s="22" t="s">
        <v>227</v>
      </c>
      <c r="D76" s="22" t="s">
        <v>228</v>
      </c>
      <c r="E76" s="22" t="s">
        <v>95</v>
      </c>
      <c r="F76" s="22" t="s">
        <v>52</v>
      </c>
      <c r="G76" s="22">
        <f>VLOOKUP($C76,[1]Metadata!$B$1:$O$557,9,FALSE)</f>
        <v>0</v>
      </c>
    </row>
    <row r="77" spans="1:7" x14ac:dyDescent="0.2">
      <c r="A77" s="27" t="s">
        <v>557</v>
      </c>
      <c r="B77" s="27" t="s">
        <v>3222</v>
      </c>
      <c r="C77" s="22" t="s">
        <v>229</v>
      </c>
      <c r="D77" s="22" t="s">
        <v>230</v>
      </c>
      <c r="E77" s="22" t="s">
        <v>95</v>
      </c>
      <c r="F77" s="22" t="s">
        <v>3076</v>
      </c>
      <c r="G77" s="22">
        <f>VLOOKUP($C77,[1]Metadata!$B$1:$O$557,9,FALSE)</f>
        <v>1</v>
      </c>
    </row>
    <row r="78" spans="1:7" x14ac:dyDescent="0.2">
      <c r="A78" s="27" t="s">
        <v>557</v>
      </c>
      <c r="B78" s="27" t="s">
        <v>3222</v>
      </c>
      <c r="C78" s="22" t="s">
        <v>231</v>
      </c>
      <c r="D78" s="22" t="s">
        <v>232</v>
      </c>
      <c r="E78" s="22" t="s">
        <v>89</v>
      </c>
      <c r="F78" s="22" t="s">
        <v>52</v>
      </c>
      <c r="G78" s="22">
        <f>VLOOKUP($C78,[1]Metadata!$B$1:$O$557,9,FALSE)</f>
        <v>1</v>
      </c>
    </row>
    <row r="79" spans="1:7" x14ac:dyDescent="0.2">
      <c r="A79" s="27" t="s">
        <v>557</v>
      </c>
      <c r="B79" s="27" t="s">
        <v>3222</v>
      </c>
      <c r="C79" s="22" t="s">
        <v>233</v>
      </c>
      <c r="D79" s="22" t="s">
        <v>234</v>
      </c>
      <c r="E79" s="22" t="s">
        <v>95</v>
      </c>
      <c r="F79" s="22" t="s">
        <v>52</v>
      </c>
      <c r="G79" s="22">
        <f>VLOOKUP($C79,[1]Metadata!$B$1:$O$557,9,FALSE)</f>
        <v>0</v>
      </c>
    </row>
    <row r="80" spans="1:7" x14ac:dyDescent="0.2">
      <c r="A80" s="27" t="s">
        <v>557</v>
      </c>
      <c r="B80" s="27" t="s">
        <v>3222</v>
      </c>
      <c r="C80" s="22" t="s">
        <v>235</v>
      </c>
      <c r="D80" s="22" t="s">
        <v>236</v>
      </c>
      <c r="E80" s="22" t="s">
        <v>95</v>
      </c>
      <c r="F80" s="22" t="s">
        <v>3076</v>
      </c>
      <c r="G80" s="22">
        <f>VLOOKUP($C80,[1]Metadata!$B$1:$O$557,9,FALSE)</f>
        <v>1</v>
      </c>
    </row>
    <row r="81" spans="1:7" x14ac:dyDescent="0.2">
      <c r="A81" s="27" t="s">
        <v>557</v>
      </c>
      <c r="B81" s="27" t="s">
        <v>3222</v>
      </c>
      <c r="C81" s="22" t="s">
        <v>237</v>
      </c>
      <c r="D81" s="22" t="s">
        <v>238</v>
      </c>
      <c r="E81" s="22" t="s">
        <v>89</v>
      </c>
      <c r="F81" s="22" t="s">
        <v>52</v>
      </c>
      <c r="G81" s="22">
        <f>VLOOKUP($C81,[1]Metadata!$B$1:$O$557,9,FALSE)</f>
        <v>1</v>
      </c>
    </row>
    <row r="82" spans="1:7" x14ac:dyDescent="0.2">
      <c r="A82" s="27" t="s">
        <v>557</v>
      </c>
      <c r="B82" s="27" t="s">
        <v>3222</v>
      </c>
      <c r="C82" s="22" t="s">
        <v>239</v>
      </c>
      <c r="D82" s="22" t="s">
        <v>240</v>
      </c>
      <c r="E82" s="22" t="s">
        <v>95</v>
      </c>
      <c r="F82" s="22" t="s">
        <v>3076</v>
      </c>
      <c r="G82" s="22">
        <f>VLOOKUP($C82,[1]Metadata!$B$1:$O$557,9,FALSE)</f>
        <v>1</v>
      </c>
    </row>
    <row r="83" spans="1:7" x14ac:dyDescent="0.2">
      <c r="A83" s="27" t="s">
        <v>557</v>
      </c>
      <c r="B83" s="27" t="s">
        <v>3222</v>
      </c>
      <c r="C83" s="22" t="s">
        <v>241</v>
      </c>
      <c r="D83" s="22" t="s">
        <v>242</v>
      </c>
      <c r="E83" s="22" t="s">
        <v>89</v>
      </c>
      <c r="F83" s="22" t="s">
        <v>52</v>
      </c>
      <c r="G83" s="22">
        <f>VLOOKUP($C83,[1]Metadata!$B$1:$O$557,9,FALSE)</f>
        <v>1</v>
      </c>
    </row>
    <row r="84" spans="1:7" x14ac:dyDescent="0.2">
      <c r="A84" s="27" t="s">
        <v>557</v>
      </c>
      <c r="B84" s="27" t="s">
        <v>3222</v>
      </c>
      <c r="C84" s="22" t="s">
        <v>243</v>
      </c>
      <c r="D84" s="22" t="s">
        <v>244</v>
      </c>
      <c r="E84" s="22" t="s">
        <v>89</v>
      </c>
      <c r="F84" s="22" t="s">
        <v>52</v>
      </c>
      <c r="G84" s="22">
        <f>VLOOKUP($C84,[1]Metadata!$B$1:$O$557,9,FALSE)</f>
        <v>1</v>
      </c>
    </row>
    <row r="85" spans="1:7" x14ac:dyDescent="0.2">
      <c r="A85" s="27" t="s">
        <v>557</v>
      </c>
      <c r="B85" s="27" t="s">
        <v>3222</v>
      </c>
      <c r="C85" s="22" t="s">
        <v>245</v>
      </c>
      <c r="D85" s="22" t="s">
        <v>246</v>
      </c>
      <c r="E85" s="22" t="s">
        <v>89</v>
      </c>
      <c r="F85" s="22" t="s">
        <v>52</v>
      </c>
      <c r="G85" s="22">
        <f>VLOOKUP($C85,[1]Metadata!$B$1:$O$557,9,FALSE)</f>
        <v>1</v>
      </c>
    </row>
    <row r="86" spans="1:7" x14ac:dyDescent="0.2">
      <c r="A86" s="27" t="s">
        <v>557</v>
      </c>
      <c r="B86" s="27" t="s">
        <v>3222</v>
      </c>
      <c r="C86" s="22" t="s">
        <v>247</v>
      </c>
      <c r="D86" s="22" t="s">
        <v>248</v>
      </c>
      <c r="E86" s="22" t="s">
        <v>89</v>
      </c>
      <c r="F86" s="22" t="s">
        <v>3076</v>
      </c>
      <c r="G86" s="22">
        <v>0</v>
      </c>
    </row>
    <row r="87" spans="1:7" x14ac:dyDescent="0.2">
      <c r="A87" s="27" t="s">
        <v>557</v>
      </c>
      <c r="B87" s="27" t="s">
        <v>3222</v>
      </c>
      <c r="C87" s="22" t="s">
        <v>249</v>
      </c>
      <c r="D87" s="22" t="s">
        <v>250</v>
      </c>
      <c r="E87" s="22" t="s">
        <v>89</v>
      </c>
      <c r="F87" s="22" t="s">
        <v>52</v>
      </c>
      <c r="G87" s="22">
        <f>VLOOKUP($C87,[1]Metadata!$B$1:$O$557,9,FALSE)</f>
        <v>1</v>
      </c>
    </row>
    <row r="88" spans="1:7" x14ac:dyDescent="0.2">
      <c r="A88" s="27" t="s">
        <v>557</v>
      </c>
      <c r="B88" s="27" t="s">
        <v>3222</v>
      </c>
      <c r="C88" s="22" t="s">
        <v>251</v>
      </c>
      <c r="D88" s="22" t="s">
        <v>252</v>
      </c>
      <c r="E88" s="22" t="s">
        <v>95</v>
      </c>
      <c r="F88" s="22" t="s">
        <v>3076</v>
      </c>
      <c r="G88" s="22">
        <f>VLOOKUP($C88,[1]Metadata!$B$1:$O$557,9,FALSE)</f>
        <v>1</v>
      </c>
    </row>
    <row r="89" spans="1:7" x14ac:dyDescent="0.2">
      <c r="A89" s="27" t="s">
        <v>557</v>
      </c>
      <c r="B89" s="27" t="s">
        <v>3222</v>
      </c>
      <c r="C89" s="22" t="s">
        <v>253</v>
      </c>
      <c r="D89" s="22" t="s">
        <v>254</v>
      </c>
      <c r="E89" s="22" t="s">
        <v>95</v>
      </c>
      <c r="F89" s="22" t="s">
        <v>52</v>
      </c>
      <c r="G89" s="22">
        <f>VLOOKUP($C89,[1]Metadata!$B$1:$O$557,9,FALSE)</f>
        <v>0</v>
      </c>
    </row>
    <row r="90" spans="1:7" x14ac:dyDescent="0.2">
      <c r="A90" s="27" t="s">
        <v>557</v>
      </c>
      <c r="B90" s="27" t="s">
        <v>3222</v>
      </c>
      <c r="C90" s="22" t="s">
        <v>255</v>
      </c>
      <c r="D90" s="22" t="s">
        <v>256</v>
      </c>
      <c r="E90" s="22" t="s">
        <v>95</v>
      </c>
      <c r="F90" s="22" t="s">
        <v>3076</v>
      </c>
      <c r="G90" s="22">
        <f>VLOOKUP($C90,[1]Metadata!$B$1:$O$557,9,FALSE)</f>
        <v>0</v>
      </c>
    </row>
    <row r="91" spans="1:7" x14ac:dyDescent="0.2">
      <c r="A91" s="27" t="s">
        <v>557</v>
      </c>
      <c r="B91" s="27" t="s">
        <v>3222</v>
      </c>
      <c r="C91" s="22" t="s">
        <v>257</v>
      </c>
      <c r="D91" s="22" t="s">
        <v>258</v>
      </c>
      <c r="E91" s="22" t="s">
        <v>95</v>
      </c>
      <c r="F91" s="22" t="s">
        <v>3076</v>
      </c>
      <c r="G91" s="22">
        <f>VLOOKUP($C91,[1]Metadata!$B$1:$O$557,9,FALSE)</f>
        <v>1</v>
      </c>
    </row>
    <row r="92" spans="1:7" x14ac:dyDescent="0.2">
      <c r="A92" s="27" t="s">
        <v>557</v>
      </c>
      <c r="B92" s="27" t="s">
        <v>3222</v>
      </c>
      <c r="C92" s="22" t="s">
        <v>259</v>
      </c>
      <c r="D92" s="22" t="s">
        <v>260</v>
      </c>
      <c r="E92" s="22" t="s">
        <v>95</v>
      </c>
      <c r="F92" s="22" t="s">
        <v>3076</v>
      </c>
      <c r="G92" s="22">
        <f>VLOOKUP($C92,[1]Metadata!$B$1:$O$557,9,FALSE)</f>
        <v>1</v>
      </c>
    </row>
    <row r="93" spans="1:7" x14ac:dyDescent="0.2">
      <c r="A93" s="27" t="s">
        <v>557</v>
      </c>
      <c r="B93" s="27" t="s">
        <v>3222</v>
      </c>
      <c r="C93" s="22" t="s">
        <v>261</v>
      </c>
      <c r="D93" s="22" t="s">
        <v>262</v>
      </c>
      <c r="E93" s="22" t="s">
        <v>95</v>
      </c>
      <c r="F93" s="22" t="s">
        <v>52</v>
      </c>
      <c r="G93" s="22">
        <f>VLOOKUP($C93,[1]Metadata!$B$1:$O$557,9,FALSE)</f>
        <v>1</v>
      </c>
    </row>
    <row r="94" spans="1:7" x14ac:dyDescent="0.2">
      <c r="A94" s="27" t="s">
        <v>557</v>
      </c>
      <c r="B94" s="27" t="s">
        <v>3222</v>
      </c>
      <c r="C94" s="22" t="s">
        <v>263</v>
      </c>
      <c r="D94" s="22" t="s">
        <v>264</v>
      </c>
      <c r="E94" s="22" t="s">
        <v>95</v>
      </c>
      <c r="F94" s="22" t="s">
        <v>52</v>
      </c>
      <c r="G94" s="22">
        <f>VLOOKUP($C94,[1]Metadata!$B$1:$O$557,9,FALSE)</f>
        <v>1</v>
      </c>
    </row>
    <row r="95" spans="1:7" x14ac:dyDescent="0.2">
      <c r="A95" s="27" t="s">
        <v>557</v>
      </c>
      <c r="B95" s="27" t="s">
        <v>3222</v>
      </c>
      <c r="C95" s="22" t="s">
        <v>265</v>
      </c>
      <c r="D95" s="22" t="s">
        <v>266</v>
      </c>
      <c r="E95" s="22" t="s">
        <v>95</v>
      </c>
      <c r="F95" s="22" t="s">
        <v>52</v>
      </c>
      <c r="G95" s="22">
        <f>VLOOKUP($C95,[1]Metadata!$B$1:$O$557,9,FALSE)</f>
        <v>0</v>
      </c>
    </row>
    <row r="96" spans="1:7" x14ac:dyDescent="0.2">
      <c r="A96" s="27" t="s">
        <v>557</v>
      </c>
      <c r="B96" s="27" t="s">
        <v>3222</v>
      </c>
      <c r="C96" s="22" t="s">
        <v>267</v>
      </c>
      <c r="D96" s="22" t="s">
        <v>268</v>
      </c>
      <c r="E96" s="22" t="s">
        <v>95</v>
      </c>
      <c r="F96" s="22" t="s">
        <v>52</v>
      </c>
      <c r="G96" s="22">
        <f>VLOOKUP($C96,[1]Metadata!$B$1:$O$557,9,FALSE)</f>
        <v>0</v>
      </c>
    </row>
    <row r="97" spans="1:7" x14ac:dyDescent="0.2">
      <c r="A97" s="27" t="s">
        <v>557</v>
      </c>
      <c r="B97" s="27" t="s">
        <v>3222</v>
      </c>
      <c r="C97" s="22" t="s">
        <v>269</v>
      </c>
      <c r="D97" s="22" t="s">
        <v>270</v>
      </c>
      <c r="E97" s="22" t="s">
        <v>89</v>
      </c>
      <c r="F97" s="22" t="s">
        <v>52</v>
      </c>
      <c r="G97" s="22">
        <f>VLOOKUP($C97,[1]Metadata!$B$1:$O$557,9,FALSE)</f>
        <v>1</v>
      </c>
    </row>
    <row r="98" spans="1:7" x14ac:dyDescent="0.2">
      <c r="A98" s="27" t="s">
        <v>557</v>
      </c>
      <c r="B98" s="27" t="s">
        <v>3222</v>
      </c>
      <c r="C98" s="22" t="s">
        <v>271</v>
      </c>
      <c r="D98" s="22" t="s">
        <v>272</v>
      </c>
      <c r="E98" s="22" t="s">
        <v>89</v>
      </c>
      <c r="F98" s="22" t="s">
        <v>52</v>
      </c>
      <c r="G98" s="22">
        <f>VLOOKUP($C98,[1]Metadata!$B$1:$O$557,9,FALSE)</f>
        <v>1</v>
      </c>
    </row>
    <row r="99" spans="1:7" x14ac:dyDescent="0.2">
      <c r="A99" s="27" t="s">
        <v>557</v>
      </c>
      <c r="B99" s="27" t="s">
        <v>3222</v>
      </c>
      <c r="C99" s="22" t="s">
        <v>273</v>
      </c>
      <c r="D99" s="22" t="s">
        <v>274</v>
      </c>
      <c r="E99" s="22" t="s">
        <v>89</v>
      </c>
      <c r="F99" s="22" t="s">
        <v>52</v>
      </c>
      <c r="G99" s="22">
        <f>VLOOKUP($C99,[1]Metadata!$B$1:$O$557,9,FALSE)</f>
        <v>1</v>
      </c>
    </row>
    <row r="100" spans="1:7" x14ac:dyDescent="0.2">
      <c r="A100" s="27" t="s">
        <v>557</v>
      </c>
      <c r="B100" s="27" t="s">
        <v>3222</v>
      </c>
      <c r="C100" s="22" t="s">
        <v>275</v>
      </c>
      <c r="D100" s="22" t="s">
        <v>276</v>
      </c>
      <c r="E100" s="22" t="s">
        <v>95</v>
      </c>
      <c r="F100" s="22" t="s">
        <v>3076</v>
      </c>
      <c r="G100" s="22">
        <f>VLOOKUP($C100,[1]Metadata!$B$1:$O$557,9,FALSE)</f>
        <v>0</v>
      </c>
    </row>
    <row r="101" spans="1:7" x14ac:dyDescent="0.2">
      <c r="A101" s="27" t="s">
        <v>557</v>
      </c>
      <c r="B101" s="27" t="s">
        <v>3222</v>
      </c>
      <c r="C101" s="22" t="s">
        <v>277</v>
      </c>
      <c r="D101" s="22" t="s">
        <v>278</v>
      </c>
      <c r="E101" s="22" t="s">
        <v>95</v>
      </c>
      <c r="F101" s="22" t="s">
        <v>3076</v>
      </c>
      <c r="G101" s="22">
        <f>VLOOKUP($C101,[1]Metadata!$B$1:$O$557,9,FALSE)</f>
        <v>1</v>
      </c>
    </row>
    <row r="102" spans="1:7" x14ac:dyDescent="0.2">
      <c r="A102" s="27" t="s">
        <v>557</v>
      </c>
      <c r="B102" s="27" t="s">
        <v>3222</v>
      </c>
      <c r="C102" s="22" t="s">
        <v>279</v>
      </c>
      <c r="D102" s="22" t="s">
        <v>280</v>
      </c>
      <c r="E102" s="22" t="s">
        <v>95</v>
      </c>
      <c r="F102" s="22" t="s">
        <v>3076</v>
      </c>
      <c r="G102" s="22">
        <f>VLOOKUP($C102,[1]Metadata!$B$1:$O$557,9,FALSE)</f>
        <v>1</v>
      </c>
    </row>
    <row r="103" spans="1:7" x14ac:dyDescent="0.2">
      <c r="A103" s="27" t="s">
        <v>557</v>
      </c>
      <c r="B103" s="27" t="s">
        <v>3222</v>
      </c>
      <c r="C103" s="22" t="s">
        <v>281</v>
      </c>
      <c r="D103" s="22" t="s">
        <v>282</v>
      </c>
      <c r="E103" s="22" t="s">
        <v>95</v>
      </c>
      <c r="F103" s="22" t="s">
        <v>3076</v>
      </c>
      <c r="G103" s="22">
        <f>VLOOKUP($C103,[1]Metadata!$B$1:$O$557,9,FALSE)</f>
        <v>0</v>
      </c>
    </row>
    <row r="104" spans="1:7" x14ac:dyDescent="0.2">
      <c r="A104" s="27" t="s">
        <v>557</v>
      </c>
      <c r="B104" s="27" t="s">
        <v>3222</v>
      </c>
      <c r="C104" s="22" t="s">
        <v>283</v>
      </c>
      <c r="D104" s="22" t="s">
        <v>284</v>
      </c>
      <c r="E104" s="22" t="s">
        <v>95</v>
      </c>
      <c r="F104" s="22" t="s">
        <v>3076</v>
      </c>
      <c r="G104" s="22">
        <f>VLOOKUP($C104,[1]Metadata!$B$1:$O$557,9,FALSE)</f>
        <v>0</v>
      </c>
    </row>
    <row r="105" spans="1:7" x14ac:dyDescent="0.2">
      <c r="A105" s="27" t="s">
        <v>557</v>
      </c>
      <c r="B105" s="27" t="s">
        <v>3222</v>
      </c>
      <c r="C105" s="22" t="s">
        <v>285</v>
      </c>
      <c r="D105" s="22" t="s">
        <v>286</v>
      </c>
      <c r="E105" s="22" t="s">
        <v>89</v>
      </c>
      <c r="F105" s="22" t="s">
        <v>52</v>
      </c>
      <c r="G105" s="22">
        <f>VLOOKUP($C105,[1]Metadata!$B$1:$O$557,9,FALSE)</f>
        <v>1</v>
      </c>
    </row>
    <row r="106" spans="1:7" x14ac:dyDescent="0.2">
      <c r="A106" s="27" t="s">
        <v>557</v>
      </c>
      <c r="B106" s="27" t="s">
        <v>3222</v>
      </c>
      <c r="C106" s="22" t="s">
        <v>287</v>
      </c>
      <c r="D106" s="22" t="s">
        <v>288</v>
      </c>
      <c r="E106" s="22" t="s">
        <v>89</v>
      </c>
      <c r="F106" s="22" t="s">
        <v>52</v>
      </c>
      <c r="G106" s="22">
        <f>VLOOKUP($C106,[1]Metadata!$B$1:$O$557,9,FALSE)</f>
        <v>1</v>
      </c>
    </row>
    <row r="107" spans="1:7" x14ac:dyDescent="0.2">
      <c r="A107" s="27" t="s">
        <v>557</v>
      </c>
      <c r="B107" s="27" t="s">
        <v>3222</v>
      </c>
      <c r="C107" s="22" t="s">
        <v>289</v>
      </c>
      <c r="D107" s="22" t="s">
        <v>3621</v>
      </c>
      <c r="E107" s="22" t="s">
        <v>95</v>
      </c>
      <c r="F107" s="22" t="s">
        <v>52</v>
      </c>
      <c r="G107" s="22">
        <f>VLOOKUP($C107,[1]Metadata!$B$1:$O$557,9,FALSE)</f>
        <v>0</v>
      </c>
    </row>
    <row r="108" spans="1:7" x14ac:dyDescent="0.2">
      <c r="A108" s="27" t="s">
        <v>557</v>
      </c>
      <c r="B108" s="27" t="s">
        <v>3222</v>
      </c>
      <c r="C108" s="22" t="s">
        <v>290</v>
      </c>
      <c r="D108" s="22" t="s">
        <v>3622</v>
      </c>
      <c r="E108" s="22" t="s">
        <v>95</v>
      </c>
      <c r="F108" s="22" t="s">
        <v>52</v>
      </c>
      <c r="G108" s="22">
        <f>VLOOKUP($C108,[1]Metadata!$B$1:$O$557,9,FALSE)</f>
        <v>0</v>
      </c>
    </row>
    <row r="109" spans="1:7" x14ac:dyDescent="0.2">
      <c r="A109" s="27" t="s">
        <v>557</v>
      </c>
      <c r="B109" s="27" t="s">
        <v>3222</v>
      </c>
      <c r="C109" s="22" t="s">
        <v>291</v>
      </c>
      <c r="D109" s="22" t="s">
        <v>292</v>
      </c>
      <c r="E109" s="22" t="s">
        <v>89</v>
      </c>
      <c r="F109" s="22" t="s">
        <v>52</v>
      </c>
      <c r="G109" s="22">
        <f>VLOOKUP($C109,[1]Metadata!$B$1:$O$557,9,FALSE)</f>
        <v>1</v>
      </c>
    </row>
    <row r="110" spans="1:7" x14ac:dyDescent="0.2">
      <c r="A110" s="27" t="s">
        <v>557</v>
      </c>
      <c r="B110" s="27" t="s">
        <v>3222</v>
      </c>
      <c r="C110" s="22" t="s">
        <v>293</v>
      </c>
      <c r="D110" s="22" t="s">
        <v>294</v>
      </c>
      <c r="E110" s="22" t="s">
        <v>89</v>
      </c>
      <c r="F110" s="22" t="s">
        <v>52</v>
      </c>
      <c r="G110" s="22">
        <f>VLOOKUP($C110,[1]Metadata!$B$1:$O$557,9,FALSE)</f>
        <v>1</v>
      </c>
    </row>
    <row r="111" spans="1:7" x14ac:dyDescent="0.2">
      <c r="A111" s="27" t="s">
        <v>557</v>
      </c>
      <c r="B111" s="27" t="s">
        <v>3222</v>
      </c>
      <c r="C111" s="22" t="s">
        <v>563</v>
      </c>
      <c r="D111" s="22" t="s">
        <v>310</v>
      </c>
      <c r="E111" s="22" t="s">
        <v>95</v>
      </c>
      <c r="F111" s="22" t="s">
        <v>90</v>
      </c>
      <c r="G111" s="22">
        <f>VLOOKUP($C111,[1]Metadata!$B$1:$O$557,9,FALSE)</f>
        <v>0</v>
      </c>
    </row>
    <row r="112" spans="1:7" x14ac:dyDescent="0.2">
      <c r="A112" s="27" t="s">
        <v>557</v>
      </c>
      <c r="B112" s="27" t="s">
        <v>3222</v>
      </c>
      <c r="C112" s="22" t="s">
        <v>295</v>
      </c>
      <c r="D112" s="22" t="s">
        <v>296</v>
      </c>
      <c r="E112" s="22" t="s">
        <v>89</v>
      </c>
      <c r="F112" s="22" t="s">
        <v>52</v>
      </c>
      <c r="G112" s="22">
        <f>VLOOKUP($C112,[1]Metadata!$B$1:$O$557,9,FALSE)</f>
        <v>1</v>
      </c>
    </row>
    <row r="113" spans="1:7" x14ac:dyDescent="0.2">
      <c r="A113" s="27" t="s">
        <v>557</v>
      </c>
      <c r="B113" s="27" t="s">
        <v>3222</v>
      </c>
      <c r="C113" s="22" t="s">
        <v>297</v>
      </c>
      <c r="D113" s="22" t="s">
        <v>298</v>
      </c>
      <c r="E113" s="22" t="s">
        <v>89</v>
      </c>
      <c r="F113" s="22" t="s">
        <v>52</v>
      </c>
      <c r="G113" s="22">
        <f>VLOOKUP($C113,[1]Metadata!$B$1:$O$557,9,FALSE)</f>
        <v>1</v>
      </c>
    </row>
    <row r="114" spans="1:7" x14ac:dyDescent="0.2">
      <c r="A114" s="27" t="s">
        <v>557</v>
      </c>
      <c r="B114" s="27" t="s">
        <v>3222</v>
      </c>
      <c r="C114" s="22" t="s">
        <v>299</v>
      </c>
      <c r="D114" s="22" t="s">
        <v>300</v>
      </c>
      <c r="E114" s="22" t="s">
        <v>89</v>
      </c>
      <c r="F114" s="22" t="s">
        <v>52</v>
      </c>
      <c r="G114" s="22">
        <f>VLOOKUP($C114,[1]Metadata!$B$1:$O$557,9,FALSE)</f>
        <v>1</v>
      </c>
    </row>
    <row r="115" spans="1:7" x14ac:dyDescent="0.2">
      <c r="A115" s="27" t="s">
        <v>557</v>
      </c>
      <c r="B115" s="27" t="s">
        <v>3222</v>
      </c>
      <c r="C115" s="22" t="s">
        <v>301</v>
      </c>
      <c r="D115" s="22" t="s">
        <v>302</v>
      </c>
      <c r="E115" s="22" t="s">
        <v>89</v>
      </c>
      <c r="F115" s="22" t="s">
        <v>52</v>
      </c>
      <c r="G115" s="22">
        <f>VLOOKUP($C115,[1]Metadata!$B$1:$O$557,9,FALSE)</f>
        <v>1</v>
      </c>
    </row>
    <row r="116" spans="1:7" x14ac:dyDescent="0.2">
      <c r="A116" s="27" t="s">
        <v>557</v>
      </c>
      <c r="B116" s="27" t="s">
        <v>3222</v>
      </c>
      <c r="C116" s="22" t="s">
        <v>303</v>
      </c>
      <c r="D116" s="22" t="s">
        <v>304</v>
      </c>
      <c r="E116" s="22" t="s">
        <v>95</v>
      </c>
      <c r="F116" s="22" t="s">
        <v>52</v>
      </c>
      <c r="G116" s="22">
        <f>VLOOKUP($C116,[1]Metadata!$B$1:$O$557,9,FALSE)</f>
        <v>1</v>
      </c>
    </row>
    <row r="117" spans="1:7" x14ac:dyDescent="0.2">
      <c r="A117" s="27" t="s">
        <v>557</v>
      </c>
      <c r="B117" s="27" t="s">
        <v>3222</v>
      </c>
      <c r="C117" s="22" t="s">
        <v>305</v>
      </c>
      <c r="D117" s="22" t="s">
        <v>306</v>
      </c>
      <c r="E117" s="22" t="s">
        <v>95</v>
      </c>
      <c r="F117" s="22" t="s">
        <v>52</v>
      </c>
      <c r="G117" s="22">
        <f>VLOOKUP($C117,[1]Metadata!$B$1:$O$557,9,FALSE)</f>
        <v>1</v>
      </c>
    </row>
    <row r="118" spans="1:7" x14ac:dyDescent="0.2">
      <c r="A118" s="27" t="s">
        <v>557</v>
      </c>
      <c r="B118" s="27" t="s">
        <v>3222</v>
      </c>
      <c r="C118" s="22" t="s">
        <v>307</v>
      </c>
      <c r="D118" s="22" t="s">
        <v>308</v>
      </c>
      <c r="E118" s="22" t="s">
        <v>95</v>
      </c>
      <c r="F118" s="22" t="s">
        <v>3076</v>
      </c>
      <c r="G118" s="22">
        <f>VLOOKUP($C118,[1]Metadata!$B$1:$O$557,9,FALSE)</f>
        <v>1</v>
      </c>
    </row>
    <row r="119" spans="1:7" x14ac:dyDescent="0.2">
      <c r="A119" s="27" t="s">
        <v>557</v>
      </c>
      <c r="B119" s="27" t="s">
        <v>3222</v>
      </c>
      <c r="C119" s="22" t="s">
        <v>564</v>
      </c>
      <c r="D119" s="22" t="s">
        <v>312</v>
      </c>
      <c r="E119" s="22" t="s">
        <v>95</v>
      </c>
      <c r="F119" s="22" t="s">
        <v>3076</v>
      </c>
      <c r="G119" s="22">
        <f>VLOOKUP($C119,[1]Metadata!$B$1:$O$557,9,FALSE)</f>
        <v>1</v>
      </c>
    </row>
    <row r="120" spans="1:7" x14ac:dyDescent="0.2">
      <c r="A120" s="27" t="s">
        <v>557</v>
      </c>
      <c r="B120" s="27" t="s">
        <v>3222</v>
      </c>
      <c r="C120" s="22" t="s">
        <v>309</v>
      </c>
      <c r="D120" s="22" t="s">
        <v>310</v>
      </c>
      <c r="E120" s="22" t="s">
        <v>95</v>
      </c>
      <c r="F120" s="22" t="s">
        <v>3076</v>
      </c>
      <c r="G120" s="22">
        <f>VLOOKUP($C120,[1]Metadata!$B$1:$O$557,9,FALSE)</f>
        <v>1</v>
      </c>
    </row>
    <row r="121" spans="1:7" x14ac:dyDescent="0.2">
      <c r="A121" s="27" t="s">
        <v>557</v>
      </c>
      <c r="B121" s="27" t="s">
        <v>3222</v>
      </c>
      <c r="C121" s="22" t="s">
        <v>311</v>
      </c>
      <c r="D121" s="22" t="s">
        <v>312</v>
      </c>
      <c r="E121" s="22" t="s">
        <v>95</v>
      </c>
      <c r="F121" s="22" t="s">
        <v>3076</v>
      </c>
      <c r="G121" s="22">
        <f>VLOOKUP($C121,[1]Metadata!$B$1:$O$557,9,FALSE)</f>
        <v>1</v>
      </c>
    </row>
    <row r="122" spans="1:7" x14ac:dyDescent="0.2">
      <c r="A122" s="27" t="s">
        <v>557</v>
      </c>
      <c r="B122" s="27" t="s">
        <v>3222</v>
      </c>
      <c r="C122" s="22" t="s">
        <v>313</v>
      </c>
      <c r="D122" s="22" t="s">
        <v>314</v>
      </c>
      <c r="E122" s="22" t="s">
        <v>95</v>
      </c>
      <c r="F122" s="22" t="s">
        <v>3076</v>
      </c>
      <c r="G122" s="22">
        <f>VLOOKUP($C122,[1]Metadata!$B$1:$O$557,9,FALSE)</f>
        <v>1</v>
      </c>
    </row>
    <row r="123" spans="1:7" x14ac:dyDescent="0.2">
      <c r="A123" s="27" t="s">
        <v>557</v>
      </c>
      <c r="B123" s="27" t="s">
        <v>3222</v>
      </c>
      <c r="C123" s="22" t="s">
        <v>315</v>
      </c>
      <c r="D123" s="22" t="s">
        <v>312</v>
      </c>
      <c r="E123" s="22" t="s">
        <v>95</v>
      </c>
      <c r="F123" s="22" t="s">
        <v>3076</v>
      </c>
      <c r="G123" s="22">
        <f>VLOOKUP($C123,[1]Metadata!$B$1:$O$557,9,FALSE)</f>
        <v>1</v>
      </c>
    </row>
    <row r="124" spans="1:7" x14ac:dyDescent="0.2">
      <c r="A124" s="27" t="s">
        <v>557</v>
      </c>
      <c r="B124" s="27" t="s">
        <v>3222</v>
      </c>
      <c r="C124" s="22" t="s">
        <v>316</v>
      </c>
      <c r="D124" s="22" t="s">
        <v>317</v>
      </c>
      <c r="E124" s="22" t="s">
        <v>89</v>
      </c>
      <c r="F124" s="22" t="s">
        <v>3076</v>
      </c>
      <c r="G124" s="22">
        <f>VLOOKUP($C124,[1]Metadata!$B$1:$O$557,9,FALSE)</f>
        <v>0</v>
      </c>
    </row>
    <row r="125" spans="1:7" x14ac:dyDescent="0.2">
      <c r="A125" s="27" t="s">
        <v>557</v>
      </c>
      <c r="B125" s="27" t="s">
        <v>3222</v>
      </c>
      <c r="C125" s="22" t="s">
        <v>318</v>
      </c>
      <c r="D125" s="22" t="s">
        <v>319</v>
      </c>
      <c r="E125" s="22" t="s">
        <v>89</v>
      </c>
      <c r="F125" s="22" t="s">
        <v>52</v>
      </c>
      <c r="G125" s="22">
        <f>VLOOKUP($C125,[1]Metadata!$B$1:$O$557,9,FALSE)</f>
        <v>1</v>
      </c>
    </row>
    <row r="126" spans="1:7" x14ac:dyDescent="0.2">
      <c r="A126" s="27" t="s">
        <v>557</v>
      </c>
      <c r="B126" s="27" t="s">
        <v>3222</v>
      </c>
      <c r="C126" s="22" t="s">
        <v>320</v>
      </c>
      <c r="D126" s="22" t="s">
        <v>321</v>
      </c>
      <c r="E126" s="22" t="s">
        <v>89</v>
      </c>
      <c r="F126" s="22" t="s">
        <v>52</v>
      </c>
      <c r="G126" s="22">
        <f>VLOOKUP($C126,[1]Metadata!$B$1:$O$557,9,FALSE)</f>
        <v>1</v>
      </c>
    </row>
    <row r="127" spans="1:7" x14ac:dyDescent="0.2">
      <c r="A127" s="27" t="s">
        <v>557</v>
      </c>
      <c r="B127" s="27" t="s">
        <v>3222</v>
      </c>
      <c r="C127" s="22" t="s">
        <v>322</v>
      </c>
      <c r="D127" s="22" t="s">
        <v>323</v>
      </c>
      <c r="E127" s="22" t="s">
        <v>89</v>
      </c>
      <c r="F127" s="22" t="s">
        <v>52</v>
      </c>
      <c r="G127" s="22">
        <f>VLOOKUP($C127,[1]Metadata!$B$1:$O$557,9,FALSE)</f>
        <v>1</v>
      </c>
    </row>
    <row r="128" spans="1:7" x14ac:dyDescent="0.2">
      <c r="A128" s="27" t="s">
        <v>557</v>
      </c>
      <c r="B128" s="27" t="s">
        <v>3222</v>
      </c>
      <c r="C128" s="22" t="s">
        <v>324</v>
      </c>
      <c r="D128" s="22" t="s">
        <v>325</v>
      </c>
      <c r="E128" s="22" t="s">
        <v>89</v>
      </c>
      <c r="F128" s="22" t="s">
        <v>52</v>
      </c>
      <c r="G128" s="22">
        <f>VLOOKUP($C128,[1]Metadata!$B$1:$O$557,9,FALSE)</f>
        <v>1</v>
      </c>
    </row>
    <row r="129" spans="1:10" x14ac:dyDescent="0.2">
      <c r="A129" s="27" t="s">
        <v>557</v>
      </c>
      <c r="B129" s="27" t="s">
        <v>3222</v>
      </c>
      <c r="C129" s="22" t="s">
        <v>326</v>
      </c>
      <c r="D129" s="22" t="s">
        <v>327</v>
      </c>
      <c r="E129" s="22" t="s">
        <v>89</v>
      </c>
      <c r="F129" s="22" t="s">
        <v>47</v>
      </c>
      <c r="G129" s="22">
        <v>0</v>
      </c>
    </row>
    <row r="130" spans="1:10" x14ac:dyDescent="0.2">
      <c r="A130" s="27" t="s">
        <v>557</v>
      </c>
      <c r="B130" s="27" t="s">
        <v>3222</v>
      </c>
      <c r="C130" s="22" t="s">
        <v>328</v>
      </c>
      <c r="D130" s="22" t="s">
        <v>329</v>
      </c>
      <c r="E130" s="22" t="s">
        <v>95</v>
      </c>
      <c r="F130" s="22" t="s">
        <v>52</v>
      </c>
      <c r="G130" s="22">
        <v>1</v>
      </c>
    </row>
    <row r="131" spans="1:10" x14ac:dyDescent="0.2">
      <c r="A131" s="27" t="s">
        <v>557</v>
      </c>
      <c r="B131" s="27" t="s">
        <v>3222</v>
      </c>
      <c r="C131" s="22" t="s">
        <v>330</v>
      </c>
      <c r="D131" s="22" t="s">
        <v>331</v>
      </c>
      <c r="E131" s="22" t="s">
        <v>89</v>
      </c>
      <c r="F131" s="22" t="s">
        <v>52</v>
      </c>
      <c r="G131" s="22">
        <f>VLOOKUP($C131,[1]Metadata!$B$1:$O$557,9,FALSE)</f>
        <v>1</v>
      </c>
    </row>
    <row r="132" spans="1:10" x14ac:dyDescent="0.2">
      <c r="A132" s="27" t="s">
        <v>557</v>
      </c>
      <c r="B132" s="27" t="s">
        <v>3222</v>
      </c>
      <c r="C132" s="22" t="s">
        <v>332</v>
      </c>
      <c r="D132" s="22" t="s">
        <v>333</v>
      </c>
      <c r="E132" s="22" t="s">
        <v>89</v>
      </c>
      <c r="F132" s="22" t="s">
        <v>52</v>
      </c>
      <c r="G132" s="22">
        <f>VLOOKUP($C132,[1]Metadata!$B$1:$O$557,9,FALSE)</f>
        <v>1</v>
      </c>
    </row>
    <row r="133" spans="1:10" ht="18.75" customHeight="1" x14ac:dyDescent="0.2">
      <c r="A133" s="27" t="s">
        <v>557</v>
      </c>
      <c r="B133" s="27" t="s">
        <v>3222</v>
      </c>
      <c r="C133" s="22" t="s">
        <v>3631</v>
      </c>
      <c r="D133" s="22" t="s">
        <v>334</v>
      </c>
      <c r="E133" s="22" t="s">
        <v>89</v>
      </c>
      <c r="F133" s="22" t="s">
        <v>90</v>
      </c>
      <c r="G133" s="22">
        <v>1</v>
      </c>
      <c r="J133" s="28" t="s">
        <v>3630</v>
      </c>
    </row>
    <row r="134" spans="1:10" x14ac:dyDescent="0.2">
      <c r="A134" s="27" t="s">
        <v>557</v>
      </c>
      <c r="B134" s="27" t="s">
        <v>3222</v>
      </c>
      <c r="C134" s="22" t="s">
        <v>335</v>
      </c>
      <c r="D134" s="22" t="s">
        <v>336</v>
      </c>
      <c r="E134" s="22" t="s">
        <v>89</v>
      </c>
      <c r="F134" s="22" t="s">
        <v>52</v>
      </c>
      <c r="G134" s="22">
        <f>VLOOKUP($C134,[1]Metadata!$B$1:$O$557,9,FALSE)</f>
        <v>1</v>
      </c>
    </row>
    <row r="135" spans="1:10" x14ac:dyDescent="0.2">
      <c r="A135" s="27" t="s">
        <v>557</v>
      </c>
      <c r="B135" s="27" t="s">
        <v>3222</v>
      </c>
      <c r="C135" s="22" t="s">
        <v>337</v>
      </c>
      <c r="D135" s="22" t="s">
        <v>338</v>
      </c>
      <c r="E135" s="22" t="s">
        <v>89</v>
      </c>
      <c r="F135" s="22" t="s">
        <v>52</v>
      </c>
      <c r="G135" s="22">
        <f>VLOOKUP($C135,[1]Metadata!$B$1:$O$557,9,FALSE)</f>
        <v>1</v>
      </c>
    </row>
    <row r="136" spans="1:10" x14ac:dyDescent="0.2">
      <c r="A136" s="27" t="s">
        <v>557</v>
      </c>
      <c r="B136" s="27" t="s">
        <v>3222</v>
      </c>
      <c r="C136" s="22" t="s">
        <v>339</v>
      </c>
      <c r="D136" s="22" t="s">
        <v>340</v>
      </c>
      <c r="E136" s="22" t="s">
        <v>89</v>
      </c>
      <c r="F136" s="22" t="s">
        <v>52</v>
      </c>
      <c r="G136" s="22">
        <f>VLOOKUP($C136,[1]Metadata!$B$1:$O$557,9,FALSE)</f>
        <v>1</v>
      </c>
    </row>
    <row r="137" spans="1:10" x14ac:dyDescent="0.2">
      <c r="A137" s="27" t="s">
        <v>557</v>
      </c>
      <c r="B137" s="27" t="s">
        <v>3222</v>
      </c>
      <c r="C137" s="22" t="s">
        <v>341</v>
      </c>
      <c r="D137" s="22" t="s">
        <v>342</v>
      </c>
      <c r="E137" s="22" t="s">
        <v>89</v>
      </c>
      <c r="F137" s="22" t="s">
        <v>52</v>
      </c>
      <c r="G137" s="22">
        <f>VLOOKUP($C137,[1]Metadata!$B$1:$O$557,9,FALSE)</f>
        <v>1</v>
      </c>
    </row>
    <row r="138" spans="1:10" x14ac:dyDescent="0.2">
      <c r="A138" s="27" t="s">
        <v>557</v>
      </c>
      <c r="B138" s="27" t="s">
        <v>3222</v>
      </c>
      <c r="C138" s="22" t="s">
        <v>343</v>
      </c>
      <c r="D138" s="22" t="s">
        <v>344</v>
      </c>
      <c r="E138" s="22" t="s">
        <v>89</v>
      </c>
      <c r="F138" s="22" t="s">
        <v>52</v>
      </c>
      <c r="G138" s="22">
        <f>VLOOKUP($C138,[1]Metadata!$B$1:$O$557,9,FALSE)</f>
        <v>1</v>
      </c>
    </row>
    <row r="139" spans="1:10" x14ac:dyDescent="0.2">
      <c r="A139" s="27" t="s">
        <v>557</v>
      </c>
      <c r="B139" s="27" t="s">
        <v>3222</v>
      </c>
      <c r="C139" s="22" t="s">
        <v>345</v>
      </c>
      <c r="D139" s="22" t="s">
        <v>346</v>
      </c>
      <c r="E139" s="22" t="s">
        <v>89</v>
      </c>
      <c r="F139" s="22" t="s">
        <v>52</v>
      </c>
      <c r="G139" s="22">
        <f>VLOOKUP($C139,[1]Metadata!$B$1:$O$557,9,FALSE)</f>
        <v>1</v>
      </c>
    </row>
    <row r="140" spans="1:10" x14ac:dyDescent="0.2">
      <c r="A140" s="27" t="s">
        <v>557</v>
      </c>
      <c r="B140" s="27" t="s">
        <v>3222</v>
      </c>
      <c r="C140" s="22" t="s">
        <v>347</v>
      </c>
      <c r="D140" s="22" t="s">
        <v>348</v>
      </c>
      <c r="E140" s="22" t="s">
        <v>89</v>
      </c>
      <c r="F140" s="22" t="s">
        <v>52</v>
      </c>
      <c r="G140" s="22">
        <f>VLOOKUP($C140,[1]Metadata!$B$1:$O$557,9,FALSE)</f>
        <v>1</v>
      </c>
    </row>
    <row r="141" spans="1:10" x14ac:dyDescent="0.2">
      <c r="A141" s="27" t="s">
        <v>557</v>
      </c>
      <c r="B141" s="27" t="s">
        <v>3222</v>
      </c>
      <c r="C141" s="22" t="s">
        <v>349</v>
      </c>
      <c r="D141" s="22" t="s">
        <v>350</v>
      </c>
      <c r="E141" s="22" t="s">
        <v>89</v>
      </c>
      <c r="F141" s="22" t="s">
        <v>52</v>
      </c>
      <c r="G141" s="22">
        <f>VLOOKUP($C141,[1]Metadata!$B$1:$O$557,9,FALSE)</f>
        <v>1</v>
      </c>
    </row>
    <row r="142" spans="1:10" x14ac:dyDescent="0.2">
      <c r="A142" s="27" t="s">
        <v>557</v>
      </c>
      <c r="B142" s="27" t="s">
        <v>3222</v>
      </c>
      <c r="C142" s="22" t="s">
        <v>351</v>
      </c>
      <c r="D142" s="22" t="s">
        <v>352</v>
      </c>
      <c r="E142" s="22" t="s">
        <v>89</v>
      </c>
      <c r="F142" s="22" t="s">
        <v>52</v>
      </c>
      <c r="G142" s="22">
        <f>VLOOKUP($C142,[1]Metadata!$B$1:$O$557,9,FALSE)</f>
        <v>1</v>
      </c>
    </row>
    <row r="143" spans="1:10" x14ac:dyDescent="0.2">
      <c r="A143" s="27" t="s">
        <v>557</v>
      </c>
      <c r="B143" s="27" t="s">
        <v>3222</v>
      </c>
      <c r="C143" s="22" t="s">
        <v>353</v>
      </c>
      <c r="D143" s="22" t="s">
        <v>354</v>
      </c>
      <c r="E143" s="22" t="s">
        <v>89</v>
      </c>
      <c r="F143" s="22" t="s">
        <v>52</v>
      </c>
      <c r="G143" s="22">
        <f>VLOOKUP($C143,[1]Metadata!$B$1:$O$557,9,FALSE)</f>
        <v>1</v>
      </c>
    </row>
    <row r="144" spans="1:10" x14ac:dyDescent="0.2">
      <c r="A144" s="27" t="s">
        <v>557</v>
      </c>
      <c r="B144" s="27" t="s">
        <v>3222</v>
      </c>
      <c r="C144" s="22" t="s">
        <v>355</v>
      </c>
      <c r="D144" s="22" t="s">
        <v>356</v>
      </c>
      <c r="E144" s="22" t="s">
        <v>89</v>
      </c>
      <c r="F144" s="22" t="s">
        <v>52</v>
      </c>
      <c r="G144" s="22">
        <f>VLOOKUP($C144,[1]Metadata!$B$1:$O$557,9,FALSE)</f>
        <v>1</v>
      </c>
    </row>
    <row r="145" spans="1:7" x14ac:dyDescent="0.2">
      <c r="A145" s="27" t="s">
        <v>557</v>
      </c>
      <c r="B145" s="27" t="s">
        <v>3222</v>
      </c>
      <c r="C145" s="22" t="s">
        <v>357</v>
      </c>
      <c r="D145" s="22" t="s">
        <v>358</v>
      </c>
      <c r="E145" s="22" t="s">
        <v>89</v>
      </c>
      <c r="F145" s="22" t="s">
        <v>52</v>
      </c>
      <c r="G145" s="22">
        <f>VLOOKUP($C145,[1]Metadata!$B$1:$O$557,9,FALSE)</f>
        <v>1</v>
      </c>
    </row>
    <row r="146" spans="1:7" x14ac:dyDescent="0.2">
      <c r="A146" s="27" t="s">
        <v>557</v>
      </c>
      <c r="B146" s="27" t="s">
        <v>3222</v>
      </c>
      <c r="C146" s="22" t="s">
        <v>359</v>
      </c>
      <c r="D146" s="22" t="s">
        <v>360</v>
      </c>
      <c r="E146" s="22" t="s">
        <v>89</v>
      </c>
      <c r="F146" s="22" t="s">
        <v>52</v>
      </c>
      <c r="G146" s="22">
        <f>VLOOKUP($C146,[1]Metadata!$B$1:$O$557,9,FALSE)</f>
        <v>1</v>
      </c>
    </row>
    <row r="147" spans="1:7" x14ac:dyDescent="0.2">
      <c r="A147" s="27" t="s">
        <v>557</v>
      </c>
      <c r="B147" s="27" t="s">
        <v>3222</v>
      </c>
      <c r="C147" s="22" t="s">
        <v>361</v>
      </c>
      <c r="D147" s="22" t="s">
        <v>362</v>
      </c>
      <c r="E147" s="22" t="s">
        <v>89</v>
      </c>
      <c r="F147" s="22" t="s">
        <v>52</v>
      </c>
      <c r="G147" s="22">
        <f>VLOOKUP($C147,[1]Metadata!$B$1:$O$557,9,FALSE)</f>
        <v>1</v>
      </c>
    </row>
    <row r="148" spans="1:7" x14ac:dyDescent="0.2">
      <c r="A148" s="27" t="s">
        <v>557</v>
      </c>
      <c r="B148" s="27" t="s">
        <v>3222</v>
      </c>
      <c r="C148" s="22" t="s">
        <v>363</v>
      </c>
      <c r="D148" s="22" t="s">
        <v>364</v>
      </c>
      <c r="E148" s="22" t="s">
        <v>95</v>
      </c>
      <c r="F148" s="22" t="s">
        <v>52</v>
      </c>
      <c r="G148" s="22">
        <f>VLOOKUP($C148,[1]Metadata!$B$1:$O$557,9,FALSE)</f>
        <v>1</v>
      </c>
    </row>
    <row r="149" spans="1:7" x14ac:dyDescent="0.2">
      <c r="A149" s="27" t="s">
        <v>557</v>
      </c>
      <c r="B149" s="27" t="s">
        <v>3222</v>
      </c>
      <c r="C149" s="22" t="s">
        <v>365</v>
      </c>
      <c r="D149" s="22" t="s">
        <v>366</v>
      </c>
      <c r="E149" s="22" t="s">
        <v>89</v>
      </c>
      <c r="F149" s="22" t="s">
        <v>52</v>
      </c>
      <c r="G149" s="22">
        <f>VLOOKUP($C149,[1]Metadata!$B$1:$O$557,9,FALSE)</f>
        <v>1</v>
      </c>
    </row>
    <row r="150" spans="1:7" x14ac:dyDescent="0.2">
      <c r="A150" s="27" t="s">
        <v>557</v>
      </c>
      <c r="B150" s="27" t="s">
        <v>3222</v>
      </c>
      <c r="C150" s="22" t="s">
        <v>367</v>
      </c>
      <c r="D150" s="22" t="s">
        <v>3615</v>
      </c>
      <c r="E150" s="22" t="s">
        <v>95</v>
      </c>
      <c r="F150" s="22" t="s">
        <v>52</v>
      </c>
      <c r="G150" s="22">
        <f>VLOOKUP($C150,[1]Metadata!$B$1:$O$557,9,FALSE)</f>
        <v>1</v>
      </c>
    </row>
    <row r="151" spans="1:7" x14ac:dyDescent="0.2">
      <c r="A151" s="27" t="s">
        <v>557</v>
      </c>
      <c r="B151" s="27" t="s">
        <v>3222</v>
      </c>
      <c r="C151" s="22" t="s">
        <v>368</v>
      </c>
      <c r="D151" s="22" t="s">
        <v>3616</v>
      </c>
      <c r="E151" s="22" t="s">
        <v>95</v>
      </c>
      <c r="F151" s="22" t="s">
        <v>52</v>
      </c>
      <c r="G151" s="22">
        <f>VLOOKUP($C151,[1]Metadata!$B$1:$O$557,9,FALSE)</f>
        <v>1</v>
      </c>
    </row>
    <row r="152" spans="1:7" x14ac:dyDescent="0.2">
      <c r="A152" s="27" t="s">
        <v>557</v>
      </c>
      <c r="B152" s="27" t="s">
        <v>3222</v>
      </c>
      <c r="C152" s="22" t="s">
        <v>369</v>
      </c>
      <c r="D152" s="22" t="s">
        <v>3617</v>
      </c>
      <c r="E152" s="22" t="s">
        <v>95</v>
      </c>
      <c r="F152" s="22" t="s">
        <v>52</v>
      </c>
      <c r="G152" s="22">
        <f>VLOOKUP($C152,[1]Metadata!$B$1:$O$557,9,FALSE)</f>
        <v>1</v>
      </c>
    </row>
    <row r="153" spans="1:7" x14ac:dyDescent="0.2">
      <c r="A153" s="27" t="s">
        <v>557</v>
      </c>
      <c r="B153" s="27" t="s">
        <v>3222</v>
      </c>
      <c r="C153" s="22" t="s">
        <v>370</v>
      </c>
      <c r="D153" s="22" t="s">
        <v>3618</v>
      </c>
      <c r="E153" s="22" t="s">
        <v>95</v>
      </c>
      <c r="F153" s="22" t="s">
        <v>52</v>
      </c>
      <c r="G153" s="22">
        <f>VLOOKUP($C153,[1]Metadata!$B$1:$O$557,9,FALSE)</f>
        <v>0</v>
      </c>
    </row>
    <row r="154" spans="1:7" x14ac:dyDescent="0.2">
      <c r="A154" s="27" t="s">
        <v>557</v>
      </c>
      <c r="B154" s="27" t="s">
        <v>3222</v>
      </c>
      <c r="C154" s="22" t="s">
        <v>371</v>
      </c>
      <c r="D154" s="22" t="s">
        <v>372</v>
      </c>
      <c r="E154" s="22" t="s">
        <v>89</v>
      </c>
      <c r="F154" s="22" t="s">
        <v>52</v>
      </c>
      <c r="G154" s="22">
        <f>VLOOKUP($C154,[1]Metadata!$B$1:$O$557,9,FALSE)</f>
        <v>1</v>
      </c>
    </row>
    <row r="155" spans="1:7" x14ac:dyDescent="0.2">
      <c r="A155" s="27" t="s">
        <v>557</v>
      </c>
      <c r="B155" s="27" t="s">
        <v>3222</v>
      </c>
      <c r="C155" s="22" t="s">
        <v>373</v>
      </c>
      <c r="D155" s="22" t="s">
        <v>374</v>
      </c>
      <c r="E155" s="22" t="s">
        <v>89</v>
      </c>
      <c r="F155" s="22" t="s">
        <v>52</v>
      </c>
      <c r="G155" s="22">
        <f>VLOOKUP($C155,[1]Metadata!$B$1:$O$557,9,FALSE)</f>
        <v>1</v>
      </c>
    </row>
    <row r="156" spans="1:7" x14ac:dyDescent="0.2">
      <c r="A156" s="27" t="s">
        <v>557</v>
      </c>
      <c r="B156" s="27" t="s">
        <v>3222</v>
      </c>
      <c r="C156" s="22" t="s">
        <v>375</v>
      </c>
      <c r="D156" s="22" t="s">
        <v>376</v>
      </c>
      <c r="E156" s="22" t="s">
        <v>95</v>
      </c>
      <c r="F156" s="22" t="s">
        <v>3076</v>
      </c>
      <c r="G156" s="22">
        <f>VLOOKUP($C156,[1]Metadata!$B$1:$O$557,9,FALSE)</f>
        <v>1</v>
      </c>
    </row>
    <row r="157" spans="1:7" x14ac:dyDescent="0.2">
      <c r="A157" s="27" t="s">
        <v>557</v>
      </c>
      <c r="B157" s="27" t="s">
        <v>3222</v>
      </c>
      <c r="C157" s="22" t="s">
        <v>377</v>
      </c>
      <c r="D157" s="22" t="s">
        <v>378</v>
      </c>
      <c r="E157" s="22" t="s">
        <v>95</v>
      </c>
      <c r="F157" s="22" t="s">
        <v>52</v>
      </c>
      <c r="G157" s="22">
        <f>VLOOKUP($C157,[1]Metadata!$B$1:$O$557,9,FALSE)</f>
        <v>0</v>
      </c>
    </row>
    <row r="158" spans="1:7" x14ac:dyDescent="0.2">
      <c r="A158" s="27" t="s">
        <v>557</v>
      </c>
      <c r="B158" s="27" t="s">
        <v>3222</v>
      </c>
      <c r="C158" s="22" t="s">
        <v>379</v>
      </c>
      <c r="D158" s="22" t="s">
        <v>380</v>
      </c>
      <c r="E158" s="22" t="s">
        <v>95</v>
      </c>
      <c r="F158" s="22" t="s">
        <v>3076</v>
      </c>
      <c r="G158" s="22">
        <f>VLOOKUP($C158,[1]Metadata!$B$1:$O$557,9,FALSE)</f>
        <v>1</v>
      </c>
    </row>
    <row r="159" spans="1:7" x14ac:dyDescent="0.2">
      <c r="A159" s="27" t="s">
        <v>557</v>
      </c>
      <c r="B159" s="27" t="s">
        <v>3222</v>
      </c>
      <c r="C159" s="22" t="s">
        <v>381</v>
      </c>
      <c r="D159" s="22" t="s">
        <v>382</v>
      </c>
      <c r="E159" s="22" t="s">
        <v>95</v>
      </c>
      <c r="F159" s="22" t="s">
        <v>3076</v>
      </c>
      <c r="G159" s="22">
        <f>VLOOKUP($C159,[1]Metadata!$B$1:$O$557,9,FALSE)</f>
        <v>0</v>
      </c>
    </row>
    <row r="160" spans="1:7" x14ac:dyDescent="0.2">
      <c r="A160" s="27" t="s">
        <v>557</v>
      </c>
      <c r="B160" s="27" t="s">
        <v>3222</v>
      </c>
      <c r="C160" s="22" t="s">
        <v>383</v>
      </c>
      <c r="D160" s="22" t="s">
        <v>384</v>
      </c>
      <c r="E160" s="22" t="s">
        <v>95</v>
      </c>
      <c r="F160" s="22" t="s">
        <v>52</v>
      </c>
      <c r="G160" s="22">
        <f>VLOOKUP($C160,[1]Metadata!$B$1:$O$557,9,FALSE)</f>
        <v>0</v>
      </c>
    </row>
    <row r="161" spans="1:7" x14ac:dyDescent="0.2">
      <c r="A161" s="27" t="s">
        <v>557</v>
      </c>
      <c r="B161" s="27" t="s">
        <v>3222</v>
      </c>
      <c r="C161" s="22" t="s">
        <v>385</v>
      </c>
      <c r="D161" s="22" t="s">
        <v>386</v>
      </c>
      <c r="E161" s="22" t="s">
        <v>95</v>
      </c>
      <c r="F161" s="22" t="s">
        <v>3076</v>
      </c>
      <c r="G161" s="22">
        <f>VLOOKUP($C161,[1]Metadata!$B$1:$O$557,9,FALSE)</f>
        <v>1</v>
      </c>
    </row>
    <row r="162" spans="1:7" x14ac:dyDescent="0.2">
      <c r="A162" s="27" t="s">
        <v>557</v>
      </c>
      <c r="B162" s="27" t="s">
        <v>3222</v>
      </c>
      <c r="C162" s="22" t="s">
        <v>387</v>
      </c>
      <c r="D162" s="22" t="s">
        <v>388</v>
      </c>
      <c r="E162" s="22" t="s">
        <v>95</v>
      </c>
      <c r="F162" s="22" t="s">
        <v>3076</v>
      </c>
      <c r="G162" s="22">
        <f>VLOOKUP($C162,[1]Metadata!$B$1:$O$557,9,FALSE)</f>
        <v>1</v>
      </c>
    </row>
    <row r="163" spans="1:7" x14ac:dyDescent="0.2">
      <c r="A163" s="27" t="s">
        <v>557</v>
      </c>
      <c r="B163" s="27" t="s">
        <v>3222</v>
      </c>
      <c r="C163" s="22" t="s">
        <v>389</v>
      </c>
      <c r="D163" s="22" t="s">
        <v>390</v>
      </c>
      <c r="E163" s="22" t="s">
        <v>95</v>
      </c>
      <c r="F163" s="22" t="s">
        <v>3076</v>
      </c>
      <c r="G163" s="22">
        <f>VLOOKUP($C163,[1]Metadata!$B$1:$O$557,9,FALSE)</f>
        <v>1</v>
      </c>
    </row>
    <row r="164" spans="1:7" x14ac:dyDescent="0.2">
      <c r="A164" s="27" t="s">
        <v>557</v>
      </c>
      <c r="B164" s="27" t="s">
        <v>3222</v>
      </c>
      <c r="C164" s="22" t="s">
        <v>391</v>
      </c>
      <c r="D164" s="22" t="s">
        <v>392</v>
      </c>
      <c r="E164" s="22" t="s">
        <v>89</v>
      </c>
      <c r="F164" s="22" t="s">
        <v>52</v>
      </c>
      <c r="G164" s="22">
        <f>VLOOKUP($C164,[1]Metadata!$B$1:$O$557,9,FALSE)</f>
        <v>1</v>
      </c>
    </row>
    <row r="165" spans="1:7" x14ac:dyDescent="0.2">
      <c r="A165" s="27" t="s">
        <v>557</v>
      </c>
      <c r="B165" s="27" t="s">
        <v>3222</v>
      </c>
      <c r="C165" s="22" t="s">
        <v>393</v>
      </c>
      <c r="D165" s="22" t="s">
        <v>394</v>
      </c>
      <c r="E165" s="22" t="s">
        <v>89</v>
      </c>
      <c r="F165" s="22" t="s">
        <v>52</v>
      </c>
      <c r="G165" s="22">
        <f>VLOOKUP($C165,[1]Metadata!$B$1:$O$557,9,FALSE)</f>
        <v>1</v>
      </c>
    </row>
    <row r="166" spans="1:7" x14ac:dyDescent="0.2">
      <c r="A166" s="27" t="s">
        <v>557</v>
      </c>
      <c r="B166" s="27" t="s">
        <v>3222</v>
      </c>
      <c r="C166" s="22" t="s">
        <v>395</v>
      </c>
      <c r="D166" s="22" t="s">
        <v>396</v>
      </c>
      <c r="E166" s="22" t="s">
        <v>89</v>
      </c>
      <c r="F166" s="22" t="s">
        <v>52</v>
      </c>
      <c r="G166" s="22">
        <f>VLOOKUP($C166,[1]Metadata!$B$1:$O$557,9,FALSE)</f>
        <v>1</v>
      </c>
    </row>
    <row r="167" spans="1:7" x14ac:dyDescent="0.2">
      <c r="A167" s="27" t="s">
        <v>557</v>
      </c>
      <c r="B167" s="27" t="s">
        <v>3222</v>
      </c>
      <c r="C167" s="22" t="s">
        <v>397</v>
      </c>
      <c r="D167" s="22" t="s">
        <v>396</v>
      </c>
      <c r="E167" s="22" t="s">
        <v>89</v>
      </c>
      <c r="F167" s="22" t="s">
        <v>52</v>
      </c>
      <c r="G167" s="22">
        <f>VLOOKUP($C167,[1]Metadata!$B$1:$O$557,9,FALSE)</f>
        <v>1</v>
      </c>
    </row>
    <row r="168" spans="1:7" x14ac:dyDescent="0.2">
      <c r="A168" s="27" t="s">
        <v>557</v>
      </c>
      <c r="B168" s="27" t="s">
        <v>3222</v>
      </c>
      <c r="C168" s="22" t="s">
        <v>398</v>
      </c>
      <c r="D168" s="22" t="s">
        <v>396</v>
      </c>
      <c r="E168" s="22" t="s">
        <v>89</v>
      </c>
      <c r="F168" s="22" t="s">
        <v>52</v>
      </c>
      <c r="G168" s="22">
        <f>VLOOKUP($C168,[1]Metadata!$B$1:$O$557,9,FALSE)</f>
        <v>1</v>
      </c>
    </row>
    <row r="169" spans="1:7" x14ac:dyDescent="0.2">
      <c r="A169" s="27" t="s">
        <v>557</v>
      </c>
      <c r="B169" s="27" t="s">
        <v>3222</v>
      </c>
      <c r="C169" s="22" t="s">
        <v>399</v>
      </c>
      <c r="D169" s="22" t="s">
        <v>396</v>
      </c>
      <c r="E169" s="22" t="s">
        <v>89</v>
      </c>
      <c r="F169" s="22" t="s">
        <v>52</v>
      </c>
      <c r="G169" s="22">
        <f>VLOOKUP($C169,[1]Metadata!$B$1:$O$557,9,FALSE)</f>
        <v>1</v>
      </c>
    </row>
    <row r="170" spans="1:7" x14ac:dyDescent="0.2">
      <c r="A170" s="27" t="s">
        <v>557</v>
      </c>
      <c r="B170" s="27" t="s">
        <v>3222</v>
      </c>
      <c r="C170" s="22" t="s">
        <v>400</v>
      </c>
      <c r="D170" s="22" t="s">
        <v>401</v>
      </c>
      <c r="E170" s="22" t="s">
        <v>95</v>
      </c>
      <c r="F170" s="22" t="s">
        <v>52</v>
      </c>
      <c r="G170" s="22">
        <f>VLOOKUP($C170,[1]Metadata!$B$1:$O$557,9,FALSE)</f>
        <v>1</v>
      </c>
    </row>
    <row r="171" spans="1:7" x14ac:dyDescent="0.2">
      <c r="A171" s="27" t="s">
        <v>557</v>
      </c>
      <c r="B171" s="27" t="s">
        <v>3222</v>
      </c>
      <c r="C171" s="22" t="s">
        <v>402</v>
      </c>
      <c r="D171" s="22" t="s">
        <v>403</v>
      </c>
      <c r="E171" s="22" t="s">
        <v>95</v>
      </c>
      <c r="F171" s="22" t="s">
        <v>3076</v>
      </c>
      <c r="G171" s="22">
        <f>VLOOKUP($C171,[1]Metadata!$B$1:$O$557,9,FALSE)</f>
        <v>1</v>
      </c>
    </row>
    <row r="172" spans="1:7" x14ac:dyDescent="0.2">
      <c r="A172" s="27" t="s">
        <v>557</v>
      </c>
      <c r="B172" s="27" t="s">
        <v>3222</v>
      </c>
      <c r="C172" s="22" t="s">
        <v>404</v>
      </c>
      <c r="D172" s="22" t="s">
        <v>405</v>
      </c>
      <c r="E172" s="22" t="s">
        <v>95</v>
      </c>
      <c r="F172" s="22" t="s">
        <v>52</v>
      </c>
      <c r="G172" s="22">
        <f>VLOOKUP($C172,[1]Metadata!$B$1:$O$557,9,FALSE)</f>
        <v>1</v>
      </c>
    </row>
    <row r="173" spans="1:7" x14ac:dyDescent="0.2">
      <c r="A173" s="27" t="s">
        <v>557</v>
      </c>
      <c r="B173" s="27" t="s">
        <v>3222</v>
      </c>
      <c r="C173" s="22" t="s">
        <v>406</v>
      </c>
      <c r="D173" s="22" t="s">
        <v>407</v>
      </c>
      <c r="E173" s="22" t="s">
        <v>95</v>
      </c>
      <c r="F173" s="22" t="s">
        <v>3076</v>
      </c>
      <c r="G173" s="22">
        <f>VLOOKUP($C173,[1]Metadata!$B$1:$O$557,9,FALSE)</f>
        <v>1</v>
      </c>
    </row>
    <row r="174" spans="1:7" x14ac:dyDescent="0.2">
      <c r="A174" s="27" t="s">
        <v>557</v>
      </c>
      <c r="B174" s="27" t="s">
        <v>3222</v>
      </c>
      <c r="C174" s="22" t="s">
        <v>408</v>
      </c>
      <c r="D174" s="22" t="s">
        <v>409</v>
      </c>
      <c r="E174" s="22" t="s">
        <v>89</v>
      </c>
      <c r="F174" s="22" t="s">
        <v>52</v>
      </c>
      <c r="G174" s="22">
        <f>VLOOKUP($C174,[1]Metadata!$B$1:$O$557,9,FALSE)</f>
        <v>1</v>
      </c>
    </row>
    <row r="175" spans="1:7" x14ac:dyDescent="0.2">
      <c r="A175" s="27" t="s">
        <v>557</v>
      </c>
      <c r="B175" s="27" t="s">
        <v>3222</v>
      </c>
      <c r="C175" s="22" t="s">
        <v>410</v>
      </c>
      <c r="D175" s="22" t="s">
        <v>411</v>
      </c>
      <c r="E175" s="22" t="s">
        <v>89</v>
      </c>
      <c r="F175" s="22" t="s">
        <v>52</v>
      </c>
      <c r="G175" s="22">
        <f>VLOOKUP($C175,[1]Metadata!$B$1:$O$557,9,FALSE)</f>
        <v>1</v>
      </c>
    </row>
    <row r="176" spans="1:7" x14ac:dyDescent="0.2">
      <c r="A176" s="27" t="s">
        <v>557</v>
      </c>
      <c r="B176" s="27" t="s">
        <v>3222</v>
      </c>
      <c r="C176" s="22" t="s">
        <v>412</v>
      </c>
      <c r="D176" s="22" t="s">
        <v>413</v>
      </c>
      <c r="E176" s="22" t="s">
        <v>95</v>
      </c>
      <c r="F176" s="22" t="s">
        <v>3076</v>
      </c>
      <c r="G176" s="22">
        <f>VLOOKUP($C176,[1]Metadata!$B$1:$O$557,9,FALSE)</f>
        <v>1</v>
      </c>
    </row>
    <row r="177" spans="1:7" x14ac:dyDescent="0.2">
      <c r="A177" s="27" t="s">
        <v>557</v>
      </c>
      <c r="B177" s="27" t="s">
        <v>3222</v>
      </c>
      <c r="C177" s="22" t="s">
        <v>414</v>
      </c>
      <c r="D177" s="22" t="s">
        <v>415</v>
      </c>
      <c r="E177" s="22" t="s">
        <v>89</v>
      </c>
      <c r="F177" s="22" t="s">
        <v>52</v>
      </c>
      <c r="G177" s="22">
        <f>VLOOKUP($C177,[1]Metadata!$B$1:$O$557,9,FALSE)</f>
        <v>1</v>
      </c>
    </row>
    <row r="178" spans="1:7" x14ac:dyDescent="0.2">
      <c r="A178" s="27" t="s">
        <v>557</v>
      </c>
      <c r="B178" s="27" t="s">
        <v>3222</v>
      </c>
      <c r="C178" s="22" t="s">
        <v>416</v>
      </c>
      <c r="D178" s="22" t="s">
        <v>417</v>
      </c>
      <c r="E178" s="22" t="s">
        <v>95</v>
      </c>
      <c r="F178" s="22" t="s">
        <v>52</v>
      </c>
      <c r="G178" s="22">
        <f>VLOOKUP($C178,[1]Metadata!$B$1:$O$557,9,FALSE)</f>
        <v>1</v>
      </c>
    </row>
    <row r="179" spans="1:7" x14ac:dyDescent="0.2">
      <c r="A179" s="27" t="s">
        <v>557</v>
      </c>
      <c r="B179" s="27" t="s">
        <v>3222</v>
      </c>
      <c r="C179" s="22" t="s">
        <v>418</v>
      </c>
      <c r="D179" s="22" t="s">
        <v>419</v>
      </c>
      <c r="E179" s="22" t="s">
        <v>89</v>
      </c>
      <c r="F179" s="22" t="s">
        <v>52</v>
      </c>
      <c r="G179" s="22">
        <f>VLOOKUP($C179,[1]Metadata!$B$1:$O$557,9,FALSE)</f>
        <v>1</v>
      </c>
    </row>
    <row r="180" spans="1:7" x14ac:dyDescent="0.2">
      <c r="A180" s="27" t="s">
        <v>557</v>
      </c>
      <c r="B180" s="27" t="s">
        <v>3222</v>
      </c>
      <c r="C180" s="22" t="s">
        <v>420</v>
      </c>
      <c r="D180" s="22" t="s">
        <v>421</v>
      </c>
      <c r="E180" s="22" t="s">
        <v>95</v>
      </c>
      <c r="F180" s="22" t="s">
        <v>52</v>
      </c>
      <c r="G180" s="22">
        <f>VLOOKUP($C180,[1]Metadata!$B$1:$O$557,9,FALSE)</f>
        <v>1</v>
      </c>
    </row>
    <row r="181" spans="1:7" x14ac:dyDescent="0.2">
      <c r="A181" s="27" t="s">
        <v>557</v>
      </c>
      <c r="B181" s="27" t="s">
        <v>3222</v>
      </c>
      <c r="C181" s="22" t="s">
        <v>422</v>
      </c>
      <c r="D181" s="22" t="s">
        <v>423</v>
      </c>
      <c r="E181" s="22" t="s">
        <v>89</v>
      </c>
      <c r="F181" s="22" t="s">
        <v>3076</v>
      </c>
      <c r="G181" s="22">
        <f>VLOOKUP($C181,[1]Metadata!$B$1:$O$557,9,FALSE)</f>
        <v>0</v>
      </c>
    </row>
    <row r="182" spans="1:7" x14ac:dyDescent="0.2">
      <c r="A182" s="27" t="s">
        <v>557</v>
      </c>
      <c r="B182" s="27" t="s">
        <v>3222</v>
      </c>
      <c r="C182" s="22" t="s">
        <v>424</v>
      </c>
      <c r="D182" s="22" t="s">
        <v>425</v>
      </c>
      <c r="E182" s="22" t="s">
        <v>89</v>
      </c>
      <c r="F182" s="22" t="s">
        <v>52</v>
      </c>
      <c r="G182" s="22">
        <f>VLOOKUP($C182,[1]Metadata!$B$1:$O$557,9,FALSE)</f>
        <v>1</v>
      </c>
    </row>
    <row r="183" spans="1:7" x14ac:dyDescent="0.2">
      <c r="A183" s="27" t="s">
        <v>557</v>
      </c>
      <c r="B183" s="27" t="s">
        <v>3222</v>
      </c>
      <c r="C183" s="22" t="s">
        <v>426</v>
      </c>
      <c r="D183" s="22" t="s">
        <v>425</v>
      </c>
      <c r="E183" s="22" t="s">
        <v>89</v>
      </c>
      <c r="F183" s="22" t="s">
        <v>52</v>
      </c>
      <c r="G183" s="22">
        <f>VLOOKUP($C183,[1]Metadata!$B$1:$O$557,9,FALSE)</f>
        <v>1</v>
      </c>
    </row>
    <row r="184" spans="1:7" x14ac:dyDescent="0.2">
      <c r="A184" s="27" t="s">
        <v>557</v>
      </c>
      <c r="B184" s="27" t="s">
        <v>3222</v>
      </c>
      <c r="C184" s="22" t="s">
        <v>427</v>
      </c>
      <c r="D184" s="22" t="s">
        <v>425</v>
      </c>
      <c r="E184" s="22" t="s">
        <v>89</v>
      </c>
      <c r="F184" s="22" t="s">
        <v>52</v>
      </c>
      <c r="G184" s="22">
        <f>VLOOKUP($C184,[1]Metadata!$B$1:$O$557,9,FALSE)</f>
        <v>1</v>
      </c>
    </row>
    <row r="185" spans="1:7" x14ac:dyDescent="0.2">
      <c r="A185" s="27" t="s">
        <v>557</v>
      </c>
      <c r="B185" s="27" t="s">
        <v>3222</v>
      </c>
      <c r="C185" s="22" t="s">
        <v>428</v>
      </c>
      <c r="D185" s="22" t="s">
        <v>425</v>
      </c>
      <c r="E185" s="22" t="s">
        <v>89</v>
      </c>
      <c r="F185" s="22" t="s">
        <v>52</v>
      </c>
      <c r="G185" s="22">
        <f>VLOOKUP($C185,[1]Metadata!$B$1:$O$557,9,FALSE)</f>
        <v>1</v>
      </c>
    </row>
    <row r="186" spans="1:7" x14ac:dyDescent="0.2">
      <c r="A186" s="27" t="s">
        <v>557</v>
      </c>
      <c r="B186" s="27" t="s">
        <v>3222</v>
      </c>
      <c r="C186" s="22" t="s">
        <v>429</v>
      </c>
      <c r="D186" s="22" t="s">
        <v>425</v>
      </c>
      <c r="E186" s="22" t="s">
        <v>89</v>
      </c>
      <c r="F186" s="22" t="s">
        <v>52</v>
      </c>
      <c r="G186" s="22">
        <f>VLOOKUP($C186,[1]Metadata!$B$1:$O$557,9,FALSE)</f>
        <v>1</v>
      </c>
    </row>
    <row r="187" spans="1:7" x14ac:dyDescent="0.2">
      <c r="A187" s="27" t="s">
        <v>557</v>
      </c>
      <c r="B187" s="27" t="s">
        <v>3222</v>
      </c>
      <c r="C187" s="22" t="s">
        <v>430</v>
      </c>
      <c r="D187" s="22" t="s">
        <v>425</v>
      </c>
      <c r="E187" s="22" t="s">
        <v>89</v>
      </c>
      <c r="F187" s="22" t="s">
        <v>52</v>
      </c>
      <c r="G187" s="22">
        <f>VLOOKUP($C187,[1]Metadata!$B$1:$O$557,9,FALSE)</f>
        <v>1</v>
      </c>
    </row>
    <row r="188" spans="1:7" x14ac:dyDescent="0.2">
      <c r="A188" s="27" t="s">
        <v>557</v>
      </c>
      <c r="B188" s="27" t="s">
        <v>3222</v>
      </c>
      <c r="C188" s="22" t="s">
        <v>431</v>
      </c>
      <c r="D188" s="22" t="s">
        <v>425</v>
      </c>
      <c r="E188" s="22" t="s">
        <v>89</v>
      </c>
      <c r="F188" s="22" t="s">
        <v>52</v>
      </c>
      <c r="G188" s="22">
        <f>VLOOKUP($C188,[1]Metadata!$B$1:$O$557,9,FALSE)</f>
        <v>1</v>
      </c>
    </row>
    <row r="189" spans="1:7" x14ac:dyDescent="0.2">
      <c r="A189" s="27" t="s">
        <v>557</v>
      </c>
      <c r="B189" s="27" t="s">
        <v>3222</v>
      </c>
      <c r="C189" s="22" t="s">
        <v>432</v>
      </c>
      <c r="D189" s="22" t="s">
        <v>425</v>
      </c>
      <c r="E189" s="22" t="s">
        <v>89</v>
      </c>
      <c r="F189" s="22" t="s">
        <v>52</v>
      </c>
      <c r="G189" s="22">
        <f>VLOOKUP($C189,[1]Metadata!$B$1:$O$557,9,FALSE)</f>
        <v>1</v>
      </c>
    </row>
    <row r="190" spans="1:7" x14ac:dyDescent="0.2">
      <c r="A190" s="27" t="s">
        <v>557</v>
      </c>
      <c r="B190" s="27" t="s">
        <v>3222</v>
      </c>
      <c r="C190" s="22" t="s">
        <v>433</v>
      </c>
      <c r="D190" s="22" t="s">
        <v>425</v>
      </c>
      <c r="E190" s="22" t="s">
        <v>89</v>
      </c>
      <c r="F190" s="22" t="s">
        <v>52</v>
      </c>
      <c r="G190" s="22">
        <f>VLOOKUP($C190,[1]Metadata!$B$1:$O$557,9,FALSE)</f>
        <v>1</v>
      </c>
    </row>
    <row r="191" spans="1:7" x14ac:dyDescent="0.2">
      <c r="A191" s="27" t="s">
        <v>557</v>
      </c>
      <c r="B191" s="27" t="s">
        <v>3222</v>
      </c>
      <c r="C191" s="22" t="s">
        <v>434</v>
      </c>
      <c r="D191" s="22" t="s">
        <v>425</v>
      </c>
      <c r="E191" s="22" t="s">
        <v>89</v>
      </c>
      <c r="F191" s="22" t="s">
        <v>52</v>
      </c>
      <c r="G191" s="22">
        <f>VLOOKUP($C191,[1]Metadata!$B$1:$O$557,9,FALSE)</f>
        <v>1</v>
      </c>
    </row>
    <row r="192" spans="1:7" x14ac:dyDescent="0.2">
      <c r="A192" s="27" t="s">
        <v>557</v>
      </c>
      <c r="B192" s="27" t="s">
        <v>3222</v>
      </c>
      <c r="C192" s="22" t="s">
        <v>435</v>
      </c>
      <c r="D192" s="22" t="s">
        <v>425</v>
      </c>
      <c r="E192" s="22" t="s">
        <v>89</v>
      </c>
      <c r="F192" s="22" t="s">
        <v>52</v>
      </c>
      <c r="G192" s="22">
        <f>VLOOKUP($C192,[1]Metadata!$B$1:$O$557,9,FALSE)</f>
        <v>1</v>
      </c>
    </row>
    <row r="193" spans="1:7" x14ac:dyDescent="0.2">
      <c r="A193" s="27" t="s">
        <v>557</v>
      </c>
      <c r="B193" s="27" t="s">
        <v>3222</v>
      </c>
      <c r="C193" s="22" t="s">
        <v>436</v>
      </c>
      <c r="D193" s="22" t="s">
        <v>425</v>
      </c>
      <c r="E193" s="22" t="s">
        <v>89</v>
      </c>
      <c r="F193" s="22" t="s">
        <v>52</v>
      </c>
      <c r="G193" s="22">
        <f>VLOOKUP($C193,[1]Metadata!$B$1:$O$557,9,FALSE)</f>
        <v>1</v>
      </c>
    </row>
    <row r="194" spans="1:7" x14ac:dyDescent="0.2">
      <c r="A194" s="27" t="s">
        <v>557</v>
      </c>
      <c r="B194" s="27" t="s">
        <v>3222</v>
      </c>
      <c r="C194" s="22" t="s">
        <v>437</v>
      </c>
      <c r="D194" s="22" t="s">
        <v>438</v>
      </c>
      <c r="E194" s="22" t="s">
        <v>89</v>
      </c>
      <c r="F194" s="22" t="s">
        <v>52</v>
      </c>
      <c r="G194" s="22">
        <f>VLOOKUP($C194,[1]Metadata!$B$1:$O$557,9,FALSE)</f>
        <v>1</v>
      </c>
    </row>
    <row r="195" spans="1:7" x14ac:dyDescent="0.2">
      <c r="A195" s="27" t="s">
        <v>557</v>
      </c>
      <c r="B195" s="27" t="s">
        <v>3222</v>
      </c>
      <c r="C195" s="22" t="s">
        <v>439</v>
      </c>
      <c r="D195" s="22" t="s">
        <v>438</v>
      </c>
      <c r="E195" s="22" t="s">
        <v>89</v>
      </c>
      <c r="F195" s="22" t="s">
        <v>52</v>
      </c>
      <c r="G195" s="22">
        <f>VLOOKUP($C195,[1]Metadata!$B$1:$O$557,9,FALSE)</f>
        <v>1</v>
      </c>
    </row>
    <row r="196" spans="1:7" x14ac:dyDescent="0.2">
      <c r="A196" s="27" t="s">
        <v>557</v>
      </c>
      <c r="B196" s="27" t="s">
        <v>3222</v>
      </c>
      <c r="C196" s="22" t="s">
        <v>440</v>
      </c>
      <c r="D196" s="22" t="s">
        <v>441</v>
      </c>
      <c r="E196" s="22" t="s">
        <v>89</v>
      </c>
      <c r="F196" s="22" t="s">
        <v>52</v>
      </c>
      <c r="G196" s="22">
        <f>VLOOKUP($C196,[1]Metadata!$B$1:$O$557,9,FALSE)</f>
        <v>1</v>
      </c>
    </row>
    <row r="197" spans="1:7" x14ac:dyDescent="0.2">
      <c r="A197" s="27" t="s">
        <v>557</v>
      </c>
      <c r="B197" s="27" t="s">
        <v>3222</v>
      </c>
      <c r="C197" s="22" t="s">
        <v>442</v>
      </c>
      <c r="D197" s="22" t="s">
        <v>443</v>
      </c>
      <c r="E197" s="22" t="s">
        <v>89</v>
      </c>
      <c r="F197" s="22" t="s">
        <v>52</v>
      </c>
      <c r="G197" s="22">
        <f>VLOOKUP($C197,[1]Metadata!$B$1:$O$557,9,FALSE)</f>
        <v>1</v>
      </c>
    </row>
    <row r="198" spans="1:7" x14ac:dyDescent="0.2">
      <c r="A198" s="27" t="s">
        <v>557</v>
      </c>
      <c r="B198" s="27" t="s">
        <v>3222</v>
      </c>
      <c r="C198" s="22" t="s">
        <v>444</v>
      </c>
      <c r="D198" s="22" t="s">
        <v>445</v>
      </c>
      <c r="E198" s="22" t="s">
        <v>89</v>
      </c>
      <c r="F198" s="22" t="s">
        <v>52</v>
      </c>
      <c r="G198" s="22">
        <f>VLOOKUP($C198,[1]Metadata!$B$1:$O$557,9,FALSE)</f>
        <v>1</v>
      </c>
    </row>
    <row r="199" spans="1:7" x14ac:dyDescent="0.2">
      <c r="A199" s="27" t="s">
        <v>557</v>
      </c>
      <c r="B199" s="27" t="s">
        <v>3222</v>
      </c>
      <c r="C199" s="22" t="s">
        <v>446</v>
      </c>
      <c r="D199" s="22" t="s">
        <v>447</v>
      </c>
      <c r="E199" s="22" t="s">
        <v>89</v>
      </c>
      <c r="F199" s="22" t="s">
        <v>47</v>
      </c>
      <c r="G199" s="22">
        <v>1</v>
      </c>
    </row>
    <row r="200" spans="1:7" x14ac:dyDescent="0.2">
      <c r="A200" s="27" t="s">
        <v>557</v>
      </c>
      <c r="B200" s="27" t="s">
        <v>3222</v>
      </c>
      <c r="C200" s="22" t="s">
        <v>448</v>
      </c>
      <c r="D200" s="22" t="s">
        <v>449</v>
      </c>
      <c r="E200" s="22" t="s">
        <v>89</v>
      </c>
      <c r="F200" s="22" t="s">
        <v>52</v>
      </c>
      <c r="G200" s="22">
        <f>VLOOKUP($C200,[1]Metadata!$B$1:$O$557,9,FALSE)</f>
        <v>1</v>
      </c>
    </row>
    <row r="201" spans="1:7" x14ac:dyDescent="0.2">
      <c r="A201" s="27" t="s">
        <v>557</v>
      </c>
      <c r="B201" s="27" t="s">
        <v>3222</v>
      </c>
      <c r="C201" s="22" t="s">
        <v>450</v>
      </c>
      <c r="D201" s="22" t="s">
        <v>451</v>
      </c>
      <c r="E201" s="22" t="s">
        <v>89</v>
      </c>
      <c r="F201" s="22" t="s">
        <v>52</v>
      </c>
      <c r="G201" s="22">
        <f>VLOOKUP($C201,[1]Metadata!$B$1:$O$557,9,FALSE)</f>
        <v>1</v>
      </c>
    </row>
    <row r="202" spans="1:7" x14ac:dyDescent="0.2">
      <c r="A202" s="27" t="s">
        <v>557</v>
      </c>
      <c r="B202" s="27" t="s">
        <v>3222</v>
      </c>
      <c r="C202" s="22" t="s">
        <v>452</v>
      </c>
      <c r="D202" s="22" t="s">
        <v>453</v>
      </c>
      <c r="E202" s="22" t="s">
        <v>89</v>
      </c>
      <c r="F202" s="22" t="s">
        <v>52</v>
      </c>
      <c r="G202" s="22">
        <f>VLOOKUP($C202,[1]Metadata!$B$1:$O$557,9,FALSE)</f>
        <v>1</v>
      </c>
    </row>
    <row r="203" spans="1:7" x14ac:dyDescent="0.2">
      <c r="A203" s="27" t="s">
        <v>557</v>
      </c>
      <c r="B203" s="27" t="s">
        <v>3222</v>
      </c>
      <c r="C203" s="22" t="s">
        <v>454</v>
      </c>
      <c r="D203" s="22" t="s">
        <v>455</v>
      </c>
      <c r="E203" s="22" t="s">
        <v>89</v>
      </c>
      <c r="F203" s="22" t="s">
        <v>52</v>
      </c>
      <c r="G203" s="22">
        <f>VLOOKUP($C203,[1]Metadata!$B$1:$O$557,9,FALSE)</f>
        <v>1</v>
      </c>
    </row>
    <row r="204" spans="1:7" x14ac:dyDescent="0.2">
      <c r="A204" s="27" t="s">
        <v>557</v>
      </c>
      <c r="B204" s="27" t="s">
        <v>3222</v>
      </c>
      <c r="C204" s="22" t="s">
        <v>456</v>
      </c>
      <c r="D204" s="22" t="s">
        <v>457</v>
      </c>
      <c r="E204" s="22" t="s">
        <v>89</v>
      </c>
      <c r="F204" s="22" t="s">
        <v>3076</v>
      </c>
      <c r="G204" s="22">
        <v>0</v>
      </c>
    </row>
    <row r="205" spans="1:7" x14ac:dyDescent="0.2">
      <c r="A205" s="27" t="s">
        <v>557</v>
      </c>
      <c r="B205" s="27" t="s">
        <v>3222</v>
      </c>
      <c r="C205" s="22" t="s">
        <v>458</v>
      </c>
      <c r="D205" s="22" t="s">
        <v>459</v>
      </c>
      <c r="E205" s="22" t="s">
        <v>95</v>
      </c>
      <c r="F205" s="22" t="s">
        <v>52</v>
      </c>
      <c r="G205" s="22">
        <f>VLOOKUP($C205,[1]Metadata!$B$1:$O$557,9,FALSE)</f>
        <v>0</v>
      </c>
    </row>
    <row r="206" spans="1:7" x14ac:dyDescent="0.2">
      <c r="A206" s="27" t="s">
        <v>557</v>
      </c>
      <c r="B206" s="27" t="s">
        <v>3222</v>
      </c>
      <c r="C206" s="22" t="s">
        <v>460</v>
      </c>
      <c r="D206" s="22" t="s">
        <v>461</v>
      </c>
      <c r="E206" s="22" t="s">
        <v>95</v>
      </c>
      <c r="F206" s="22" t="s">
        <v>52</v>
      </c>
      <c r="G206" s="22">
        <f>VLOOKUP($C206,[1]Metadata!$B$1:$O$557,9,FALSE)</f>
        <v>0</v>
      </c>
    </row>
    <row r="207" spans="1:7" x14ac:dyDescent="0.2">
      <c r="A207" s="27" t="s">
        <v>557</v>
      </c>
      <c r="B207" s="27" t="s">
        <v>3222</v>
      </c>
      <c r="C207" s="22" t="s">
        <v>462</v>
      </c>
      <c r="D207" s="22" t="s">
        <v>463</v>
      </c>
      <c r="E207" s="22" t="s">
        <v>95</v>
      </c>
      <c r="F207" s="22" t="s">
        <v>52</v>
      </c>
      <c r="G207" s="22">
        <f>VLOOKUP($C207,[1]Metadata!$B$1:$O$557,9,FALSE)</f>
        <v>1</v>
      </c>
    </row>
    <row r="208" spans="1:7" x14ac:dyDescent="0.2">
      <c r="A208" s="27" t="s">
        <v>557</v>
      </c>
      <c r="B208" s="27" t="s">
        <v>3222</v>
      </c>
      <c r="C208" s="22" t="s">
        <v>464</v>
      </c>
      <c r="D208" s="22" t="s">
        <v>465</v>
      </c>
      <c r="E208" s="22" t="s">
        <v>89</v>
      </c>
      <c r="F208" s="22" t="s">
        <v>52</v>
      </c>
      <c r="G208" s="22">
        <f>VLOOKUP($C208,[1]Metadata!$B$1:$O$557,9,FALSE)</f>
        <v>1</v>
      </c>
    </row>
    <row r="209" spans="1:7" x14ac:dyDescent="0.2">
      <c r="A209" s="27" t="s">
        <v>557</v>
      </c>
      <c r="B209" s="27" t="s">
        <v>3222</v>
      </c>
      <c r="C209" s="22" t="s">
        <v>466</v>
      </c>
      <c r="D209" s="22" t="s">
        <v>467</v>
      </c>
      <c r="E209" s="22" t="s">
        <v>89</v>
      </c>
      <c r="F209" s="22" t="s">
        <v>52</v>
      </c>
      <c r="G209" s="22">
        <f>VLOOKUP($C209,[1]Metadata!$B$1:$O$557,9,FALSE)</f>
        <v>1</v>
      </c>
    </row>
    <row r="210" spans="1:7" x14ac:dyDescent="0.2">
      <c r="A210" s="27" t="s">
        <v>557</v>
      </c>
      <c r="B210" s="27" t="s">
        <v>3222</v>
      </c>
      <c r="C210" s="22" t="s">
        <v>468</v>
      </c>
      <c r="D210" s="22" t="s">
        <v>469</v>
      </c>
      <c r="E210" s="22" t="s">
        <v>95</v>
      </c>
      <c r="F210" s="22" t="s">
        <v>3076</v>
      </c>
      <c r="G210" s="22">
        <v>1</v>
      </c>
    </row>
    <row r="211" spans="1:7" x14ac:dyDescent="0.2">
      <c r="A211" s="27" t="s">
        <v>557</v>
      </c>
      <c r="B211" s="27" t="s">
        <v>3222</v>
      </c>
      <c r="C211" s="22" t="s">
        <v>470</v>
      </c>
      <c r="D211" s="22" t="s">
        <v>471</v>
      </c>
      <c r="E211" s="22" t="s">
        <v>95</v>
      </c>
      <c r="F211" s="22" t="s">
        <v>3076</v>
      </c>
      <c r="G211" s="22">
        <f>VLOOKUP($C211,[1]Metadata!$B$1:$O$557,9,FALSE)</f>
        <v>0</v>
      </c>
    </row>
    <row r="212" spans="1:7" x14ac:dyDescent="0.2">
      <c r="A212" s="27" t="s">
        <v>557</v>
      </c>
      <c r="B212" s="27" t="s">
        <v>3222</v>
      </c>
      <c r="C212" s="22" t="s">
        <v>472</v>
      </c>
      <c r="D212" s="22" t="s">
        <v>473</v>
      </c>
      <c r="E212" s="22" t="s">
        <v>95</v>
      </c>
      <c r="F212" s="22" t="s">
        <v>52</v>
      </c>
      <c r="G212" s="22">
        <f>VLOOKUP($C212,[1]Metadata!$B$1:$O$557,9,FALSE)</f>
        <v>1</v>
      </c>
    </row>
    <row r="213" spans="1:7" x14ac:dyDescent="0.2">
      <c r="A213" s="27" t="s">
        <v>557</v>
      </c>
      <c r="B213" s="27" t="s">
        <v>3222</v>
      </c>
      <c r="C213" s="22" t="s">
        <v>474</v>
      </c>
      <c r="D213" s="22" t="s">
        <v>473</v>
      </c>
      <c r="E213" s="22" t="s">
        <v>89</v>
      </c>
      <c r="F213" s="22" t="s">
        <v>52</v>
      </c>
      <c r="G213" s="22">
        <f>VLOOKUP($C213,[1]Metadata!$B$1:$O$557,9,FALSE)</f>
        <v>1</v>
      </c>
    </row>
    <row r="214" spans="1:7" x14ac:dyDescent="0.2">
      <c r="A214" s="27" t="s">
        <v>557</v>
      </c>
      <c r="B214" s="27" t="s">
        <v>3222</v>
      </c>
      <c r="C214" s="22" t="s">
        <v>475</v>
      </c>
      <c r="D214" s="22" t="s">
        <v>476</v>
      </c>
      <c r="E214" s="22" t="s">
        <v>89</v>
      </c>
      <c r="F214" s="22" t="s">
        <v>52</v>
      </c>
      <c r="G214" s="22">
        <f>VLOOKUP($C214,[1]Metadata!$B$1:$O$557,9,FALSE)</f>
        <v>1</v>
      </c>
    </row>
    <row r="215" spans="1:7" x14ac:dyDescent="0.2">
      <c r="A215" s="27" t="s">
        <v>557</v>
      </c>
      <c r="B215" s="27" t="s">
        <v>3222</v>
      </c>
      <c r="C215" s="22" t="s">
        <v>477</v>
      </c>
      <c r="D215" s="22" t="s">
        <v>478</v>
      </c>
      <c r="E215" s="22" t="s">
        <v>89</v>
      </c>
      <c r="F215" s="22" t="s">
        <v>52</v>
      </c>
      <c r="G215" s="22">
        <f>VLOOKUP($C215,[1]Metadata!$B$1:$O$557,9,FALSE)</f>
        <v>1</v>
      </c>
    </row>
    <row r="216" spans="1:7" x14ac:dyDescent="0.2">
      <c r="A216" s="27" t="s">
        <v>557</v>
      </c>
      <c r="B216" s="27" t="s">
        <v>3222</v>
      </c>
      <c r="C216" s="22" t="s">
        <v>479</v>
      </c>
      <c r="D216" s="22" t="s">
        <v>3619</v>
      </c>
      <c r="E216" s="22" t="s">
        <v>95</v>
      </c>
      <c r="F216" s="22" t="s">
        <v>3076</v>
      </c>
      <c r="G216" s="22">
        <f>VLOOKUP($C216,[1]Metadata!$B$1:$O$557,9,FALSE)</f>
        <v>1</v>
      </c>
    </row>
    <row r="217" spans="1:7" x14ac:dyDescent="0.2">
      <c r="A217" s="27" t="s">
        <v>557</v>
      </c>
      <c r="B217" s="27" t="s">
        <v>3222</v>
      </c>
      <c r="C217" s="22" t="s">
        <v>480</v>
      </c>
      <c r="D217" s="22" t="s">
        <v>3620</v>
      </c>
      <c r="E217" s="22" t="s">
        <v>95</v>
      </c>
      <c r="F217" s="22" t="s">
        <v>3076</v>
      </c>
      <c r="G217" s="22">
        <f>VLOOKUP($C217,[1]Metadata!$B$1:$O$557,9,FALSE)</f>
        <v>1</v>
      </c>
    </row>
    <row r="218" spans="1:7" x14ac:dyDescent="0.2">
      <c r="A218" s="27" t="s">
        <v>557</v>
      </c>
      <c r="B218" s="27" t="s">
        <v>3222</v>
      </c>
      <c r="C218" s="22" t="s">
        <v>481</v>
      </c>
      <c r="D218" s="22" t="s">
        <v>482</v>
      </c>
      <c r="E218" s="22" t="s">
        <v>89</v>
      </c>
      <c r="F218" s="22" t="s">
        <v>52</v>
      </c>
      <c r="G218" s="22">
        <f>VLOOKUP($C218,[1]Metadata!$B$1:$O$557,9,FALSE)</f>
        <v>1</v>
      </c>
    </row>
    <row r="219" spans="1:7" x14ac:dyDescent="0.2">
      <c r="A219" s="27" t="s">
        <v>557</v>
      </c>
      <c r="B219" s="27" t="s">
        <v>3222</v>
      </c>
      <c r="C219" s="22" t="s">
        <v>483</v>
      </c>
      <c r="D219" s="22" t="s">
        <v>484</v>
      </c>
      <c r="E219" s="22" t="s">
        <v>95</v>
      </c>
      <c r="F219" s="22" t="s">
        <v>52</v>
      </c>
      <c r="G219" s="22">
        <f>VLOOKUP($C219,[1]Metadata!$B$1:$O$557,9,FALSE)</f>
        <v>1</v>
      </c>
    </row>
    <row r="220" spans="1:7" x14ac:dyDescent="0.2">
      <c r="A220" s="27" t="s">
        <v>557</v>
      </c>
      <c r="B220" s="27" t="s">
        <v>3222</v>
      </c>
      <c r="C220" s="22" t="s">
        <v>485</v>
      </c>
      <c r="D220" s="22" t="s">
        <v>486</v>
      </c>
      <c r="E220" s="22" t="s">
        <v>95</v>
      </c>
      <c r="F220" s="22" t="s">
        <v>52</v>
      </c>
      <c r="G220" s="22">
        <f>VLOOKUP($C220,[1]Metadata!$B$1:$O$557,9,FALSE)</f>
        <v>1</v>
      </c>
    </row>
    <row r="221" spans="1:7" x14ac:dyDescent="0.2">
      <c r="A221" s="27" t="s">
        <v>557</v>
      </c>
      <c r="B221" s="27" t="s">
        <v>3222</v>
      </c>
      <c r="C221" s="22" t="s">
        <v>487</v>
      </c>
      <c r="D221" s="22" t="s">
        <v>488</v>
      </c>
      <c r="E221" s="22" t="s">
        <v>89</v>
      </c>
      <c r="F221" s="22" t="s">
        <v>52</v>
      </c>
      <c r="G221" s="22">
        <f>VLOOKUP($C221,[1]Metadata!$B$1:$O$557,9,FALSE)</f>
        <v>1</v>
      </c>
    </row>
    <row r="222" spans="1:7" x14ac:dyDescent="0.2">
      <c r="A222" s="27" t="s">
        <v>557</v>
      </c>
      <c r="B222" s="27" t="s">
        <v>3222</v>
      </c>
      <c r="C222" s="22" t="s">
        <v>489</v>
      </c>
      <c r="D222" s="22" t="s">
        <v>490</v>
      </c>
      <c r="E222" s="22" t="s">
        <v>95</v>
      </c>
      <c r="F222" s="22" t="s">
        <v>52</v>
      </c>
      <c r="G222" s="22">
        <f>VLOOKUP($C222,[1]Metadata!$B$1:$O$557,9,FALSE)</f>
        <v>0</v>
      </c>
    </row>
    <row r="223" spans="1:7" x14ac:dyDescent="0.2">
      <c r="A223" s="27" t="s">
        <v>557</v>
      </c>
      <c r="B223" s="27" t="s">
        <v>3222</v>
      </c>
      <c r="C223" s="22" t="s">
        <v>491</v>
      </c>
      <c r="D223" s="22" t="s">
        <v>492</v>
      </c>
      <c r="E223" s="22" t="s">
        <v>95</v>
      </c>
      <c r="F223" s="22" t="s">
        <v>52</v>
      </c>
      <c r="G223" s="22">
        <f>VLOOKUP($C223,[1]Metadata!$B$1:$O$557,9,FALSE)</f>
        <v>0</v>
      </c>
    </row>
    <row r="224" spans="1:7" x14ac:dyDescent="0.2">
      <c r="A224" s="27" t="s">
        <v>557</v>
      </c>
      <c r="B224" s="27" t="s">
        <v>3222</v>
      </c>
      <c r="C224" s="22" t="s">
        <v>493</v>
      </c>
      <c r="D224" s="22" t="s">
        <v>494</v>
      </c>
      <c r="E224" s="22" t="s">
        <v>95</v>
      </c>
      <c r="F224" s="22" t="s">
        <v>3076</v>
      </c>
      <c r="G224" s="22">
        <f>VLOOKUP($C224,[1]Metadata!$B$1:$O$557,9,FALSE)</f>
        <v>1</v>
      </c>
    </row>
    <row r="225" spans="1:7" x14ac:dyDescent="0.2">
      <c r="A225" s="27" t="s">
        <v>557</v>
      </c>
      <c r="B225" s="27" t="s">
        <v>3222</v>
      </c>
      <c r="C225" s="22" t="s">
        <v>495</v>
      </c>
      <c r="D225" s="22" t="s">
        <v>496</v>
      </c>
      <c r="E225" s="22" t="s">
        <v>89</v>
      </c>
      <c r="F225" s="22" t="s">
        <v>52</v>
      </c>
      <c r="G225" s="22">
        <f>VLOOKUP($C225,[1]Metadata!$B$1:$O$557,9,FALSE)</f>
        <v>1</v>
      </c>
    </row>
    <row r="226" spans="1:7" x14ac:dyDescent="0.2">
      <c r="A226" s="27" t="s">
        <v>557</v>
      </c>
      <c r="B226" s="27" t="s">
        <v>3222</v>
      </c>
      <c r="C226" s="22" t="s">
        <v>497</v>
      </c>
      <c r="D226" s="22" t="s">
        <v>498</v>
      </c>
      <c r="E226" s="22" t="s">
        <v>95</v>
      </c>
      <c r="F226" s="22" t="s">
        <v>52</v>
      </c>
      <c r="G226" s="22">
        <f>VLOOKUP($C226,[1]Metadata!$B$1:$O$557,9,FALSE)</f>
        <v>1</v>
      </c>
    </row>
    <row r="227" spans="1:7" x14ac:dyDescent="0.2">
      <c r="A227" s="27" t="s">
        <v>557</v>
      </c>
      <c r="B227" s="27" t="s">
        <v>3222</v>
      </c>
      <c r="C227" s="22" t="s">
        <v>499</v>
      </c>
      <c r="D227" s="22" t="s">
        <v>500</v>
      </c>
      <c r="E227" s="22" t="s">
        <v>89</v>
      </c>
      <c r="F227" s="22" t="s">
        <v>52</v>
      </c>
      <c r="G227" s="22">
        <f>VLOOKUP($C227,[1]Metadata!$B$1:$O$557,9,FALSE)</f>
        <v>1</v>
      </c>
    </row>
    <row r="228" spans="1:7" x14ac:dyDescent="0.2">
      <c r="A228" s="27" t="s">
        <v>557</v>
      </c>
      <c r="B228" s="27" t="s">
        <v>3222</v>
      </c>
      <c r="C228" s="22" t="s">
        <v>501</v>
      </c>
      <c r="D228" s="22" t="s">
        <v>502</v>
      </c>
      <c r="E228" s="22" t="s">
        <v>89</v>
      </c>
      <c r="F228" s="22" t="s">
        <v>52</v>
      </c>
      <c r="G228" s="22">
        <f>VLOOKUP($C228,[1]Metadata!$B$1:$O$557,9,FALSE)</f>
        <v>1</v>
      </c>
    </row>
    <row r="229" spans="1:7" x14ac:dyDescent="0.2">
      <c r="A229" s="27" t="s">
        <v>557</v>
      </c>
      <c r="B229" s="27" t="s">
        <v>3222</v>
      </c>
      <c r="C229" s="22" t="s">
        <v>503</v>
      </c>
      <c r="D229" s="22" t="s">
        <v>504</v>
      </c>
      <c r="E229" s="22" t="s">
        <v>89</v>
      </c>
      <c r="F229" s="22" t="s">
        <v>52</v>
      </c>
      <c r="G229" s="22">
        <f>VLOOKUP($C229,[1]Metadata!$B$1:$O$557,9,FALSE)</f>
        <v>1</v>
      </c>
    </row>
    <row r="230" spans="1:7" x14ac:dyDescent="0.2">
      <c r="A230" s="27" t="s">
        <v>557</v>
      </c>
      <c r="B230" s="27" t="s">
        <v>3222</v>
      </c>
      <c r="C230" s="22" t="s">
        <v>505</v>
      </c>
      <c r="D230" s="22" t="s">
        <v>506</v>
      </c>
      <c r="E230" s="22" t="s">
        <v>95</v>
      </c>
      <c r="F230" s="22" t="s">
        <v>3076</v>
      </c>
      <c r="G230" s="22">
        <f>VLOOKUP($C230,[1]Metadata!$B$1:$O$557,9,FALSE)</f>
        <v>1</v>
      </c>
    </row>
    <row r="231" spans="1:7" x14ac:dyDescent="0.2">
      <c r="A231" s="27" t="s">
        <v>557</v>
      </c>
      <c r="B231" s="27" t="s">
        <v>3222</v>
      </c>
      <c r="C231" s="22" t="s">
        <v>507</v>
      </c>
      <c r="D231" s="22" t="s">
        <v>508</v>
      </c>
      <c r="E231" s="22" t="s">
        <v>95</v>
      </c>
      <c r="F231" s="22" t="s">
        <v>3076</v>
      </c>
      <c r="G231" s="22">
        <f>VLOOKUP($C231,[1]Metadata!$B$1:$O$557,9,FALSE)</f>
        <v>0</v>
      </c>
    </row>
    <row r="232" spans="1:7" x14ac:dyDescent="0.2">
      <c r="A232" s="27" t="s">
        <v>557</v>
      </c>
      <c r="B232" s="27" t="s">
        <v>3222</v>
      </c>
      <c r="C232" s="22" t="s">
        <v>509</v>
      </c>
      <c r="D232" s="22" t="s">
        <v>510</v>
      </c>
      <c r="E232" s="22" t="s">
        <v>95</v>
      </c>
      <c r="F232" s="22" t="s">
        <v>3076</v>
      </c>
      <c r="G232" s="22">
        <f>VLOOKUP($C232,[1]Metadata!$B$1:$O$557,9,FALSE)</f>
        <v>1</v>
      </c>
    </row>
    <row r="233" spans="1:7" x14ac:dyDescent="0.2">
      <c r="A233" s="27" t="s">
        <v>557</v>
      </c>
      <c r="B233" s="27" t="s">
        <v>3222</v>
      </c>
      <c r="C233" s="22" t="s">
        <v>511</v>
      </c>
      <c r="D233" s="22" t="s">
        <v>512</v>
      </c>
      <c r="E233" s="22" t="s">
        <v>95</v>
      </c>
      <c r="F233" s="22" t="s">
        <v>52</v>
      </c>
      <c r="G233" s="22">
        <f>VLOOKUP($C233,[1]Metadata!$B$1:$O$557,9,FALSE)</f>
        <v>1</v>
      </c>
    </row>
    <row r="234" spans="1:7" x14ac:dyDescent="0.2">
      <c r="A234" s="27" t="s">
        <v>557</v>
      </c>
      <c r="B234" s="27" t="s">
        <v>3222</v>
      </c>
      <c r="C234" s="22" t="s">
        <v>513</v>
      </c>
      <c r="D234" s="22" t="s">
        <v>514</v>
      </c>
      <c r="E234" s="22" t="s">
        <v>89</v>
      </c>
      <c r="F234" s="22" t="s">
        <v>52</v>
      </c>
      <c r="G234" s="22">
        <f>VLOOKUP($C234,[1]Metadata!$B$1:$O$557,9,FALSE)</f>
        <v>1</v>
      </c>
    </row>
    <row r="235" spans="1:7" x14ac:dyDescent="0.2">
      <c r="A235" s="27" t="s">
        <v>557</v>
      </c>
      <c r="B235" s="27" t="s">
        <v>3222</v>
      </c>
      <c r="C235" s="22" t="s">
        <v>515</v>
      </c>
      <c r="D235" s="22" t="s">
        <v>516</v>
      </c>
      <c r="E235" s="22" t="s">
        <v>89</v>
      </c>
      <c r="F235" s="22" t="s">
        <v>52</v>
      </c>
      <c r="G235" s="22">
        <f>VLOOKUP($C235,[1]Metadata!$B$1:$O$557,9,FALSE)</f>
        <v>1</v>
      </c>
    </row>
    <row r="236" spans="1:7" x14ac:dyDescent="0.2">
      <c r="A236" s="27" t="s">
        <v>557</v>
      </c>
      <c r="B236" s="27" t="s">
        <v>3222</v>
      </c>
      <c r="C236" s="22" t="s">
        <v>517</v>
      </c>
      <c r="D236" s="22" t="s">
        <v>518</v>
      </c>
      <c r="E236" s="22" t="s">
        <v>89</v>
      </c>
      <c r="F236" s="22" t="s">
        <v>52</v>
      </c>
      <c r="G236" s="22">
        <f>VLOOKUP($C236,[1]Metadata!$B$1:$O$557,9,FALSE)</f>
        <v>1</v>
      </c>
    </row>
    <row r="237" spans="1:7" x14ac:dyDescent="0.2">
      <c r="A237" s="27" t="s">
        <v>557</v>
      </c>
      <c r="B237" s="27" t="s">
        <v>3222</v>
      </c>
      <c r="C237" s="22" t="s">
        <v>519</v>
      </c>
      <c r="D237" s="22" t="s">
        <v>520</v>
      </c>
      <c r="E237" s="22" t="s">
        <v>89</v>
      </c>
      <c r="F237" s="22" t="s">
        <v>52</v>
      </c>
      <c r="G237" s="22">
        <f>VLOOKUP($C237,[1]Metadata!$B$1:$O$557,9,FALSE)</f>
        <v>1</v>
      </c>
    </row>
    <row r="238" spans="1:7" x14ac:dyDescent="0.2">
      <c r="A238" s="27" t="s">
        <v>557</v>
      </c>
      <c r="B238" s="27" t="s">
        <v>3222</v>
      </c>
      <c r="C238" s="22" t="s">
        <v>521</v>
      </c>
      <c r="D238" s="22" t="s">
        <v>522</v>
      </c>
      <c r="E238" s="22" t="s">
        <v>89</v>
      </c>
      <c r="F238" s="22" t="s">
        <v>52</v>
      </c>
      <c r="G238" s="22">
        <f>VLOOKUP($C238,[1]Metadata!$B$1:$O$557,9,FALSE)</f>
        <v>1</v>
      </c>
    </row>
    <row r="239" spans="1:7" x14ac:dyDescent="0.2">
      <c r="A239" s="27" t="s">
        <v>557</v>
      </c>
      <c r="B239" s="27" t="s">
        <v>3222</v>
      </c>
      <c r="C239" s="22" t="s">
        <v>523</v>
      </c>
      <c r="D239" s="22" t="s">
        <v>524</v>
      </c>
      <c r="E239" s="22" t="s">
        <v>89</v>
      </c>
      <c r="F239" s="22" t="s">
        <v>52</v>
      </c>
      <c r="G239" s="22">
        <f>VLOOKUP($C239,[1]Metadata!$B$1:$O$557,9,FALSE)</f>
        <v>1</v>
      </c>
    </row>
    <row r="240" spans="1:7" x14ac:dyDescent="0.2">
      <c r="A240" s="27" t="s">
        <v>557</v>
      </c>
      <c r="B240" s="27" t="s">
        <v>3222</v>
      </c>
      <c r="C240" s="22" t="s">
        <v>525</v>
      </c>
      <c r="D240" s="22" t="s">
        <v>526</v>
      </c>
      <c r="E240" s="22" t="s">
        <v>89</v>
      </c>
      <c r="F240" s="22" t="s">
        <v>52</v>
      </c>
      <c r="G240" s="22">
        <v>1</v>
      </c>
    </row>
    <row r="241" spans="1:10" x14ac:dyDescent="0.2">
      <c r="A241" s="27" t="s">
        <v>557</v>
      </c>
      <c r="B241" s="27" t="s">
        <v>3222</v>
      </c>
      <c r="C241" s="22" t="s">
        <v>527</v>
      </c>
      <c r="D241" s="22" t="s">
        <v>528</v>
      </c>
      <c r="E241" s="22" t="s">
        <v>89</v>
      </c>
      <c r="F241" s="22" t="s">
        <v>52</v>
      </c>
      <c r="G241" s="22">
        <f>VLOOKUP($C241,[1]Metadata!$B$1:$O$557,9,FALSE)</f>
        <v>1</v>
      </c>
    </row>
    <row r="242" spans="1:10" x14ac:dyDescent="0.2">
      <c r="A242" s="27" t="s">
        <v>557</v>
      </c>
      <c r="B242" s="27" t="s">
        <v>3222</v>
      </c>
      <c r="C242" s="22" t="s">
        <v>529</v>
      </c>
      <c r="D242" s="22" t="s">
        <v>530</v>
      </c>
      <c r="E242" s="22" t="s">
        <v>89</v>
      </c>
      <c r="F242" s="22" t="s">
        <v>52</v>
      </c>
      <c r="G242" s="22">
        <f>VLOOKUP($C242,[1]Metadata!$B$1:$O$557,9,FALSE)</f>
        <v>1</v>
      </c>
    </row>
    <row r="243" spans="1:10" x14ac:dyDescent="0.2">
      <c r="A243" s="27" t="s">
        <v>557</v>
      </c>
      <c r="B243" s="27" t="s">
        <v>3222</v>
      </c>
      <c r="C243" s="22" t="s">
        <v>531</v>
      </c>
      <c r="D243" s="22" t="s">
        <v>532</v>
      </c>
      <c r="E243" s="22" t="s">
        <v>89</v>
      </c>
      <c r="F243" s="22" t="s">
        <v>52</v>
      </c>
      <c r="G243" s="22">
        <f>VLOOKUP($C243,[1]Metadata!$B$1:$O$557,9,FALSE)</f>
        <v>1</v>
      </c>
    </row>
    <row r="244" spans="1:10" x14ac:dyDescent="0.2">
      <c r="A244" s="27" t="s">
        <v>557</v>
      </c>
      <c r="B244" s="27" t="s">
        <v>3222</v>
      </c>
      <c r="C244" s="22" t="s">
        <v>533</v>
      </c>
      <c r="D244" s="22" t="s">
        <v>534</v>
      </c>
      <c r="E244" s="22" t="s">
        <v>89</v>
      </c>
      <c r="F244" s="22" t="s">
        <v>52</v>
      </c>
      <c r="G244" s="22">
        <f>VLOOKUP($C244,[1]Metadata!$B$1:$O$557,9,FALSE)</f>
        <v>1</v>
      </c>
    </row>
    <row r="245" spans="1:10" x14ac:dyDescent="0.2">
      <c r="A245" s="27" t="s">
        <v>557</v>
      </c>
      <c r="B245" s="27" t="s">
        <v>3222</v>
      </c>
      <c r="C245" s="22" t="s">
        <v>535</v>
      </c>
      <c r="D245" s="22" t="s">
        <v>536</v>
      </c>
      <c r="E245" s="22" t="s">
        <v>89</v>
      </c>
      <c r="F245" s="22" t="s">
        <v>52</v>
      </c>
      <c r="G245" s="22">
        <f>VLOOKUP($C245,[1]Metadata!$B$1:$O$557,9,FALSE)</f>
        <v>1</v>
      </c>
    </row>
    <row r="246" spans="1:10" x14ac:dyDescent="0.2">
      <c r="A246" s="27" t="s">
        <v>557</v>
      </c>
      <c r="B246" s="27" t="s">
        <v>3222</v>
      </c>
      <c r="C246" s="22" t="s">
        <v>537</v>
      </c>
      <c r="D246" s="22" t="s">
        <v>538</v>
      </c>
      <c r="E246" s="22" t="s">
        <v>89</v>
      </c>
      <c r="F246" s="22" t="s">
        <v>52</v>
      </c>
      <c r="G246" s="22">
        <f>VLOOKUP($C246,[1]Metadata!$B$1:$O$557,9,FALSE)</f>
        <v>1</v>
      </c>
    </row>
    <row r="247" spans="1:10" ht="16.5" customHeight="1" x14ac:dyDescent="0.2">
      <c r="A247" s="27" t="s">
        <v>557</v>
      </c>
      <c r="B247" s="27" t="s">
        <v>3222</v>
      </c>
      <c r="C247" s="22" t="s">
        <v>3633</v>
      </c>
      <c r="D247" s="22" t="s">
        <v>539</v>
      </c>
      <c r="E247" s="22" t="s">
        <v>89</v>
      </c>
      <c r="F247" s="22" t="s">
        <v>90</v>
      </c>
      <c r="G247" s="22">
        <v>1</v>
      </c>
      <c r="J247" s="28" t="s">
        <v>3632</v>
      </c>
    </row>
    <row r="248" spans="1:10" x14ac:dyDescent="0.2">
      <c r="A248" s="27" t="s">
        <v>557</v>
      </c>
      <c r="B248" s="27" t="s">
        <v>3222</v>
      </c>
      <c r="C248" s="22" t="s">
        <v>540</v>
      </c>
      <c r="D248" s="22" t="s">
        <v>541</v>
      </c>
      <c r="E248" s="22" t="s">
        <v>89</v>
      </c>
      <c r="F248" s="22" t="s">
        <v>52</v>
      </c>
      <c r="G248" s="22">
        <f>VLOOKUP($C248,[1]Metadata!$B$1:$O$557,9,FALSE)</f>
        <v>1</v>
      </c>
    </row>
    <row r="249" spans="1:10" x14ac:dyDescent="0.2">
      <c r="A249" s="27" t="s">
        <v>557</v>
      </c>
      <c r="B249" s="27" t="s">
        <v>3222</v>
      </c>
      <c r="C249" s="22" t="s">
        <v>542</v>
      </c>
      <c r="D249" s="22" t="s">
        <v>543</v>
      </c>
      <c r="E249" s="22" t="s">
        <v>89</v>
      </c>
      <c r="F249" s="22" t="s">
        <v>52</v>
      </c>
      <c r="G249" s="22">
        <f>VLOOKUP($C249,[1]Metadata!$B$1:$O$557,9,FALSE)</f>
        <v>1</v>
      </c>
    </row>
    <row r="250" spans="1:10" x14ac:dyDescent="0.2">
      <c r="A250" s="27" t="s">
        <v>557</v>
      </c>
      <c r="B250" s="27" t="s">
        <v>3222</v>
      </c>
      <c r="C250" s="22" t="s">
        <v>544</v>
      </c>
      <c r="D250" s="22" t="s">
        <v>545</v>
      </c>
      <c r="E250" s="22" t="s">
        <v>89</v>
      </c>
      <c r="F250" s="22" t="s">
        <v>52</v>
      </c>
      <c r="G250" s="22">
        <f>VLOOKUP($C250,[1]Metadata!$B$1:$O$557,9,FALSE)</f>
        <v>1</v>
      </c>
    </row>
    <row r="251" spans="1:10" x14ac:dyDescent="0.2">
      <c r="A251" s="27" t="s">
        <v>557</v>
      </c>
      <c r="B251" s="27" t="s">
        <v>3222</v>
      </c>
      <c r="C251" s="22" t="s">
        <v>546</v>
      </c>
      <c r="D251" s="22" t="s">
        <v>547</v>
      </c>
      <c r="E251" s="22" t="s">
        <v>89</v>
      </c>
      <c r="F251" s="22" t="s">
        <v>52</v>
      </c>
      <c r="G251" s="22">
        <f>VLOOKUP($C251,[1]Metadata!$B$1:$O$557,9,FALSE)</f>
        <v>1</v>
      </c>
    </row>
    <row r="252" spans="1:10" x14ac:dyDescent="0.2">
      <c r="A252" s="27" t="s">
        <v>557</v>
      </c>
      <c r="B252" s="27" t="s">
        <v>3222</v>
      </c>
      <c r="C252" s="22" t="s">
        <v>548</v>
      </c>
      <c r="D252" s="22" t="s">
        <v>549</v>
      </c>
      <c r="E252" s="22" t="s">
        <v>95</v>
      </c>
      <c r="F252" s="22" t="s">
        <v>52</v>
      </c>
      <c r="G252" s="22">
        <v>1</v>
      </c>
    </row>
    <row r="253" spans="1:10" x14ac:dyDescent="0.2">
      <c r="A253" s="27" t="s">
        <v>557</v>
      </c>
      <c r="B253" s="27" t="s">
        <v>3222</v>
      </c>
      <c r="C253" s="22" t="s">
        <v>550</v>
      </c>
      <c r="D253" s="22" t="s">
        <v>551</v>
      </c>
      <c r="E253" s="22" t="s">
        <v>89</v>
      </c>
      <c r="F253" s="22" t="s">
        <v>52</v>
      </c>
      <c r="G253" s="22">
        <f>VLOOKUP($C253,[1]Metadata!$B$1:$O$557,9,FALSE)</f>
        <v>1</v>
      </c>
    </row>
    <row r="254" spans="1:10" x14ac:dyDescent="0.2">
      <c r="A254" s="27" t="s">
        <v>557</v>
      </c>
      <c r="B254" s="27" t="s">
        <v>3222</v>
      </c>
      <c r="C254" s="22" t="s">
        <v>552</v>
      </c>
      <c r="D254" s="22" t="s">
        <v>553</v>
      </c>
      <c r="E254" s="22" t="s">
        <v>89</v>
      </c>
      <c r="F254" s="22" t="s">
        <v>52</v>
      </c>
      <c r="G254" s="22">
        <f>VLOOKUP($C254,[1]Metadata!$B$1:$O$557,9,FALSE)</f>
        <v>1</v>
      </c>
    </row>
    <row r="255" spans="1:10" x14ac:dyDescent="0.2">
      <c r="A255" s="27" t="s">
        <v>557</v>
      </c>
      <c r="B255" s="27" t="s">
        <v>3222</v>
      </c>
      <c r="C255" s="22" t="s">
        <v>554</v>
      </c>
      <c r="D255" s="22" t="s">
        <v>555</v>
      </c>
      <c r="E255" s="22" t="s">
        <v>95</v>
      </c>
      <c r="F255" s="22" t="s">
        <v>52</v>
      </c>
      <c r="G255" s="22">
        <f>VLOOKUP($C255,[1]Metadata!$B$1:$O$557,9,FALSE)</f>
        <v>0</v>
      </c>
    </row>
    <row r="256" spans="1:10" x14ac:dyDescent="0.2">
      <c r="A256" s="27" t="s">
        <v>557</v>
      </c>
      <c r="B256" s="27" t="s">
        <v>3214</v>
      </c>
      <c r="C256" s="58" t="s">
        <v>3077</v>
      </c>
      <c r="D256" s="58" t="s">
        <v>3078</v>
      </c>
      <c r="E256" s="22" t="s">
        <v>89</v>
      </c>
      <c r="F256" s="58" t="s">
        <v>557</v>
      </c>
      <c r="G256" s="81">
        <v>0</v>
      </c>
    </row>
    <row r="257" spans="1:7" x14ac:dyDescent="0.2">
      <c r="A257" s="27" t="s">
        <v>557</v>
      </c>
      <c r="B257" s="27" t="s">
        <v>3214</v>
      </c>
      <c r="C257" s="58" t="s">
        <v>3079</v>
      </c>
      <c r="D257" s="58" t="s">
        <v>3080</v>
      </c>
      <c r="E257" s="22" t="s">
        <v>89</v>
      </c>
      <c r="F257" s="58" t="s">
        <v>557</v>
      </c>
      <c r="G257" s="81">
        <v>0</v>
      </c>
    </row>
    <row r="258" spans="1:7" x14ac:dyDescent="0.2">
      <c r="A258" s="27" t="s">
        <v>557</v>
      </c>
      <c r="B258" s="27" t="s">
        <v>3214</v>
      </c>
      <c r="C258" s="58" t="s">
        <v>3081</v>
      </c>
      <c r="D258" s="58" t="s">
        <v>3082</v>
      </c>
      <c r="E258" s="22" t="s">
        <v>89</v>
      </c>
      <c r="F258" s="58" t="s">
        <v>52</v>
      </c>
      <c r="G258" s="81">
        <v>0</v>
      </c>
    </row>
    <row r="259" spans="1:7" x14ac:dyDescent="0.2">
      <c r="A259" s="27" t="s">
        <v>557</v>
      </c>
      <c r="B259" s="27" t="s">
        <v>3214</v>
      </c>
      <c r="C259" s="58" t="s">
        <v>3083</v>
      </c>
      <c r="D259" s="58" t="s">
        <v>3084</v>
      </c>
      <c r="E259" s="22" t="s">
        <v>89</v>
      </c>
      <c r="F259" s="58" t="s">
        <v>52</v>
      </c>
      <c r="G259" s="81">
        <v>0</v>
      </c>
    </row>
    <row r="260" spans="1:7" x14ac:dyDescent="0.2">
      <c r="A260" s="27" t="s">
        <v>557</v>
      </c>
      <c r="B260" s="27" t="s">
        <v>3214</v>
      </c>
      <c r="C260" s="58" t="s">
        <v>3085</v>
      </c>
      <c r="D260" s="58" t="s">
        <v>3086</v>
      </c>
      <c r="E260" s="22" t="s">
        <v>89</v>
      </c>
      <c r="F260" s="58" t="s">
        <v>557</v>
      </c>
      <c r="G260" s="81">
        <v>0</v>
      </c>
    </row>
    <row r="261" spans="1:7" x14ac:dyDescent="0.2">
      <c r="A261" s="27" t="s">
        <v>557</v>
      </c>
      <c r="B261" s="27" t="s">
        <v>3214</v>
      </c>
      <c r="C261" s="58" t="s">
        <v>3087</v>
      </c>
      <c r="D261" s="58" t="s">
        <v>3088</v>
      </c>
      <c r="E261" s="22" t="s">
        <v>89</v>
      </c>
      <c r="F261" s="58" t="s">
        <v>557</v>
      </c>
      <c r="G261" s="81">
        <v>0</v>
      </c>
    </row>
    <row r="262" spans="1:7" x14ac:dyDescent="0.2">
      <c r="A262" s="27" t="s">
        <v>557</v>
      </c>
      <c r="B262" s="27" t="s">
        <v>3214</v>
      </c>
      <c r="C262" s="58" t="s">
        <v>3089</v>
      </c>
      <c r="D262" s="58" t="s">
        <v>3090</v>
      </c>
      <c r="E262" s="22" t="s">
        <v>89</v>
      </c>
      <c r="F262" s="58" t="s">
        <v>52</v>
      </c>
      <c r="G262" s="81">
        <v>0</v>
      </c>
    </row>
    <row r="263" spans="1:7" x14ac:dyDescent="0.2">
      <c r="A263" s="27" t="s">
        <v>557</v>
      </c>
      <c r="B263" s="27" t="s">
        <v>3214</v>
      </c>
      <c r="C263" s="58" t="s">
        <v>3091</v>
      </c>
      <c r="D263" s="58" t="s">
        <v>3092</v>
      </c>
      <c r="E263" s="22" t="s">
        <v>89</v>
      </c>
      <c r="F263" s="58" t="s">
        <v>52</v>
      </c>
      <c r="G263" s="81">
        <v>0</v>
      </c>
    </row>
    <row r="264" spans="1:7" x14ac:dyDescent="0.2">
      <c r="A264" s="27" t="s">
        <v>557</v>
      </c>
      <c r="B264" s="27" t="s">
        <v>3214</v>
      </c>
      <c r="C264" s="58" t="s">
        <v>3093</v>
      </c>
      <c r="D264" s="58" t="s">
        <v>3094</v>
      </c>
      <c r="E264" s="22" t="s">
        <v>89</v>
      </c>
      <c r="F264" s="58" t="s">
        <v>52</v>
      </c>
      <c r="G264" s="81">
        <v>0</v>
      </c>
    </row>
    <row r="265" spans="1:7" x14ac:dyDescent="0.2">
      <c r="A265" s="27" t="s">
        <v>557</v>
      </c>
      <c r="B265" s="27" t="s">
        <v>3214</v>
      </c>
      <c r="C265" s="58" t="s">
        <v>3095</v>
      </c>
      <c r="D265" s="58" t="s">
        <v>3096</v>
      </c>
      <c r="E265" s="22" t="s">
        <v>89</v>
      </c>
      <c r="F265" s="58" t="s">
        <v>557</v>
      </c>
      <c r="G265" s="81">
        <v>0</v>
      </c>
    </row>
    <row r="266" spans="1:7" x14ac:dyDescent="0.2">
      <c r="A266" s="27" t="s">
        <v>557</v>
      </c>
      <c r="B266" s="27" t="s">
        <v>3214</v>
      </c>
      <c r="C266" s="58" t="s">
        <v>3097</v>
      </c>
      <c r="D266" s="58" t="s">
        <v>3098</v>
      </c>
      <c r="E266" s="22" t="s">
        <v>89</v>
      </c>
      <c r="F266" s="58" t="s">
        <v>557</v>
      </c>
      <c r="G266" s="81">
        <v>0</v>
      </c>
    </row>
    <row r="267" spans="1:7" x14ac:dyDescent="0.2">
      <c r="A267" s="27" t="s">
        <v>557</v>
      </c>
      <c r="B267" s="27" t="s">
        <v>3214</v>
      </c>
      <c r="C267" s="58" t="s">
        <v>3099</v>
      </c>
      <c r="D267" s="58" t="s">
        <v>3100</v>
      </c>
      <c r="E267" s="22" t="s">
        <v>89</v>
      </c>
      <c r="F267" s="58" t="s">
        <v>557</v>
      </c>
      <c r="G267" s="81">
        <v>0</v>
      </c>
    </row>
    <row r="268" spans="1:7" x14ac:dyDescent="0.2">
      <c r="A268" s="27" t="s">
        <v>557</v>
      </c>
      <c r="B268" s="27" t="s">
        <v>3214</v>
      </c>
      <c r="C268" s="58" t="s">
        <v>3101</v>
      </c>
      <c r="D268" s="58" t="s">
        <v>3102</v>
      </c>
      <c r="E268" s="22" t="s">
        <v>89</v>
      </c>
      <c r="F268" s="58" t="s">
        <v>52</v>
      </c>
      <c r="G268" s="81">
        <v>0</v>
      </c>
    </row>
    <row r="269" spans="1:7" x14ac:dyDescent="0.2">
      <c r="A269" s="27" t="s">
        <v>557</v>
      </c>
      <c r="B269" s="27" t="s">
        <v>3214</v>
      </c>
      <c r="C269" s="58" t="s">
        <v>3103</v>
      </c>
      <c r="D269" s="58" t="s">
        <v>3104</v>
      </c>
      <c r="E269" s="22" t="s">
        <v>89</v>
      </c>
      <c r="F269" s="58" t="s">
        <v>52</v>
      </c>
      <c r="G269" s="81">
        <v>0</v>
      </c>
    </row>
    <row r="270" spans="1:7" x14ac:dyDescent="0.2">
      <c r="A270" s="27" t="s">
        <v>557</v>
      </c>
      <c r="B270" s="27" t="s">
        <v>3214</v>
      </c>
      <c r="C270" s="58" t="s">
        <v>3105</v>
      </c>
      <c r="D270" s="58" t="s">
        <v>3106</v>
      </c>
      <c r="E270" s="22" t="s">
        <v>89</v>
      </c>
      <c r="F270" s="58" t="s">
        <v>52</v>
      </c>
      <c r="G270" s="81">
        <v>0</v>
      </c>
    </row>
    <row r="271" spans="1:7" x14ac:dyDescent="0.2">
      <c r="A271" s="27" t="s">
        <v>557</v>
      </c>
      <c r="B271" s="27" t="s">
        <v>3214</v>
      </c>
      <c r="C271" s="58" t="s">
        <v>3107</v>
      </c>
      <c r="D271" s="58" t="s">
        <v>3108</v>
      </c>
      <c r="E271" s="22" t="s">
        <v>89</v>
      </c>
      <c r="F271" s="58" t="s">
        <v>557</v>
      </c>
      <c r="G271" s="81">
        <v>0</v>
      </c>
    </row>
    <row r="272" spans="1:7" x14ac:dyDescent="0.2">
      <c r="A272" s="27" t="s">
        <v>557</v>
      </c>
      <c r="B272" s="27" t="s">
        <v>3214</v>
      </c>
      <c r="C272" s="58" t="s">
        <v>3109</v>
      </c>
      <c r="D272" s="58" t="s">
        <v>3110</v>
      </c>
      <c r="E272" s="22" t="s">
        <v>89</v>
      </c>
      <c r="F272" s="58" t="s">
        <v>52</v>
      </c>
      <c r="G272" s="81">
        <v>0</v>
      </c>
    </row>
    <row r="273" spans="1:7" x14ac:dyDescent="0.2">
      <c r="A273" s="27" t="s">
        <v>557</v>
      </c>
      <c r="B273" s="27" t="s">
        <v>3214</v>
      </c>
      <c r="C273" s="58" t="s">
        <v>3111</v>
      </c>
      <c r="D273" s="58" t="s">
        <v>3112</v>
      </c>
      <c r="E273" s="22" t="s">
        <v>89</v>
      </c>
      <c r="F273" s="58" t="s">
        <v>52</v>
      </c>
      <c r="G273" s="81">
        <v>0</v>
      </c>
    </row>
    <row r="274" spans="1:7" x14ac:dyDescent="0.2">
      <c r="A274" s="27" t="s">
        <v>557</v>
      </c>
      <c r="B274" s="27" t="s">
        <v>3214</v>
      </c>
      <c r="C274" s="59" t="s">
        <v>3113</v>
      </c>
      <c r="D274" s="59" t="s">
        <v>3114</v>
      </c>
      <c r="E274" s="22" t="s">
        <v>89</v>
      </c>
      <c r="F274" s="58" t="s">
        <v>557</v>
      </c>
      <c r="G274" s="81">
        <v>0</v>
      </c>
    </row>
    <row r="275" spans="1:7" x14ac:dyDescent="0.2">
      <c r="A275" s="27" t="s">
        <v>557</v>
      </c>
      <c r="B275" s="27" t="s">
        <v>3214</v>
      </c>
      <c r="C275" s="59" t="s">
        <v>3115</v>
      </c>
      <c r="D275" s="59" t="s">
        <v>3116</v>
      </c>
      <c r="E275" s="22" t="s">
        <v>89</v>
      </c>
      <c r="F275" s="58" t="s">
        <v>52</v>
      </c>
      <c r="G275" s="81">
        <v>0</v>
      </c>
    </row>
    <row r="276" spans="1:7" x14ac:dyDescent="0.2">
      <c r="A276" s="27" t="s">
        <v>557</v>
      </c>
      <c r="B276" s="27" t="s">
        <v>3214</v>
      </c>
      <c r="C276" s="60" t="s">
        <v>3117</v>
      </c>
      <c r="D276" s="59" t="s">
        <v>3118</v>
      </c>
      <c r="E276" s="22" t="s">
        <v>89</v>
      </c>
      <c r="F276" s="58" t="s">
        <v>557</v>
      </c>
      <c r="G276" s="81">
        <v>0</v>
      </c>
    </row>
    <row r="277" spans="1:7" x14ac:dyDescent="0.2">
      <c r="A277" s="27" t="s">
        <v>557</v>
      </c>
      <c r="B277" s="27" t="s">
        <v>3214</v>
      </c>
      <c r="C277" s="59" t="s">
        <v>3119</v>
      </c>
      <c r="D277" s="59" t="s">
        <v>3120</v>
      </c>
      <c r="E277" s="22" t="s">
        <v>89</v>
      </c>
      <c r="F277" s="58" t="s">
        <v>52</v>
      </c>
      <c r="G277" s="81">
        <v>0</v>
      </c>
    </row>
    <row r="278" spans="1:7" x14ac:dyDescent="0.2">
      <c r="A278" s="27" t="s">
        <v>557</v>
      </c>
      <c r="B278" s="27" t="s">
        <v>3214</v>
      </c>
      <c r="C278" s="59" t="s">
        <v>3121</v>
      </c>
      <c r="D278" s="59" t="s">
        <v>3122</v>
      </c>
      <c r="E278" s="22" t="s">
        <v>89</v>
      </c>
      <c r="F278" s="58" t="s">
        <v>52</v>
      </c>
      <c r="G278" s="81">
        <v>0</v>
      </c>
    </row>
    <row r="279" spans="1:7" x14ac:dyDescent="0.2">
      <c r="A279" s="27" t="s">
        <v>557</v>
      </c>
      <c r="B279" s="27" t="s">
        <v>3214</v>
      </c>
      <c r="C279" s="59" t="s">
        <v>3123</v>
      </c>
      <c r="D279" s="59" t="s">
        <v>3124</v>
      </c>
      <c r="E279" s="22" t="s">
        <v>89</v>
      </c>
      <c r="F279" s="58" t="s">
        <v>557</v>
      </c>
      <c r="G279" s="81">
        <v>0</v>
      </c>
    </row>
    <row r="280" spans="1:7" x14ac:dyDescent="0.2">
      <c r="A280" s="27" t="s">
        <v>557</v>
      </c>
      <c r="B280" s="27" t="s">
        <v>3214</v>
      </c>
      <c r="C280" s="59" t="s">
        <v>3125</v>
      </c>
      <c r="D280" s="59" t="s">
        <v>3126</v>
      </c>
      <c r="E280" s="22" t="s">
        <v>89</v>
      </c>
      <c r="F280" s="58" t="s">
        <v>557</v>
      </c>
      <c r="G280" s="81">
        <v>0</v>
      </c>
    </row>
    <row r="281" spans="1:7" x14ac:dyDescent="0.2">
      <c r="A281" s="27" t="s">
        <v>557</v>
      </c>
      <c r="B281" s="27" t="s">
        <v>3214</v>
      </c>
      <c r="C281" s="59" t="s">
        <v>3127</v>
      </c>
      <c r="D281" s="59" t="s">
        <v>3128</v>
      </c>
      <c r="E281" s="22" t="s">
        <v>89</v>
      </c>
      <c r="F281" s="58" t="s">
        <v>557</v>
      </c>
      <c r="G281" s="81">
        <v>0</v>
      </c>
    </row>
    <row r="282" spans="1:7" x14ac:dyDescent="0.2">
      <c r="A282" s="27" t="s">
        <v>557</v>
      </c>
      <c r="B282" s="27" t="s">
        <v>3214</v>
      </c>
      <c r="C282" s="59" t="s">
        <v>3129</v>
      </c>
      <c r="D282" s="59" t="s">
        <v>3130</v>
      </c>
      <c r="E282" s="22" t="s">
        <v>89</v>
      </c>
      <c r="F282" s="58" t="s">
        <v>52</v>
      </c>
      <c r="G282" s="81">
        <v>0</v>
      </c>
    </row>
    <row r="283" spans="1:7" x14ac:dyDescent="0.2">
      <c r="A283" s="27" t="s">
        <v>557</v>
      </c>
      <c r="B283" s="27" t="s">
        <v>3214</v>
      </c>
      <c r="C283" s="60" t="s">
        <v>3131</v>
      </c>
      <c r="D283" s="59" t="s">
        <v>3132</v>
      </c>
      <c r="E283" s="22" t="s">
        <v>89</v>
      </c>
      <c r="F283" s="58" t="s">
        <v>557</v>
      </c>
      <c r="G283" s="81">
        <v>0</v>
      </c>
    </row>
    <row r="284" spans="1:7" x14ac:dyDescent="0.2">
      <c r="A284" s="27" t="s">
        <v>557</v>
      </c>
      <c r="B284" s="27" t="s">
        <v>3214</v>
      </c>
      <c r="C284" s="59" t="s">
        <v>3133</v>
      </c>
      <c r="D284" s="59" t="s">
        <v>3134</v>
      </c>
      <c r="E284" s="22" t="s">
        <v>89</v>
      </c>
      <c r="F284" s="58" t="s">
        <v>557</v>
      </c>
      <c r="G284" s="81">
        <v>0</v>
      </c>
    </row>
    <row r="285" spans="1:7" x14ac:dyDescent="0.2">
      <c r="A285" s="27" t="s">
        <v>557</v>
      </c>
      <c r="B285" s="27" t="s">
        <v>3214</v>
      </c>
      <c r="C285" s="59" t="s">
        <v>3135</v>
      </c>
      <c r="D285" s="59" t="s">
        <v>3136</v>
      </c>
      <c r="E285" s="22" t="s">
        <v>89</v>
      </c>
      <c r="F285" s="58" t="s">
        <v>52</v>
      </c>
      <c r="G285" s="81">
        <v>0</v>
      </c>
    </row>
    <row r="286" spans="1:7" x14ac:dyDescent="0.2">
      <c r="A286" s="27" t="s">
        <v>557</v>
      </c>
      <c r="B286" s="27" t="s">
        <v>3214</v>
      </c>
      <c r="C286" s="59" t="s">
        <v>3137</v>
      </c>
      <c r="D286" s="59" t="s">
        <v>3138</v>
      </c>
      <c r="E286" s="22" t="s">
        <v>89</v>
      </c>
      <c r="F286" s="58" t="s">
        <v>52</v>
      </c>
      <c r="G286" s="81">
        <v>0</v>
      </c>
    </row>
    <row r="287" spans="1:7" x14ac:dyDescent="0.2">
      <c r="A287" s="27" t="s">
        <v>557</v>
      </c>
      <c r="B287" s="27" t="s">
        <v>3214</v>
      </c>
      <c r="C287" s="59" t="s">
        <v>3139</v>
      </c>
      <c r="D287" s="59" t="s">
        <v>3140</v>
      </c>
      <c r="E287" s="22" t="s">
        <v>89</v>
      </c>
      <c r="F287" s="58" t="s">
        <v>52</v>
      </c>
      <c r="G287" s="81">
        <v>0</v>
      </c>
    </row>
    <row r="288" spans="1:7" x14ac:dyDescent="0.2">
      <c r="A288" s="27" t="s">
        <v>557</v>
      </c>
      <c r="B288" s="27" t="s">
        <v>3214</v>
      </c>
      <c r="C288" s="59" t="s">
        <v>3141</v>
      </c>
      <c r="D288" s="59" t="s">
        <v>3142</v>
      </c>
      <c r="E288" s="22" t="s">
        <v>89</v>
      </c>
      <c r="F288" s="58" t="s">
        <v>52</v>
      </c>
      <c r="G288" s="81">
        <v>0</v>
      </c>
    </row>
    <row r="289" spans="1:7" x14ac:dyDescent="0.2">
      <c r="A289" s="27" t="s">
        <v>557</v>
      </c>
      <c r="B289" s="27" t="s">
        <v>3214</v>
      </c>
      <c r="C289" s="59" t="s">
        <v>3143</v>
      </c>
      <c r="D289" s="59" t="s">
        <v>3144</v>
      </c>
      <c r="E289" s="22" t="s">
        <v>89</v>
      </c>
      <c r="F289" s="58" t="s">
        <v>52</v>
      </c>
      <c r="G289" s="81">
        <v>0</v>
      </c>
    </row>
    <row r="290" spans="1:7" x14ac:dyDescent="0.2">
      <c r="A290" s="27" t="s">
        <v>557</v>
      </c>
      <c r="B290" s="27" t="s">
        <v>3214</v>
      </c>
      <c r="C290" s="59" t="s">
        <v>3145</v>
      </c>
      <c r="D290" s="59" t="s">
        <v>3146</v>
      </c>
      <c r="E290" s="22" t="s">
        <v>89</v>
      </c>
      <c r="F290" s="58" t="s">
        <v>52</v>
      </c>
      <c r="G290" s="81">
        <v>0</v>
      </c>
    </row>
    <row r="291" spans="1:7" x14ac:dyDescent="0.2">
      <c r="A291" s="27" t="s">
        <v>557</v>
      </c>
      <c r="B291" s="27" t="s">
        <v>3214</v>
      </c>
      <c r="C291" s="59" t="s">
        <v>3147</v>
      </c>
      <c r="D291" s="59" t="s">
        <v>3148</v>
      </c>
      <c r="E291" s="22" t="s">
        <v>89</v>
      </c>
      <c r="F291" s="58" t="s">
        <v>52</v>
      </c>
      <c r="G291" s="81">
        <v>0</v>
      </c>
    </row>
    <row r="292" spans="1:7" x14ac:dyDescent="0.2">
      <c r="A292" s="27" t="s">
        <v>557</v>
      </c>
      <c r="B292" s="27" t="s">
        <v>3214</v>
      </c>
      <c r="C292" s="59" t="s">
        <v>3149</v>
      </c>
      <c r="D292" s="59" t="s">
        <v>3150</v>
      </c>
      <c r="E292" s="22" t="s">
        <v>89</v>
      </c>
      <c r="F292" s="58" t="s">
        <v>52</v>
      </c>
      <c r="G292" s="81">
        <v>0</v>
      </c>
    </row>
    <row r="293" spans="1:7" x14ac:dyDescent="0.2">
      <c r="A293" s="27" t="s">
        <v>557</v>
      </c>
      <c r="B293" s="27" t="s">
        <v>3214</v>
      </c>
      <c r="C293" s="59" t="s">
        <v>3151</v>
      </c>
      <c r="D293" s="59" t="s">
        <v>3152</v>
      </c>
      <c r="E293" s="22" t="s">
        <v>89</v>
      </c>
      <c r="F293" s="58" t="s">
        <v>52</v>
      </c>
      <c r="G293" s="81">
        <v>0</v>
      </c>
    </row>
    <row r="294" spans="1:7" x14ac:dyDescent="0.2">
      <c r="A294" s="27" t="s">
        <v>557</v>
      </c>
      <c r="B294" s="27" t="s">
        <v>3214</v>
      </c>
      <c r="C294" s="59" t="s">
        <v>3153</v>
      </c>
      <c r="D294" s="59" t="s">
        <v>3154</v>
      </c>
      <c r="E294" s="22" t="s">
        <v>89</v>
      </c>
      <c r="F294" s="58" t="s">
        <v>557</v>
      </c>
      <c r="G294" s="81">
        <v>0</v>
      </c>
    </row>
    <row r="295" spans="1:7" x14ac:dyDescent="0.2">
      <c r="A295" s="27" t="s">
        <v>557</v>
      </c>
      <c r="B295" s="27" t="s">
        <v>3214</v>
      </c>
      <c r="C295" s="59" t="s">
        <v>3155</v>
      </c>
      <c r="D295" s="59" t="s">
        <v>3156</v>
      </c>
      <c r="E295" s="22" t="s">
        <v>89</v>
      </c>
      <c r="F295" s="58" t="s">
        <v>52</v>
      </c>
      <c r="G295" s="81">
        <v>0</v>
      </c>
    </row>
    <row r="296" spans="1:7" x14ac:dyDescent="0.2">
      <c r="A296" s="27" t="s">
        <v>557</v>
      </c>
      <c r="B296" s="27" t="s">
        <v>3214</v>
      </c>
      <c r="C296" s="59" t="s">
        <v>3157</v>
      </c>
      <c r="D296" s="59" t="s">
        <v>3158</v>
      </c>
      <c r="E296" s="22" t="s">
        <v>89</v>
      </c>
      <c r="F296" s="58" t="s">
        <v>52</v>
      </c>
      <c r="G296" s="81">
        <v>0</v>
      </c>
    </row>
    <row r="297" spans="1:7" x14ac:dyDescent="0.2">
      <c r="A297" s="27" t="s">
        <v>557</v>
      </c>
      <c r="B297" s="27" t="s">
        <v>3214</v>
      </c>
      <c r="C297" s="59" t="s">
        <v>3159</v>
      </c>
      <c r="D297" s="59" t="s">
        <v>3160</v>
      </c>
      <c r="E297" s="22" t="s">
        <v>89</v>
      </c>
      <c r="F297" s="58" t="s">
        <v>52</v>
      </c>
      <c r="G297" s="81">
        <v>0</v>
      </c>
    </row>
    <row r="298" spans="1:7" x14ac:dyDescent="0.2">
      <c r="A298" s="27" t="s">
        <v>557</v>
      </c>
      <c r="B298" s="27" t="s">
        <v>3214</v>
      </c>
      <c r="C298" s="59" t="s">
        <v>3161</v>
      </c>
      <c r="D298" s="59" t="s">
        <v>3162</v>
      </c>
      <c r="E298" s="22" t="s">
        <v>89</v>
      </c>
      <c r="F298" s="58" t="s">
        <v>52</v>
      </c>
      <c r="G298" s="81">
        <v>0</v>
      </c>
    </row>
    <row r="299" spans="1:7" x14ac:dyDescent="0.2">
      <c r="A299" s="27" t="s">
        <v>557</v>
      </c>
      <c r="B299" s="27" t="s">
        <v>3214</v>
      </c>
      <c r="C299" s="59" t="s">
        <v>3163</v>
      </c>
      <c r="D299" s="60" t="s">
        <v>3164</v>
      </c>
      <c r="E299" s="22" t="s">
        <v>89</v>
      </c>
      <c r="F299" s="58" t="s">
        <v>52</v>
      </c>
      <c r="G299" s="81">
        <v>0</v>
      </c>
    </row>
    <row r="300" spans="1:7" x14ac:dyDescent="0.2">
      <c r="A300" s="27" t="s">
        <v>557</v>
      </c>
      <c r="B300" s="27" t="s">
        <v>3214</v>
      </c>
      <c r="C300" s="59" t="s">
        <v>3165</v>
      </c>
      <c r="D300" s="59" t="s">
        <v>3166</v>
      </c>
      <c r="E300" s="22" t="s">
        <v>89</v>
      </c>
      <c r="F300" s="58" t="s">
        <v>52</v>
      </c>
      <c r="G300" s="81">
        <v>0</v>
      </c>
    </row>
    <row r="301" spans="1:7" x14ac:dyDescent="0.2">
      <c r="A301" s="27" t="s">
        <v>557</v>
      </c>
      <c r="B301" s="27" t="s">
        <v>3214</v>
      </c>
      <c r="C301" s="59" t="s">
        <v>3167</v>
      </c>
      <c r="D301" s="59" t="s">
        <v>3168</v>
      </c>
      <c r="E301" s="22" t="s">
        <v>89</v>
      </c>
      <c r="F301" s="58" t="s">
        <v>52</v>
      </c>
      <c r="G301" s="81">
        <v>0</v>
      </c>
    </row>
    <row r="302" spans="1:7" x14ac:dyDescent="0.2">
      <c r="A302" s="27" t="s">
        <v>557</v>
      </c>
      <c r="B302" s="27" t="s">
        <v>3214</v>
      </c>
      <c r="C302" s="59" t="s">
        <v>3169</v>
      </c>
      <c r="D302" s="60" t="s">
        <v>3170</v>
      </c>
      <c r="E302" s="22" t="s">
        <v>89</v>
      </c>
      <c r="F302" s="58" t="s">
        <v>52</v>
      </c>
      <c r="G302" s="81">
        <v>0</v>
      </c>
    </row>
    <row r="303" spans="1:7" x14ac:dyDescent="0.2">
      <c r="A303" s="27" t="s">
        <v>557</v>
      </c>
      <c r="B303" s="27" t="s">
        <v>3214</v>
      </c>
      <c r="C303" s="59" t="s">
        <v>3171</v>
      </c>
      <c r="D303" s="59" t="s">
        <v>3172</v>
      </c>
      <c r="E303" s="22" t="s">
        <v>89</v>
      </c>
      <c r="F303" s="58" t="s">
        <v>557</v>
      </c>
      <c r="G303" s="81">
        <v>0</v>
      </c>
    </row>
    <row r="304" spans="1:7" x14ac:dyDescent="0.2">
      <c r="A304" s="27" t="s">
        <v>557</v>
      </c>
      <c r="B304" s="27" t="s">
        <v>3214</v>
      </c>
      <c r="C304" s="59" t="s">
        <v>3173</v>
      </c>
      <c r="D304" s="59" t="s">
        <v>3174</v>
      </c>
      <c r="E304" s="22" t="s">
        <v>89</v>
      </c>
      <c r="F304" s="58" t="s">
        <v>557</v>
      </c>
      <c r="G304" s="81">
        <v>0</v>
      </c>
    </row>
    <row r="305" spans="1:7" x14ac:dyDescent="0.2">
      <c r="A305" s="27" t="s">
        <v>557</v>
      </c>
      <c r="B305" s="27" t="s">
        <v>3214</v>
      </c>
      <c r="C305" s="59" t="s">
        <v>3175</v>
      </c>
      <c r="D305" s="59" t="s">
        <v>3176</v>
      </c>
      <c r="E305" s="22" t="s">
        <v>89</v>
      </c>
      <c r="F305" s="58" t="s">
        <v>557</v>
      </c>
      <c r="G305" s="81">
        <v>0</v>
      </c>
    </row>
    <row r="306" spans="1:7" x14ac:dyDescent="0.2">
      <c r="A306" s="27" t="s">
        <v>557</v>
      </c>
      <c r="B306" s="27" t="s">
        <v>3214</v>
      </c>
      <c r="C306" s="60" t="s">
        <v>3177</v>
      </c>
      <c r="D306" s="60" t="s">
        <v>3178</v>
      </c>
      <c r="E306" s="22" t="s">
        <v>89</v>
      </c>
      <c r="F306" s="58" t="s">
        <v>557</v>
      </c>
      <c r="G306" s="81">
        <v>0</v>
      </c>
    </row>
    <row r="307" spans="1:7" x14ac:dyDescent="0.2">
      <c r="A307" s="27" t="s">
        <v>557</v>
      </c>
      <c r="B307" s="27" t="s">
        <v>3214</v>
      </c>
      <c r="C307" s="59" t="s">
        <v>3179</v>
      </c>
      <c r="D307" s="59" t="s">
        <v>3180</v>
      </c>
      <c r="E307" s="22" t="s">
        <v>89</v>
      </c>
      <c r="F307" s="58" t="s">
        <v>557</v>
      </c>
      <c r="G307" s="81">
        <v>0</v>
      </c>
    </row>
    <row r="308" spans="1:7" x14ac:dyDescent="0.2">
      <c r="A308" s="27" t="s">
        <v>557</v>
      </c>
      <c r="B308" s="27" t="s">
        <v>3214</v>
      </c>
      <c r="C308" s="59" t="s">
        <v>3181</v>
      </c>
      <c r="D308" s="59" t="s">
        <v>3182</v>
      </c>
      <c r="E308" s="22" t="s">
        <v>89</v>
      </c>
      <c r="F308" s="58" t="s">
        <v>52</v>
      </c>
      <c r="G308" s="81">
        <v>0</v>
      </c>
    </row>
    <row r="309" spans="1:7" x14ac:dyDescent="0.2">
      <c r="A309" s="27" t="s">
        <v>557</v>
      </c>
      <c r="B309" s="27" t="s">
        <v>3214</v>
      </c>
      <c r="C309" s="60" t="s">
        <v>3183</v>
      </c>
      <c r="D309" s="59" t="s">
        <v>3184</v>
      </c>
      <c r="E309" s="22" t="s">
        <v>89</v>
      </c>
      <c r="F309" s="58" t="s">
        <v>52</v>
      </c>
      <c r="G309" s="81">
        <v>0</v>
      </c>
    </row>
    <row r="310" spans="1:7" x14ac:dyDescent="0.2">
      <c r="A310" s="27" t="s">
        <v>557</v>
      </c>
      <c r="B310" s="27" t="s">
        <v>3214</v>
      </c>
      <c r="C310" s="59" t="s">
        <v>3185</v>
      </c>
      <c r="D310" s="59" t="s">
        <v>3186</v>
      </c>
      <c r="E310" s="22" t="s">
        <v>89</v>
      </c>
      <c r="F310" s="58" t="s">
        <v>557</v>
      </c>
      <c r="G310" s="81">
        <v>0</v>
      </c>
    </row>
    <row r="311" spans="1:7" x14ac:dyDescent="0.2">
      <c r="A311" s="27" t="s">
        <v>557</v>
      </c>
      <c r="B311" s="27" t="s">
        <v>3214</v>
      </c>
      <c r="C311" s="59" t="s">
        <v>3187</v>
      </c>
      <c r="D311" s="59" t="s">
        <v>3188</v>
      </c>
      <c r="E311" s="22" t="s">
        <v>89</v>
      </c>
      <c r="F311" s="58" t="s">
        <v>52</v>
      </c>
      <c r="G311" s="81">
        <v>0</v>
      </c>
    </row>
    <row r="312" spans="1:7" x14ac:dyDescent="0.2">
      <c r="A312" s="27" t="s">
        <v>557</v>
      </c>
      <c r="B312" s="27" t="s">
        <v>3214</v>
      </c>
      <c r="C312" s="59" t="s">
        <v>3189</v>
      </c>
      <c r="D312" s="59" t="s">
        <v>3190</v>
      </c>
      <c r="E312" s="22" t="s">
        <v>89</v>
      </c>
      <c r="F312" s="58" t="s">
        <v>52</v>
      </c>
      <c r="G312" s="81">
        <v>0</v>
      </c>
    </row>
    <row r="313" spans="1:7" x14ac:dyDescent="0.2">
      <c r="A313" s="27" t="s">
        <v>557</v>
      </c>
      <c r="B313" s="27" t="s">
        <v>3214</v>
      </c>
      <c r="C313" s="59" t="s">
        <v>3191</v>
      </c>
      <c r="D313" s="59" t="s">
        <v>3192</v>
      </c>
      <c r="E313" s="22" t="s">
        <v>89</v>
      </c>
      <c r="F313" s="58" t="s">
        <v>557</v>
      </c>
      <c r="G313" s="81">
        <v>0</v>
      </c>
    </row>
    <row r="314" spans="1:7" x14ac:dyDescent="0.2">
      <c r="A314" s="27" t="s">
        <v>557</v>
      </c>
      <c r="B314" s="27" t="s">
        <v>3214</v>
      </c>
      <c r="C314" s="60" t="s">
        <v>3193</v>
      </c>
      <c r="D314" s="59" t="s">
        <v>3194</v>
      </c>
      <c r="E314" s="22" t="s">
        <v>89</v>
      </c>
      <c r="F314" s="58" t="s">
        <v>557</v>
      </c>
      <c r="G314" s="81">
        <v>0</v>
      </c>
    </row>
    <row r="315" spans="1:7" x14ac:dyDescent="0.2">
      <c r="A315" s="27" t="s">
        <v>557</v>
      </c>
      <c r="B315" s="27" t="s">
        <v>3214</v>
      </c>
      <c r="C315" s="59" t="s">
        <v>3195</v>
      </c>
      <c r="D315" s="59" t="s">
        <v>3196</v>
      </c>
      <c r="E315" s="22" t="s">
        <v>89</v>
      </c>
      <c r="F315" s="58" t="s">
        <v>557</v>
      </c>
      <c r="G315" s="81">
        <v>0</v>
      </c>
    </row>
    <row r="316" spans="1:7" x14ac:dyDescent="0.2">
      <c r="A316" s="27" t="s">
        <v>557</v>
      </c>
      <c r="B316" s="27" t="s">
        <v>3214</v>
      </c>
      <c r="C316" s="59" t="s">
        <v>3197</v>
      </c>
      <c r="D316" s="59" t="s">
        <v>3198</v>
      </c>
      <c r="E316" s="22" t="s">
        <v>89</v>
      </c>
      <c r="F316" s="58" t="s">
        <v>557</v>
      </c>
      <c r="G316" s="81">
        <v>0</v>
      </c>
    </row>
    <row r="317" spans="1:7" x14ac:dyDescent="0.2">
      <c r="A317" s="27" t="s">
        <v>557</v>
      </c>
      <c r="B317" s="27" t="s">
        <v>3214</v>
      </c>
      <c r="C317" s="59" t="s">
        <v>3199</v>
      </c>
      <c r="D317" s="59" t="s">
        <v>3200</v>
      </c>
      <c r="E317" s="22" t="s">
        <v>89</v>
      </c>
      <c r="F317" s="58" t="s">
        <v>52</v>
      </c>
      <c r="G317" s="81">
        <v>0</v>
      </c>
    </row>
    <row r="318" spans="1:7" x14ac:dyDescent="0.2">
      <c r="A318" s="27" t="s">
        <v>557</v>
      </c>
      <c r="B318" s="27" t="s">
        <v>3214</v>
      </c>
      <c r="C318" s="59" t="s">
        <v>3201</v>
      </c>
      <c r="D318" s="59" t="s">
        <v>3202</v>
      </c>
      <c r="E318" s="22" t="s">
        <v>89</v>
      </c>
      <c r="F318" s="58" t="s">
        <v>52</v>
      </c>
      <c r="G318" s="81">
        <v>0</v>
      </c>
    </row>
    <row r="319" spans="1:7" x14ac:dyDescent="0.2">
      <c r="A319" s="27" t="s">
        <v>557</v>
      </c>
      <c r="B319" s="27" t="s">
        <v>3214</v>
      </c>
      <c r="C319" s="60" t="s">
        <v>3203</v>
      </c>
      <c r="D319" s="59" t="s">
        <v>3204</v>
      </c>
      <c r="E319" s="22" t="s">
        <v>89</v>
      </c>
      <c r="F319" s="58" t="s">
        <v>557</v>
      </c>
      <c r="G319" s="81">
        <v>0</v>
      </c>
    </row>
    <row r="320" spans="1:7" x14ac:dyDescent="0.2">
      <c r="A320" s="27" t="s">
        <v>557</v>
      </c>
      <c r="B320" s="27" t="s">
        <v>3214</v>
      </c>
      <c r="C320" s="60" t="s">
        <v>3205</v>
      </c>
      <c r="D320" s="59" t="s">
        <v>3206</v>
      </c>
      <c r="E320" s="22" t="s">
        <v>89</v>
      </c>
      <c r="F320" s="58" t="s">
        <v>52</v>
      </c>
      <c r="G320" s="81">
        <v>0</v>
      </c>
    </row>
    <row r="321" spans="1:7" x14ac:dyDescent="0.2">
      <c r="A321" s="27" t="s">
        <v>557</v>
      </c>
      <c r="B321" s="27" t="s">
        <v>3214</v>
      </c>
      <c r="C321" s="60" t="s">
        <v>3207</v>
      </c>
      <c r="D321" s="59" t="s">
        <v>3208</v>
      </c>
      <c r="E321" s="22" t="s">
        <v>89</v>
      </c>
      <c r="F321" s="58" t="s">
        <v>52</v>
      </c>
      <c r="G321" s="81">
        <v>0</v>
      </c>
    </row>
    <row r="322" spans="1:7" x14ac:dyDescent="0.2">
      <c r="A322" s="27" t="s">
        <v>557</v>
      </c>
      <c r="B322" s="27" t="s">
        <v>3214</v>
      </c>
      <c r="C322" s="60" t="s">
        <v>3209</v>
      </c>
      <c r="D322" s="59" t="s">
        <v>3208</v>
      </c>
      <c r="E322" s="22" t="s">
        <v>89</v>
      </c>
      <c r="F322" s="58" t="s">
        <v>52</v>
      </c>
      <c r="G322" s="81">
        <v>0</v>
      </c>
    </row>
    <row r="323" spans="1:7" x14ac:dyDescent="0.2">
      <c r="A323" s="27" t="s">
        <v>557</v>
      </c>
      <c r="B323" s="27" t="s">
        <v>3214</v>
      </c>
      <c r="C323" s="60" t="s">
        <v>3210</v>
      </c>
      <c r="D323" s="59" t="s">
        <v>3211</v>
      </c>
      <c r="E323" s="22" t="s">
        <v>89</v>
      </c>
      <c r="F323" s="58" t="s">
        <v>52</v>
      </c>
      <c r="G323" s="81">
        <v>0</v>
      </c>
    </row>
    <row r="324" spans="1:7" x14ac:dyDescent="0.2">
      <c r="A324" s="27" t="s">
        <v>557</v>
      </c>
      <c r="B324" s="27" t="s">
        <v>3214</v>
      </c>
      <c r="C324" s="59" t="s">
        <v>3212</v>
      </c>
      <c r="D324" s="59" t="s">
        <v>3213</v>
      </c>
      <c r="E324" s="22" t="s">
        <v>89</v>
      </c>
      <c r="F324" s="58" t="s">
        <v>52</v>
      </c>
      <c r="G324" s="81">
        <v>0</v>
      </c>
    </row>
    <row r="325" spans="1:7" x14ac:dyDescent="0.2">
      <c r="A325" s="27" t="s">
        <v>557</v>
      </c>
      <c r="B325" s="27" t="s">
        <v>3221</v>
      </c>
      <c r="C325" s="60" t="s">
        <v>3215</v>
      </c>
      <c r="D325" s="58" t="s">
        <v>3216</v>
      </c>
      <c r="E325" s="22" t="s">
        <v>89</v>
      </c>
      <c r="F325" s="58" t="s">
        <v>557</v>
      </c>
      <c r="G325" s="81">
        <v>0</v>
      </c>
    </row>
    <row r="326" spans="1:7" x14ac:dyDescent="0.2">
      <c r="A326" s="27" t="s">
        <v>557</v>
      </c>
      <c r="B326" s="27" t="s">
        <v>3221</v>
      </c>
      <c r="C326" s="60" t="s">
        <v>3217</v>
      </c>
      <c r="D326" s="58" t="s">
        <v>3218</v>
      </c>
      <c r="E326" s="22" t="s">
        <v>89</v>
      </c>
      <c r="F326" s="58" t="s">
        <v>557</v>
      </c>
      <c r="G326" s="81">
        <v>0</v>
      </c>
    </row>
    <row r="327" spans="1:7" x14ac:dyDescent="0.2">
      <c r="A327" s="27" t="s">
        <v>557</v>
      </c>
      <c r="B327" s="27" t="s">
        <v>3221</v>
      </c>
      <c r="C327" s="58" t="s">
        <v>3219</v>
      </c>
      <c r="D327" s="58" t="s">
        <v>3220</v>
      </c>
      <c r="E327" s="22" t="s">
        <v>89</v>
      </c>
      <c r="F327" s="58" t="s">
        <v>52</v>
      </c>
      <c r="G327" s="81">
        <v>0</v>
      </c>
    </row>
  </sheetData>
  <autoFilter ref="A1:O327" xr:uid="{05C869F5-BFAD-446A-91E2-71217F834503}"/>
  <conditionalFormatting sqref="D258:D259 D261:D269">
    <cfRule type="containsBlanks" dxfId="6" priority="2">
      <formula>LEN(TRIM(D258))=0</formula>
    </cfRule>
  </conditionalFormatting>
  <conditionalFormatting sqref="D327">
    <cfRule type="containsBlanks" dxfId="5" priority="1">
      <formula>LEN(TRIM(D327))=0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74E-4E6E-43B1-A9EF-B2DD7555AD56}">
  <dimension ref="A1:C15"/>
  <sheetViews>
    <sheetView workbookViewId="0"/>
  </sheetViews>
  <sheetFormatPr defaultRowHeight="15" x14ac:dyDescent="0.25"/>
  <cols>
    <col min="1" max="2" width="28.28515625" customWidth="1"/>
    <col min="3" max="3" width="50.140625" customWidth="1"/>
  </cols>
  <sheetData>
    <row r="1" spans="1:3" ht="16.5" thickBot="1" x14ac:dyDescent="0.3">
      <c r="A1" s="6" t="s">
        <v>48</v>
      </c>
    </row>
    <row r="2" spans="1:3" ht="16.5" thickBot="1" x14ac:dyDescent="0.3">
      <c r="A2" s="4" t="s">
        <v>49</v>
      </c>
      <c r="B2" s="5" t="s">
        <v>50</v>
      </c>
      <c r="C2" s="5" t="s">
        <v>51</v>
      </c>
    </row>
    <row r="3" spans="1:3" ht="15.75" thickBot="1" x14ac:dyDescent="0.3">
      <c r="A3" s="1" t="s">
        <v>52</v>
      </c>
      <c r="B3" s="2" t="s">
        <v>53</v>
      </c>
      <c r="C3" s="2" t="s">
        <v>54</v>
      </c>
    </row>
    <row r="4" spans="1:3" ht="30.75" thickBot="1" x14ac:dyDescent="0.3">
      <c r="A4" s="1" t="s">
        <v>55</v>
      </c>
      <c r="B4" s="2" t="s">
        <v>56</v>
      </c>
      <c r="C4" s="2" t="s">
        <v>57</v>
      </c>
    </row>
    <row r="5" spans="1:3" ht="15.75" thickBot="1" x14ac:dyDescent="0.3">
      <c r="A5" s="1" t="s">
        <v>58</v>
      </c>
      <c r="B5" s="2" t="s">
        <v>59</v>
      </c>
      <c r="C5" s="2" t="s">
        <v>60</v>
      </c>
    </row>
    <row r="6" spans="1:3" ht="15.75" thickBot="1" x14ac:dyDescent="0.3">
      <c r="A6" s="1" t="s">
        <v>61</v>
      </c>
      <c r="B6" s="2" t="s">
        <v>62</v>
      </c>
      <c r="C6" s="2" t="s">
        <v>60</v>
      </c>
    </row>
    <row r="7" spans="1:3" ht="15.75" thickBot="1" x14ac:dyDescent="0.3">
      <c r="A7" s="1" t="s">
        <v>63</v>
      </c>
      <c r="B7" s="2" t="s">
        <v>64</v>
      </c>
      <c r="C7" s="2" t="s">
        <v>65</v>
      </c>
    </row>
    <row r="8" spans="1:3" ht="15.75" thickBot="1" x14ac:dyDescent="0.3">
      <c r="A8" s="1" t="s">
        <v>47</v>
      </c>
      <c r="B8" s="2" t="s">
        <v>66</v>
      </c>
      <c r="C8" s="2" t="s">
        <v>67</v>
      </c>
    </row>
    <row r="9" spans="1:3" ht="15.75" thickBot="1" x14ac:dyDescent="0.3">
      <c r="A9" s="1" t="s">
        <v>68</v>
      </c>
      <c r="B9" s="2" t="s">
        <v>69</v>
      </c>
      <c r="C9" s="2" t="s">
        <v>70</v>
      </c>
    </row>
    <row r="10" spans="1:3" ht="15.75" thickBot="1" x14ac:dyDescent="0.3">
      <c r="A10" s="1" t="s">
        <v>71</v>
      </c>
      <c r="B10" s="2" t="s">
        <v>72</v>
      </c>
      <c r="C10" s="2" t="s">
        <v>73</v>
      </c>
    </row>
    <row r="11" spans="1:3" ht="30.75" thickBot="1" x14ac:dyDescent="0.3">
      <c r="A11" s="1" t="s">
        <v>74</v>
      </c>
      <c r="B11" s="2" t="s">
        <v>75</v>
      </c>
      <c r="C11" s="2" t="s">
        <v>76</v>
      </c>
    </row>
    <row r="12" spans="1:3" ht="15.75" thickBot="1" x14ac:dyDescent="0.3">
      <c r="A12" s="1" t="s">
        <v>77</v>
      </c>
      <c r="B12" s="2" t="s">
        <v>78</v>
      </c>
      <c r="C12" s="2" t="s">
        <v>79</v>
      </c>
    </row>
    <row r="13" spans="1:3" ht="30.75" thickBot="1" x14ac:dyDescent="0.3">
      <c r="A13" s="1" t="s">
        <v>80</v>
      </c>
      <c r="B13" s="2" t="s">
        <v>81</v>
      </c>
      <c r="C13" s="2" t="s">
        <v>82</v>
      </c>
    </row>
    <row r="14" spans="1:3" ht="30.75" thickBot="1" x14ac:dyDescent="0.3">
      <c r="A14" s="1" t="s">
        <v>83</v>
      </c>
      <c r="B14" s="2" t="s">
        <v>84</v>
      </c>
      <c r="C14" s="2" t="s">
        <v>85</v>
      </c>
    </row>
    <row r="15" spans="1:3" ht="43.5" thickBot="1" x14ac:dyDescent="0.3">
      <c r="A15" s="1" t="s">
        <v>86</v>
      </c>
      <c r="B15" s="2" t="s">
        <v>87</v>
      </c>
      <c r="C15" s="3" t="s">
        <v>88</v>
      </c>
    </row>
  </sheetData>
  <hyperlinks>
    <hyperlink ref="A3" r:id="rId1" location="integer_type" display="https://cloud.google.com/bigquery/docs/reference/standard-sql/data-types - integer_type" xr:uid="{2C5E9580-7C8C-42D3-A691-BAE987E4DD86}"/>
    <hyperlink ref="A4" r:id="rId2" location="floating_point_types" display="https://cloud.google.com/bigquery/docs/reference/standard-sql/data-types - floating_point_types" xr:uid="{C8FB22A2-F465-4AF7-9A1D-223DD46C64FA}"/>
    <hyperlink ref="A5" r:id="rId3" location="numeric_type" display="https://cloud.google.com/bigquery/docs/reference/standard-sql/data-types - numeric_type" xr:uid="{91B97CB0-F256-435D-9691-609DDF8F1DE1}"/>
    <hyperlink ref="A6" r:id="rId4" location="bignumeric_type" display="https://cloud.google.com/bigquery/docs/reference/standard-sql/data-types - bignumeric_type" xr:uid="{9F4DB9D3-0E2B-4EA2-906A-2B4E7E042865}"/>
    <hyperlink ref="A7" r:id="rId5" location="boolean_type" display="https://cloud.google.com/bigquery/docs/reference/standard-sql/data-types - boolean_type" xr:uid="{996DD404-6BD9-4C44-AEF1-551919690E3B}"/>
    <hyperlink ref="A8" r:id="rId6" location="string_type" display="https://cloud.google.com/bigquery/docs/reference/standard-sql/data-types - string_type" xr:uid="{7637AEC4-6D88-43DE-9316-B4BED271B29B}"/>
    <hyperlink ref="A9" r:id="rId7" location="bytes_type" display="https://cloud.google.com/bigquery/docs/reference/standard-sql/data-types - bytes_type" xr:uid="{CF5713B1-757D-419A-9EDE-4943D2B43592}"/>
    <hyperlink ref="A10" r:id="rId8" location="date_type" display="https://cloud.google.com/bigquery/docs/reference/standard-sql/data-types - date_type" xr:uid="{3BC272EB-1A51-46D4-97B7-684A675347EB}"/>
    <hyperlink ref="A11" r:id="rId9" location="datetime_type" display="https://cloud.google.com/bigquery/docs/reference/standard-sql/data-types - datetime_type" xr:uid="{F2A99577-11E7-46EA-82FA-44E13501AA7E}"/>
    <hyperlink ref="A12" r:id="rId10" location="time_type" display="https://cloud.google.com/bigquery/docs/reference/standard-sql/data-types - time_type" xr:uid="{B51FDBA7-CDAD-4F1F-BF2B-39014BF900CC}"/>
    <hyperlink ref="A13" r:id="rId11" location="timestamp_type" display="https://cloud.google.com/bigquery/docs/reference/standard-sql/data-types - timestamp_type" xr:uid="{54FF9EFE-093C-478D-9FCB-AFE048B86208}"/>
    <hyperlink ref="A14" r:id="rId12" location="struct_type" display="https://cloud.google.com/bigquery/docs/reference/standard-sql/data-types - struct_type" xr:uid="{379743E4-E12F-4F1D-B2B8-15E60C97F85B}"/>
    <hyperlink ref="A15" r:id="rId13" location="geography_type" display="https://cloud.google.com/bigquery/docs/reference/standard-sql/data-types - geography_type" xr:uid="{6A70E86C-E592-4E45-B348-4055B94856FE}"/>
    <hyperlink ref="C15" r:id="rId14" display="http://earth-info.nga.mil/GandG/update/index.php" xr:uid="{3E647F06-69D1-4E8E-A806-83B02A4818FA}"/>
  </hyperlinks>
  <pageMargins left="0.7" right="0.7" top="0.75" bottom="0.75" header="0.3" footer="0.3"/>
  <pageSetup paperSize="9"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FE50-BEB3-43CA-82D4-6F3DE71A53F2}">
  <dimension ref="A1:C107"/>
  <sheetViews>
    <sheetView zoomScaleNormal="100" workbookViewId="0"/>
  </sheetViews>
  <sheetFormatPr defaultColWidth="8.7109375" defaultRowHeight="14.25" x14ac:dyDescent="0.2"/>
  <cols>
    <col min="1" max="1" width="15.85546875" style="29" customWidth="1"/>
    <col min="2" max="2" width="8.7109375" style="29"/>
    <col min="3" max="3" width="28.5703125" style="29" bestFit="1" customWidth="1"/>
    <col min="4" max="16384" width="8.7109375" style="29"/>
  </cols>
  <sheetData>
    <row r="1" spans="1:3" ht="15" x14ac:dyDescent="0.25">
      <c r="A1" s="76" t="s">
        <v>675</v>
      </c>
      <c r="B1" s="76" t="s">
        <v>674</v>
      </c>
      <c r="C1" s="76" t="s">
        <v>673</v>
      </c>
    </row>
    <row r="2" spans="1:3" x14ac:dyDescent="0.2">
      <c r="A2" s="29" t="s">
        <v>671</v>
      </c>
      <c r="B2" s="29">
        <v>1</v>
      </c>
      <c r="C2" s="29" t="s">
        <v>672</v>
      </c>
    </row>
    <row r="3" spans="1:3" x14ac:dyDescent="0.2">
      <c r="A3" s="29" t="s">
        <v>671</v>
      </c>
      <c r="B3" s="29">
        <v>2</v>
      </c>
      <c r="C3" s="29" t="s">
        <v>670</v>
      </c>
    </row>
    <row r="4" spans="1:3" x14ac:dyDescent="0.2">
      <c r="A4" s="29" t="s">
        <v>667</v>
      </c>
      <c r="B4" s="29">
        <v>0</v>
      </c>
      <c r="C4" s="29" t="s">
        <v>578</v>
      </c>
    </row>
    <row r="5" spans="1:3" x14ac:dyDescent="0.2">
      <c r="A5" s="29" t="s">
        <v>667</v>
      </c>
      <c r="B5" s="29">
        <v>1</v>
      </c>
      <c r="C5" s="29" t="s">
        <v>669</v>
      </c>
    </row>
    <row r="6" spans="1:3" x14ac:dyDescent="0.2">
      <c r="A6" s="29" t="s">
        <v>667</v>
      </c>
      <c r="B6" s="29">
        <v>2</v>
      </c>
      <c r="C6" s="29" t="s">
        <v>668</v>
      </c>
    </row>
    <row r="7" spans="1:3" x14ac:dyDescent="0.2">
      <c r="A7" s="29" t="s">
        <v>667</v>
      </c>
      <c r="B7" s="29">
        <v>3</v>
      </c>
      <c r="C7" s="29" t="s">
        <v>666</v>
      </c>
    </row>
    <row r="8" spans="1:3" x14ac:dyDescent="0.2">
      <c r="A8" s="29" t="s">
        <v>667</v>
      </c>
      <c r="B8" s="29">
        <v>7</v>
      </c>
      <c r="C8" s="29" t="s">
        <v>666</v>
      </c>
    </row>
    <row r="9" spans="1:3" x14ac:dyDescent="0.2">
      <c r="A9" s="29" t="s">
        <v>667</v>
      </c>
      <c r="B9" s="29">
        <v>9</v>
      </c>
      <c r="C9" s="29" t="s">
        <v>666</v>
      </c>
    </row>
    <row r="10" spans="1:3" x14ac:dyDescent="0.2">
      <c r="A10" s="29" t="s">
        <v>661</v>
      </c>
      <c r="B10" s="29">
        <v>1</v>
      </c>
      <c r="C10" s="29" t="s">
        <v>665</v>
      </c>
    </row>
    <row r="11" spans="1:3" x14ac:dyDescent="0.2">
      <c r="A11" s="29" t="s">
        <v>661</v>
      </c>
      <c r="B11" s="29">
        <v>2</v>
      </c>
      <c r="C11" s="29" t="s">
        <v>664</v>
      </c>
    </row>
    <row r="12" spans="1:3" x14ac:dyDescent="0.2">
      <c r="A12" s="29" t="s">
        <v>661</v>
      </c>
      <c r="B12" s="29">
        <v>3</v>
      </c>
      <c r="C12" s="29" t="s">
        <v>663</v>
      </c>
    </row>
    <row r="13" spans="1:3" x14ac:dyDescent="0.2">
      <c r="A13" s="29" t="s">
        <v>661</v>
      </c>
      <c r="B13" s="29">
        <v>4</v>
      </c>
      <c r="C13" s="29" t="s">
        <v>662</v>
      </c>
    </row>
    <row r="14" spans="1:3" x14ac:dyDescent="0.2">
      <c r="A14" s="29" t="s">
        <v>661</v>
      </c>
      <c r="B14" s="29">
        <v>5</v>
      </c>
      <c r="C14" s="29" t="s">
        <v>660</v>
      </c>
    </row>
    <row r="15" spans="1:3" x14ac:dyDescent="0.2">
      <c r="A15" s="29" t="s">
        <v>659</v>
      </c>
      <c r="B15" s="29">
        <v>1</v>
      </c>
      <c r="C15" s="29" t="s">
        <v>616</v>
      </c>
    </row>
    <row r="16" spans="1:3" x14ac:dyDescent="0.2">
      <c r="A16" s="29" t="s">
        <v>659</v>
      </c>
      <c r="B16" s="29">
        <v>2</v>
      </c>
      <c r="C16" s="29" t="s">
        <v>615</v>
      </c>
    </row>
    <row r="17" spans="1:3" x14ac:dyDescent="0.2">
      <c r="A17" s="29" t="s">
        <v>657</v>
      </c>
      <c r="B17" s="29">
        <v>0</v>
      </c>
      <c r="C17" s="29" t="s">
        <v>658</v>
      </c>
    </row>
    <row r="18" spans="1:3" x14ac:dyDescent="0.2">
      <c r="A18" s="29" t="s">
        <v>657</v>
      </c>
      <c r="B18" s="29">
        <v>1</v>
      </c>
      <c r="C18" s="29" t="s">
        <v>656</v>
      </c>
    </row>
    <row r="19" spans="1:3" x14ac:dyDescent="0.2">
      <c r="A19" s="29" t="s">
        <v>654</v>
      </c>
      <c r="B19" s="29">
        <v>1</v>
      </c>
      <c r="C19" s="29" t="s">
        <v>655</v>
      </c>
    </row>
    <row r="20" spans="1:3" x14ac:dyDescent="0.2">
      <c r="A20" s="29" t="s">
        <v>654</v>
      </c>
      <c r="B20" s="29">
        <v>2</v>
      </c>
      <c r="C20" s="29" t="s">
        <v>653</v>
      </c>
    </row>
    <row r="21" spans="1:3" x14ac:dyDescent="0.2">
      <c r="A21" s="29" t="s">
        <v>652</v>
      </c>
      <c r="B21" s="29">
        <v>1</v>
      </c>
      <c r="C21" s="29" t="s">
        <v>603</v>
      </c>
    </row>
    <row r="22" spans="1:3" x14ac:dyDescent="0.2">
      <c r="A22" s="29" t="s">
        <v>652</v>
      </c>
      <c r="B22" s="29">
        <v>2</v>
      </c>
      <c r="C22" s="29" t="s">
        <v>602</v>
      </c>
    </row>
    <row r="23" spans="1:3" x14ac:dyDescent="0.2">
      <c r="A23" s="29" t="s">
        <v>652</v>
      </c>
      <c r="B23" s="29">
        <v>3</v>
      </c>
      <c r="C23" s="29" t="s">
        <v>601</v>
      </c>
    </row>
    <row r="24" spans="1:3" x14ac:dyDescent="0.2">
      <c r="A24" s="29" t="s">
        <v>652</v>
      </c>
      <c r="B24" s="29">
        <v>4</v>
      </c>
      <c r="C24" s="29" t="s">
        <v>600</v>
      </c>
    </row>
    <row r="25" spans="1:3" x14ac:dyDescent="0.2">
      <c r="A25" s="29" t="s">
        <v>652</v>
      </c>
      <c r="B25" s="29">
        <v>5</v>
      </c>
      <c r="C25" s="29" t="s">
        <v>599</v>
      </c>
    </row>
    <row r="26" spans="1:3" x14ac:dyDescent="0.2">
      <c r="A26" s="29" t="s">
        <v>652</v>
      </c>
      <c r="B26" s="29">
        <v>6</v>
      </c>
      <c r="C26" s="29" t="s">
        <v>598</v>
      </c>
    </row>
    <row r="27" spans="1:3" x14ac:dyDescent="0.2">
      <c r="A27" s="29" t="s">
        <v>652</v>
      </c>
      <c r="B27" s="29">
        <v>7</v>
      </c>
      <c r="C27" s="29" t="s">
        <v>597</v>
      </c>
    </row>
    <row r="28" spans="1:3" x14ac:dyDescent="0.2">
      <c r="A28" s="29" t="s">
        <v>652</v>
      </c>
      <c r="B28" s="29">
        <v>8</v>
      </c>
      <c r="C28" s="29" t="s">
        <v>596</v>
      </c>
    </row>
    <row r="29" spans="1:3" x14ac:dyDescent="0.2">
      <c r="A29" s="29" t="s">
        <v>652</v>
      </c>
      <c r="B29" s="29">
        <v>9</v>
      </c>
      <c r="C29" s="29" t="s">
        <v>595</v>
      </c>
    </row>
    <row r="30" spans="1:3" x14ac:dyDescent="0.2">
      <c r="A30" s="29" t="s">
        <v>652</v>
      </c>
      <c r="B30" s="29">
        <v>10</v>
      </c>
      <c r="C30" s="29" t="s">
        <v>594</v>
      </c>
    </row>
    <row r="31" spans="1:3" x14ac:dyDescent="0.2">
      <c r="A31" s="29" t="s">
        <v>652</v>
      </c>
      <c r="B31" s="29">
        <v>11</v>
      </c>
      <c r="C31" s="29" t="s">
        <v>593</v>
      </c>
    </row>
    <row r="32" spans="1:3" x14ac:dyDescent="0.2">
      <c r="A32" s="29" t="s">
        <v>652</v>
      </c>
      <c r="B32" s="29">
        <v>12</v>
      </c>
      <c r="C32" s="29" t="s">
        <v>591</v>
      </c>
    </row>
    <row r="33" spans="1:3" x14ac:dyDescent="0.2">
      <c r="A33" s="29" t="s">
        <v>645</v>
      </c>
      <c r="B33" s="29">
        <v>1</v>
      </c>
      <c r="C33" s="29" t="s">
        <v>651</v>
      </c>
    </row>
    <row r="34" spans="1:3" x14ac:dyDescent="0.2">
      <c r="A34" s="29" t="s">
        <v>645</v>
      </c>
      <c r="B34" s="29">
        <v>2</v>
      </c>
      <c r="C34" s="29" t="s">
        <v>650</v>
      </c>
    </row>
    <row r="35" spans="1:3" x14ac:dyDescent="0.2">
      <c r="A35" s="29" t="s">
        <v>645</v>
      </c>
      <c r="B35" s="29">
        <v>3</v>
      </c>
      <c r="C35" s="29" t="s">
        <v>649</v>
      </c>
    </row>
    <row r="36" spans="1:3" x14ac:dyDescent="0.2">
      <c r="A36" s="29" t="s">
        <v>645</v>
      </c>
      <c r="B36" s="29">
        <v>4</v>
      </c>
      <c r="C36" s="29" t="s">
        <v>648</v>
      </c>
    </row>
    <row r="37" spans="1:3" x14ac:dyDescent="0.2">
      <c r="A37" s="29" t="s">
        <v>645</v>
      </c>
      <c r="B37" s="29">
        <v>5</v>
      </c>
      <c r="C37" s="29" t="s">
        <v>647</v>
      </c>
    </row>
    <row r="38" spans="1:3" x14ac:dyDescent="0.2">
      <c r="A38" s="29" t="s">
        <v>645</v>
      </c>
      <c r="B38" s="29">
        <v>6</v>
      </c>
      <c r="C38" s="29" t="s">
        <v>646</v>
      </c>
    </row>
    <row r="39" spans="1:3" x14ac:dyDescent="0.2">
      <c r="A39" s="29" t="s">
        <v>645</v>
      </c>
      <c r="B39" s="29">
        <v>7</v>
      </c>
      <c r="C39" s="29" t="s">
        <v>644</v>
      </c>
    </row>
    <row r="40" spans="1:3" x14ac:dyDescent="0.2">
      <c r="A40" s="29" t="s">
        <v>642</v>
      </c>
      <c r="B40" s="29">
        <v>1</v>
      </c>
      <c r="C40" s="29" t="s">
        <v>643</v>
      </c>
    </row>
    <row r="41" spans="1:3" x14ac:dyDescent="0.2">
      <c r="A41" s="29" t="s">
        <v>642</v>
      </c>
      <c r="B41" s="29">
        <v>2</v>
      </c>
      <c r="C41" s="29" t="s">
        <v>641</v>
      </c>
    </row>
    <row r="42" spans="1:3" x14ac:dyDescent="0.2">
      <c r="A42" s="29" t="s">
        <v>639</v>
      </c>
      <c r="B42" s="29">
        <v>0</v>
      </c>
      <c r="C42" s="29" t="s">
        <v>640</v>
      </c>
    </row>
    <row r="43" spans="1:3" x14ac:dyDescent="0.2">
      <c r="A43" s="29" t="s">
        <v>639</v>
      </c>
      <c r="B43" s="29">
        <v>1</v>
      </c>
      <c r="C43" s="29" t="s">
        <v>638</v>
      </c>
    </row>
    <row r="44" spans="1:3" x14ac:dyDescent="0.2">
      <c r="A44" s="29" t="s">
        <v>635</v>
      </c>
      <c r="B44" s="29">
        <v>1</v>
      </c>
      <c r="C44" s="29" t="s">
        <v>637</v>
      </c>
    </row>
    <row r="45" spans="1:3" x14ac:dyDescent="0.2">
      <c r="A45" s="29" t="s">
        <v>635</v>
      </c>
      <c r="B45" s="29">
        <v>3</v>
      </c>
      <c r="C45" s="29" t="s">
        <v>636</v>
      </c>
    </row>
    <row r="46" spans="1:3" x14ac:dyDescent="0.2">
      <c r="A46" s="29" t="s">
        <v>635</v>
      </c>
      <c r="B46" s="29">
        <v>4</v>
      </c>
      <c r="C46" s="29" t="s">
        <v>634</v>
      </c>
    </row>
    <row r="47" spans="1:3" x14ac:dyDescent="0.2">
      <c r="A47" s="29" t="s">
        <v>630</v>
      </c>
      <c r="B47" s="29">
        <v>1</v>
      </c>
      <c r="C47" s="29" t="s">
        <v>633</v>
      </c>
    </row>
    <row r="48" spans="1:3" x14ac:dyDescent="0.2">
      <c r="A48" s="29" t="s">
        <v>630</v>
      </c>
      <c r="B48" s="29">
        <v>2</v>
      </c>
      <c r="C48" s="29" t="s">
        <v>632</v>
      </c>
    </row>
    <row r="49" spans="1:3" x14ac:dyDescent="0.2">
      <c r="A49" s="29" t="s">
        <v>630</v>
      </c>
      <c r="B49" s="29">
        <v>3</v>
      </c>
      <c r="C49" s="29" t="s">
        <v>631</v>
      </c>
    </row>
    <row r="50" spans="1:3" x14ac:dyDescent="0.2">
      <c r="A50" s="29" t="s">
        <v>630</v>
      </c>
      <c r="B50" s="29">
        <v>4</v>
      </c>
      <c r="C50" s="29" t="s">
        <v>629</v>
      </c>
    </row>
    <row r="51" spans="1:3" x14ac:dyDescent="0.2">
      <c r="A51" s="29" t="s">
        <v>627</v>
      </c>
      <c r="B51" s="29">
        <v>1</v>
      </c>
      <c r="C51" s="29" t="s">
        <v>628</v>
      </c>
    </row>
    <row r="52" spans="1:3" x14ac:dyDescent="0.2">
      <c r="A52" s="29" t="s">
        <v>627</v>
      </c>
      <c r="B52" s="29">
        <v>2</v>
      </c>
      <c r="C52" s="29" t="s">
        <v>626</v>
      </c>
    </row>
    <row r="53" spans="1:3" x14ac:dyDescent="0.2">
      <c r="A53" s="29" t="s">
        <v>623</v>
      </c>
      <c r="B53" s="29">
        <v>1</v>
      </c>
      <c r="C53" s="29" t="s">
        <v>625</v>
      </c>
    </row>
    <row r="54" spans="1:3" x14ac:dyDescent="0.2">
      <c r="A54" s="29" t="s">
        <v>623</v>
      </c>
      <c r="B54" s="29">
        <v>2</v>
      </c>
      <c r="C54" s="29" t="s">
        <v>624</v>
      </c>
    </row>
    <row r="55" spans="1:3" x14ac:dyDescent="0.2">
      <c r="A55" s="29" t="s">
        <v>623</v>
      </c>
      <c r="B55" s="29">
        <v>3</v>
      </c>
      <c r="C55" s="29" t="s">
        <v>622</v>
      </c>
    </row>
    <row r="56" spans="1:3" x14ac:dyDescent="0.2">
      <c r="A56" s="29" t="s">
        <v>473</v>
      </c>
      <c r="B56" s="29">
        <v>1</v>
      </c>
      <c r="C56" s="29" t="s">
        <v>621</v>
      </c>
    </row>
    <row r="57" spans="1:3" x14ac:dyDescent="0.2">
      <c r="A57" s="29" t="s">
        <v>473</v>
      </c>
      <c r="B57" s="29">
        <v>2</v>
      </c>
      <c r="C57" s="29" t="s">
        <v>620</v>
      </c>
    </row>
    <row r="58" spans="1:3" x14ac:dyDescent="0.2">
      <c r="A58" s="29" t="s">
        <v>618</v>
      </c>
      <c r="B58" s="29">
        <v>1</v>
      </c>
      <c r="C58" s="29" t="s">
        <v>619</v>
      </c>
    </row>
    <row r="59" spans="1:3" x14ac:dyDescent="0.2">
      <c r="A59" s="29" t="s">
        <v>618</v>
      </c>
      <c r="B59" s="29">
        <v>2</v>
      </c>
      <c r="C59" s="29" t="s">
        <v>617</v>
      </c>
    </row>
    <row r="60" spans="1:3" x14ac:dyDescent="0.2">
      <c r="A60" s="29" t="s">
        <v>614</v>
      </c>
      <c r="B60" s="29">
        <v>1</v>
      </c>
      <c r="C60" s="29" t="s">
        <v>616</v>
      </c>
    </row>
    <row r="61" spans="1:3" x14ac:dyDescent="0.2">
      <c r="A61" s="29" t="s">
        <v>614</v>
      </c>
      <c r="B61" s="29">
        <v>2</v>
      </c>
      <c r="C61" s="29" t="s">
        <v>615</v>
      </c>
    </row>
    <row r="62" spans="1:3" x14ac:dyDescent="0.2">
      <c r="A62" s="29" t="s">
        <v>614</v>
      </c>
      <c r="B62" s="29">
        <v>3</v>
      </c>
      <c r="C62" s="29" t="s">
        <v>613</v>
      </c>
    </row>
    <row r="63" spans="1:3" x14ac:dyDescent="0.2">
      <c r="A63" s="29" t="s">
        <v>605</v>
      </c>
      <c r="B63" s="29">
        <v>0</v>
      </c>
      <c r="C63" s="29" t="s">
        <v>612</v>
      </c>
    </row>
    <row r="64" spans="1:3" x14ac:dyDescent="0.2">
      <c r="A64" s="29" t="s">
        <v>605</v>
      </c>
      <c r="B64" s="29">
        <v>1</v>
      </c>
      <c r="C64" s="29" t="s">
        <v>611</v>
      </c>
    </row>
    <row r="65" spans="1:3" x14ac:dyDescent="0.2">
      <c r="A65" s="29" t="s">
        <v>605</v>
      </c>
      <c r="B65" s="29">
        <v>2</v>
      </c>
      <c r="C65" s="29" t="s">
        <v>610</v>
      </c>
    </row>
    <row r="66" spans="1:3" x14ac:dyDescent="0.2">
      <c r="A66" s="29" t="s">
        <v>605</v>
      </c>
      <c r="B66" s="29">
        <v>3</v>
      </c>
      <c r="C66" s="29" t="s">
        <v>609</v>
      </c>
    </row>
    <row r="67" spans="1:3" x14ac:dyDescent="0.2">
      <c r="A67" s="29" t="s">
        <v>605</v>
      </c>
      <c r="B67" s="29">
        <v>4</v>
      </c>
      <c r="C67" s="29" t="s">
        <v>608</v>
      </c>
    </row>
    <row r="68" spans="1:3" x14ac:dyDescent="0.2">
      <c r="A68" s="29" t="s">
        <v>605</v>
      </c>
      <c r="B68" s="29">
        <v>5</v>
      </c>
      <c r="C68" s="29" t="s">
        <v>607</v>
      </c>
    </row>
    <row r="69" spans="1:3" x14ac:dyDescent="0.2">
      <c r="A69" s="29" t="s">
        <v>605</v>
      </c>
      <c r="B69" s="29">
        <v>6</v>
      </c>
      <c r="C69" s="29" t="s">
        <v>606</v>
      </c>
    </row>
    <row r="70" spans="1:3" x14ac:dyDescent="0.2">
      <c r="A70" s="29" t="s">
        <v>605</v>
      </c>
      <c r="B70" s="29">
        <v>7</v>
      </c>
      <c r="C70" s="29" t="s">
        <v>604</v>
      </c>
    </row>
    <row r="71" spans="1:3" x14ac:dyDescent="0.2">
      <c r="A71" s="29" t="s">
        <v>592</v>
      </c>
      <c r="B71" s="29">
        <v>1</v>
      </c>
      <c r="C71" s="29" t="s">
        <v>603</v>
      </c>
    </row>
    <row r="72" spans="1:3" x14ac:dyDescent="0.2">
      <c r="A72" s="29" t="s">
        <v>592</v>
      </c>
      <c r="B72" s="29">
        <v>2</v>
      </c>
      <c r="C72" s="29" t="s">
        <v>602</v>
      </c>
    </row>
    <row r="73" spans="1:3" x14ac:dyDescent="0.2">
      <c r="A73" s="29" t="s">
        <v>592</v>
      </c>
      <c r="B73" s="29">
        <v>3</v>
      </c>
      <c r="C73" s="29" t="s">
        <v>601</v>
      </c>
    </row>
    <row r="74" spans="1:3" x14ac:dyDescent="0.2">
      <c r="A74" s="29" t="s">
        <v>592</v>
      </c>
      <c r="B74" s="29">
        <v>4</v>
      </c>
      <c r="C74" s="29" t="s">
        <v>600</v>
      </c>
    </row>
    <row r="75" spans="1:3" x14ac:dyDescent="0.2">
      <c r="A75" s="29" t="s">
        <v>592</v>
      </c>
      <c r="B75" s="29">
        <v>5</v>
      </c>
      <c r="C75" s="29" t="s">
        <v>599</v>
      </c>
    </row>
    <row r="76" spans="1:3" x14ac:dyDescent="0.2">
      <c r="A76" s="29" t="s">
        <v>592</v>
      </c>
      <c r="B76" s="29">
        <v>6</v>
      </c>
      <c r="C76" s="29" t="s">
        <v>598</v>
      </c>
    </row>
    <row r="77" spans="1:3" x14ac:dyDescent="0.2">
      <c r="A77" s="29" t="s">
        <v>592</v>
      </c>
      <c r="B77" s="29">
        <v>7</v>
      </c>
      <c r="C77" s="29" t="s">
        <v>597</v>
      </c>
    </row>
    <row r="78" spans="1:3" x14ac:dyDescent="0.2">
      <c r="A78" s="29" t="s">
        <v>592</v>
      </c>
      <c r="B78" s="29">
        <v>8</v>
      </c>
      <c r="C78" s="29" t="s">
        <v>596</v>
      </c>
    </row>
    <row r="79" spans="1:3" x14ac:dyDescent="0.2">
      <c r="A79" s="29" t="s">
        <v>592</v>
      </c>
      <c r="B79" s="29">
        <v>9</v>
      </c>
      <c r="C79" s="29" t="s">
        <v>595</v>
      </c>
    </row>
    <row r="80" spans="1:3" x14ac:dyDescent="0.2">
      <c r="A80" s="29" t="s">
        <v>592</v>
      </c>
      <c r="B80" s="29">
        <v>10</v>
      </c>
      <c r="C80" s="29" t="s">
        <v>594</v>
      </c>
    </row>
    <row r="81" spans="1:3" x14ac:dyDescent="0.2">
      <c r="A81" s="29" t="s">
        <v>592</v>
      </c>
      <c r="B81" s="29">
        <v>11</v>
      </c>
      <c r="C81" s="29" t="s">
        <v>593</v>
      </c>
    </row>
    <row r="82" spans="1:3" x14ac:dyDescent="0.2">
      <c r="A82" s="29" t="s">
        <v>592</v>
      </c>
      <c r="B82" s="29">
        <v>12</v>
      </c>
      <c r="C82" s="29" t="s">
        <v>591</v>
      </c>
    </row>
    <row r="83" spans="1:3" x14ac:dyDescent="0.2">
      <c r="A83" s="29" t="s">
        <v>590</v>
      </c>
      <c r="B83" s="29">
        <v>0</v>
      </c>
      <c r="C83" s="29" t="s">
        <v>578</v>
      </c>
    </row>
    <row r="84" spans="1:3" x14ac:dyDescent="0.2">
      <c r="A84" s="29" t="s">
        <v>590</v>
      </c>
      <c r="B84" s="29">
        <v>1</v>
      </c>
      <c r="C84" s="29" t="s">
        <v>577</v>
      </c>
    </row>
    <row r="85" spans="1:3" x14ac:dyDescent="0.2">
      <c r="A85" s="29" t="s">
        <v>590</v>
      </c>
      <c r="B85" s="29">
        <v>2</v>
      </c>
      <c r="C85" s="29" t="s">
        <v>575</v>
      </c>
    </row>
    <row r="86" spans="1:3" x14ac:dyDescent="0.2">
      <c r="A86" s="29" t="s">
        <v>589</v>
      </c>
      <c r="B86" s="29">
        <v>0</v>
      </c>
      <c r="C86" s="29" t="s">
        <v>578</v>
      </c>
    </row>
    <row r="87" spans="1:3" x14ac:dyDescent="0.2">
      <c r="A87" s="29" t="s">
        <v>589</v>
      </c>
      <c r="B87" s="29">
        <v>1</v>
      </c>
      <c r="C87" s="29" t="s">
        <v>577</v>
      </c>
    </row>
    <row r="88" spans="1:3" x14ac:dyDescent="0.2">
      <c r="A88" s="29" t="s">
        <v>589</v>
      </c>
      <c r="B88" s="29">
        <v>2</v>
      </c>
      <c r="C88" s="29" t="s">
        <v>575</v>
      </c>
    </row>
    <row r="89" spans="1:3" x14ac:dyDescent="0.2">
      <c r="A89" s="29" t="s">
        <v>587</v>
      </c>
      <c r="B89" s="29">
        <v>1</v>
      </c>
      <c r="C89" s="29" t="s">
        <v>588</v>
      </c>
    </row>
    <row r="90" spans="1:3" x14ac:dyDescent="0.2">
      <c r="A90" s="29" t="s">
        <v>587</v>
      </c>
      <c r="B90" s="29">
        <v>2</v>
      </c>
      <c r="C90" s="29" t="s">
        <v>586</v>
      </c>
    </row>
    <row r="91" spans="1:3" x14ac:dyDescent="0.2">
      <c r="A91" s="29" t="s">
        <v>584</v>
      </c>
      <c r="B91" s="29">
        <v>1</v>
      </c>
      <c r="C91" s="29" t="s">
        <v>585</v>
      </c>
    </row>
    <row r="92" spans="1:3" x14ac:dyDescent="0.2">
      <c r="A92" s="29" t="s">
        <v>584</v>
      </c>
      <c r="B92" s="29">
        <v>2</v>
      </c>
      <c r="C92" s="29" t="s">
        <v>583</v>
      </c>
    </row>
    <row r="93" spans="1:3" x14ac:dyDescent="0.2">
      <c r="A93" s="29" t="s">
        <v>581</v>
      </c>
      <c r="B93" s="29">
        <v>1</v>
      </c>
      <c r="C93" s="29" t="s">
        <v>582</v>
      </c>
    </row>
    <row r="94" spans="1:3" x14ac:dyDescent="0.2">
      <c r="A94" s="29" t="s">
        <v>581</v>
      </c>
      <c r="B94" s="29">
        <v>2</v>
      </c>
      <c r="C94" s="29" t="s">
        <v>580</v>
      </c>
    </row>
    <row r="95" spans="1:3" x14ac:dyDescent="0.2">
      <c r="A95" s="29" t="s">
        <v>579</v>
      </c>
      <c r="B95" s="29">
        <v>1</v>
      </c>
      <c r="C95" s="29" t="s">
        <v>577</v>
      </c>
    </row>
    <row r="96" spans="1:3" x14ac:dyDescent="0.2">
      <c r="A96" s="29" t="s">
        <v>579</v>
      </c>
      <c r="B96" s="29">
        <v>2</v>
      </c>
      <c r="C96" s="29" t="s">
        <v>575</v>
      </c>
    </row>
    <row r="97" spans="1:3" x14ac:dyDescent="0.2">
      <c r="A97" s="29" t="s">
        <v>576</v>
      </c>
      <c r="B97" s="29">
        <v>0</v>
      </c>
      <c r="C97" s="29" t="s">
        <v>578</v>
      </c>
    </row>
    <row r="98" spans="1:3" x14ac:dyDescent="0.2">
      <c r="A98" s="29" t="s">
        <v>576</v>
      </c>
      <c r="B98" s="29">
        <v>1</v>
      </c>
      <c r="C98" s="29" t="s">
        <v>577</v>
      </c>
    </row>
    <row r="99" spans="1:3" x14ac:dyDescent="0.2">
      <c r="A99" s="29" t="s">
        <v>576</v>
      </c>
      <c r="B99" s="29">
        <v>2</v>
      </c>
      <c r="C99" s="29" t="s">
        <v>575</v>
      </c>
    </row>
    <row r="100" spans="1:3" x14ac:dyDescent="0.2">
      <c r="A100" s="29" t="s">
        <v>573</v>
      </c>
      <c r="B100" s="29">
        <v>1</v>
      </c>
      <c r="C100" s="29" t="s">
        <v>574</v>
      </c>
    </row>
    <row r="101" spans="1:3" x14ac:dyDescent="0.2">
      <c r="A101" s="29" t="s">
        <v>573</v>
      </c>
      <c r="B101" s="29">
        <v>2</v>
      </c>
      <c r="C101" s="29" t="s">
        <v>572</v>
      </c>
    </row>
    <row r="102" spans="1:3" x14ac:dyDescent="0.2">
      <c r="A102" s="30" t="s">
        <v>570</v>
      </c>
      <c r="B102" s="29">
        <v>1</v>
      </c>
      <c r="C102" s="29" t="s">
        <v>571</v>
      </c>
    </row>
    <row r="103" spans="1:3" x14ac:dyDescent="0.2">
      <c r="A103" s="30" t="s">
        <v>570</v>
      </c>
      <c r="B103" s="29">
        <v>2</v>
      </c>
      <c r="C103" s="29" t="s">
        <v>569</v>
      </c>
    </row>
    <row r="104" spans="1:3" x14ac:dyDescent="0.2">
      <c r="A104" s="29" t="s">
        <v>498</v>
      </c>
      <c r="B104" s="29">
        <v>0</v>
      </c>
      <c r="C104" s="29" t="s">
        <v>568</v>
      </c>
    </row>
    <row r="105" spans="1:3" x14ac:dyDescent="0.2">
      <c r="A105" s="29" t="s">
        <v>498</v>
      </c>
      <c r="B105" s="29">
        <v>1</v>
      </c>
      <c r="C105" s="30" t="s">
        <v>567</v>
      </c>
    </row>
    <row r="106" spans="1:3" x14ac:dyDescent="0.2">
      <c r="A106" s="29" t="s">
        <v>498</v>
      </c>
      <c r="B106" s="29">
        <v>2</v>
      </c>
      <c r="C106" s="30" t="s">
        <v>566</v>
      </c>
    </row>
    <row r="107" spans="1:3" x14ac:dyDescent="0.2">
      <c r="A107" s="29" t="s">
        <v>498</v>
      </c>
      <c r="B107" s="29">
        <v>3</v>
      </c>
      <c r="C107" s="29"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7CC3-9460-4CB4-8CFC-D3C8E36F7681}">
  <dimension ref="A1:C809"/>
  <sheetViews>
    <sheetView workbookViewId="0"/>
  </sheetViews>
  <sheetFormatPr defaultRowHeight="15" x14ac:dyDescent="0.25"/>
  <cols>
    <col min="1" max="1" width="30.140625" bestFit="1" customWidth="1"/>
    <col min="2" max="2" width="13.85546875" style="31" customWidth="1"/>
    <col min="3" max="3" width="97.5703125" customWidth="1"/>
  </cols>
  <sheetData>
    <row r="1" spans="1:3" x14ac:dyDescent="0.25">
      <c r="A1" s="77" t="s">
        <v>675</v>
      </c>
      <c r="B1" s="78" t="s">
        <v>674</v>
      </c>
      <c r="C1" s="77" t="s">
        <v>673</v>
      </c>
    </row>
    <row r="2" spans="1:3" x14ac:dyDescent="0.25">
      <c r="A2" s="23" t="s">
        <v>1575</v>
      </c>
      <c r="B2" s="34">
        <v>2</v>
      </c>
      <c r="C2" s="23" t="s">
        <v>1578</v>
      </c>
    </row>
    <row r="3" spans="1:3" x14ac:dyDescent="0.25">
      <c r="A3" s="23" t="s">
        <v>1575</v>
      </c>
      <c r="B3" s="34">
        <v>3</v>
      </c>
      <c r="C3" s="23" t="s">
        <v>1577</v>
      </c>
    </row>
    <row r="4" spans="1:3" x14ac:dyDescent="0.25">
      <c r="A4" s="23" t="s">
        <v>1575</v>
      </c>
      <c r="B4" s="34">
        <v>4</v>
      </c>
      <c r="C4" s="23" t="s">
        <v>1576</v>
      </c>
    </row>
    <row r="5" spans="1:3" x14ac:dyDescent="0.25">
      <c r="A5" s="23" t="s">
        <v>1575</v>
      </c>
      <c r="B5" s="34">
        <v>5</v>
      </c>
      <c r="C5" s="23" t="s">
        <v>1574</v>
      </c>
    </row>
    <row r="6" spans="1:3" x14ac:dyDescent="0.25">
      <c r="A6" s="23" t="s">
        <v>3635</v>
      </c>
      <c r="B6" s="34">
        <v>1</v>
      </c>
      <c r="C6" s="23" t="s">
        <v>1573</v>
      </c>
    </row>
    <row r="7" spans="1:3" x14ac:dyDescent="0.25">
      <c r="A7" s="23" t="s">
        <v>3635</v>
      </c>
      <c r="B7" s="34">
        <v>2</v>
      </c>
      <c r="C7" s="23" t="s">
        <v>1572</v>
      </c>
    </row>
    <row r="8" spans="1:3" x14ac:dyDescent="0.25">
      <c r="A8" s="23" t="s">
        <v>3636</v>
      </c>
      <c r="B8" s="34">
        <v>0</v>
      </c>
      <c r="C8" s="23" t="s">
        <v>1571</v>
      </c>
    </row>
    <row r="9" spans="1:3" x14ac:dyDescent="0.25">
      <c r="A9" s="23" t="s">
        <v>3636</v>
      </c>
      <c r="B9" s="34">
        <v>1</v>
      </c>
      <c r="C9" s="23" t="s">
        <v>1570</v>
      </c>
    </row>
    <row r="10" spans="1:3" x14ac:dyDescent="0.25">
      <c r="A10" s="23" t="s">
        <v>1563</v>
      </c>
      <c r="B10" s="34">
        <v>1</v>
      </c>
      <c r="C10" s="23" t="s">
        <v>1569</v>
      </c>
    </row>
    <row r="11" spans="1:3" x14ac:dyDescent="0.25">
      <c r="A11" s="23" t="s">
        <v>1563</v>
      </c>
      <c r="B11" s="34">
        <v>2</v>
      </c>
      <c r="C11" s="23" t="s">
        <v>1568</v>
      </c>
    </row>
    <row r="12" spans="1:3" x14ac:dyDescent="0.25">
      <c r="A12" s="23" t="s">
        <v>1563</v>
      </c>
      <c r="B12" s="34">
        <v>3</v>
      </c>
      <c r="C12" s="23" t="s">
        <v>1567</v>
      </c>
    </row>
    <row r="13" spans="1:3" x14ac:dyDescent="0.25">
      <c r="A13" s="23" t="s">
        <v>1563</v>
      </c>
      <c r="B13" s="34">
        <v>4</v>
      </c>
      <c r="C13" s="23" t="s">
        <v>1566</v>
      </c>
    </row>
    <row r="14" spans="1:3" x14ac:dyDescent="0.25">
      <c r="A14" s="23" t="s">
        <v>1563</v>
      </c>
      <c r="B14" s="34">
        <v>5</v>
      </c>
      <c r="C14" s="23" t="s">
        <v>1565</v>
      </c>
    </row>
    <row r="15" spans="1:3" x14ac:dyDescent="0.25">
      <c r="A15" s="23" t="s">
        <v>1563</v>
      </c>
      <c r="B15" s="34">
        <v>6</v>
      </c>
      <c r="C15" s="23" t="s">
        <v>1564</v>
      </c>
    </row>
    <row r="16" spans="1:3" x14ac:dyDescent="0.25">
      <c r="A16" s="23" t="s">
        <v>1563</v>
      </c>
      <c r="B16" s="34">
        <v>7</v>
      </c>
      <c r="C16" s="23" t="s">
        <v>1562</v>
      </c>
    </row>
    <row r="17" spans="1:3" x14ac:dyDescent="0.25">
      <c r="A17" s="23" t="s">
        <v>1541</v>
      </c>
      <c r="B17" s="34">
        <v>1</v>
      </c>
      <c r="C17" s="23" t="s">
        <v>1561</v>
      </c>
    </row>
    <row r="18" spans="1:3" x14ac:dyDescent="0.25">
      <c r="A18" s="23" t="s">
        <v>1541</v>
      </c>
      <c r="B18" s="34">
        <v>2</v>
      </c>
      <c r="C18" s="23" t="s">
        <v>1560</v>
      </c>
    </row>
    <row r="19" spans="1:3" x14ac:dyDescent="0.25">
      <c r="A19" s="23" t="s">
        <v>1541</v>
      </c>
      <c r="B19" s="34">
        <v>3</v>
      </c>
      <c r="C19" s="23" t="s">
        <v>1559</v>
      </c>
    </row>
    <row r="20" spans="1:3" x14ac:dyDescent="0.25">
      <c r="A20" s="23" t="s">
        <v>1541</v>
      </c>
      <c r="B20" s="34">
        <v>4</v>
      </c>
      <c r="C20" s="23" t="s">
        <v>1558</v>
      </c>
    </row>
    <row r="21" spans="1:3" x14ac:dyDescent="0.25">
      <c r="A21" s="23" t="s">
        <v>1541</v>
      </c>
      <c r="B21" s="34">
        <v>5</v>
      </c>
      <c r="C21" s="23" t="s">
        <v>1557</v>
      </c>
    </row>
    <row r="22" spans="1:3" x14ac:dyDescent="0.25">
      <c r="A22" s="23" t="s">
        <v>1541</v>
      </c>
      <c r="B22" s="34">
        <v>6</v>
      </c>
      <c r="C22" s="23" t="s">
        <v>1556</v>
      </c>
    </row>
    <row r="23" spans="1:3" x14ac:dyDescent="0.25">
      <c r="A23" s="23" t="s">
        <v>1541</v>
      </c>
      <c r="B23" s="34">
        <v>7</v>
      </c>
      <c r="C23" s="23" t="s">
        <v>1555</v>
      </c>
    </row>
    <row r="24" spans="1:3" x14ac:dyDescent="0.25">
      <c r="A24" s="23" t="s">
        <v>1541</v>
      </c>
      <c r="B24" s="34">
        <v>8</v>
      </c>
      <c r="C24" s="23" t="s">
        <v>1554</v>
      </c>
    </row>
    <row r="25" spans="1:3" x14ac:dyDescent="0.25">
      <c r="A25" s="23" t="s">
        <v>1541</v>
      </c>
      <c r="B25" s="34">
        <v>9</v>
      </c>
      <c r="C25" s="23" t="s">
        <v>1553</v>
      </c>
    </row>
    <row r="26" spans="1:3" x14ac:dyDescent="0.25">
      <c r="A26" s="23" t="s">
        <v>1541</v>
      </c>
      <c r="B26" s="34">
        <v>10</v>
      </c>
      <c r="C26" s="23" t="s">
        <v>1552</v>
      </c>
    </row>
    <row r="27" spans="1:3" x14ac:dyDescent="0.25">
      <c r="A27" s="23" t="s">
        <v>1541</v>
      </c>
      <c r="B27" s="34">
        <v>11</v>
      </c>
      <c r="C27" s="23" t="s">
        <v>1551</v>
      </c>
    </row>
    <row r="28" spans="1:3" x14ac:dyDescent="0.25">
      <c r="A28" s="23" t="s">
        <v>1541</v>
      </c>
      <c r="B28" s="34">
        <v>12</v>
      </c>
      <c r="C28" s="23" t="s">
        <v>1550</v>
      </c>
    </row>
    <row r="29" spans="1:3" x14ac:dyDescent="0.25">
      <c r="A29" s="23" t="s">
        <v>1541</v>
      </c>
      <c r="B29" s="34">
        <v>13</v>
      </c>
      <c r="C29" s="23" t="s">
        <v>1549</v>
      </c>
    </row>
    <row r="30" spans="1:3" x14ac:dyDescent="0.25">
      <c r="A30" s="23" t="s">
        <v>1541</v>
      </c>
      <c r="B30" s="34">
        <v>14</v>
      </c>
      <c r="C30" s="23" t="s">
        <v>1548</v>
      </c>
    </row>
    <row r="31" spans="1:3" x14ac:dyDescent="0.25">
      <c r="A31" s="23" t="s">
        <v>1541</v>
      </c>
      <c r="B31" s="34">
        <v>15</v>
      </c>
      <c r="C31" s="23" t="s">
        <v>1547</v>
      </c>
    </row>
    <row r="32" spans="1:3" x14ac:dyDescent="0.25">
      <c r="A32" s="23" t="s">
        <v>1541</v>
      </c>
      <c r="B32" s="34">
        <v>16</v>
      </c>
      <c r="C32" s="23" t="s">
        <v>1546</v>
      </c>
    </row>
    <row r="33" spans="1:3" x14ac:dyDescent="0.25">
      <c r="A33" s="23" t="s">
        <v>1541</v>
      </c>
      <c r="B33" s="34">
        <v>17</v>
      </c>
      <c r="C33" s="23" t="s">
        <v>1545</v>
      </c>
    </row>
    <row r="34" spans="1:3" x14ac:dyDescent="0.25">
      <c r="A34" s="23" t="s">
        <v>1541</v>
      </c>
      <c r="B34" s="34">
        <v>18</v>
      </c>
      <c r="C34" s="23" t="s">
        <v>1544</v>
      </c>
    </row>
    <row r="35" spans="1:3" x14ac:dyDescent="0.25">
      <c r="A35" s="23" t="s">
        <v>1541</v>
      </c>
      <c r="B35" s="34">
        <v>19</v>
      </c>
      <c r="C35" s="23" t="s">
        <v>1543</v>
      </c>
    </row>
    <row r="36" spans="1:3" x14ac:dyDescent="0.25">
      <c r="A36" s="23" t="s">
        <v>1541</v>
      </c>
      <c r="B36" s="34">
        <v>20</v>
      </c>
      <c r="C36" s="23" t="s">
        <v>1542</v>
      </c>
    </row>
    <row r="37" spans="1:3" x14ac:dyDescent="0.25">
      <c r="A37" s="23" t="s">
        <v>1541</v>
      </c>
      <c r="B37" s="34">
        <v>21</v>
      </c>
      <c r="C37" s="23" t="s">
        <v>1540</v>
      </c>
    </row>
    <row r="38" spans="1:3" x14ac:dyDescent="0.25">
      <c r="A38" s="23" t="s">
        <v>1537</v>
      </c>
      <c r="B38" s="35" t="s">
        <v>1539</v>
      </c>
      <c r="C38" s="23" t="s">
        <v>1538</v>
      </c>
    </row>
    <row r="39" spans="1:3" x14ac:dyDescent="0.25">
      <c r="A39" s="23" t="s">
        <v>1537</v>
      </c>
      <c r="B39" s="34">
        <v>116</v>
      </c>
      <c r="C39" s="23" t="s">
        <v>1536</v>
      </c>
    </row>
    <row r="40" spans="1:3" x14ac:dyDescent="0.25">
      <c r="A40" s="23" t="s">
        <v>1531</v>
      </c>
      <c r="B40" s="34">
        <v>10000000</v>
      </c>
      <c r="C40" s="23" t="s">
        <v>1133</v>
      </c>
    </row>
    <row r="41" spans="1:3" x14ac:dyDescent="0.25">
      <c r="A41" s="23" t="s">
        <v>1531</v>
      </c>
      <c r="B41" s="34">
        <v>1000000</v>
      </c>
      <c r="C41" s="23" t="s">
        <v>1132</v>
      </c>
    </row>
    <row r="42" spans="1:3" x14ac:dyDescent="0.25">
      <c r="A42" s="23" t="s">
        <v>1531</v>
      </c>
      <c r="B42" s="34">
        <v>100000</v>
      </c>
      <c r="C42" s="23" t="s">
        <v>1535</v>
      </c>
    </row>
    <row r="43" spans="1:3" x14ac:dyDescent="0.25">
      <c r="A43" s="23" t="s">
        <v>1531</v>
      </c>
      <c r="B43" s="34">
        <v>10000</v>
      </c>
      <c r="C43" s="23" t="s">
        <v>1534</v>
      </c>
    </row>
    <row r="44" spans="1:3" x14ac:dyDescent="0.25">
      <c r="A44" s="23" t="s">
        <v>1531</v>
      </c>
      <c r="B44" s="34">
        <v>1000</v>
      </c>
      <c r="C44" s="23" t="s">
        <v>1533</v>
      </c>
    </row>
    <row r="45" spans="1:3" x14ac:dyDescent="0.25">
      <c r="A45" s="23" t="s">
        <v>1531</v>
      </c>
      <c r="B45" s="34">
        <v>100</v>
      </c>
      <c r="C45" s="23" t="s">
        <v>1532</v>
      </c>
    </row>
    <row r="46" spans="1:3" x14ac:dyDescent="0.25">
      <c r="A46" s="23" t="s">
        <v>1531</v>
      </c>
      <c r="B46" s="34">
        <v>10</v>
      </c>
      <c r="C46" s="23" t="s">
        <v>1131</v>
      </c>
    </row>
    <row r="47" spans="1:3" x14ac:dyDescent="0.25">
      <c r="A47" s="23" t="s">
        <v>1531</v>
      </c>
      <c r="B47" s="34">
        <v>1</v>
      </c>
      <c r="C47" s="23" t="s">
        <v>1126</v>
      </c>
    </row>
    <row r="48" spans="1:3" x14ac:dyDescent="0.25">
      <c r="A48" s="23" t="s">
        <v>1531</v>
      </c>
      <c r="B48" s="35" t="s">
        <v>90</v>
      </c>
      <c r="C48" s="23"/>
    </row>
    <row r="49" spans="1:3" x14ac:dyDescent="0.25">
      <c r="A49" s="23" t="s">
        <v>3637</v>
      </c>
      <c r="B49" s="34">
        <v>1</v>
      </c>
      <c r="C49" s="23" t="s">
        <v>1092</v>
      </c>
    </row>
    <row r="50" spans="1:3" x14ac:dyDescent="0.25">
      <c r="A50" s="23" t="s">
        <v>3637</v>
      </c>
      <c r="B50" s="34">
        <v>2</v>
      </c>
      <c r="C50" s="23" t="s">
        <v>1530</v>
      </c>
    </row>
    <row r="51" spans="1:3" x14ac:dyDescent="0.25">
      <c r="A51" s="23" t="s">
        <v>3637</v>
      </c>
      <c r="B51" s="34">
        <v>3</v>
      </c>
      <c r="C51" s="23" t="s">
        <v>1529</v>
      </c>
    </row>
    <row r="52" spans="1:3" x14ac:dyDescent="0.25">
      <c r="A52" s="23" t="s">
        <v>1528</v>
      </c>
      <c r="B52" s="34">
        <v>1</v>
      </c>
      <c r="C52" s="23" t="s">
        <v>1094</v>
      </c>
    </row>
    <row r="53" spans="1:3" x14ac:dyDescent="0.25">
      <c r="A53" s="23" t="s">
        <v>1528</v>
      </c>
      <c r="B53" s="34">
        <v>2</v>
      </c>
      <c r="C53" s="23" t="s">
        <v>1092</v>
      </c>
    </row>
    <row r="54" spans="1:3" x14ac:dyDescent="0.25">
      <c r="A54" s="23" t="s">
        <v>1526</v>
      </c>
      <c r="B54" s="34">
        <v>0</v>
      </c>
      <c r="C54" s="23" t="s">
        <v>1527</v>
      </c>
    </row>
    <row r="55" spans="1:3" x14ac:dyDescent="0.25">
      <c r="A55" s="23" t="s">
        <v>1526</v>
      </c>
      <c r="B55" s="34">
        <v>1</v>
      </c>
      <c r="C55" s="23" t="s">
        <v>1525</v>
      </c>
    </row>
    <row r="56" spans="1:3" x14ac:dyDescent="0.25">
      <c r="A56" s="23" t="s">
        <v>1519</v>
      </c>
      <c r="B56" s="34">
        <v>1</v>
      </c>
      <c r="C56" s="23" t="s">
        <v>1524</v>
      </c>
    </row>
    <row r="57" spans="1:3" x14ac:dyDescent="0.25">
      <c r="A57" s="23" t="s">
        <v>1519</v>
      </c>
      <c r="B57" s="34">
        <v>2</v>
      </c>
      <c r="C57" s="23" t="s">
        <v>1523</v>
      </c>
    </row>
    <row r="58" spans="1:3" x14ac:dyDescent="0.25">
      <c r="A58" s="23" t="s">
        <v>1519</v>
      </c>
      <c r="B58" s="34">
        <v>3</v>
      </c>
      <c r="C58" s="23" t="s">
        <v>1522</v>
      </c>
    </row>
    <row r="59" spans="1:3" x14ac:dyDescent="0.25">
      <c r="A59" s="23" t="s">
        <v>1519</v>
      </c>
      <c r="B59" s="34">
        <v>4</v>
      </c>
      <c r="C59" s="23" t="s">
        <v>1521</v>
      </c>
    </row>
    <row r="60" spans="1:3" x14ac:dyDescent="0.25">
      <c r="A60" s="23" t="s">
        <v>1519</v>
      </c>
      <c r="B60" s="34">
        <v>5</v>
      </c>
      <c r="C60" s="23" t="s">
        <v>1520</v>
      </c>
    </row>
    <row r="61" spans="1:3" x14ac:dyDescent="0.25">
      <c r="A61" s="23" t="s">
        <v>1519</v>
      </c>
      <c r="B61" s="34">
        <v>6</v>
      </c>
      <c r="C61" s="23" t="s">
        <v>1518</v>
      </c>
    </row>
    <row r="62" spans="1:3" x14ac:dyDescent="0.25">
      <c r="A62" s="23" t="s">
        <v>1510</v>
      </c>
      <c r="B62" s="34">
        <v>0</v>
      </c>
      <c r="C62" s="23" t="s">
        <v>1517</v>
      </c>
    </row>
    <row r="63" spans="1:3" x14ac:dyDescent="0.25">
      <c r="A63" s="23" t="s">
        <v>1510</v>
      </c>
      <c r="B63" s="34">
        <v>1</v>
      </c>
      <c r="C63" s="23" t="s">
        <v>1516</v>
      </c>
    </row>
    <row r="64" spans="1:3" x14ac:dyDescent="0.25">
      <c r="A64" s="23" t="s">
        <v>1510</v>
      </c>
      <c r="B64" s="34">
        <v>2</v>
      </c>
      <c r="C64" s="23" t="s">
        <v>1515</v>
      </c>
    </row>
    <row r="65" spans="1:3" x14ac:dyDescent="0.25">
      <c r="A65" s="23" t="s">
        <v>1510</v>
      </c>
      <c r="B65" s="34">
        <v>3</v>
      </c>
      <c r="C65" s="23" t="s">
        <v>1514</v>
      </c>
    </row>
    <row r="66" spans="1:3" x14ac:dyDescent="0.25">
      <c r="A66" s="23" t="s">
        <v>1510</v>
      </c>
      <c r="B66" s="34">
        <v>4</v>
      </c>
      <c r="C66" s="23" t="s">
        <v>1513</v>
      </c>
    </row>
    <row r="67" spans="1:3" x14ac:dyDescent="0.25">
      <c r="A67" s="23" t="s">
        <v>1510</v>
      </c>
      <c r="B67" s="34">
        <v>5</v>
      </c>
      <c r="C67" s="23" t="s">
        <v>1512</v>
      </c>
    </row>
    <row r="68" spans="1:3" x14ac:dyDescent="0.25">
      <c r="A68" s="23" t="s">
        <v>1510</v>
      </c>
      <c r="B68" s="34">
        <v>6</v>
      </c>
      <c r="C68" s="23" t="s">
        <v>1511</v>
      </c>
    </row>
    <row r="69" spans="1:3" x14ac:dyDescent="0.25">
      <c r="A69" s="23" t="s">
        <v>1510</v>
      </c>
      <c r="B69" s="34">
        <v>7</v>
      </c>
      <c r="C69" s="23" t="s">
        <v>1509</v>
      </c>
    </row>
    <row r="70" spans="1:3" x14ac:dyDescent="0.25">
      <c r="A70" s="23" t="s">
        <v>1507</v>
      </c>
      <c r="B70" s="34">
        <v>0</v>
      </c>
      <c r="C70" s="23" t="s">
        <v>1508</v>
      </c>
    </row>
    <row r="71" spans="1:3" x14ac:dyDescent="0.25">
      <c r="A71" s="23" t="s">
        <v>1507</v>
      </c>
      <c r="B71" s="34">
        <v>1</v>
      </c>
      <c r="C71" s="23" t="s">
        <v>1506</v>
      </c>
    </row>
    <row r="72" spans="1:3" x14ac:dyDescent="0.25">
      <c r="A72" s="23" t="s">
        <v>1502</v>
      </c>
      <c r="B72" s="34">
        <v>1</v>
      </c>
      <c r="C72" s="23" t="s">
        <v>1505</v>
      </c>
    </row>
    <row r="73" spans="1:3" x14ac:dyDescent="0.25">
      <c r="A73" s="23" t="s">
        <v>1502</v>
      </c>
      <c r="B73" s="34">
        <v>2</v>
      </c>
      <c r="C73" s="23" t="s">
        <v>1504</v>
      </c>
    </row>
    <row r="74" spans="1:3" x14ac:dyDescent="0.25">
      <c r="A74" s="23" t="s">
        <v>1502</v>
      </c>
      <c r="B74" s="34">
        <v>3</v>
      </c>
      <c r="C74" s="23" t="s">
        <v>1503</v>
      </c>
    </row>
    <row r="75" spans="1:3" x14ac:dyDescent="0.25">
      <c r="A75" s="23" t="s">
        <v>1502</v>
      </c>
      <c r="B75" s="34">
        <v>4</v>
      </c>
      <c r="C75" s="23" t="s">
        <v>1501</v>
      </c>
    </row>
    <row r="76" spans="1:3" x14ac:dyDescent="0.25">
      <c r="A76" s="23" t="s">
        <v>1500</v>
      </c>
      <c r="B76" s="35" t="s">
        <v>1499</v>
      </c>
      <c r="C76" s="23" t="s">
        <v>1498</v>
      </c>
    </row>
    <row r="77" spans="1:3" x14ac:dyDescent="0.25">
      <c r="A77" s="23" t="s">
        <v>1493</v>
      </c>
      <c r="B77" s="34">
        <v>10000</v>
      </c>
      <c r="C77" s="23" t="s">
        <v>1497</v>
      </c>
    </row>
    <row r="78" spans="1:3" x14ac:dyDescent="0.25">
      <c r="A78" s="23" t="s">
        <v>1493</v>
      </c>
      <c r="B78" s="34">
        <v>1000</v>
      </c>
      <c r="C78" s="23" t="s">
        <v>1496</v>
      </c>
    </row>
    <row r="79" spans="1:3" x14ac:dyDescent="0.25">
      <c r="A79" s="23" t="s">
        <v>1493</v>
      </c>
      <c r="B79" s="34">
        <v>100</v>
      </c>
      <c r="C79" s="23" t="s">
        <v>1495</v>
      </c>
    </row>
    <row r="80" spans="1:3" x14ac:dyDescent="0.25">
      <c r="A80" s="23" t="s">
        <v>1493</v>
      </c>
      <c r="B80" s="34">
        <v>10</v>
      </c>
      <c r="C80" s="23" t="s">
        <v>1494</v>
      </c>
    </row>
    <row r="81" spans="1:3" x14ac:dyDescent="0.25">
      <c r="A81" s="23" t="s">
        <v>1493</v>
      </c>
      <c r="B81" s="34">
        <v>1</v>
      </c>
      <c r="C81" s="23" t="s">
        <v>1126</v>
      </c>
    </row>
    <row r="82" spans="1:3" x14ac:dyDescent="0.25">
      <c r="A82" s="23" t="s">
        <v>1485</v>
      </c>
      <c r="B82" s="34">
        <v>1</v>
      </c>
      <c r="C82" s="23" t="s">
        <v>1492</v>
      </c>
    </row>
    <row r="83" spans="1:3" x14ac:dyDescent="0.25">
      <c r="A83" s="23" t="s">
        <v>1485</v>
      </c>
      <c r="B83" s="34">
        <v>2</v>
      </c>
      <c r="C83" s="23" t="s">
        <v>1491</v>
      </c>
    </row>
    <row r="84" spans="1:3" x14ac:dyDescent="0.25">
      <c r="A84" s="23" t="s">
        <v>1485</v>
      </c>
      <c r="B84" s="34">
        <v>3</v>
      </c>
      <c r="C84" s="23" t="s">
        <v>1490</v>
      </c>
    </row>
    <row r="85" spans="1:3" x14ac:dyDescent="0.25">
      <c r="A85" s="23" t="s">
        <v>1485</v>
      </c>
      <c r="B85" s="34">
        <v>4</v>
      </c>
      <c r="C85" s="23" t="s">
        <v>1489</v>
      </c>
    </row>
    <row r="86" spans="1:3" x14ac:dyDescent="0.25">
      <c r="A86" s="23" t="s">
        <v>1485</v>
      </c>
      <c r="B86" s="34">
        <v>5</v>
      </c>
      <c r="C86" s="23" t="s">
        <v>1488</v>
      </c>
    </row>
    <row r="87" spans="1:3" x14ac:dyDescent="0.25">
      <c r="A87" s="23" t="s">
        <v>1485</v>
      </c>
      <c r="B87" s="34">
        <v>6</v>
      </c>
      <c r="C87" s="23" t="s">
        <v>1487</v>
      </c>
    </row>
    <row r="88" spans="1:3" x14ac:dyDescent="0.25">
      <c r="A88" s="23" t="s">
        <v>1485</v>
      </c>
      <c r="B88" s="34">
        <v>7</v>
      </c>
      <c r="C88" s="23" t="s">
        <v>1486</v>
      </c>
    </row>
    <row r="89" spans="1:3" x14ac:dyDescent="0.25">
      <c r="A89" s="23" t="s">
        <v>1485</v>
      </c>
      <c r="B89" s="34">
        <v>8</v>
      </c>
      <c r="C89" s="23" t="s">
        <v>1484</v>
      </c>
    </row>
    <row r="90" spans="1:3" x14ac:dyDescent="0.25">
      <c r="A90" s="23" t="s">
        <v>1482</v>
      </c>
      <c r="B90" s="34">
        <v>1</v>
      </c>
      <c r="C90" s="23" t="s">
        <v>1483</v>
      </c>
    </row>
    <row r="91" spans="1:3" x14ac:dyDescent="0.25">
      <c r="A91" s="23" t="s">
        <v>1482</v>
      </c>
      <c r="B91" s="34">
        <v>2</v>
      </c>
      <c r="C91" s="23" t="s">
        <v>1481</v>
      </c>
    </row>
    <row r="92" spans="1:3" x14ac:dyDescent="0.25">
      <c r="A92" s="23" t="s">
        <v>1478</v>
      </c>
      <c r="B92" s="34">
        <v>1</v>
      </c>
      <c r="C92" s="23" t="s">
        <v>1480</v>
      </c>
    </row>
    <row r="93" spans="1:3" x14ac:dyDescent="0.25">
      <c r="A93" s="23" t="s">
        <v>1478</v>
      </c>
      <c r="B93" s="34">
        <v>2</v>
      </c>
      <c r="C93" s="23" t="s">
        <v>1479</v>
      </c>
    </row>
    <row r="94" spans="1:3" x14ac:dyDescent="0.25">
      <c r="A94" s="23" t="s">
        <v>1478</v>
      </c>
      <c r="B94" s="34">
        <v>3</v>
      </c>
      <c r="C94" s="23" t="s">
        <v>1477</v>
      </c>
    </row>
    <row r="95" spans="1:3" x14ac:dyDescent="0.25">
      <c r="A95" s="23" t="s">
        <v>1473</v>
      </c>
      <c r="B95" s="34">
        <v>1</v>
      </c>
      <c r="C95" s="23" t="s">
        <v>1476</v>
      </c>
    </row>
    <row r="96" spans="1:3" x14ac:dyDescent="0.25">
      <c r="A96" s="23" t="s">
        <v>1473</v>
      </c>
      <c r="B96" s="34">
        <v>2</v>
      </c>
      <c r="C96" s="23" t="s">
        <v>1475</v>
      </c>
    </row>
    <row r="97" spans="1:3" x14ac:dyDescent="0.25">
      <c r="A97" s="23" t="s">
        <v>1473</v>
      </c>
      <c r="B97" s="34">
        <v>3</v>
      </c>
      <c r="C97" s="23" t="s">
        <v>1474</v>
      </c>
    </row>
    <row r="98" spans="1:3" x14ac:dyDescent="0.25">
      <c r="A98" s="23" t="s">
        <v>1473</v>
      </c>
      <c r="B98" s="34">
        <v>4</v>
      </c>
      <c r="C98" s="23" t="s">
        <v>1472</v>
      </c>
    </row>
    <row r="99" spans="1:3" x14ac:dyDescent="0.25">
      <c r="A99" s="23" t="s">
        <v>1467</v>
      </c>
      <c r="B99" s="34">
        <v>1</v>
      </c>
      <c r="C99" s="23" t="s">
        <v>1471</v>
      </c>
    </row>
    <row r="100" spans="1:3" x14ac:dyDescent="0.25">
      <c r="A100" s="23" t="s">
        <v>1467</v>
      </c>
      <c r="B100" s="34">
        <v>2</v>
      </c>
      <c r="C100" s="23" t="s">
        <v>1470</v>
      </c>
    </row>
    <row r="101" spans="1:3" x14ac:dyDescent="0.25">
      <c r="A101" s="23" t="s">
        <v>1467</v>
      </c>
      <c r="B101" s="34">
        <v>3</v>
      </c>
      <c r="C101" s="23" t="s">
        <v>1469</v>
      </c>
    </row>
    <row r="102" spans="1:3" x14ac:dyDescent="0.25">
      <c r="A102" s="23" t="s">
        <v>1467</v>
      </c>
      <c r="B102" s="34">
        <v>4</v>
      </c>
      <c r="C102" s="23" t="s">
        <v>1468</v>
      </c>
    </row>
    <row r="103" spans="1:3" x14ac:dyDescent="0.25">
      <c r="A103" s="23" t="s">
        <v>1467</v>
      </c>
      <c r="B103" s="34">
        <v>5</v>
      </c>
      <c r="C103" s="23" t="s">
        <v>1466</v>
      </c>
    </row>
    <row r="104" spans="1:3" x14ac:dyDescent="0.25">
      <c r="A104" s="23" t="s">
        <v>1465</v>
      </c>
      <c r="B104" s="35" t="s">
        <v>1464</v>
      </c>
      <c r="C104" s="23"/>
    </row>
    <row r="105" spans="1:3" x14ac:dyDescent="0.25">
      <c r="A105" s="23" t="s">
        <v>1445</v>
      </c>
      <c r="B105" s="34">
        <v>1</v>
      </c>
      <c r="C105" s="23" t="s">
        <v>1463</v>
      </c>
    </row>
    <row r="106" spans="1:3" x14ac:dyDescent="0.25">
      <c r="A106" s="23" t="s">
        <v>1445</v>
      </c>
      <c r="B106" s="34">
        <v>2</v>
      </c>
      <c r="C106" s="23" t="s">
        <v>1462</v>
      </c>
    </row>
    <row r="107" spans="1:3" x14ac:dyDescent="0.25">
      <c r="A107" s="23" t="s">
        <v>1445</v>
      </c>
      <c r="B107" s="34">
        <v>3</v>
      </c>
      <c r="C107" s="23" t="s">
        <v>1461</v>
      </c>
    </row>
    <row r="108" spans="1:3" x14ac:dyDescent="0.25">
      <c r="A108" s="23" t="s">
        <v>1445</v>
      </c>
      <c r="B108" s="34">
        <v>4</v>
      </c>
      <c r="C108" s="23" t="s">
        <v>1460</v>
      </c>
    </row>
    <row r="109" spans="1:3" x14ac:dyDescent="0.25">
      <c r="A109" s="23" t="s">
        <v>1445</v>
      </c>
      <c r="B109" s="34">
        <v>5</v>
      </c>
      <c r="C109" s="23" t="s">
        <v>1459</v>
      </c>
    </row>
    <row r="110" spans="1:3" x14ac:dyDescent="0.25">
      <c r="A110" s="23" t="s">
        <v>1445</v>
      </c>
      <c r="B110" s="34">
        <v>6</v>
      </c>
      <c r="C110" s="23" t="s">
        <v>1458</v>
      </c>
    </row>
    <row r="111" spans="1:3" x14ac:dyDescent="0.25">
      <c r="A111" s="23" t="s">
        <v>1445</v>
      </c>
      <c r="B111" s="34">
        <v>7</v>
      </c>
      <c r="C111" s="23" t="s">
        <v>1457</v>
      </c>
    </row>
    <row r="112" spans="1:3" x14ac:dyDescent="0.25">
      <c r="A112" s="23" t="s">
        <v>1445</v>
      </c>
      <c r="B112" s="34">
        <v>8</v>
      </c>
      <c r="C112" s="23" t="s">
        <v>1456</v>
      </c>
    </row>
    <row r="113" spans="1:3" x14ac:dyDescent="0.25">
      <c r="A113" s="23" t="s">
        <v>1445</v>
      </c>
      <c r="B113" s="34">
        <v>9</v>
      </c>
      <c r="C113" s="23" t="s">
        <v>1455</v>
      </c>
    </row>
    <row r="114" spans="1:3" x14ac:dyDescent="0.25">
      <c r="A114" s="23" t="s">
        <v>1445</v>
      </c>
      <c r="B114" s="34">
        <v>10</v>
      </c>
      <c r="C114" s="23" t="s">
        <v>1454</v>
      </c>
    </row>
    <row r="115" spans="1:3" x14ac:dyDescent="0.25">
      <c r="A115" s="23" t="s">
        <v>1445</v>
      </c>
      <c r="B115" s="34">
        <v>11</v>
      </c>
      <c r="C115" s="23" t="s">
        <v>1453</v>
      </c>
    </row>
    <row r="116" spans="1:3" x14ac:dyDescent="0.25">
      <c r="A116" s="23" t="s">
        <v>1445</v>
      </c>
      <c r="B116" s="34">
        <v>12</v>
      </c>
      <c r="C116" s="23" t="s">
        <v>1452</v>
      </c>
    </row>
    <row r="117" spans="1:3" x14ac:dyDescent="0.25">
      <c r="A117" s="23" t="s">
        <v>1445</v>
      </c>
      <c r="B117" s="34">
        <v>13</v>
      </c>
      <c r="C117" s="23" t="s">
        <v>1451</v>
      </c>
    </row>
    <row r="118" spans="1:3" x14ac:dyDescent="0.25">
      <c r="A118" s="23" t="s">
        <v>1445</v>
      </c>
      <c r="B118" s="34">
        <v>14</v>
      </c>
      <c r="C118" s="23" t="s">
        <v>1450</v>
      </c>
    </row>
    <row r="119" spans="1:3" x14ac:dyDescent="0.25">
      <c r="A119" s="23" t="s">
        <v>1445</v>
      </c>
      <c r="B119" s="34">
        <v>15</v>
      </c>
      <c r="C119" s="23" t="s">
        <v>1449</v>
      </c>
    </row>
    <row r="120" spans="1:3" x14ac:dyDescent="0.25">
      <c r="A120" s="23" t="s">
        <v>1445</v>
      </c>
      <c r="B120" s="34">
        <v>16</v>
      </c>
      <c r="C120" s="23" t="s">
        <v>1448</v>
      </c>
    </row>
    <row r="121" spans="1:3" x14ac:dyDescent="0.25">
      <c r="A121" s="23" t="s">
        <v>1445</v>
      </c>
      <c r="B121" s="34">
        <v>17</v>
      </c>
      <c r="C121" s="23" t="s">
        <v>1447</v>
      </c>
    </row>
    <row r="122" spans="1:3" x14ac:dyDescent="0.25">
      <c r="A122" s="23" t="s">
        <v>1445</v>
      </c>
      <c r="B122" s="34">
        <v>18</v>
      </c>
      <c r="C122" s="23" t="s">
        <v>1446</v>
      </c>
    </row>
    <row r="123" spans="1:3" x14ac:dyDescent="0.25">
      <c r="A123" s="23" t="s">
        <v>1445</v>
      </c>
      <c r="B123" s="34">
        <v>19</v>
      </c>
      <c r="C123" s="23" t="s">
        <v>1444</v>
      </c>
    </row>
    <row r="124" spans="1:3" x14ac:dyDescent="0.25">
      <c r="A124" s="23" t="s">
        <v>1439</v>
      </c>
      <c r="B124" s="34">
        <v>1</v>
      </c>
      <c r="C124" s="23" t="s">
        <v>1443</v>
      </c>
    </row>
    <row r="125" spans="1:3" x14ac:dyDescent="0.25">
      <c r="A125" s="23" t="s">
        <v>1439</v>
      </c>
      <c r="B125" s="34">
        <v>2</v>
      </c>
      <c r="C125" s="23" t="s">
        <v>1442</v>
      </c>
    </row>
    <row r="126" spans="1:3" x14ac:dyDescent="0.25">
      <c r="A126" s="23" t="s">
        <v>1439</v>
      </c>
      <c r="B126" s="34">
        <v>3</v>
      </c>
      <c r="C126" s="23" t="s">
        <v>1441</v>
      </c>
    </row>
    <row r="127" spans="1:3" x14ac:dyDescent="0.25">
      <c r="A127" s="23" t="s">
        <v>1439</v>
      </c>
      <c r="B127" s="34">
        <v>4</v>
      </c>
      <c r="C127" s="23" t="s">
        <v>1440</v>
      </c>
    </row>
    <row r="128" spans="1:3" x14ac:dyDescent="0.25">
      <c r="A128" s="23" t="s">
        <v>1439</v>
      </c>
      <c r="B128" s="34">
        <v>5</v>
      </c>
      <c r="C128" s="23" t="s">
        <v>1126</v>
      </c>
    </row>
    <row r="129" spans="1:3" x14ac:dyDescent="0.25">
      <c r="A129" s="23" t="s">
        <v>1437</v>
      </c>
      <c r="B129" s="34">
        <v>0</v>
      </c>
      <c r="C129" s="23" t="s">
        <v>1438</v>
      </c>
    </row>
    <row r="130" spans="1:3" x14ac:dyDescent="0.25">
      <c r="A130" s="23" t="s">
        <v>1437</v>
      </c>
      <c r="B130" s="34">
        <v>1</v>
      </c>
      <c r="C130" s="23" t="s">
        <v>1436</v>
      </c>
    </row>
    <row r="131" spans="1:3" x14ac:dyDescent="0.25">
      <c r="A131" s="23" t="s">
        <v>1427</v>
      </c>
      <c r="B131" s="34">
        <v>1</v>
      </c>
      <c r="C131" s="23" t="s">
        <v>1435</v>
      </c>
    </row>
    <row r="132" spans="1:3" x14ac:dyDescent="0.25">
      <c r="A132" s="23" t="s">
        <v>1427</v>
      </c>
      <c r="B132" s="34">
        <v>2</v>
      </c>
      <c r="C132" s="23" t="s">
        <v>1434</v>
      </c>
    </row>
    <row r="133" spans="1:3" x14ac:dyDescent="0.25">
      <c r="A133" s="23" t="s">
        <v>1427</v>
      </c>
      <c r="B133" s="34">
        <v>3</v>
      </c>
      <c r="C133" s="23" t="s">
        <v>1433</v>
      </c>
    </row>
    <row r="134" spans="1:3" x14ac:dyDescent="0.25">
      <c r="A134" s="23" t="s">
        <v>1427</v>
      </c>
      <c r="B134" s="34">
        <v>4</v>
      </c>
      <c r="C134" s="23" t="s">
        <v>1432</v>
      </c>
    </row>
    <row r="135" spans="1:3" x14ac:dyDescent="0.25">
      <c r="A135" s="23" t="s">
        <v>1427</v>
      </c>
      <c r="B135" s="34">
        <v>5</v>
      </c>
      <c r="C135" s="23" t="s">
        <v>1431</v>
      </c>
    </row>
    <row r="136" spans="1:3" x14ac:dyDescent="0.25">
      <c r="A136" s="23" t="s">
        <v>1427</v>
      </c>
      <c r="B136" s="34">
        <v>6</v>
      </c>
      <c r="C136" s="23" t="s">
        <v>1430</v>
      </c>
    </row>
    <row r="137" spans="1:3" x14ac:dyDescent="0.25">
      <c r="A137" s="23" t="s">
        <v>1427</v>
      </c>
      <c r="B137" s="34">
        <v>7</v>
      </c>
      <c r="C137" s="23" t="s">
        <v>1429</v>
      </c>
    </row>
    <row r="138" spans="1:3" x14ac:dyDescent="0.25">
      <c r="A138" s="23" t="s">
        <v>1427</v>
      </c>
      <c r="B138" s="34">
        <v>8</v>
      </c>
      <c r="C138" s="23" t="s">
        <v>1428</v>
      </c>
    </row>
    <row r="139" spans="1:3" x14ac:dyDescent="0.25">
      <c r="A139" s="23" t="s">
        <v>1427</v>
      </c>
      <c r="B139" s="34">
        <v>9</v>
      </c>
      <c r="C139" s="23" t="s">
        <v>1426</v>
      </c>
    </row>
    <row r="140" spans="1:3" x14ac:dyDescent="0.25">
      <c r="A140" s="23" t="s">
        <v>1416</v>
      </c>
      <c r="B140" s="34">
        <v>1</v>
      </c>
      <c r="C140" s="23" t="s">
        <v>1425</v>
      </c>
    </row>
    <row r="141" spans="1:3" x14ac:dyDescent="0.25">
      <c r="A141" s="23" t="s">
        <v>1416</v>
      </c>
      <c r="B141" s="34">
        <v>2</v>
      </c>
      <c r="C141" s="23" t="s">
        <v>1424</v>
      </c>
    </row>
    <row r="142" spans="1:3" x14ac:dyDescent="0.25">
      <c r="A142" s="23" t="s">
        <v>1416</v>
      </c>
      <c r="B142" s="34">
        <v>3</v>
      </c>
      <c r="C142" s="23" t="s">
        <v>1423</v>
      </c>
    </row>
    <row r="143" spans="1:3" x14ac:dyDescent="0.25">
      <c r="A143" s="23" t="s">
        <v>1416</v>
      </c>
      <c r="B143" s="34">
        <v>4</v>
      </c>
      <c r="C143" s="23" t="s">
        <v>1422</v>
      </c>
    </row>
    <row r="144" spans="1:3" x14ac:dyDescent="0.25">
      <c r="A144" s="23" t="s">
        <v>1416</v>
      </c>
      <c r="B144" s="34">
        <v>5</v>
      </c>
      <c r="C144" s="23" t="s">
        <v>1421</v>
      </c>
    </row>
    <row r="145" spans="1:3" x14ac:dyDescent="0.25">
      <c r="A145" s="23" t="s">
        <v>1416</v>
      </c>
      <c r="B145" s="34">
        <v>6</v>
      </c>
      <c r="C145" s="23" t="s">
        <v>1420</v>
      </c>
    </row>
    <row r="146" spans="1:3" x14ac:dyDescent="0.25">
      <c r="A146" s="23" t="s">
        <v>1416</v>
      </c>
      <c r="B146" s="34">
        <v>7</v>
      </c>
      <c r="C146" s="23" t="s">
        <v>1419</v>
      </c>
    </row>
    <row r="147" spans="1:3" x14ac:dyDescent="0.25">
      <c r="A147" s="23" t="s">
        <v>1416</v>
      </c>
      <c r="B147" s="34">
        <v>8</v>
      </c>
      <c r="C147" s="23" t="s">
        <v>1418</v>
      </c>
    </row>
    <row r="148" spans="1:3" x14ac:dyDescent="0.25">
      <c r="A148" s="23" t="s">
        <v>1416</v>
      </c>
      <c r="B148" s="34">
        <v>9</v>
      </c>
      <c r="C148" s="23" t="s">
        <v>1417</v>
      </c>
    </row>
    <row r="149" spans="1:3" x14ac:dyDescent="0.25">
      <c r="A149" s="23" t="s">
        <v>1416</v>
      </c>
      <c r="B149" s="34">
        <v>10</v>
      </c>
      <c r="C149" s="23" t="s">
        <v>1113</v>
      </c>
    </row>
    <row r="150" spans="1:3" x14ac:dyDescent="0.25">
      <c r="A150" s="23" t="s">
        <v>1412</v>
      </c>
      <c r="B150" s="34">
        <v>0</v>
      </c>
      <c r="C150" s="23" t="s">
        <v>1415</v>
      </c>
    </row>
    <row r="151" spans="1:3" x14ac:dyDescent="0.25">
      <c r="A151" s="23" t="s">
        <v>1412</v>
      </c>
      <c r="B151" s="34">
        <v>1</v>
      </c>
      <c r="C151" s="23" t="s">
        <v>1414</v>
      </c>
    </row>
    <row r="152" spans="1:3" x14ac:dyDescent="0.25">
      <c r="A152" s="23" t="s">
        <v>1412</v>
      </c>
      <c r="B152" s="34">
        <v>2</v>
      </c>
      <c r="C152" s="23" t="s">
        <v>1413</v>
      </c>
    </row>
    <row r="153" spans="1:3" x14ac:dyDescent="0.25">
      <c r="A153" s="23" t="s">
        <v>1412</v>
      </c>
      <c r="B153" s="34">
        <v>3</v>
      </c>
      <c r="C153" s="23" t="s">
        <v>1411</v>
      </c>
    </row>
    <row r="154" spans="1:3" x14ac:dyDescent="0.25">
      <c r="A154" s="23" t="s">
        <v>1408</v>
      </c>
      <c r="B154" s="34">
        <v>1</v>
      </c>
      <c r="C154" s="23" t="s">
        <v>1410</v>
      </c>
    </row>
    <row r="155" spans="1:3" x14ac:dyDescent="0.25">
      <c r="A155" s="23" t="s">
        <v>1408</v>
      </c>
      <c r="B155" s="34">
        <v>2</v>
      </c>
      <c r="C155" s="23" t="s">
        <v>1409</v>
      </c>
    </row>
    <row r="156" spans="1:3" x14ac:dyDescent="0.25">
      <c r="A156" s="23" t="s">
        <v>1408</v>
      </c>
      <c r="B156" s="34">
        <v>3</v>
      </c>
      <c r="C156" s="23" t="s">
        <v>1407</v>
      </c>
    </row>
    <row r="157" spans="1:3" x14ac:dyDescent="0.25">
      <c r="A157" s="23" t="s">
        <v>1402</v>
      </c>
      <c r="B157" s="34">
        <v>1</v>
      </c>
      <c r="C157" s="23" t="s">
        <v>1406</v>
      </c>
    </row>
    <row r="158" spans="1:3" x14ac:dyDescent="0.25">
      <c r="A158" s="23" t="s">
        <v>1402</v>
      </c>
      <c r="B158" s="34">
        <v>2</v>
      </c>
      <c r="C158" s="23" t="s">
        <v>1405</v>
      </c>
    </row>
    <row r="159" spans="1:3" x14ac:dyDescent="0.25">
      <c r="A159" s="23" t="s">
        <v>1402</v>
      </c>
      <c r="B159" s="34">
        <v>3</v>
      </c>
      <c r="C159" s="23" t="s">
        <v>1404</v>
      </c>
    </row>
    <row r="160" spans="1:3" x14ac:dyDescent="0.25">
      <c r="A160" s="23" t="s">
        <v>1402</v>
      </c>
      <c r="B160" s="34">
        <v>4</v>
      </c>
      <c r="C160" s="23" t="s">
        <v>1403</v>
      </c>
    </row>
    <row r="161" spans="1:3" x14ac:dyDescent="0.25">
      <c r="A161" s="23" t="s">
        <v>1402</v>
      </c>
      <c r="B161" s="34">
        <v>5</v>
      </c>
      <c r="C161" s="23" t="s">
        <v>1401</v>
      </c>
    </row>
    <row r="162" spans="1:3" x14ac:dyDescent="0.25">
      <c r="A162" s="23" t="s">
        <v>1399</v>
      </c>
      <c r="B162" s="34">
        <v>0</v>
      </c>
      <c r="C162" s="23" t="s">
        <v>1400</v>
      </c>
    </row>
    <row r="163" spans="1:3" x14ac:dyDescent="0.25">
      <c r="A163" s="23" t="s">
        <v>1399</v>
      </c>
      <c r="B163" s="34">
        <v>1</v>
      </c>
      <c r="C163" s="23" t="s">
        <v>1398</v>
      </c>
    </row>
    <row r="164" spans="1:3" x14ac:dyDescent="0.25">
      <c r="A164" s="23" t="s">
        <v>1391</v>
      </c>
      <c r="B164" s="34">
        <v>0</v>
      </c>
      <c r="C164" s="23" t="s">
        <v>1397</v>
      </c>
    </row>
    <row r="165" spans="1:3" x14ac:dyDescent="0.25">
      <c r="A165" s="23" t="s">
        <v>1391</v>
      </c>
      <c r="B165" s="34">
        <v>1</v>
      </c>
      <c r="C165" s="23" t="s">
        <v>1396</v>
      </c>
    </row>
    <row r="166" spans="1:3" x14ac:dyDescent="0.25">
      <c r="A166" s="23" t="s">
        <v>1391</v>
      </c>
      <c r="B166" s="34">
        <v>2</v>
      </c>
      <c r="C166" s="23" t="s">
        <v>1395</v>
      </c>
    </row>
    <row r="167" spans="1:3" x14ac:dyDescent="0.25">
      <c r="A167" s="23" t="s">
        <v>1391</v>
      </c>
      <c r="B167" s="34">
        <v>3</v>
      </c>
      <c r="C167" s="23" t="s">
        <v>1394</v>
      </c>
    </row>
    <row r="168" spans="1:3" x14ac:dyDescent="0.25">
      <c r="A168" s="23" t="s">
        <v>1391</v>
      </c>
      <c r="B168" s="34">
        <v>4</v>
      </c>
      <c r="C168" s="23" t="s">
        <v>1393</v>
      </c>
    </row>
    <row r="169" spans="1:3" x14ac:dyDescent="0.25">
      <c r="A169" s="23" t="s">
        <v>1391</v>
      </c>
      <c r="B169" s="34">
        <v>5</v>
      </c>
      <c r="C169" s="23" t="s">
        <v>1392</v>
      </c>
    </row>
    <row r="170" spans="1:3" x14ac:dyDescent="0.25">
      <c r="A170" s="23" t="s">
        <v>1391</v>
      </c>
      <c r="B170" s="34">
        <v>6</v>
      </c>
      <c r="C170" s="23" t="s">
        <v>1390</v>
      </c>
    </row>
    <row r="171" spans="1:3" x14ac:dyDescent="0.25">
      <c r="A171" s="23" t="s">
        <v>1386</v>
      </c>
      <c r="B171" s="34">
        <v>1</v>
      </c>
      <c r="C171" s="23" t="s">
        <v>1389</v>
      </c>
    </row>
    <row r="172" spans="1:3" x14ac:dyDescent="0.25">
      <c r="A172" s="23" t="s">
        <v>1386</v>
      </c>
      <c r="B172" s="34">
        <v>2</v>
      </c>
      <c r="C172" s="23" t="s">
        <v>1388</v>
      </c>
    </row>
    <row r="173" spans="1:3" x14ac:dyDescent="0.25">
      <c r="A173" s="23" t="s">
        <v>1386</v>
      </c>
      <c r="B173" s="34">
        <v>3</v>
      </c>
      <c r="C173" s="23" t="s">
        <v>1387</v>
      </c>
    </row>
    <row r="174" spans="1:3" x14ac:dyDescent="0.25">
      <c r="A174" s="23" t="s">
        <v>1386</v>
      </c>
      <c r="B174" s="34">
        <v>4</v>
      </c>
      <c r="C174" s="23" t="s">
        <v>1385</v>
      </c>
    </row>
    <row r="175" spans="1:3" x14ac:dyDescent="0.25">
      <c r="A175" s="23" t="s">
        <v>1384</v>
      </c>
      <c r="B175" s="35" t="s">
        <v>1142</v>
      </c>
      <c r="C175" s="23" t="s">
        <v>1383</v>
      </c>
    </row>
    <row r="176" spans="1:3" x14ac:dyDescent="0.25">
      <c r="A176" s="23" t="s">
        <v>1382</v>
      </c>
      <c r="B176" s="35" t="s">
        <v>1381</v>
      </c>
      <c r="C176" s="23" t="s">
        <v>1380</v>
      </c>
    </row>
    <row r="177" spans="1:3" x14ac:dyDescent="0.25">
      <c r="A177" s="23" t="s">
        <v>1378</v>
      </c>
      <c r="B177" s="34">
        <v>1</v>
      </c>
      <c r="C177" s="23" t="s">
        <v>1379</v>
      </c>
    </row>
    <row r="178" spans="1:3" x14ac:dyDescent="0.25">
      <c r="A178" s="23" t="s">
        <v>1378</v>
      </c>
      <c r="B178" s="34">
        <v>2</v>
      </c>
      <c r="C178" s="23" t="s">
        <v>1377</v>
      </c>
    </row>
    <row r="179" spans="1:3" x14ac:dyDescent="0.25">
      <c r="A179" s="23" t="s">
        <v>1375</v>
      </c>
      <c r="B179" s="34">
        <v>1</v>
      </c>
      <c r="C179" s="23" t="s">
        <v>1376</v>
      </c>
    </row>
    <row r="180" spans="1:3" x14ac:dyDescent="0.25">
      <c r="A180" s="23" t="s">
        <v>1375</v>
      </c>
      <c r="B180" s="34">
        <v>2</v>
      </c>
      <c r="C180" s="23" t="s">
        <v>1374</v>
      </c>
    </row>
    <row r="181" spans="1:3" x14ac:dyDescent="0.25">
      <c r="A181" s="23" t="s">
        <v>1368</v>
      </c>
      <c r="B181" s="34">
        <v>1</v>
      </c>
      <c r="C181" s="23" t="s">
        <v>1373</v>
      </c>
    </row>
    <row r="182" spans="1:3" x14ac:dyDescent="0.25">
      <c r="A182" s="23" t="s">
        <v>1368</v>
      </c>
      <c r="B182" s="34">
        <v>2</v>
      </c>
      <c r="C182" s="23" t="s">
        <v>1372</v>
      </c>
    </row>
    <row r="183" spans="1:3" x14ac:dyDescent="0.25">
      <c r="A183" s="23" t="s">
        <v>1368</v>
      </c>
      <c r="B183" s="34">
        <v>3</v>
      </c>
      <c r="C183" s="23" t="s">
        <v>1371</v>
      </c>
    </row>
    <row r="184" spans="1:3" x14ac:dyDescent="0.25">
      <c r="A184" s="23" t="s">
        <v>1368</v>
      </c>
      <c r="B184" s="34">
        <v>4</v>
      </c>
      <c r="C184" s="23" t="s">
        <v>1370</v>
      </c>
    </row>
    <row r="185" spans="1:3" x14ac:dyDescent="0.25">
      <c r="A185" s="23" t="s">
        <v>1368</v>
      </c>
      <c r="B185" s="34">
        <v>5</v>
      </c>
      <c r="C185" s="23" t="s">
        <v>1369</v>
      </c>
    </row>
    <row r="186" spans="1:3" x14ac:dyDescent="0.25">
      <c r="A186" s="23" t="s">
        <v>1368</v>
      </c>
      <c r="B186" s="34">
        <v>6</v>
      </c>
      <c r="C186" s="23" t="s">
        <v>1367</v>
      </c>
    </row>
    <row r="187" spans="1:3" x14ac:dyDescent="0.25">
      <c r="A187" s="23" t="s">
        <v>1364</v>
      </c>
      <c r="B187" s="34">
        <v>1</v>
      </c>
      <c r="C187" s="23" t="s">
        <v>1366</v>
      </c>
    </row>
    <row r="188" spans="1:3" x14ac:dyDescent="0.25">
      <c r="A188" s="23" t="s">
        <v>1364</v>
      </c>
      <c r="B188" s="34">
        <v>2</v>
      </c>
      <c r="C188" s="23" t="s">
        <v>1365</v>
      </c>
    </row>
    <row r="189" spans="1:3" x14ac:dyDescent="0.25">
      <c r="A189" s="23" t="s">
        <v>1364</v>
      </c>
      <c r="B189" s="34">
        <v>3</v>
      </c>
      <c r="C189" s="23" t="s">
        <v>1363</v>
      </c>
    </row>
    <row r="190" spans="1:3" x14ac:dyDescent="0.25">
      <c r="A190" s="23" t="s">
        <v>1359</v>
      </c>
      <c r="B190" s="34">
        <v>0</v>
      </c>
      <c r="C190" s="23" t="s">
        <v>1362</v>
      </c>
    </row>
    <row r="191" spans="1:3" x14ac:dyDescent="0.25">
      <c r="A191" s="23" t="s">
        <v>1359</v>
      </c>
      <c r="B191" s="34">
        <v>1</v>
      </c>
      <c r="C191" s="23" t="s">
        <v>1361</v>
      </c>
    </row>
    <row r="192" spans="1:3" x14ac:dyDescent="0.25">
      <c r="A192" s="23" t="s">
        <v>1359</v>
      </c>
      <c r="B192" s="34">
        <v>2</v>
      </c>
      <c r="C192" s="23" t="s">
        <v>1360</v>
      </c>
    </row>
    <row r="193" spans="1:3" x14ac:dyDescent="0.25">
      <c r="A193" s="23" t="s">
        <v>1359</v>
      </c>
      <c r="B193" s="34">
        <v>3</v>
      </c>
      <c r="C193" s="23" t="s">
        <v>1358</v>
      </c>
    </row>
    <row r="194" spans="1:3" x14ac:dyDescent="0.25">
      <c r="A194" s="23" t="s">
        <v>1354</v>
      </c>
      <c r="B194" s="34">
        <v>0</v>
      </c>
      <c r="C194" s="23" t="s">
        <v>1357</v>
      </c>
    </row>
    <row r="195" spans="1:3" x14ac:dyDescent="0.25">
      <c r="A195" s="23" t="s">
        <v>1354</v>
      </c>
      <c r="B195" s="34">
        <v>1</v>
      </c>
      <c r="C195" s="23" t="s">
        <v>1356</v>
      </c>
    </row>
    <row r="196" spans="1:3" x14ac:dyDescent="0.25">
      <c r="A196" s="23" t="s">
        <v>1354</v>
      </c>
      <c r="B196" s="34">
        <v>2</v>
      </c>
      <c r="C196" s="23" t="s">
        <v>1355</v>
      </c>
    </row>
    <row r="197" spans="1:3" x14ac:dyDescent="0.25">
      <c r="A197" s="23" t="s">
        <v>1354</v>
      </c>
      <c r="B197" s="34">
        <v>3</v>
      </c>
      <c r="C197" s="23" t="s">
        <v>1353</v>
      </c>
    </row>
    <row r="198" spans="1:3" x14ac:dyDescent="0.25">
      <c r="A198" s="23" t="s">
        <v>1342</v>
      </c>
      <c r="B198" s="34">
        <v>1</v>
      </c>
      <c r="C198" s="23" t="s">
        <v>1352</v>
      </c>
    </row>
    <row r="199" spans="1:3" x14ac:dyDescent="0.25">
      <c r="A199" s="23" t="s">
        <v>1342</v>
      </c>
      <c r="B199" s="34">
        <v>2</v>
      </c>
      <c r="C199" s="23" t="s">
        <v>1351</v>
      </c>
    </row>
    <row r="200" spans="1:3" x14ac:dyDescent="0.25">
      <c r="A200" s="23" t="s">
        <v>1342</v>
      </c>
      <c r="B200" s="34">
        <v>3</v>
      </c>
      <c r="C200" s="23" t="s">
        <v>1350</v>
      </c>
    </row>
    <row r="201" spans="1:3" x14ac:dyDescent="0.25">
      <c r="A201" s="23" t="s">
        <v>1342</v>
      </c>
      <c r="B201" s="34">
        <v>4</v>
      </c>
      <c r="C201" s="23" t="s">
        <v>1349</v>
      </c>
    </row>
    <row r="202" spans="1:3" x14ac:dyDescent="0.25">
      <c r="A202" s="23" t="s">
        <v>1342</v>
      </c>
      <c r="B202" s="34">
        <v>5</v>
      </c>
      <c r="C202" s="23" t="s">
        <v>1348</v>
      </c>
    </row>
    <row r="203" spans="1:3" x14ac:dyDescent="0.25">
      <c r="A203" s="23" t="s">
        <v>1342</v>
      </c>
      <c r="B203" s="34">
        <v>6</v>
      </c>
      <c r="C203" s="23" t="s">
        <v>1347</v>
      </c>
    </row>
    <row r="204" spans="1:3" x14ac:dyDescent="0.25">
      <c r="A204" s="23" t="s">
        <v>1342</v>
      </c>
      <c r="B204" s="34">
        <v>7</v>
      </c>
      <c r="C204" s="23" t="s">
        <v>1346</v>
      </c>
    </row>
    <row r="205" spans="1:3" x14ac:dyDescent="0.25">
      <c r="A205" s="23" t="s">
        <v>1342</v>
      </c>
      <c r="B205" s="34">
        <v>8</v>
      </c>
      <c r="C205" s="23" t="s">
        <v>1345</v>
      </c>
    </row>
    <row r="206" spans="1:3" x14ac:dyDescent="0.25">
      <c r="A206" s="23" t="s">
        <v>1342</v>
      </c>
      <c r="B206" s="34">
        <v>9</v>
      </c>
      <c r="C206" s="23" t="s">
        <v>1344</v>
      </c>
    </row>
    <row r="207" spans="1:3" x14ac:dyDescent="0.25">
      <c r="A207" s="23" t="s">
        <v>1342</v>
      </c>
      <c r="B207" s="34">
        <v>10</v>
      </c>
      <c r="C207" s="23" t="s">
        <v>1343</v>
      </c>
    </row>
    <row r="208" spans="1:3" x14ac:dyDescent="0.25">
      <c r="A208" s="23" t="s">
        <v>1342</v>
      </c>
      <c r="B208" s="34">
        <v>11</v>
      </c>
      <c r="C208" s="23" t="s">
        <v>1341</v>
      </c>
    </row>
    <row r="209" spans="1:3" x14ac:dyDescent="0.25">
      <c r="A209" s="23" t="s">
        <v>1337</v>
      </c>
      <c r="B209" s="34">
        <v>0</v>
      </c>
      <c r="C209" s="23" t="s">
        <v>1340</v>
      </c>
    </row>
    <row r="210" spans="1:3" x14ac:dyDescent="0.25">
      <c r="A210" s="23" t="s">
        <v>1337</v>
      </c>
      <c r="B210" s="34">
        <v>1</v>
      </c>
      <c r="C210" s="23" t="s">
        <v>1339</v>
      </c>
    </row>
    <row r="211" spans="1:3" x14ac:dyDescent="0.25">
      <c r="A211" s="23" t="s">
        <v>1337</v>
      </c>
      <c r="B211" s="34">
        <v>2</v>
      </c>
      <c r="C211" s="23" t="s">
        <v>1338</v>
      </c>
    </row>
    <row r="212" spans="1:3" x14ac:dyDescent="0.25">
      <c r="A212" s="23" t="s">
        <v>1337</v>
      </c>
      <c r="B212" s="34">
        <v>3</v>
      </c>
      <c r="C212" s="23" t="s">
        <v>1336</v>
      </c>
    </row>
    <row r="213" spans="1:3" x14ac:dyDescent="0.25">
      <c r="A213" s="23" t="s">
        <v>1335</v>
      </c>
      <c r="B213" s="34">
        <v>1</v>
      </c>
      <c r="C213" s="23" t="s">
        <v>1094</v>
      </c>
    </row>
    <row r="214" spans="1:3" x14ac:dyDescent="0.25">
      <c r="A214" s="23" t="s">
        <v>1335</v>
      </c>
      <c r="B214" s="34">
        <v>2</v>
      </c>
      <c r="C214" s="23" t="s">
        <v>1092</v>
      </c>
    </row>
    <row r="215" spans="1:3" x14ac:dyDescent="0.25">
      <c r="A215" s="23" t="s">
        <v>1331</v>
      </c>
      <c r="B215" s="34">
        <v>0</v>
      </c>
      <c r="C215" s="23" t="s">
        <v>1334</v>
      </c>
    </row>
    <row r="216" spans="1:3" x14ac:dyDescent="0.25">
      <c r="A216" s="23" t="s">
        <v>1331</v>
      </c>
      <c r="B216" s="34">
        <v>1</v>
      </c>
      <c r="C216" s="23" t="s">
        <v>1333</v>
      </c>
    </row>
    <row r="217" spans="1:3" x14ac:dyDescent="0.25">
      <c r="A217" s="23" t="s">
        <v>1331</v>
      </c>
      <c r="B217" s="34">
        <v>2</v>
      </c>
      <c r="C217" s="23" t="s">
        <v>1332</v>
      </c>
    </row>
    <row r="218" spans="1:3" x14ac:dyDescent="0.25">
      <c r="A218" s="23" t="s">
        <v>1331</v>
      </c>
      <c r="B218" s="34">
        <v>3</v>
      </c>
      <c r="C218" s="23" t="s">
        <v>1330</v>
      </c>
    </row>
    <row r="219" spans="1:3" x14ac:dyDescent="0.25">
      <c r="A219" s="23" t="s">
        <v>1329</v>
      </c>
      <c r="B219" s="35" t="s">
        <v>1328</v>
      </c>
      <c r="C219" s="23"/>
    </row>
    <row r="220" spans="1:3" x14ac:dyDescent="0.25">
      <c r="A220" s="23" t="s">
        <v>1327</v>
      </c>
      <c r="B220" s="35" t="s">
        <v>1237</v>
      </c>
      <c r="C220" s="23" t="s">
        <v>1326</v>
      </c>
    </row>
    <row r="221" spans="1:3" x14ac:dyDescent="0.25">
      <c r="A221" s="23" t="s">
        <v>1324</v>
      </c>
      <c r="B221" s="35" t="s">
        <v>1266</v>
      </c>
      <c r="C221" s="23" t="s">
        <v>1325</v>
      </c>
    </row>
    <row r="222" spans="1:3" x14ac:dyDescent="0.25">
      <c r="A222" s="23" t="s">
        <v>1324</v>
      </c>
      <c r="B222" s="34">
        <v>9999999</v>
      </c>
      <c r="C222" s="23" t="s">
        <v>1323</v>
      </c>
    </row>
    <row r="223" spans="1:3" x14ac:dyDescent="0.25">
      <c r="A223" s="23" t="s">
        <v>1322</v>
      </c>
      <c r="B223" s="35" t="s">
        <v>1317</v>
      </c>
      <c r="C223" s="23" t="s">
        <v>1321</v>
      </c>
    </row>
    <row r="224" spans="1:3" x14ac:dyDescent="0.25">
      <c r="A224" s="23" t="s">
        <v>3638</v>
      </c>
      <c r="B224" s="34">
        <v>0</v>
      </c>
      <c r="C224" s="23" t="s">
        <v>1320</v>
      </c>
    </row>
    <row r="225" spans="1:3" x14ac:dyDescent="0.25">
      <c r="A225" s="23" t="s">
        <v>3638</v>
      </c>
      <c r="B225" s="34">
        <v>1</v>
      </c>
      <c r="C225" s="23" t="s">
        <v>1319</v>
      </c>
    </row>
    <row r="226" spans="1:3" x14ac:dyDescent="0.25">
      <c r="A226" s="23" t="s">
        <v>1318</v>
      </c>
      <c r="B226" s="35" t="s">
        <v>1317</v>
      </c>
      <c r="C226" s="23" t="s">
        <v>1316</v>
      </c>
    </row>
    <row r="227" spans="1:3" x14ac:dyDescent="0.25">
      <c r="A227" s="23" t="s">
        <v>1315</v>
      </c>
      <c r="B227" s="34">
        <v>1</v>
      </c>
      <c r="C227" s="23" t="s">
        <v>1165</v>
      </c>
    </row>
    <row r="228" spans="1:3" x14ac:dyDescent="0.25">
      <c r="A228" s="23" t="s">
        <v>1315</v>
      </c>
      <c r="B228" s="34">
        <v>2</v>
      </c>
      <c r="C228" s="23" t="s">
        <v>1164</v>
      </c>
    </row>
    <row r="229" spans="1:3" x14ac:dyDescent="0.25">
      <c r="A229" s="23" t="s">
        <v>1315</v>
      </c>
      <c r="B229" s="34">
        <v>3</v>
      </c>
      <c r="C229" s="23" t="s">
        <v>1163</v>
      </c>
    </row>
    <row r="230" spans="1:3" x14ac:dyDescent="0.25">
      <c r="A230" s="23" t="s">
        <v>1315</v>
      </c>
      <c r="B230" s="34">
        <v>4</v>
      </c>
      <c r="C230" s="23" t="s">
        <v>1162</v>
      </c>
    </row>
    <row r="231" spans="1:3" x14ac:dyDescent="0.25">
      <c r="A231" s="23" t="s">
        <v>1315</v>
      </c>
      <c r="B231" s="34">
        <v>5</v>
      </c>
      <c r="C231" s="23" t="s">
        <v>1161</v>
      </c>
    </row>
    <row r="232" spans="1:3" x14ac:dyDescent="0.25">
      <c r="A232" s="23" t="s">
        <v>1315</v>
      </c>
      <c r="B232" s="34">
        <v>6</v>
      </c>
      <c r="C232" s="23" t="s">
        <v>1160</v>
      </c>
    </row>
    <row r="233" spans="1:3" x14ac:dyDescent="0.25">
      <c r="A233" s="23" t="s">
        <v>1315</v>
      </c>
      <c r="B233" s="34">
        <v>7</v>
      </c>
      <c r="C233" s="23" t="s">
        <v>1159</v>
      </c>
    </row>
    <row r="234" spans="1:3" x14ac:dyDescent="0.25">
      <c r="A234" s="23" t="s">
        <v>1315</v>
      </c>
      <c r="B234" s="34">
        <v>8</v>
      </c>
      <c r="C234" s="23" t="s">
        <v>1158</v>
      </c>
    </row>
    <row r="235" spans="1:3" x14ac:dyDescent="0.25">
      <c r="A235" s="23" t="s">
        <v>1315</v>
      </c>
      <c r="B235" s="34">
        <v>9</v>
      </c>
      <c r="C235" s="23" t="s">
        <v>1157</v>
      </c>
    </row>
    <row r="236" spans="1:3" x14ac:dyDescent="0.25">
      <c r="A236" s="23" t="s">
        <v>1315</v>
      </c>
      <c r="B236" s="34">
        <v>10</v>
      </c>
      <c r="C236" s="23" t="s">
        <v>1156</v>
      </c>
    </row>
    <row r="237" spans="1:3" x14ac:dyDescent="0.25">
      <c r="A237" s="23" t="s">
        <v>1315</v>
      </c>
      <c r="B237" s="34">
        <v>11</v>
      </c>
      <c r="C237" s="23" t="s">
        <v>1155</v>
      </c>
    </row>
    <row r="238" spans="1:3" x14ac:dyDescent="0.25">
      <c r="A238" s="23" t="s">
        <v>1315</v>
      </c>
      <c r="B238" s="34">
        <v>12</v>
      </c>
      <c r="C238" s="23" t="s">
        <v>1153</v>
      </c>
    </row>
    <row r="239" spans="1:3" x14ac:dyDescent="0.25">
      <c r="A239" s="23" t="s">
        <v>1312</v>
      </c>
      <c r="B239" s="34">
        <v>1</v>
      </c>
      <c r="C239" s="23" t="s">
        <v>1314</v>
      </c>
    </row>
    <row r="240" spans="1:3" x14ac:dyDescent="0.25">
      <c r="A240" s="23" t="s">
        <v>1312</v>
      </c>
      <c r="B240" s="34">
        <v>2</v>
      </c>
      <c r="C240" s="23" t="s">
        <v>1313</v>
      </c>
    </row>
    <row r="241" spans="1:3" x14ac:dyDescent="0.25">
      <c r="A241" s="23" t="s">
        <v>1312</v>
      </c>
      <c r="B241" s="34">
        <v>3</v>
      </c>
      <c r="C241" s="23" t="s">
        <v>1311</v>
      </c>
    </row>
    <row r="242" spans="1:3" x14ac:dyDescent="0.25">
      <c r="A242" s="23" t="s">
        <v>1307</v>
      </c>
      <c r="B242" s="34">
        <v>1</v>
      </c>
      <c r="C242" s="23" t="s">
        <v>1310</v>
      </c>
    </row>
    <row r="243" spans="1:3" x14ac:dyDescent="0.25">
      <c r="A243" s="23" t="s">
        <v>1307</v>
      </c>
      <c r="B243" s="34">
        <v>2</v>
      </c>
      <c r="C243" s="23" t="s">
        <v>1309</v>
      </c>
    </row>
    <row r="244" spans="1:3" x14ac:dyDescent="0.25">
      <c r="A244" s="23" t="s">
        <v>1307</v>
      </c>
      <c r="B244" s="34">
        <v>3</v>
      </c>
      <c r="C244" s="23" t="s">
        <v>1308</v>
      </c>
    </row>
    <row r="245" spans="1:3" x14ac:dyDescent="0.25">
      <c r="A245" s="23" t="s">
        <v>1307</v>
      </c>
      <c r="B245" s="34">
        <v>4</v>
      </c>
      <c r="C245" s="23" t="s">
        <v>1306</v>
      </c>
    </row>
    <row r="246" spans="1:3" x14ac:dyDescent="0.25">
      <c r="A246" s="23" t="s">
        <v>1302</v>
      </c>
      <c r="B246" s="34">
        <v>1</v>
      </c>
      <c r="C246" s="23" t="s">
        <v>1305</v>
      </c>
    </row>
    <row r="247" spans="1:3" x14ac:dyDescent="0.25">
      <c r="A247" s="23" t="s">
        <v>1302</v>
      </c>
      <c r="B247" s="34">
        <v>2</v>
      </c>
      <c r="C247" s="23" t="s">
        <v>1304</v>
      </c>
    </row>
    <row r="248" spans="1:3" x14ac:dyDescent="0.25">
      <c r="A248" s="23" t="s">
        <v>1302</v>
      </c>
      <c r="B248" s="34">
        <v>3</v>
      </c>
      <c r="C248" s="23" t="s">
        <v>1303</v>
      </c>
    </row>
    <row r="249" spans="1:3" x14ac:dyDescent="0.25">
      <c r="A249" s="23" t="s">
        <v>1302</v>
      </c>
      <c r="B249" s="34">
        <v>4</v>
      </c>
      <c r="C249" s="23" t="s">
        <v>1301</v>
      </c>
    </row>
    <row r="250" spans="1:3" x14ac:dyDescent="0.25">
      <c r="A250" s="23" t="s">
        <v>1294</v>
      </c>
      <c r="B250" s="34">
        <v>1</v>
      </c>
      <c r="C250" s="23" t="s">
        <v>1300</v>
      </c>
    </row>
    <row r="251" spans="1:3" x14ac:dyDescent="0.25">
      <c r="A251" s="23" t="s">
        <v>1294</v>
      </c>
      <c r="B251" s="34">
        <v>2</v>
      </c>
      <c r="C251" s="23" t="s">
        <v>1299</v>
      </c>
    </row>
    <row r="252" spans="1:3" x14ac:dyDescent="0.25">
      <c r="A252" s="23" t="s">
        <v>1294</v>
      </c>
      <c r="B252" s="34">
        <v>3</v>
      </c>
      <c r="C252" s="23" t="s">
        <v>1298</v>
      </c>
    </row>
    <row r="253" spans="1:3" x14ac:dyDescent="0.25">
      <c r="A253" s="23" t="s">
        <v>1294</v>
      </c>
      <c r="B253" s="34">
        <v>4</v>
      </c>
      <c r="C253" s="23" t="s">
        <v>1297</v>
      </c>
    </row>
    <row r="254" spans="1:3" x14ac:dyDescent="0.25">
      <c r="A254" s="23" t="s">
        <v>1294</v>
      </c>
      <c r="B254" s="34">
        <v>5</v>
      </c>
      <c r="C254" s="23" t="s">
        <v>1296</v>
      </c>
    </row>
    <row r="255" spans="1:3" x14ac:dyDescent="0.25">
      <c r="A255" s="23" t="s">
        <v>1294</v>
      </c>
      <c r="B255" s="34">
        <v>6</v>
      </c>
      <c r="C255" s="23" t="s">
        <v>1295</v>
      </c>
    </row>
    <row r="256" spans="1:3" x14ac:dyDescent="0.25">
      <c r="A256" s="23" t="s">
        <v>1294</v>
      </c>
      <c r="B256" s="34">
        <v>7</v>
      </c>
      <c r="C256" s="23" t="s">
        <v>1293</v>
      </c>
    </row>
    <row r="257" spans="1:3" x14ac:dyDescent="0.25">
      <c r="A257" s="23" t="s">
        <v>1289</v>
      </c>
      <c r="B257" s="34">
        <v>1</v>
      </c>
      <c r="C257" s="23" t="s">
        <v>1292</v>
      </c>
    </row>
    <row r="258" spans="1:3" x14ac:dyDescent="0.25">
      <c r="A258" s="23" t="s">
        <v>1289</v>
      </c>
      <c r="B258" s="34">
        <v>2</v>
      </c>
      <c r="C258" s="23" t="s">
        <v>1291</v>
      </c>
    </row>
    <row r="259" spans="1:3" x14ac:dyDescent="0.25">
      <c r="A259" s="23" t="s">
        <v>1289</v>
      </c>
      <c r="B259" s="34">
        <v>3</v>
      </c>
      <c r="C259" s="23" t="s">
        <v>1290</v>
      </c>
    </row>
    <row r="260" spans="1:3" x14ac:dyDescent="0.25">
      <c r="A260" s="23" t="s">
        <v>1289</v>
      </c>
      <c r="B260" s="34">
        <v>4</v>
      </c>
      <c r="C260" s="23" t="s">
        <v>1288</v>
      </c>
    </row>
    <row r="261" spans="1:3" x14ac:dyDescent="0.25">
      <c r="A261" s="23" t="s">
        <v>1285</v>
      </c>
      <c r="B261" s="34">
        <v>1</v>
      </c>
      <c r="C261" s="23" t="s">
        <v>1287</v>
      </c>
    </row>
    <row r="262" spans="1:3" x14ac:dyDescent="0.25">
      <c r="A262" s="23" t="s">
        <v>1285</v>
      </c>
      <c r="B262" s="34">
        <v>2</v>
      </c>
      <c r="C262" s="23" t="s">
        <v>1286</v>
      </c>
    </row>
    <row r="263" spans="1:3" x14ac:dyDescent="0.25">
      <c r="A263" s="23" t="s">
        <v>1285</v>
      </c>
      <c r="B263" s="34">
        <v>3</v>
      </c>
      <c r="C263" s="23" t="s">
        <v>1284</v>
      </c>
    </row>
    <row r="264" spans="1:3" x14ac:dyDescent="0.25">
      <c r="A264" s="23" t="s">
        <v>1280</v>
      </c>
      <c r="B264" s="34">
        <v>1</v>
      </c>
      <c r="C264" s="23" t="s">
        <v>1283</v>
      </c>
    </row>
    <row r="265" spans="1:3" x14ac:dyDescent="0.25">
      <c r="A265" s="23" t="s">
        <v>1280</v>
      </c>
      <c r="B265" s="34">
        <v>2</v>
      </c>
      <c r="C265" s="23" t="s">
        <v>1282</v>
      </c>
    </row>
    <row r="266" spans="1:3" x14ac:dyDescent="0.25">
      <c r="A266" s="23" t="s">
        <v>1280</v>
      </c>
      <c r="B266" s="34">
        <v>3</v>
      </c>
      <c r="C266" s="23" t="s">
        <v>1281</v>
      </c>
    </row>
    <row r="267" spans="1:3" x14ac:dyDescent="0.25">
      <c r="A267" s="23" t="s">
        <v>1280</v>
      </c>
      <c r="B267" s="34">
        <v>4</v>
      </c>
      <c r="C267" s="23" t="s">
        <v>1279</v>
      </c>
    </row>
    <row r="268" spans="1:3" x14ac:dyDescent="0.25">
      <c r="A268" s="23" t="s">
        <v>1273</v>
      </c>
      <c r="B268" s="34">
        <v>1</v>
      </c>
      <c r="C268" s="23" t="s">
        <v>1278</v>
      </c>
    </row>
    <row r="269" spans="1:3" x14ac:dyDescent="0.25">
      <c r="A269" s="23" t="s">
        <v>1273</v>
      </c>
      <c r="B269" s="34">
        <v>2</v>
      </c>
      <c r="C269" s="23" t="s">
        <v>1277</v>
      </c>
    </row>
    <row r="270" spans="1:3" x14ac:dyDescent="0.25">
      <c r="A270" s="23" t="s">
        <v>1273</v>
      </c>
      <c r="B270" s="34">
        <v>3</v>
      </c>
      <c r="C270" s="23" t="s">
        <v>1276</v>
      </c>
    </row>
    <row r="271" spans="1:3" x14ac:dyDescent="0.25">
      <c r="A271" s="23" t="s">
        <v>1273</v>
      </c>
      <c r="B271" s="34">
        <v>4</v>
      </c>
      <c r="C271" s="23" t="s">
        <v>1275</v>
      </c>
    </row>
    <row r="272" spans="1:3" x14ac:dyDescent="0.25">
      <c r="A272" s="23" t="s">
        <v>1273</v>
      </c>
      <c r="B272" s="34">
        <v>5</v>
      </c>
      <c r="C272" s="23" t="s">
        <v>1274</v>
      </c>
    </row>
    <row r="273" spans="1:3" x14ac:dyDescent="0.25">
      <c r="A273" s="23" t="s">
        <v>1273</v>
      </c>
      <c r="B273" s="34">
        <v>6</v>
      </c>
      <c r="C273" s="23" t="s">
        <v>1272</v>
      </c>
    </row>
    <row r="274" spans="1:3" x14ac:dyDescent="0.25">
      <c r="A274" s="23" t="s">
        <v>1268</v>
      </c>
      <c r="B274" s="34">
        <v>1</v>
      </c>
      <c r="C274" s="23" t="s">
        <v>1271</v>
      </c>
    </row>
    <row r="275" spans="1:3" x14ac:dyDescent="0.25">
      <c r="A275" s="23" t="s">
        <v>1268</v>
      </c>
      <c r="B275" s="34">
        <v>2</v>
      </c>
      <c r="C275" s="23" t="s">
        <v>1270</v>
      </c>
    </row>
    <row r="276" spans="1:3" x14ac:dyDescent="0.25">
      <c r="A276" s="23" t="s">
        <v>1268</v>
      </c>
      <c r="B276" s="34">
        <v>3</v>
      </c>
      <c r="C276" s="23" t="s">
        <v>1269</v>
      </c>
    </row>
    <row r="277" spans="1:3" x14ac:dyDescent="0.25">
      <c r="A277" s="23" t="s">
        <v>1268</v>
      </c>
      <c r="B277" s="34">
        <v>4</v>
      </c>
      <c r="C277" s="23" t="s">
        <v>1267</v>
      </c>
    </row>
    <row r="278" spans="1:3" x14ac:dyDescent="0.25">
      <c r="A278" s="23" t="s">
        <v>1260</v>
      </c>
      <c r="B278" s="35" t="s">
        <v>1266</v>
      </c>
      <c r="C278" s="23" t="s">
        <v>1265</v>
      </c>
    </row>
    <row r="279" spans="1:3" x14ac:dyDescent="0.25">
      <c r="A279" s="23" t="s">
        <v>1260</v>
      </c>
      <c r="B279" s="35" t="s">
        <v>1264</v>
      </c>
      <c r="C279" s="23" t="s">
        <v>1263</v>
      </c>
    </row>
    <row r="280" spans="1:3" x14ac:dyDescent="0.25">
      <c r="A280" s="23" t="s">
        <v>1260</v>
      </c>
      <c r="B280" s="35" t="s">
        <v>1262</v>
      </c>
      <c r="C280" s="23" t="s">
        <v>1261</v>
      </c>
    </row>
    <row r="281" spans="1:3" x14ac:dyDescent="0.25">
      <c r="A281" s="23" t="s">
        <v>1260</v>
      </c>
      <c r="B281" s="34">
        <v>999999999</v>
      </c>
      <c r="C281" s="23" t="s">
        <v>1259</v>
      </c>
    </row>
    <row r="282" spans="1:3" x14ac:dyDescent="0.25">
      <c r="A282" s="23" t="s">
        <v>1243</v>
      </c>
      <c r="B282" s="34">
        <v>1</v>
      </c>
      <c r="C282" s="23" t="s">
        <v>1258</v>
      </c>
    </row>
    <row r="283" spans="1:3" x14ac:dyDescent="0.25">
      <c r="A283" s="23" t="s">
        <v>1243</v>
      </c>
      <c r="B283" s="34">
        <v>2</v>
      </c>
      <c r="C283" s="23" t="s">
        <v>1257</v>
      </c>
    </row>
    <row r="284" spans="1:3" x14ac:dyDescent="0.25">
      <c r="A284" s="23" t="s">
        <v>1243</v>
      </c>
      <c r="B284" s="34">
        <v>3</v>
      </c>
      <c r="C284" s="23" t="s">
        <v>1256</v>
      </c>
    </row>
    <row r="285" spans="1:3" x14ac:dyDescent="0.25">
      <c r="A285" s="23" t="s">
        <v>1243</v>
      </c>
      <c r="B285" s="34">
        <v>4</v>
      </c>
      <c r="C285" s="23" t="s">
        <v>1255</v>
      </c>
    </row>
    <row r="286" spans="1:3" x14ac:dyDescent="0.25">
      <c r="A286" s="23" t="s">
        <v>1243</v>
      </c>
      <c r="B286" s="34">
        <v>5</v>
      </c>
      <c r="C286" s="23" t="s">
        <v>1254</v>
      </c>
    </row>
    <row r="287" spans="1:3" x14ac:dyDescent="0.25">
      <c r="A287" s="23" t="s">
        <v>1243</v>
      </c>
      <c r="B287" s="34">
        <v>6</v>
      </c>
      <c r="C287" s="23" t="s">
        <v>1253</v>
      </c>
    </row>
    <row r="288" spans="1:3" x14ac:dyDescent="0.25">
      <c r="A288" s="23" t="s">
        <v>1243</v>
      </c>
      <c r="B288" s="34">
        <v>7</v>
      </c>
      <c r="C288" s="23" t="s">
        <v>1252</v>
      </c>
    </row>
    <row r="289" spans="1:3" x14ac:dyDescent="0.25">
      <c r="A289" s="23" t="s">
        <v>1243</v>
      </c>
      <c r="B289" s="34">
        <v>8</v>
      </c>
      <c r="C289" s="23" t="s">
        <v>1251</v>
      </c>
    </row>
    <row r="290" spans="1:3" x14ac:dyDescent="0.25">
      <c r="A290" s="23" t="s">
        <v>1243</v>
      </c>
      <c r="B290" s="34">
        <v>9</v>
      </c>
      <c r="C290" s="23" t="s">
        <v>1250</v>
      </c>
    </row>
    <row r="291" spans="1:3" x14ac:dyDescent="0.25">
      <c r="A291" s="23" t="s">
        <v>1243</v>
      </c>
      <c r="B291" s="34">
        <v>10</v>
      </c>
      <c r="C291" s="23" t="s">
        <v>1249</v>
      </c>
    </row>
    <row r="292" spans="1:3" x14ac:dyDescent="0.25">
      <c r="A292" s="23" t="s">
        <v>1243</v>
      </c>
      <c r="B292" s="34">
        <v>11</v>
      </c>
      <c r="C292" s="23" t="s">
        <v>1248</v>
      </c>
    </row>
    <row r="293" spans="1:3" x14ac:dyDescent="0.25">
      <c r="A293" s="23" t="s">
        <v>1243</v>
      </c>
      <c r="B293" s="34">
        <v>12</v>
      </c>
      <c r="C293" s="23" t="s">
        <v>1247</v>
      </c>
    </row>
    <row r="294" spans="1:3" x14ac:dyDescent="0.25">
      <c r="A294" s="23" t="s">
        <v>1243</v>
      </c>
      <c r="B294" s="34">
        <v>13</v>
      </c>
      <c r="C294" s="23" t="s">
        <v>1246</v>
      </c>
    </row>
    <row r="295" spans="1:3" x14ac:dyDescent="0.25">
      <c r="A295" s="23" t="s">
        <v>1243</v>
      </c>
      <c r="B295" s="34">
        <v>14</v>
      </c>
      <c r="C295" s="23" t="s">
        <v>1245</v>
      </c>
    </row>
    <row r="296" spans="1:3" x14ac:dyDescent="0.25">
      <c r="A296" s="23" t="s">
        <v>1243</v>
      </c>
      <c r="B296" s="34">
        <v>15</v>
      </c>
      <c r="C296" s="23" t="s">
        <v>1244</v>
      </c>
    </row>
    <row r="297" spans="1:3" x14ac:dyDescent="0.25">
      <c r="A297" s="23" t="s">
        <v>1243</v>
      </c>
      <c r="B297" s="34">
        <v>16</v>
      </c>
      <c r="C297" s="23" t="s">
        <v>1242</v>
      </c>
    </row>
    <row r="298" spans="1:3" x14ac:dyDescent="0.25">
      <c r="A298" s="23" t="s">
        <v>1241</v>
      </c>
      <c r="B298" s="35" t="s">
        <v>1240</v>
      </c>
      <c r="C298" s="23" t="s">
        <v>1239</v>
      </c>
    </row>
    <row r="299" spans="1:3" x14ac:dyDescent="0.25">
      <c r="A299" s="23" t="s">
        <v>1238</v>
      </c>
      <c r="B299" s="35" t="s">
        <v>1237</v>
      </c>
      <c r="C299" s="23" t="s">
        <v>1236</v>
      </c>
    </row>
    <row r="300" spans="1:3" x14ac:dyDescent="0.25">
      <c r="A300" s="23" t="s">
        <v>1232</v>
      </c>
      <c r="B300" s="34">
        <v>1000</v>
      </c>
      <c r="C300" s="23" t="s">
        <v>1235</v>
      </c>
    </row>
    <row r="301" spans="1:3" x14ac:dyDescent="0.25">
      <c r="A301" s="23" t="s">
        <v>1232</v>
      </c>
      <c r="B301" s="34">
        <v>100</v>
      </c>
      <c r="C301" s="23" t="s">
        <v>1234</v>
      </c>
    </row>
    <row r="302" spans="1:3" x14ac:dyDescent="0.25">
      <c r="A302" s="23" t="s">
        <v>1232</v>
      </c>
      <c r="B302" s="34">
        <v>10</v>
      </c>
      <c r="C302" s="23" t="s">
        <v>1233</v>
      </c>
    </row>
    <row r="303" spans="1:3" x14ac:dyDescent="0.25">
      <c r="A303" s="23" t="s">
        <v>1232</v>
      </c>
      <c r="B303" s="34">
        <v>1</v>
      </c>
      <c r="C303" s="23" t="s">
        <v>1231</v>
      </c>
    </row>
    <row r="304" spans="1:3" x14ac:dyDescent="0.25">
      <c r="A304" s="23" t="s">
        <v>1229</v>
      </c>
      <c r="B304" s="34">
        <v>0</v>
      </c>
      <c r="C304" s="23" t="s">
        <v>1230</v>
      </c>
    </row>
    <row r="305" spans="1:3" x14ac:dyDescent="0.25">
      <c r="A305" s="23" t="s">
        <v>1229</v>
      </c>
      <c r="B305" s="34">
        <v>1</v>
      </c>
      <c r="C305" s="23" t="s">
        <v>1228</v>
      </c>
    </row>
    <row r="306" spans="1:3" x14ac:dyDescent="0.25">
      <c r="A306" s="23" t="s">
        <v>1226</v>
      </c>
      <c r="B306" s="34">
        <v>0</v>
      </c>
      <c r="C306" s="23" t="s">
        <v>1227</v>
      </c>
    </row>
    <row r="307" spans="1:3" x14ac:dyDescent="0.25">
      <c r="A307" s="23" t="s">
        <v>1226</v>
      </c>
      <c r="B307" s="34">
        <v>1</v>
      </c>
      <c r="C307" s="23" t="s">
        <v>1225</v>
      </c>
    </row>
    <row r="308" spans="1:3" x14ac:dyDescent="0.25">
      <c r="A308" s="23" t="s">
        <v>1223</v>
      </c>
      <c r="B308" s="34">
        <v>0</v>
      </c>
      <c r="C308" s="23" t="s">
        <v>1224</v>
      </c>
    </row>
    <row r="309" spans="1:3" x14ac:dyDescent="0.25">
      <c r="A309" s="23" t="s">
        <v>1223</v>
      </c>
      <c r="B309" s="34">
        <v>1</v>
      </c>
      <c r="C309" s="23" t="s">
        <v>1222</v>
      </c>
    </row>
    <row r="310" spans="1:3" x14ac:dyDescent="0.25">
      <c r="A310" s="23" t="s">
        <v>1220</v>
      </c>
      <c r="B310" s="34">
        <v>0</v>
      </c>
      <c r="C310" s="23" t="s">
        <v>1221</v>
      </c>
    </row>
    <row r="311" spans="1:3" x14ac:dyDescent="0.25">
      <c r="A311" s="23" t="s">
        <v>1220</v>
      </c>
      <c r="B311" s="34">
        <v>1</v>
      </c>
      <c r="C311" s="23" t="s">
        <v>1219</v>
      </c>
    </row>
    <row r="312" spans="1:3" x14ac:dyDescent="0.25">
      <c r="A312" s="23" t="s">
        <v>1215</v>
      </c>
      <c r="B312" s="34">
        <v>1</v>
      </c>
      <c r="C312" s="23" t="s">
        <v>1218</v>
      </c>
    </row>
    <row r="313" spans="1:3" x14ac:dyDescent="0.25">
      <c r="A313" s="23" t="s">
        <v>1215</v>
      </c>
      <c r="B313" s="34">
        <v>2</v>
      </c>
      <c r="C313" s="23" t="s">
        <v>1217</v>
      </c>
    </row>
    <row r="314" spans="1:3" x14ac:dyDescent="0.25">
      <c r="A314" s="23" t="s">
        <v>1215</v>
      </c>
      <c r="B314" s="34">
        <v>3</v>
      </c>
      <c r="C314" s="23" t="s">
        <v>1028</v>
      </c>
    </row>
    <row r="315" spans="1:3" x14ac:dyDescent="0.25">
      <c r="A315" s="23" t="s">
        <v>1215</v>
      </c>
      <c r="B315" s="34">
        <v>4</v>
      </c>
      <c r="C315" s="23" t="s">
        <v>1216</v>
      </c>
    </row>
    <row r="316" spans="1:3" x14ac:dyDescent="0.25">
      <c r="A316" s="23" t="s">
        <v>1215</v>
      </c>
      <c r="B316" s="34">
        <v>5</v>
      </c>
      <c r="C316" s="23" t="s">
        <v>1214</v>
      </c>
    </row>
    <row r="317" spans="1:3" x14ac:dyDescent="0.25">
      <c r="A317" s="23" t="s">
        <v>1210</v>
      </c>
      <c r="B317" s="34">
        <v>1</v>
      </c>
      <c r="C317" s="23" t="s">
        <v>1213</v>
      </c>
    </row>
    <row r="318" spans="1:3" x14ac:dyDescent="0.25">
      <c r="A318" s="23" t="s">
        <v>1210</v>
      </c>
      <c r="B318" s="34">
        <v>2</v>
      </c>
      <c r="C318" s="23" t="s">
        <v>1212</v>
      </c>
    </row>
    <row r="319" spans="1:3" x14ac:dyDescent="0.25">
      <c r="A319" s="23" t="s">
        <v>1210</v>
      </c>
      <c r="B319" s="34">
        <v>3</v>
      </c>
      <c r="C319" s="23" t="s">
        <v>1211</v>
      </c>
    </row>
    <row r="320" spans="1:3" x14ac:dyDescent="0.25">
      <c r="A320" s="23" t="s">
        <v>1210</v>
      </c>
      <c r="B320" s="34">
        <v>4</v>
      </c>
      <c r="C320" s="23" t="s">
        <v>1209</v>
      </c>
    </row>
    <row r="321" spans="1:3" x14ac:dyDescent="0.25">
      <c r="A321" s="23" t="s">
        <v>1207</v>
      </c>
      <c r="B321" s="34">
        <v>1</v>
      </c>
      <c r="C321" s="23" t="s">
        <v>1208</v>
      </c>
    </row>
    <row r="322" spans="1:3" x14ac:dyDescent="0.25">
      <c r="A322" s="23" t="s">
        <v>1207</v>
      </c>
      <c r="B322" s="34">
        <v>2</v>
      </c>
      <c r="C322" s="23" t="s">
        <v>1206</v>
      </c>
    </row>
    <row r="323" spans="1:3" x14ac:dyDescent="0.25">
      <c r="A323" s="23" t="s">
        <v>1203</v>
      </c>
      <c r="B323" s="34">
        <v>1</v>
      </c>
      <c r="C323" s="23" t="s">
        <v>1205</v>
      </c>
    </row>
    <row r="324" spans="1:3" x14ac:dyDescent="0.25">
      <c r="A324" s="23" t="s">
        <v>1203</v>
      </c>
      <c r="B324" s="34">
        <v>2</v>
      </c>
      <c r="C324" s="23" t="s">
        <v>1204</v>
      </c>
    </row>
    <row r="325" spans="1:3" x14ac:dyDescent="0.25">
      <c r="A325" s="23" t="s">
        <v>1203</v>
      </c>
      <c r="B325" s="34">
        <v>3</v>
      </c>
      <c r="C325" s="23" t="s">
        <v>1202</v>
      </c>
    </row>
    <row r="326" spans="1:3" x14ac:dyDescent="0.25">
      <c r="A326" s="23" t="s">
        <v>1191</v>
      </c>
      <c r="B326" s="34">
        <v>10000000000</v>
      </c>
      <c r="C326" s="23" t="s">
        <v>1201</v>
      </c>
    </row>
    <row r="327" spans="1:3" x14ac:dyDescent="0.25">
      <c r="A327" s="23" t="s">
        <v>1191</v>
      </c>
      <c r="B327" s="34">
        <v>10000000000</v>
      </c>
      <c r="C327" s="23" t="s">
        <v>1201</v>
      </c>
    </row>
    <row r="328" spans="1:3" x14ac:dyDescent="0.25">
      <c r="A328" s="23" t="s">
        <v>1191</v>
      </c>
      <c r="B328" s="34">
        <v>1000000000</v>
      </c>
      <c r="C328" s="23" t="s">
        <v>1200</v>
      </c>
    </row>
    <row r="329" spans="1:3" x14ac:dyDescent="0.25">
      <c r="A329" s="23" t="s">
        <v>1191</v>
      </c>
      <c r="B329" s="34">
        <v>100000000</v>
      </c>
      <c r="C329" s="23" t="s">
        <v>1199</v>
      </c>
    </row>
    <row r="330" spans="1:3" x14ac:dyDescent="0.25">
      <c r="A330" s="23" t="s">
        <v>1191</v>
      </c>
      <c r="B330" s="34">
        <v>10000000</v>
      </c>
      <c r="C330" s="23" t="s">
        <v>1198</v>
      </c>
    </row>
    <row r="331" spans="1:3" x14ac:dyDescent="0.25">
      <c r="A331" s="23" t="s">
        <v>1191</v>
      </c>
      <c r="B331" s="34">
        <v>1000000</v>
      </c>
      <c r="C331" s="23" t="s">
        <v>1197</v>
      </c>
    </row>
    <row r="332" spans="1:3" x14ac:dyDescent="0.25">
      <c r="A332" s="23" t="s">
        <v>1191</v>
      </c>
      <c r="B332" s="34">
        <v>100000</v>
      </c>
      <c r="C332" s="23" t="s">
        <v>1196</v>
      </c>
    </row>
    <row r="333" spans="1:3" x14ac:dyDescent="0.25">
      <c r="A333" s="23" t="s">
        <v>1191</v>
      </c>
      <c r="B333" s="34">
        <v>10000</v>
      </c>
      <c r="C333" s="23" t="s">
        <v>1195</v>
      </c>
    </row>
    <row r="334" spans="1:3" x14ac:dyDescent="0.25">
      <c r="A334" s="23" t="s">
        <v>1191</v>
      </c>
      <c r="B334" s="34">
        <v>1000</v>
      </c>
      <c r="C334" s="23" t="s">
        <v>1194</v>
      </c>
    </row>
    <row r="335" spans="1:3" x14ac:dyDescent="0.25">
      <c r="A335" s="23" t="s">
        <v>1191</v>
      </c>
      <c r="B335" s="34">
        <v>100</v>
      </c>
      <c r="C335" s="23" t="s">
        <v>1193</v>
      </c>
    </row>
    <row r="336" spans="1:3" x14ac:dyDescent="0.25">
      <c r="A336" s="23" t="s">
        <v>1191</v>
      </c>
      <c r="B336" s="34">
        <v>10</v>
      </c>
      <c r="C336" s="23" t="s">
        <v>1192</v>
      </c>
    </row>
    <row r="337" spans="1:3" x14ac:dyDescent="0.25">
      <c r="A337" s="23" t="s">
        <v>1191</v>
      </c>
      <c r="B337" s="34">
        <v>1</v>
      </c>
      <c r="C337" s="23" t="s">
        <v>1190</v>
      </c>
    </row>
    <row r="338" spans="1:3" x14ac:dyDescent="0.25">
      <c r="A338" s="23" t="s">
        <v>1188</v>
      </c>
      <c r="B338" s="34">
        <v>0</v>
      </c>
      <c r="C338" s="23" t="s">
        <v>1189</v>
      </c>
    </row>
    <row r="339" spans="1:3" x14ac:dyDescent="0.25">
      <c r="A339" s="23" t="s">
        <v>1188</v>
      </c>
      <c r="B339" s="34">
        <v>1</v>
      </c>
      <c r="C339" s="23" t="s">
        <v>1187</v>
      </c>
    </row>
    <row r="340" spans="1:3" x14ac:dyDescent="0.25">
      <c r="A340" s="23" t="s">
        <v>1178</v>
      </c>
      <c r="B340" s="34">
        <v>1</v>
      </c>
      <c r="C340" s="23" t="s">
        <v>1186</v>
      </c>
    </row>
    <row r="341" spans="1:3" x14ac:dyDescent="0.25">
      <c r="A341" s="23" t="s">
        <v>1178</v>
      </c>
      <c r="B341" s="34">
        <v>2</v>
      </c>
      <c r="C341" s="23" t="s">
        <v>1185</v>
      </c>
    </row>
    <row r="342" spans="1:3" x14ac:dyDescent="0.25">
      <c r="A342" s="23" t="s">
        <v>1178</v>
      </c>
      <c r="B342" s="34">
        <v>3</v>
      </c>
      <c r="C342" s="23" t="s">
        <v>1184</v>
      </c>
    </row>
    <row r="343" spans="1:3" x14ac:dyDescent="0.25">
      <c r="A343" s="23" t="s">
        <v>1178</v>
      </c>
      <c r="B343" s="34">
        <v>4</v>
      </c>
      <c r="C343" s="23" t="s">
        <v>1183</v>
      </c>
    </row>
    <row r="344" spans="1:3" x14ac:dyDescent="0.25">
      <c r="A344" s="23" t="s">
        <v>1178</v>
      </c>
      <c r="B344" s="34">
        <v>5</v>
      </c>
      <c r="C344" s="23" t="s">
        <v>1182</v>
      </c>
    </row>
    <row r="345" spans="1:3" x14ac:dyDescent="0.25">
      <c r="A345" s="23" t="s">
        <v>1178</v>
      </c>
      <c r="B345" s="34">
        <v>6</v>
      </c>
      <c r="C345" s="23" t="s">
        <v>1181</v>
      </c>
    </row>
    <row r="346" spans="1:3" x14ac:dyDescent="0.25">
      <c r="A346" s="23" t="s">
        <v>1178</v>
      </c>
      <c r="B346" s="34">
        <v>7</v>
      </c>
      <c r="C346" s="23" t="s">
        <v>1180</v>
      </c>
    </row>
    <row r="347" spans="1:3" x14ac:dyDescent="0.25">
      <c r="A347" s="23" t="s">
        <v>1178</v>
      </c>
      <c r="B347" s="34">
        <v>8</v>
      </c>
      <c r="C347" s="23" t="s">
        <v>1179</v>
      </c>
    </row>
    <row r="348" spans="1:3" x14ac:dyDescent="0.25">
      <c r="A348" s="23" t="s">
        <v>1178</v>
      </c>
      <c r="B348" s="34">
        <v>9</v>
      </c>
      <c r="C348" s="23" t="s">
        <v>1177</v>
      </c>
    </row>
    <row r="349" spans="1:3" x14ac:dyDescent="0.25">
      <c r="A349" s="23" t="s">
        <v>1173</v>
      </c>
      <c r="B349" s="34">
        <v>1</v>
      </c>
      <c r="C349" s="23" t="s">
        <v>1027</v>
      </c>
    </row>
    <row r="350" spans="1:3" x14ac:dyDescent="0.25">
      <c r="A350" s="23" t="s">
        <v>1173</v>
      </c>
      <c r="B350" s="34">
        <v>2</v>
      </c>
      <c r="C350" s="23" t="s">
        <v>1176</v>
      </c>
    </row>
    <row r="351" spans="1:3" x14ac:dyDescent="0.25">
      <c r="A351" s="23" t="s">
        <v>1173</v>
      </c>
      <c r="B351" s="34">
        <v>3</v>
      </c>
      <c r="C351" s="23" t="s">
        <v>1175</v>
      </c>
    </row>
    <row r="352" spans="1:3" x14ac:dyDescent="0.25">
      <c r="A352" s="23" t="s">
        <v>1173</v>
      </c>
      <c r="B352" s="34">
        <v>4</v>
      </c>
      <c r="C352" s="23" t="s">
        <v>1174</v>
      </c>
    </row>
    <row r="353" spans="1:3" x14ac:dyDescent="0.25">
      <c r="A353" s="23" t="s">
        <v>1173</v>
      </c>
      <c r="B353" s="34">
        <v>5</v>
      </c>
      <c r="C353" s="23" t="s">
        <v>1172</v>
      </c>
    </row>
    <row r="354" spans="1:3" x14ac:dyDescent="0.25">
      <c r="A354" s="23" t="s">
        <v>1170</v>
      </c>
      <c r="B354" s="34">
        <v>1</v>
      </c>
      <c r="C354" s="23" t="s">
        <v>1171</v>
      </c>
    </row>
    <row r="355" spans="1:3" x14ac:dyDescent="0.25">
      <c r="A355" s="23" t="s">
        <v>1170</v>
      </c>
      <c r="B355" s="34">
        <v>2</v>
      </c>
      <c r="C355" s="23" t="s">
        <v>1169</v>
      </c>
    </row>
    <row r="356" spans="1:3" x14ac:dyDescent="0.25">
      <c r="A356" s="23" t="s">
        <v>1168</v>
      </c>
      <c r="B356" s="35" t="s">
        <v>1167</v>
      </c>
      <c r="C356" s="23" t="s">
        <v>1166</v>
      </c>
    </row>
    <row r="357" spans="1:3" x14ac:dyDescent="0.25">
      <c r="A357" s="23" t="s">
        <v>1154</v>
      </c>
      <c r="B357" s="34">
        <v>1</v>
      </c>
      <c r="C357" s="23" t="s">
        <v>1165</v>
      </c>
    </row>
    <row r="358" spans="1:3" x14ac:dyDescent="0.25">
      <c r="A358" s="23" t="s">
        <v>1154</v>
      </c>
      <c r="B358" s="34">
        <v>2</v>
      </c>
      <c r="C358" s="23" t="s">
        <v>1164</v>
      </c>
    </row>
    <row r="359" spans="1:3" x14ac:dyDescent="0.25">
      <c r="A359" s="23" t="s">
        <v>1154</v>
      </c>
      <c r="B359" s="34">
        <v>3</v>
      </c>
      <c r="C359" s="23" t="s">
        <v>1163</v>
      </c>
    </row>
    <row r="360" spans="1:3" x14ac:dyDescent="0.25">
      <c r="A360" s="23" t="s">
        <v>1154</v>
      </c>
      <c r="B360" s="34">
        <v>4</v>
      </c>
      <c r="C360" s="23" t="s">
        <v>1162</v>
      </c>
    </row>
    <row r="361" spans="1:3" x14ac:dyDescent="0.25">
      <c r="A361" s="23" t="s">
        <v>1154</v>
      </c>
      <c r="B361" s="34">
        <v>5</v>
      </c>
      <c r="C361" s="23" t="s">
        <v>1161</v>
      </c>
    </row>
    <row r="362" spans="1:3" x14ac:dyDescent="0.25">
      <c r="A362" s="23" t="s">
        <v>1154</v>
      </c>
      <c r="B362" s="34">
        <v>6</v>
      </c>
      <c r="C362" s="23" t="s">
        <v>1160</v>
      </c>
    </row>
    <row r="363" spans="1:3" x14ac:dyDescent="0.25">
      <c r="A363" s="23" t="s">
        <v>1154</v>
      </c>
      <c r="B363" s="34">
        <v>7</v>
      </c>
      <c r="C363" s="23" t="s">
        <v>1159</v>
      </c>
    </row>
    <row r="364" spans="1:3" x14ac:dyDescent="0.25">
      <c r="A364" s="23" t="s">
        <v>1154</v>
      </c>
      <c r="B364" s="34">
        <v>8</v>
      </c>
      <c r="C364" s="23" t="s">
        <v>1158</v>
      </c>
    </row>
    <row r="365" spans="1:3" x14ac:dyDescent="0.25">
      <c r="A365" s="23" t="s">
        <v>1154</v>
      </c>
      <c r="B365" s="34">
        <v>9</v>
      </c>
      <c r="C365" s="23" t="s">
        <v>1157</v>
      </c>
    </row>
    <row r="366" spans="1:3" x14ac:dyDescent="0.25">
      <c r="A366" s="23" t="s">
        <v>1154</v>
      </c>
      <c r="B366" s="34">
        <v>10</v>
      </c>
      <c r="C366" s="23" t="s">
        <v>1156</v>
      </c>
    </row>
    <row r="367" spans="1:3" x14ac:dyDescent="0.25">
      <c r="A367" s="23" t="s">
        <v>1154</v>
      </c>
      <c r="B367" s="34">
        <v>11</v>
      </c>
      <c r="C367" s="23" t="s">
        <v>1155</v>
      </c>
    </row>
    <row r="368" spans="1:3" x14ac:dyDescent="0.25">
      <c r="A368" s="23" t="s">
        <v>1154</v>
      </c>
      <c r="B368" s="34">
        <v>12</v>
      </c>
      <c r="C368" s="23" t="s">
        <v>1153</v>
      </c>
    </row>
    <row r="369" spans="1:3" x14ac:dyDescent="0.25">
      <c r="A369" s="23" t="s">
        <v>1152</v>
      </c>
      <c r="B369" s="35" t="s">
        <v>1151</v>
      </c>
      <c r="C369" s="23" t="s">
        <v>1150</v>
      </c>
    </row>
    <row r="370" spans="1:3" x14ac:dyDescent="0.25">
      <c r="A370" s="23" t="s">
        <v>1148</v>
      </c>
      <c r="B370" s="34">
        <v>1</v>
      </c>
      <c r="C370" s="23" t="s">
        <v>1149</v>
      </c>
    </row>
    <row r="371" spans="1:3" x14ac:dyDescent="0.25">
      <c r="A371" s="23" t="s">
        <v>1148</v>
      </c>
      <c r="B371" s="34">
        <v>2</v>
      </c>
      <c r="C371" s="23" t="s">
        <v>1147</v>
      </c>
    </row>
    <row r="372" spans="1:3" x14ac:dyDescent="0.25">
      <c r="A372" s="23" t="s">
        <v>1146</v>
      </c>
      <c r="B372" s="35" t="s">
        <v>1145</v>
      </c>
      <c r="C372" s="23" t="s">
        <v>1144</v>
      </c>
    </row>
    <row r="373" spans="1:3" x14ac:dyDescent="0.25">
      <c r="A373" s="23" t="s">
        <v>1143</v>
      </c>
      <c r="B373" s="35" t="s">
        <v>1142</v>
      </c>
      <c r="C373" s="23" t="s">
        <v>1141</v>
      </c>
    </row>
    <row r="374" spans="1:3" x14ac:dyDescent="0.25">
      <c r="A374" s="23" t="s">
        <v>1135</v>
      </c>
      <c r="B374" s="34">
        <v>1</v>
      </c>
      <c r="C374" s="23" t="s">
        <v>1140</v>
      </c>
    </row>
    <row r="375" spans="1:3" x14ac:dyDescent="0.25">
      <c r="A375" s="23" t="s">
        <v>1135</v>
      </c>
      <c r="B375" s="34">
        <v>2</v>
      </c>
      <c r="C375" s="23" t="s">
        <v>1139</v>
      </c>
    </row>
    <row r="376" spans="1:3" x14ac:dyDescent="0.25">
      <c r="A376" s="23" t="s">
        <v>1135</v>
      </c>
      <c r="B376" s="34">
        <v>3</v>
      </c>
      <c r="C376" s="23" t="s">
        <v>1138</v>
      </c>
    </row>
    <row r="377" spans="1:3" x14ac:dyDescent="0.25">
      <c r="A377" s="23" t="s">
        <v>1135</v>
      </c>
      <c r="B377" s="34">
        <v>4</v>
      </c>
      <c r="C377" s="23" t="s">
        <v>1137</v>
      </c>
    </row>
    <row r="378" spans="1:3" x14ac:dyDescent="0.25">
      <c r="A378" s="23" t="s">
        <v>1135</v>
      </c>
      <c r="B378" s="34">
        <v>5</v>
      </c>
      <c r="C378" s="23" t="s">
        <v>1136</v>
      </c>
    </row>
    <row r="379" spans="1:3" x14ac:dyDescent="0.25">
      <c r="A379" s="23" t="s">
        <v>1135</v>
      </c>
      <c r="B379" s="34">
        <v>6</v>
      </c>
      <c r="C379" s="23" t="s">
        <v>1134</v>
      </c>
    </row>
    <row r="380" spans="1:3" x14ac:dyDescent="0.25">
      <c r="A380" s="23" t="s">
        <v>1012</v>
      </c>
      <c r="B380" s="35" t="s">
        <v>1014</v>
      </c>
      <c r="C380" s="23" t="s">
        <v>1013</v>
      </c>
    </row>
    <row r="381" spans="1:3" x14ac:dyDescent="0.25">
      <c r="A381" s="23" t="s">
        <v>1012</v>
      </c>
      <c r="B381" s="34">
        <v>999999999</v>
      </c>
      <c r="C381" s="23" t="s">
        <v>1011</v>
      </c>
    </row>
    <row r="382" spans="1:3" x14ac:dyDescent="0.25">
      <c r="A382" s="23" t="s">
        <v>1125</v>
      </c>
      <c r="B382" s="34">
        <v>1</v>
      </c>
      <c r="C382" s="23" t="s">
        <v>1133</v>
      </c>
    </row>
    <row r="383" spans="1:3" x14ac:dyDescent="0.25">
      <c r="A383" s="23" t="s">
        <v>1125</v>
      </c>
      <c r="B383" s="34">
        <v>2</v>
      </c>
      <c r="C383" s="23" t="s">
        <v>1132</v>
      </c>
    </row>
    <row r="384" spans="1:3" x14ac:dyDescent="0.25">
      <c r="A384" s="23" t="s">
        <v>1125</v>
      </c>
      <c r="B384" s="34">
        <v>3</v>
      </c>
      <c r="C384" s="23" t="s">
        <v>1131</v>
      </c>
    </row>
    <row r="385" spans="1:3" x14ac:dyDescent="0.25">
      <c r="A385" s="23" t="s">
        <v>1125</v>
      </c>
      <c r="B385" s="34">
        <v>4</v>
      </c>
      <c r="C385" s="23" t="s">
        <v>1130</v>
      </c>
    </row>
    <row r="386" spans="1:3" x14ac:dyDescent="0.25">
      <c r="A386" s="23" t="s">
        <v>1125</v>
      </c>
      <c r="B386" s="34">
        <v>5</v>
      </c>
      <c r="C386" s="23" t="s">
        <v>1129</v>
      </c>
    </row>
    <row r="387" spans="1:3" x14ac:dyDescent="0.25">
      <c r="A387" s="23" t="s">
        <v>1125</v>
      </c>
      <c r="B387" s="34">
        <v>6</v>
      </c>
      <c r="C387" s="23" t="s">
        <v>1128</v>
      </c>
    </row>
    <row r="388" spans="1:3" x14ac:dyDescent="0.25">
      <c r="A388" s="23" t="s">
        <v>1125</v>
      </c>
      <c r="B388" s="34">
        <v>7</v>
      </c>
      <c r="C388" s="23" t="s">
        <v>1127</v>
      </c>
    </row>
    <row r="389" spans="1:3" x14ac:dyDescent="0.25">
      <c r="A389" s="23" t="s">
        <v>1125</v>
      </c>
      <c r="B389" s="34">
        <v>8</v>
      </c>
      <c r="C389" s="23" t="s">
        <v>1126</v>
      </c>
    </row>
    <row r="390" spans="1:3" x14ac:dyDescent="0.25">
      <c r="A390" s="23" t="s">
        <v>1125</v>
      </c>
      <c r="B390" s="34">
        <v>9</v>
      </c>
      <c r="C390" s="23" t="s">
        <v>1124</v>
      </c>
    </row>
    <row r="391" spans="1:3" x14ac:dyDescent="0.25">
      <c r="A391" s="23" t="s">
        <v>473</v>
      </c>
      <c r="B391" s="34">
        <v>1</v>
      </c>
      <c r="C391" s="23" t="s">
        <v>1123</v>
      </c>
    </row>
    <row r="392" spans="1:3" x14ac:dyDescent="0.25">
      <c r="A392" s="23" t="s">
        <v>473</v>
      </c>
      <c r="B392" s="34">
        <v>2</v>
      </c>
      <c r="C392" s="23" t="s">
        <v>1122</v>
      </c>
    </row>
    <row r="393" spans="1:3" x14ac:dyDescent="0.25">
      <c r="A393" s="23" t="s">
        <v>1114</v>
      </c>
      <c r="B393" s="34">
        <v>1</v>
      </c>
      <c r="C393" s="23" t="s">
        <v>1121</v>
      </c>
    </row>
    <row r="394" spans="1:3" x14ac:dyDescent="0.25">
      <c r="A394" s="23" t="s">
        <v>1114</v>
      </c>
      <c r="B394" s="34">
        <v>2</v>
      </c>
      <c r="C394" s="23" t="s">
        <v>1120</v>
      </c>
    </row>
    <row r="395" spans="1:3" x14ac:dyDescent="0.25">
      <c r="A395" s="23" t="s">
        <v>1114</v>
      </c>
      <c r="B395" s="34">
        <v>3</v>
      </c>
      <c r="C395" s="23" t="s">
        <v>1119</v>
      </c>
    </row>
    <row r="396" spans="1:3" x14ac:dyDescent="0.25">
      <c r="A396" s="23" t="s">
        <v>1114</v>
      </c>
      <c r="B396" s="34">
        <v>4</v>
      </c>
      <c r="C396" s="23" t="s">
        <v>1118</v>
      </c>
    </row>
    <row r="397" spans="1:3" x14ac:dyDescent="0.25">
      <c r="A397" s="23" t="s">
        <v>1114</v>
      </c>
      <c r="B397" s="34">
        <v>5</v>
      </c>
      <c r="C397" s="23" t="s">
        <v>1117</v>
      </c>
    </row>
    <row r="398" spans="1:3" x14ac:dyDescent="0.25">
      <c r="A398" s="23" t="s">
        <v>1114</v>
      </c>
      <c r="B398" s="34">
        <v>6</v>
      </c>
      <c r="C398" s="23" t="s">
        <v>1116</v>
      </c>
    </row>
    <row r="399" spans="1:3" x14ac:dyDescent="0.25">
      <c r="A399" s="23" t="s">
        <v>1114</v>
      </c>
      <c r="B399" s="34">
        <v>7</v>
      </c>
      <c r="C399" s="23" t="s">
        <v>1115</v>
      </c>
    </row>
    <row r="400" spans="1:3" x14ac:dyDescent="0.25">
      <c r="A400" s="23" t="s">
        <v>1114</v>
      </c>
      <c r="B400" s="34">
        <v>8</v>
      </c>
      <c r="C400" s="23" t="s">
        <v>1113</v>
      </c>
    </row>
    <row r="401" spans="1:3" x14ac:dyDescent="0.25">
      <c r="A401" s="23" t="s">
        <v>1109</v>
      </c>
      <c r="B401" s="34">
        <v>0</v>
      </c>
      <c r="C401" s="23" t="s">
        <v>1112</v>
      </c>
    </row>
    <row r="402" spans="1:3" x14ac:dyDescent="0.25">
      <c r="A402" s="23" t="s">
        <v>1109</v>
      </c>
      <c r="B402" s="34">
        <v>1</v>
      </c>
      <c r="C402" s="23" t="s">
        <v>1111</v>
      </c>
    </row>
    <row r="403" spans="1:3" x14ac:dyDescent="0.25">
      <c r="A403" s="23" t="s">
        <v>1109</v>
      </c>
      <c r="B403" s="34">
        <v>2</v>
      </c>
      <c r="C403" s="23" t="s">
        <v>1110</v>
      </c>
    </row>
    <row r="404" spans="1:3" x14ac:dyDescent="0.25">
      <c r="A404" s="23" t="s">
        <v>1109</v>
      </c>
      <c r="B404" s="34">
        <v>3</v>
      </c>
      <c r="C404" s="23" t="s">
        <v>1108</v>
      </c>
    </row>
    <row r="405" spans="1:3" x14ac:dyDescent="0.25">
      <c r="A405" s="23" t="s">
        <v>1106</v>
      </c>
      <c r="B405" s="34">
        <v>1</v>
      </c>
      <c r="C405" s="23" t="s">
        <v>1107</v>
      </c>
    </row>
    <row r="406" spans="1:3" x14ac:dyDescent="0.25">
      <c r="A406" s="23" t="s">
        <v>1106</v>
      </c>
      <c r="B406" s="34">
        <v>2</v>
      </c>
      <c r="C406" s="23" t="s">
        <v>1105</v>
      </c>
    </row>
    <row r="407" spans="1:3" x14ac:dyDescent="0.25">
      <c r="A407" s="23" t="s">
        <v>1097</v>
      </c>
      <c r="B407" s="34">
        <v>1</v>
      </c>
      <c r="C407" s="23" t="s">
        <v>1104</v>
      </c>
    </row>
    <row r="408" spans="1:3" x14ac:dyDescent="0.25">
      <c r="A408" s="23" t="s">
        <v>1097</v>
      </c>
      <c r="B408" s="34">
        <v>2</v>
      </c>
      <c r="C408" s="23" t="s">
        <v>1103</v>
      </c>
    </row>
    <row r="409" spans="1:3" x14ac:dyDescent="0.25">
      <c r="A409" s="23" t="s">
        <v>1097</v>
      </c>
      <c r="B409" s="34">
        <v>3</v>
      </c>
      <c r="C409" s="23" t="s">
        <v>1102</v>
      </c>
    </row>
    <row r="410" spans="1:3" x14ac:dyDescent="0.25">
      <c r="A410" s="23" t="s">
        <v>1097</v>
      </c>
      <c r="B410" s="34">
        <v>4</v>
      </c>
      <c r="C410" s="23" t="s">
        <v>1101</v>
      </c>
    </row>
    <row r="411" spans="1:3" x14ac:dyDescent="0.25">
      <c r="A411" s="23" t="s">
        <v>1097</v>
      </c>
      <c r="B411" s="34">
        <v>5</v>
      </c>
      <c r="C411" s="23" t="s">
        <v>1100</v>
      </c>
    </row>
    <row r="412" spans="1:3" x14ac:dyDescent="0.25">
      <c r="A412" s="23" t="s">
        <v>1097</v>
      </c>
      <c r="B412" s="34">
        <v>6</v>
      </c>
      <c r="C412" s="23" t="s">
        <v>1099</v>
      </c>
    </row>
    <row r="413" spans="1:3" x14ac:dyDescent="0.25">
      <c r="A413" s="23" t="s">
        <v>1097</v>
      </c>
      <c r="B413" s="34">
        <v>7</v>
      </c>
      <c r="C413" s="23" t="s">
        <v>1098</v>
      </c>
    </row>
    <row r="414" spans="1:3" x14ac:dyDescent="0.25">
      <c r="A414" s="23" t="s">
        <v>1097</v>
      </c>
      <c r="B414" s="34">
        <v>8</v>
      </c>
      <c r="C414" s="23" t="s">
        <v>1096</v>
      </c>
    </row>
    <row r="415" spans="1:3" x14ac:dyDescent="0.25">
      <c r="A415" s="23" t="s">
        <v>1095</v>
      </c>
      <c r="B415" s="34">
        <v>1</v>
      </c>
      <c r="C415" s="23" t="s">
        <v>1094</v>
      </c>
    </row>
    <row r="416" spans="1:3" x14ac:dyDescent="0.25">
      <c r="A416" s="23" t="s">
        <v>1095</v>
      </c>
      <c r="B416" s="34">
        <v>2</v>
      </c>
      <c r="C416" s="23" t="s">
        <v>1092</v>
      </c>
    </row>
    <row r="417" spans="1:3" x14ac:dyDescent="0.25">
      <c r="A417" s="23" t="s">
        <v>1093</v>
      </c>
      <c r="B417" s="34">
        <v>1</v>
      </c>
      <c r="C417" s="23" t="s">
        <v>1094</v>
      </c>
    </row>
    <row r="418" spans="1:3" x14ac:dyDescent="0.25">
      <c r="A418" s="23" t="s">
        <v>1093</v>
      </c>
      <c r="B418" s="34">
        <v>2</v>
      </c>
      <c r="C418" s="23" t="s">
        <v>1092</v>
      </c>
    </row>
    <row r="419" spans="1:3" x14ac:dyDescent="0.25">
      <c r="A419" s="23" t="s">
        <v>1087</v>
      </c>
      <c r="B419" s="34">
        <v>10000</v>
      </c>
      <c r="C419" s="23" t="s">
        <v>1091</v>
      </c>
    </row>
    <row r="420" spans="1:3" x14ac:dyDescent="0.25">
      <c r="A420" s="23" t="s">
        <v>1087</v>
      </c>
      <c r="B420" s="34">
        <v>1000</v>
      </c>
      <c r="C420" s="23" t="s">
        <v>1090</v>
      </c>
    </row>
    <row r="421" spans="1:3" x14ac:dyDescent="0.25">
      <c r="A421" s="23" t="s">
        <v>1087</v>
      </c>
      <c r="B421" s="34">
        <v>100</v>
      </c>
      <c r="C421" s="23" t="s">
        <v>1089</v>
      </c>
    </row>
    <row r="422" spans="1:3" x14ac:dyDescent="0.25">
      <c r="A422" s="23" t="s">
        <v>1087</v>
      </c>
      <c r="B422" s="34">
        <v>10</v>
      </c>
      <c r="C422" s="23" t="s">
        <v>1088</v>
      </c>
    </row>
    <row r="423" spans="1:3" x14ac:dyDescent="0.25">
      <c r="A423" s="23" t="s">
        <v>1087</v>
      </c>
      <c r="B423" s="34">
        <v>1</v>
      </c>
      <c r="C423" s="23" t="s">
        <v>1086</v>
      </c>
    </row>
    <row r="424" spans="1:3" x14ac:dyDescent="0.25">
      <c r="A424" s="23" t="s">
        <v>1077</v>
      </c>
      <c r="B424" s="34">
        <v>0</v>
      </c>
      <c r="C424" s="23" t="s">
        <v>1085</v>
      </c>
    </row>
    <row r="425" spans="1:3" x14ac:dyDescent="0.25">
      <c r="A425" s="23" t="s">
        <v>1077</v>
      </c>
      <c r="B425" s="34">
        <v>1</v>
      </c>
      <c r="C425" s="23" t="s">
        <v>1084</v>
      </c>
    </row>
    <row r="426" spans="1:3" x14ac:dyDescent="0.25">
      <c r="A426" s="23" t="s">
        <v>1077</v>
      </c>
      <c r="B426" s="34">
        <v>2</v>
      </c>
      <c r="C426" s="23" t="s">
        <v>1083</v>
      </c>
    </row>
    <row r="427" spans="1:3" x14ac:dyDescent="0.25">
      <c r="A427" s="23" t="s">
        <v>1077</v>
      </c>
      <c r="B427" s="34">
        <v>3</v>
      </c>
      <c r="C427" s="23" t="s">
        <v>1082</v>
      </c>
    </row>
    <row r="428" spans="1:3" x14ac:dyDescent="0.25">
      <c r="A428" s="23" t="s">
        <v>1077</v>
      </c>
      <c r="B428" s="34">
        <v>4</v>
      </c>
      <c r="C428" s="23" t="s">
        <v>1081</v>
      </c>
    </row>
    <row r="429" spans="1:3" x14ac:dyDescent="0.25">
      <c r="A429" s="23" t="s">
        <v>1077</v>
      </c>
      <c r="B429" s="34">
        <v>5</v>
      </c>
      <c r="C429" s="23" t="s">
        <v>1080</v>
      </c>
    </row>
    <row r="430" spans="1:3" x14ac:dyDescent="0.25">
      <c r="A430" s="23" t="s">
        <v>1077</v>
      </c>
      <c r="B430" s="34">
        <v>6</v>
      </c>
      <c r="C430" s="23" t="s">
        <v>1079</v>
      </c>
    </row>
    <row r="431" spans="1:3" x14ac:dyDescent="0.25">
      <c r="A431" s="23" t="s">
        <v>1077</v>
      </c>
      <c r="B431" s="34">
        <v>7</v>
      </c>
      <c r="C431" s="23" t="s">
        <v>1078</v>
      </c>
    </row>
    <row r="432" spans="1:3" x14ac:dyDescent="0.25">
      <c r="A432" s="23" t="s">
        <v>1077</v>
      </c>
      <c r="B432" s="34">
        <v>8</v>
      </c>
      <c r="C432" s="23" t="s">
        <v>1076</v>
      </c>
    </row>
    <row r="433" spans="1:3" x14ac:dyDescent="0.25">
      <c r="A433" s="23" t="s">
        <v>1074</v>
      </c>
      <c r="B433" s="34">
        <v>0</v>
      </c>
      <c r="C433" s="23" t="s">
        <v>1075</v>
      </c>
    </row>
    <row r="434" spans="1:3" x14ac:dyDescent="0.25">
      <c r="A434" s="23" t="s">
        <v>1074</v>
      </c>
      <c r="B434" s="34">
        <v>1</v>
      </c>
      <c r="C434" s="23" t="s">
        <v>1073</v>
      </c>
    </row>
    <row r="435" spans="1:3" x14ac:dyDescent="0.25">
      <c r="A435" s="23" t="s">
        <v>1071</v>
      </c>
      <c r="B435" s="34">
        <v>0</v>
      </c>
      <c r="C435" s="23" t="s">
        <v>1072</v>
      </c>
    </row>
    <row r="436" spans="1:3" x14ac:dyDescent="0.25">
      <c r="A436" s="23" t="s">
        <v>1071</v>
      </c>
      <c r="B436" s="34">
        <v>1</v>
      </c>
      <c r="C436" s="23" t="s">
        <v>1070</v>
      </c>
    </row>
    <row r="437" spans="1:3" x14ac:dyDescent="0.25">
      <c r="A437" s="23" t="s">
        <v>1068</v>
      </c>
      <c r="B437" s="34">
        <v>0</v>
      </c>
      <c r="C437" s="23" t="s">
        <v>1069</v>
      </c>
    </row>
    <row r="438" spans="1:3" x14ac:dyDescent="0.25">
      <c r="A438" s="23" t="s">
        <v>1068</v>
      </c>
      <c r="B438" s="34">
        <v>1</v>
      </c>
      <c r="C438" s="23" t="s">
        <v>1067</v>
      </c>
    </row>
    <row r="439" spans="1:3" x14ac:dyDescent="0.25">
      <c r="A439" s="23" t="s">
        <v>1065</v>
      </c>
      <c r="B439" s="34">
        <v>0</v>
      </c>
      <c r="C439" s="23" t="s">
        <v>1066</v>
      </c>
    </row>
    <row r="440" spans="1:3" x14ac:dyDescent="0.25">
      <c r="A440" s="23" t="s">
        <v>1065</v>
      </c>
      <c r="B440" s="34">
        <v>1</v>
      </c>
      <c r="C440" s="23" t="s">
        <v>1064</v>
      </c>
    </row>
    <row r="441" spans="1:3" x14ac:dyDescent="0.25">
      <c r="A441" s="23" t="s">
        <v>1062</v>
      </c>
      <c r="B441" s="34">
        <v>0</v>
      </c>
      <c r="C441" s="23" t="s">
        <v>1063</v>
      </c>
    </row>
    <row r="442" spans="1:3" x14ac:dyDescent="0.25">
      <c r="A442" s="23" t="s">
        <v>1062</v>
      </c>
      <c r="B442" s="34">
        <v>1</v>
      </c>
      <c r="C442" s="23" t="s">
        <v>1061</v>
      </c>
    </row>
    <row r="443" spans="1:3" x14ac:dyDescent="0.25">
      <c r="A443" s="23" t="s">
        <v>3639</v>
      </c>
      <c r="B443" s="34">
        <v>1</v>
      </c>
      <c r="C443" s="23" t="s">
        <v>1060</v>
      </c>
    </row>
    <row r="444" spans="1:3" x14ac:dyDescent="0.25">
      <c r="A444" s="23" t="s">
        <v>3639</v>
      </c>
      <c r="B444" s="34">
        <v>2</v>
      </c>
      <c r="C444" s="23" t="s">
        <v>1059</v>
      </c>
    </row>
    <row r="445" spans="1:3" x14ac:dyDescent="0.25">
      <c r="A445" s="23" t="s">
        <v>3639</v>
      </c>
      <c r="B445" s="34">
        <v>3</v>
      </c>
      <c r="C445" s="23" t="s">
        <v>1058</v>
      </c>
    </row>
    <row r="446" spans="1:3" x14ac:dyDescent="0.25">
      <c r="A446" s="23" t="s">
        <v>3639</v>
      </c>
      <c r="B446" s="34">
        <v>4</v>
      </c>
      <c r="C446" s="23" t="s">
        <v>1057</v>
      </c>
    </row>
    <row r="447" spans="1:3" x14ac:dyDescent="0.25">
      <c r="A447" s="23" t="s">
        <v>3639</v>
      </c>
      <c r="B447" s="34">
        <v>5</v>
      </c>
      <c r="C447" s="23" t="s">
        <v>1056</v>
      </c>
    </row>
    <row r="448" spans="1:3" x14ac:dyDescent="0.25">
      <c r="A448" s="23" t="s">
        <v>3639</v>
      </c>
      <c r="B448" s="34">
        <v>6</v>
      </c>
      <c r="C448" s="23" t="s">
        <v>1055</v>
      </c>
    </row>
    <row r="449" spans="1:3" x14ac:dyDescent="0.25">
      <c r="A449" s="23" t="s">
        <v>3639</v>
      </c>
      <c r="B449" s="34">
        <v>7</v>
      </c>
      <c r="C449" s="23" t="s">
        <v>1054</v>
      </c>
    </row>
    <row r="450" spans="1:3" x14ac:dyDescent="0.25">
      <c r="A450" s="23" t="s">
        <v>3639</v>
      </c>
      <c r="B450" s="34">
        <v>8</v>
      </c>
      <c r="C450" s="23" t="s">
        <v>1053</v>
      </c>
    </row>
    <row r="451" spans="1:3" x14ac:dyDescent="0.25">
      <c r="A451" s="23" t="s">
        <v>1051</v>
      </c>
      <c r="B451" s="34">
        <v>1</v>
      </c>
      <c r="C451" s="23" t="s">
        <v>1052</v>
      </c>
    </row>
    <row r="452" spans="1:3" x14ac:dyDescent="0.25">
      <c r="A452" s="23" t="s">
        <v>1051</v>
      </c>
      <c r="B452" s="34">
        <v>2</v>
      </c>
      <c r="C452" s="23" t="s">
        <v>1050</v>
      </c>
    </row>
    <row r="453" spans="1:3" x14ac:dyDescent="0.25">
      <c r="A453" s="23" t="s">
        <v>1049</v>
      </c>
      <c r="B453" s="35" t="s">
        <v>1048</v>
      </c>
      <c r="C453" s="23" t="s">
        <v>1047</v>
      </c>
    </row>
    <row r="454" spans="1:3" x14ac:dyDescent="0.25">
      <c r="A454" s="23" t="s">
        <v>1046</v>
      </c>
      <c r="B454" s="35" t="s">
        <v>1045</v>
      </c>
      <c r="C454" s="23" t="s">
        <v>1044</v>
      </c>
    </row>
    <row r="455" spans="1:3" x14ac:dyDescent="0.25">
      <c r="A455" s="23" t="s">
        <v>1034</v>
      </c>
      <c r="B455" s="34">
        <v>1</v>
      </c>
      <c r="C455" s="23" t="s">
        <v>1043</v>
      </c>
    </row>
    <row r="456" spans="1:3" x14ac:dyDescent="0.25">
      <c r="A456" s="23" t="s">
        <v>1034</v>
      </c>
      <c r="B456" s="34">
        <v>2</v>
      </c>
      <c r="C456" s="23" t="s">
        <v>1042</v>
      </c>
    </row>
    <row r="457" spans="1:3" x14ac:dyDescent="0.25">
      <c r="A457" s="23" t="s">
        <v>1034</v>
      </c>
      <c r="B457" s="34">
        <v>3</v>
      </c>
      <c r="C457" s="23" t="s">
        <v>1041</v>
      </c>
    </row>
    <row r="458" spans="1:3" x14ac:dyDescent="0.25">
      <c r="A458" s="23" t="s">
        <v>1034</v>
      </c>
      <c r="B458" s="34">
        <v>4</v>
      </c>
      <c r="C458" s="23" t="s">
        <v>1040</v>
      </c>
    </row>
    <row r="459" spans="1:3" x14ac:dyDescent="0.25">
      <c r="A459" s="23" t="s">
        <v>1034</v>
      </c>
      <c r="B459" s="34">
        <v>5</v>
      </c>
      <c r="C459" s="23" t="s">
        <v>1039</v>
      </c>
    </row>
    <row r="460" spans="1:3" x14ac:dyDescent="0.25">
      <c r="A460" s="23" t="s">
        <v>1034</v>
      </c>
      <c r="B460" s="34">
        <v>6</v>
      </c>
      <c r="C460" s="23" t="s">
        <v>1038</v>
      </c>
    </row>
    <row r="461" spans="1:3" x14ac:dyDescent="0.25">
      <c r="A461" s="23" t="s">
        <v>1034</v>
      </c>
      <c r="B461" s="34">
        <v>7</v>
      </c>
      <c r="C461" s="23" t="s">
        <v>1037</v>
      </c>
    </row>
    <row r="462" spans="1:3" x14ac:dyDescent="0.25">
      <c r="A462" s="23" t="s">
        <v>1034</v>
      </c>
      <c r="B462" s="34">
        <v>8</v>
      </c>
      <c r="C462" s="23" t="s">
        <v>1036</v>
      </c>
    </row>
    <row r="463" spans="1:3" x14ac:dyDescent="0.25">
      <c r="A463" s="23" t="s">
        <v>1034</v>
      </c>
      <c r="B463" s="34">
        <v>9</v>
      </c>
      <c r="C463" s="23" t="s">
        <v>1035</v>
      </c>
    </row>
    <row r="464" spans="1:3" x14ac:dyDescent="0.25">
      <c r="A464" s="23" t="s">
        <v>1034</v>
      </c>
      <c r="B464" s="34">
        <v>10</v>
      </c>
      <c r="C464" s="23" t="s">
        <v>1033</v>
      </c>
    </row>
    <row r="465" spans="1:3" x14ac:dyDescent="0.25">
      <c r="A465" s="23" t="s">
        <v>1029</v>
      </c>
      <c r="B465" s="34">
        <v>1</v>
      </c>
      <c r="C465" s="23" t="s">
        <v>1032</v>
      </c>
    </row>
    <row r="466" spans="1:3" x14ac:dyDescent="0.25">
      <c r="A466" s="23" t="s">
        <v>1029</v>
      </c>
      <c r="B466" s="34">
        <v>2</v>
      </c>
      <c r="C466" s="23" t="s">
        <v>1031</v>
      </c>
    </row>
    <row r="467" spans="1:3" x14ac:dyDescent="0.25">
      <c r="A467" s="23" t="s">
        <v>1029</v>
      </c>
      <c r="B467" s="34">
        <v>3</v>
      </c>
      <c r="C467" s="23" t="s">
        <v>1030</v>
      </c>
    </row>
    <row r="468" spans="1:3" x14ac:dyDescent="0.25">
      <c r="A468" s="23" t="s">
        <v>1029</v>
      </c>
      <c r="B468" s="34">
        <v>4</v>
      </c>
      <c r="C468" s="23" t="s">
        <v>1028</v>
      </c>
    </row>
    <row r="469" spans="1:3" x14ac:dyDescent="0.25">
      <c r="A469" s="23" t="s">
        <v>1016</v>
      </c>
      <c r="B469" s="34">
        <v>1</v>
      </c>
      <c r="C469" s="23" t="s">
        <v>1027</v>
      </c>
    </row>
    <row r="470" spans="1:3" x14ac:dyDescent="0.25">
      <c r="A470" s="23" t="s">
        <v>1016</v>
      </c>
      <c r="B470" s="34">
        <v>2</v>
      </c>
      <c r="C470" s="23" t="s">
        <v>1026</v>
      </c>
    </row>
    <row r="471" spans="1:3" x14ac:dyDescent="0.25">
      <c r="A471" s="23" t="s">
        <v>1016</v>
      </c>
      <c r="B471" s="34">
        <v>3</v>
      </c>
      <c r="C471" s="23" t="s">
        <v>1025</v>
      </c>
    </row>
    <row r="472" spans="1:3" x14ac:dyDescent="0.25">
      <c r="A472" s="23" t="s">
        <v>1016</v>
      </c>
      <c r="B472" s="34">
        <v>4</v>
      </c>
      <c r="C472" s="23" t="s">
        <v>1024</v>
      </c>
    </row>
    <row r="473" spans="1:3" x14ac:dyDescent="0.25">
      <c r="A473" s="23" t="s">
        <v>1016</v>
      </c>
      <c r="B473" s="34">
        <v>5</v>
      </c>
      <c r="C473" s="23" t="s">
        <v>1023</v>
      </c>
    </row>
    <row r="474" spans="1:3" x14ac:dyDescent="0.25">
      <c r="A474" s="23" t="s">
        <v>1016</v>
      </c>
      <c r="B474" s="34">
        <v>6</v>
      </c>
      <c r="C474" s="23" t="s">
        <v>1022</v>
      </c>
    </row>
    <row r="475" spans="1:3" x14ac:dyDescent="0.25">
      <c r="A475" s="23" t="s">
        <v>1016</v>
      </c>
      <c r="B475" s="34">
        <v>7</v>
      </c>
      <c r="C475" s="23" t="s">
        <v>1021</v>
      </c>
    </row>
    <row r="476" spans="1:3" x14ac:dyDescent="0.25">
      <c r="A476" s="23" t="s">
        <v>1016</v>
      </c>
      <c r="B476" s="34">
        <v>8</v>
      </c>
      <c r="C476" s="23" t="s">
        <v>1020</v>
      </c>
    </row>
    <row r="477" spans="1:3" x14ac:dyDescent="0.25">
      <c r="A477" s="23" t="s">
        <v>1016</v>
      </c>
      <c r="B477" s="34">
        <v>9</v>
      </c>
      <c r="C477" s="23" t="s">
        <v>1019</v>
      </c>
    </row>
    <row r="478" spans="1:3" x14ac:dyDescent="0.25">
      <c r="A478" s="23" t="s">
        <v>1016</v>
      </c>
      <c r="B478" s="34">
        <v>10</v>
      </c>
      <c r="C478" s="23" t="s">
        <v>1018</v>
      </c>
    </row>
    <row r="479" spans="1:3" x14ac:dyDescent="0.25">
      <c r="A479" s="23" t="s">
        <v>1016</v>
      </c>
      <c r="B479" s="34">
        <v>11</v>
      </c>
      <c r="C479" s="23" t="s">
        <v>1017</v>
      </c>
    </row>
    <row r="480" spans="1:3" x14ac:dyDescent="0.25">
      <c r="A480" s="23" t="s">
        <v>1016</v>
      </c>
      <c r="B480" s="34">
        <v>12</v>
      </c>
      <c r="C480" s="23" t="s">
        <v>1015</v>
      </c>
    </row>
    <row r="481" spans="1:3" x14ac:dyDescent="0.25">
      <c r="A481" s="23" t="s">
        <v>1012</v>
      </c>
      <c r="B481" s="35" t="s">
        <v>1014</v>
      </c>
      <c r="C481" s="23" t="s">
        <v>1013</v>
      </c>
    </row>
    <row r="482" spans="1:3" x14ac:dyDescent="0.25">
      <c r="A482" s="23" t="s">
        <v>1012</v>
      </c>
      <c r="B482" s="34">
        <v>999999999</v>
      </c>
      <c r="C482" s="23" t="s">
        <v>1011</v>
      </c>
    </row>
    <row r="483" spans="1:3" x14ac:dyDescent="0.25">
      <c r="A483" s="23" t="s">
        <v>992</v>
      </c>
      <c r="B483" s="32">
        <v>1</v>
      </c>
      <c r="C483" s="23" t="s">
        <v>1010</v>
      </c>
    </row>
    <row r="484" spans="1:3" x14ac:dyDescent="0.25">
      <c r="A484" s="23" t="s">
        <v>992</v>
      </c>
      <c r="B484" s="32">
        <v>2</v>
      </c>
      <c r="C484" s="23" t="s">
        <v>1009</v>
      </c>
    </row>
    <row r="485" spans="1:3" x14ac:dyDescent="0.25">
      <c r="A485" s="23" t="s">
        <v>992</v>
      </c>
      <c r="B485" s="32">
        <v>3</v>
      </c>
      <c r="C485" s="23" t="s">
        <v>1008</v>
      </c>
    </row>
    <row r="486" spans="1:3" x14ac:dyDescent="0.25">
      <c r="A486" s="23" t="s">
        <v>992</v>
      </c>
      <c r="B486" s="32">
        <v>4</v>
      </c>
      <c r="C486" s="23" t="s">
        <v>1007</v>
      </c>
    </row>
    <row r="487" spans="1:3" x14ac:dyDescent="0.25">
      <c r="A487" s="23" t="s">
        <v>992</v>
      </c>
      <c r="B487" s="32">
        <v>5</v>
      </c>
      <c r="C487" s="23" t="s">
        <v>1006</v>
      </c>
    </row>
    <row r="488" spans="1:3" x14ac:dyDescent="0.25">
      <c r="A488" s="23" t="s">
        <v>992</v>
      </c>
      <c r="B488" s="32">
        <v>6</v>
      </c>
      <c r="C488" s="23" t="s">
        <v>1005</v>
      </c>
    </row>
    <row r="489" spans="1:3" x14ac:dyDescent="0.25">
      <c r="A489" s="23" t="s">
        <v>992</v>
      </c>
      <c r="B489" s="32">
        <v>7</v>
      </c>
      <c r="C489" s="23" t="s">
        <v>1004</v>
      </c>
    </row>
    <row r="490" spans="1:3" x14ac:dyDescent="0.25">
      <c r="A490" s="23" t="s">
        <v>992</v>
      </c>
      <c r="B490" s="32">
        <v>8</v>
      </c>
      <c r="C490" s="23" t="s">
        <v>1003</v>
      </c>
    </row>
    <row r="491" spans="1:3" x14ac:dyDescent="0.25">
      <c r="A491" s="23" t="s">
        <v>992</v>
      </c>
      <c r="B491" s="32">
        <v>9</v>
      </c>
      <c r="C491" s="23" t="s">
        <v>1002</v>
      </c>
    </row>
    <row r="492" spans="1:3" x14ac:dyDescent="0.25">
      <c r="A492" s="23" t="s">
        <v>992</v>
      </c>
      <c r="B492" s="32">
        <v>10</v>
      </c>
      <c r="C492" s="23" t="s">
        <v>1001</v>
      </c>
    </row>
    <row r="493" spans="1:3" x14ac:dyDescent="0.25">
      <c r="A493" s="23" t="s">
        <v>992</v>
      </c>
      <c r="B493" s="32">
        <v>11</v>
      </c>
      <c r="C493" s="23" t="s">
        <v>1000</v>
      </c>
    </row>
    <row r="494" spans="1:3" x14ac:dyDescent="0.25">
      <c r="A494" s="23" t="s">
        <v>992</v>
      </c>
      <c r="B494" s="32">
        <v>12</v>
      </c>
      <c r="C494" s="23" t="s">
        <v>999</v>
      </c>
    </row>
    <row r="495" spans="1:3" x14ac:dyDescent="0.25">
      <c r="A495" s="23" t="s">
        <v>992</v>
      </c>
      <c r="B495" s="32">
        <v>13</v>
      </c>
      <c r="C495" s="23" t="s">
        <v>998</v>
      </c>
    </row>
    <row r="496" spans="1:3" x14ac:dyDescent="0.25">
      <c r="A496" s="23" t="s">
        <v>992</v>
      </c>
      <c r="B496" s="32">
        <v>14</v>
      </c>
      <c r="C496" s="23" t="s">
        <v>997</v>
      </c>
    </row>
    <row r="497" spans="1:3" x14ac:dyDescent="0.25">
      <c r="A497" s="23" t="s">
        <v>992</v>
      </c>
      <c r="B497" s="32">
        <v>15</v>
      </c>
      <c r="C497" s="23" t="s">
        <v>996</v>
      </c>
    </row>
    <row r="498" spans="1:3" x14ac:dyDescent="0.25">
      <c r="A498" s="23" t="s">
        <v>992</v>
      </c>
      <c r="B498" s="32">
        <v>16</v>
      </c>
      <c r="C498" s="23" t="s">
        <v>995</v>
      </c>
    </row>
    <row r="499" spans="1:3" x14ac:dyDescent="0.25">
      <c r="A499" s="23" t="s">
        <v>992</v>
      </c>
      <c r="B499" s="32">
        <v>17</v>
      </c>
      <c r="C499" s="23" t="s">
        <v>994</v>
      </c>
    </row>
    <row r="500" spans="1:3" x14ac:dyDescent="0.25">
      <c r="A500" s="23" t="s">
        <v>992</v>
      </c>
      <c r="B500" s="32">
        <v>18</v>
      </c>
      <c r="C500" s="23" t="s">
        <v>993</v>
      </c>
    </row>
    <row r="501" spans="1:3" x14ac:dyDescent="0.25">
      <c r="A501" s="23" t="s">
        <v>992</v>
      </c>
      <c r="B501" s="32">
        <v>19</v>
      </c>
      <c r="C501" s="23" t="s">
        <v>991</v>
      </c>
    </row>
    <row r="502" spans="1:3" x14ac:dyDescent="0.25">
      <c r="A502" s="23" t="s">
        <v>974</v>
      </c>
      <c r="B502" s="32">
        <v>1</v>
      </c>
      <c r="C502" s="21" t="s">
        <v>990</v>
      </c>
    </row>
    <row r="503" spans="1:3" x14ac:dyDescent="0.25">
      <c r="A503" s="23" t="s">
        <v>974</v>
      </c>
      <c r="B503" s="32">
        <v>2</v>
      </c>
      <c r="C503" s="21" t="s">
        <v>989</v>
      </c>
    </row>
    <row r="504" spans="1:3" x14ac:dyDescent="0.25">
      <c r="A504" s="23" t="s">
        <v>974</v>
      </c>
      <c r="B504" s="32">
        <v>3</v>
      </c>
      <c r="C504" s="21" t="s">
        <v>988</v>
      </c>
    </row>
    <row r="505" spans="1:3" x14ac:dyDescent="0.25">
      <c r="A505" s="23" t="s">
        <v>974</v>
      </c>
      <c r="B505" s="32">
        <v>4</v>
      </c>
      <c r="C505" s="21" t="s">
        <v>987</v>
      </c>
    </row>
    <row r="506" spans="1:3" x14ac:dyDescent="0.25">
      <c r="A506" s="23" t="s">
        <v>974</v>
      </c>
      <c r="B506" s="32">
        <v>5</v>
      </c>
      <c r="C506" s="21" t="s">
        <v>986</v>
      </c>
    </row>
    <row r="507" spans="1:3" x14ac:dyDescent="0.25">
      <c r="A507" s="23" t="s">
        <v>974</v>
      </c>
      <c r="B507" s="32">
        <v>6</v>
      </c>
      <c r="C507" s="21" t="s">
        <v>985</v>
      </c>
    </row>
    <row r="508" spans="1:3" x14ac:dyDescent="0.25">
      <c r="A508" s="23" t="s">
        <v>974</v>
      </c>
      <c r="B508" s="32">
        <v>7</v>
      </c>
      <c r="C508" s="21" t="s">
        <v>984</v>
      </c>
    </row>
    <row r="509" spans="1:3" x14ac:dyDescent="0.25">
      <c r="A509" s="23" t="s">
        <v>974</v>
      </c>
      <c r="B509" s="32">
        <v>8</v>
      </c>
      <c r="C509" s="21" t="s">
        <v>983</v>
      </c>
    </row>
    <row r="510" spans="1:3" x14ac:dyDescent="0.25">
      <c r="A510" s="23" t="s">
        <v>974</v>
      </c>
      <c r="B510" s="32">
        <v>9</v>
      </c>
      <c r="C510" s="21" t="s">
        <v>982</v>
      </c>
    </row>
    <row r="511" spans="1:3" x14ac:dyDescent="0.25">
      <c r="A511" s="23" t="s">
        <v>974</v>
      </c>
      <c r="B511" s="32">
        <v>10</v>
      </c>
      <c r="C511" s="21" t="s">
        <v>981</v>
      </c>
    </row>
    <row r="512" spans="1:3" x14ac:dyDescent="0.25">
      <c r="A512" s="23" t="s">
        <v>974</v>
      </c>
      <c r="B512" s="32">
        <v>11</v>
      </c>
      <c r="C512" s="21" t="s">
        <v>980</v>
      </c>
    </row>
    <row r="513" spans="1:3" x14ac:dyDescent="0.25">
      <c r="A513" s="23" t="s">
        <v>974</v>
      </c>
      <c r="B513" s="32">
        <v>12</v>
      </c>
      <c r="C513" s="21" t="s">
        <v>979</v>
      </c>
    </row>
    <row r="514" spans="1:3" x14ac:dyDescent="0.25">
      <c r="A514" s="23" t="s">
        <v>974</v>
      </c>
      <c r="B514" s="32">
        <v>13</v>
      </c>
      <c r="C514" s="21" t="s">
        <v>978</v>
      </c>
    </row>
    <row r="515" spans="1:3" x14ac:dyDescent="0.25">
      <c r="A515" s="23" t="s">
        <v>974</v>
      </c>
      <c r="B515" s="32">
        <v>14</v>
      </c>
      <c r="C515" s="21" t="s">
        <v>977</v>
      </c>
    </row>
    <row r="516" spans="1:3" x14ac:dyDescent="0.25">
      <c r="A516" s="23" t="s">
        <v>974</v>
      </c>
      <c r="B516" s="32">
        <v>15</v>
      </c>
      <c r="C516" s="21" t="s">
        <v>976</v>
      </c>
    </row>
    <row r="517" spans="1:3" x14ac:dyDescent="0.25">
      <c r="A517" s="23" t="s">
        <v>974</v>
      </c>
      <c r="B517" s="32">
        <v>16</v>
      </c>
      <c r="C517" s="21" t="s">
        <v>975</v>
      </c>
    </row>
    <row r="518" spans="1:3" x14ac:dyDescent="0.25">
      <c r="A518" s="23" t="s">
        <v>974</v>
      </c>
      <c r="B518" s="32">
        <v>17</v>
      </c>
      <c r="C518" s="21" t="s">
        <v>973</v>
      </c>
    </row>
    <row r="519" spans="1:3" x14ac:dyDescent="0.25">
      <c r="A519" s="23" t="s">
        <v>946</v>
      </c>
      <c r="B519" s="32">
        <v>1</v>
      </c>
      <c r="C519" s="23" t="s">
        <v>972</v>
      </c>
    </row>
    <row r="520" spans="1:3" x14ac:dyDescent="0.25">
      <c r="A520" s="23" t="s">
        <v>946</v>
      </c>
      <c r="B520" s="32">
        <v>2</v>
      </c>
      <c r="C520" s="23" t="s">
        <v>971</v>
      </c>
    </row>
    <row r="521" spans="1:3" x14ac:dyDescent="0.25">
      <c r="A521" s="23" t="s">
        <v>946</v>
      </c>
      <c r="B521" s="32">
        <v>3</v>
      </c>
      <c r="C521" s="23" t="s">
        <v>970</v>
      </c>
    </row>
    <row r="522" spans="1:3" x14ac:dyDescent="0.25">
      <c r="A522" s="23" t="s">
        <v>946</v>
      </c>
      <c r="B522" s="32">
        <v>4</v>
      </c>
      <c r="C522" s="23" t="s">
        <v>969</v>
      </c>
    </row>
    <row r="523" spans="1:3" x14ac:dyDescent="0.25">
      <c r="A523" s="23" t="s">
        <v>946</v>
      </c>
      <c r="B523" s="32">
        <v>5</v>
      </c>
      <c r="C523" s="23" t="s">
        <v>968</v>
      </c>
    </row>
    <row r="524" spans="1:3" x14ac:dyDescent="0.25">
      <c r="A524" s="23" t="s">
        <v>946</v>
      </c>
      <c r="B524" s="32">
        <v>6</v>
      </c>
      <c r="C524" s="23" t="s">
        <v>967</v>
      </c>
    </row>
    <row r="525" spans="1:3" x14ac:dyDescent="0.25">
      <c r="A525" s="23" t="s">
        <v>946</v>
      </c>
      <c r="B525" s="32">
        <v>7</v>
      </c>
      <c r="C525" s="23" t="s">
        <v>966</v>
      </c>
    </row>
    <row r="526" spans="1:3" x14ac:dyDescent="0.25">
      <c r="A526" s="23" t="s">
        <v>946</v>
      </c>
      <c r="B526" s="32">
        <v>8</v>
      </c>
      <c r="C526" s="23" t="s">
        <v>965</v>
      </c>
    </row>
    <row r="527" spans="1:3" x14ac:dyDescent="0.25">
      <c r="A527" s="23" t="s">
        <v>946</v>
      </c>
      <c r="B527" s="32">
        <v>9</v>
      </c>
      <c r="C527" s="23" t="s">
        <v>964</v>
      </c>
    </row>
    <row r="528" spans="1:3" x14ac:dyDescent="0.25">
      <c r="A528" s="23" t="s">
        <v>946</v>
      </c>
      <c r="B528" s="32">
        <v>10</v>
      </c>
      <c r="C528" s="23" t="s">
        <v>963</v>
      </c>
    </row>
    <row r="529" spans="1:3" x14ac:dyDescent="0.25">
      <c r="A529" s="23" t="s">
        <v>946</v>
      </c>
      <c r="B529" s="32">
        <v>11</v>
      </c>
      <c r="C529" s="23" t="s">
        <v>962</v>
      </c>
    </row>
    <row r="530" spans="1:3" x14ac:dyDescent="0.25">
      <c r="A530" s="23" t="s">
        <v>946</v>
      </c>
      <c r="B530" s="32">
        <v>12</v>
      </c>
      <c r="C530" s="23" t="s">
        <v>961</v>
      </c>
    </row>
    <row r="531" spans="1:3" x14ac:dyDescent="0.25">
      <c r="A531" s="23" t="s">
        <v>946</v>
      </c>
      <c r="B531" s="32">
        <v>13</v>
      </c>
      <c r="C531" s="23" t="s">
        <v>960</v>
      </c>
    </row>
    <row r="532" spans="1:3" x14ac:dyDescent="0.25">
      <c r="A532" s="23" t="s">
        <v>946</v>
      </c>
      <c r="B532" s="32">
        <v>14</v>
      </c>
      <c r="C532" s="23" t="s">
        <v>959</v>
      </c>
    </row>
    <row r="533" spans="1:3" x14ac:dyDescent="0.25">
      <c r="A533" s="23" t="s">
        <v>946</v>
      </c>
      <c r="B533" s="32">
        <v>15</v>
      </c>
      <c r="C533" s="23" t="s">
        <v>958</v>
      </c>
    </row>
    <row r="534" spans="1:3" x14ac:dyDescent="0.25">
      <c r="A534" s="23" t="s">
        <v>946</v>
      </c>
      <c r="B534" s="32">
        <v>16</v>
      </c>
      <c r="C534" s="23" t="s">
        <v>957</v>
      </c>
    </row>
    <row r="535" spans="1:3" x14ac:dyDescent="0.25">
      <c r="A535" s="23" t="s">
        <v>946</v>
      </c>
      <c r="B535" s="32">
        <v>17</v>
      </c>
      <c r="C535" s="23" t="s">
        <v>956</v>
      </c>
    </row>
    <row r="536" spans="1:3" x14ac:dyDescent="0.25">
      <c r="A536" s="23" t="s">
        <v>946</v>
      </c>
      <c r="B536" s="32">
        <v>18</v>
      </c>
      <c r="C536" s="23" t="s">
        <v>955</v>
      </c>
    </row>
    <row r="537" spans="1:3" x14ac:dyDescent="0.25">
      <c r="A537" s="23" t="s">
        <v>946</v>
      </c>
      <c r="B537" s="32">
        <v>19</v>
      </c>
      <c r="C537" s="23" t="s">
        <v>954</v>
      </c>
    </row>
    <row r="538" spans="1:3" x14ac:dyDescent="0.25">
      <c r="A538" s="23" t="s">
        <v>946</v>
      </c>
      <c r="B538" s="32">
        <v>20</v>
      </c>
      <c r="C538" s="23" t="s">
        <v>953</v>
      </c>
    </row>
    <row r="539" spans="1:3" x14ac:dyDescent="0.25">
      <c r="A539" s="23" t="s">
        <v>946</v>
      </c>
      <c r="B539" s="32">
        <v>21</v>
      </c>
      <c r="C539" s="23" t="s">
        <v>952</v>
      </c>
    </row>
    <row r="540" spans="1:3" x14ac:dyDescent="0.25">
      <c r="A540" s="23" t="s">
        <v>946</v>
      </c>
      <c r="B540" s="32">
        <v>22</v>
      </c>
      <c r="C540" s="23" t="s">
        <v>951</v>
      </c>
    </row>
    <row r="541" spans="1:3" x14ac:dyDescent="0.25">
      <c r="A541" s="23" t="s">
        <v>946</v>
      </c>
      <c r="B541" s="32">
        <v>23</v>
      </c>
      <c r="C541" s="23" t="s">
        <v>950</v>
      </c>
    </row>
    <row r="542" spans="1:3" x14ac:dyDescent="0.25">
      <c r="A542" s="23" t="s">
        <v>946</v>
      </c>
      <c r="B542" s="32">
        <v>24</v>
      </c>
      <c r="C542" s="23" t="s">
        <v>949</v>
      </c>
    </row>
    <row r="543" spans="1:3" x14ac:dyDescent="0.25">
      <c r="A543" s="23" t="s">
        <v>946</v>
      </c>
      <c r="B543" s="32">
        <v>25</v>
      </c>
      <c r="C543" s="23" t="s">
        <v>948</v>
      </c>
    </row>
    <row r="544" spans="1:3" x14ac:dyDescent="0.25">
      <c r="A544" s="23" t="s">
        <v>946</v>
      </c>
      <c r="B544" s="32">
        <v>26</v>
      </c>
      <c r="C544" s="23" t="s">
        <v>947</v>
      </c>
    </row>
    <row r="545" spans="1:3" x14ac:dyDescent="0.25">
      <c r="A545" s="23" t="s">
        <v>946</v>
      </c>
      <c r="B545" s="32">
        <v>27</v>
      </c>
      <c r="C545" s="23" t="s">
        <v>945</v>
      </c>
    </row>
    <row r="546" spans="1:3" x14ac:dyDescent="0.25">
      <c r="A546" s="23" t="s">
        <v>929</v>
      </c>
      <c r="B546" s="32">
        <v>1</v>
      </c>
      <c r="C546" s="23" t="s">
        <v>944</v>
      </c>
    </row>
    <row r="547" spans="1:3" x14ac:dyDescent="0.25">
      <c r="A547" s="23" t="s">
        <v>929</v>
      </c>
      <c r="B547" s="32">
        <v>2</v>
      </c>
      <c r="C547" s="23" t="s">
        <v>943</v>
      </c>
    </row>
    <row r="548" spans="1:3" x14ac:dyDescent="0.25">
      <c r="A548" s="23" t="s">
        <v>929</v>
      </c>
      <c r="B548" s="32">
        <v>3</v>
      </c>
      <c r="C548" s="23" t="s">
        <v>942</v>
      </c>
    </row>
    <row r="549" spans="1:3" x14ac:dyDescent="0.25">
      <c r="A549" s="23" t="s">
        <v>929</v>
      </c>
      <c r="B549" s="32">
        <v>4</v>
      </c>
      <c r="C549" s="23" t="s">
        <v>941</v>
      </c>
    </row>
    <row r="550" spans="1:3" x14ac:dyDescent="0.25">
      <c r="A550" s="23" t="s">
        <v>929</v>
      </c>
      <c r="B550" s="32">
        <v>5</v>
      </c>
      <c r="C550" s="23" t="s">
        <v>940</v>
      </c>
    </row>
    <row r="551" spans="1:3" x14ac:dyDescent="0.25">
      <c r="A551" s="23" t="s">
        <v>929</v>
      </c>
      <c r="B551" s="32">
        <v>6</v>
      </c>
      <c r="C551" s="23" t="s">
        <v>939</v>
      </c>
    </row>
    <row r="552" spans="1:3" x14ac:dyDescent="0.25">
      <c r="A552" s="23" t="s">
        <v>929</v>
      </c>
      <c r="B552" s="32">
        <v>7</v>
      </c>
      <c r="C552" s="23" t="s">
        <v>938</v>
      </c>
    </row>
    <row r="553" spans="1:3" x14ac:dyDescent="0.25">
      <c r="A553" s="23" t="s">
        <v>929</v>
      </c>
      <c r="B553" s="32">
        <v>8</v>
      </c>
      <c r="C553" s="23" t="s">
        <v>937</v>
      </c>
    </row>
    <row r="554" spans="1:3" x14ac:dyDescent="0.25">
      <c r="A554" s="23" t="s">
        <v>929</v>
      </c>
      <c r="B554" s="32">
        <v>9</v>
      </c>
      <c r="C554" s="23" t="s">
        <v>936</v>
      </c>
    </row>
    <row r="555" spans="1:3" x14ac:dyDescent="0.25">
      <c r="A555" s="23" t="s">
        <v>929</v>
      </c>
      <c r="B555" s="32">
        <v>10</v>
      </c>
      <c r="C555" s="23" t="s">
        <v>935</v>
      </c>
    </row>
    <row r="556" spans="1:3" x14ac:dyDescent="0.25">
      <c r="A556" s="23" t="s">
        <v>929</v>
      </c>
      <c r="B556" s="32">
        <v>11</v>
      </c>
      <c r="C556" s="23" t="s">
        <v>934</v>
      </c>
    </row>
    <row r="557" spans="1:3" x14ac:dyDescent="0.25">
      <c r="A557" s="23" t="s">
        <v>929</v>
      </c>
      <c r="B557" s="32">
        <v>12</v>
      </c>
      <c r="C557" s="23" t="s">
        <v>933</v>
      </c>
    </row>
    <row r="558" spans="1:3" x14ac:dyDescent="0.25">
      <c r="A558" s="23" t="s">
        <v>929</v>
      </c>
      <c r="B558" s="32">
        <v>13</v>
      </c>
      <c r="C558" s="23" t="s">
        <v>932</v>
      </c>
    </row>
    <row r="559" spans="1:3" x14ac:dyDescent="0.25">
      <c r="A559" s="23" t="s">
        <v>929</v>
      </c>
      <c r="B559" s="32">
        <v>14</v>
      </c>
      <c r="C559" s="23" t="s">
        <v>931</v>
      </c>
    </row>
    <row r="560" spans="1:3" x14ac:dyDescent="0.25">
      <c r="A560" s="23" t="s">
        <v>929</v>
      </c>
      <c r="B560" s="32">
        <v>15</v>
      </c>
      <c r="C560" s="23" t="s">
        <v>930</v>
      </c>
    </row>
    <row r="561" spans="1:3" x14ac:dyDescent="0.25">
      <c r="A561" s="23" t="s">
        <v>929</v>
      </c>
      <c r="B561" s="32">
        <v>16</v>
      </c>
      <c r="C561" s="23" t="s">
        <v>928</v>
      </c>
    </row>
    <row r="562" spans="1:3" x14ac:dyDescent="0.25">
      <c r="A562" s="23" t="s">
        <v>834</v>
      </c>
      <c r="B562" s="33">
        <v>1</v>
      </c>
      <c r="C562" s="21" t="s">
        <v>927</v>
      </c>
    </row>
    <row r="563" spans="1:3" x14ac:dyDescent="0.25">
      <c r="A563" s="23" t="s">
        <v>834</v>
      </c>
      <c r="B563" s="33">
        <v>2</v>
      </c>
      <c r="C563" s="21" t="s">
        <v>926</v>
      </c>
    </row>
    <row r="564" spans="1:3" x14ac:dyDescent="0.25">
      <c r="A564" s="23" t="s">
        <v>834</v>
      </c>
      <c r="B564" s="33">
        <v>3</v>
      </c>
      <c r="C564" s="21" t="s">
        <v>925</v>
      </c>
    </row>
    <row r="565" spans="1:3" x14ac:dyDescent="0.25">
      <c r="A565" s="23" t="s">
        <v>834</v>
      </c>
      <c r="B565" s="33">
        <v>4</v>
      </c>
      <c r="C565" s="21" t="s">
        <v>924</v>
      </c>
    </row>
    <row r="566" spans="1:3" x14ac:dyDescent="0.25">
      <c r="A566" s="23" t="s">
        <v>834</v>
      </c>
      <c r="B566" s="33">
        <v>5</v>
      </c>
      <c r="C566" s="21" t="s">
        <v>923</v>
      </c>
    </row>
    <row r="567" spans="1:3" x14ac:dyDescent="0.25">
      <c r="A567" s="23" t="s">
        <v>834</v>
      </c>
      <c r="B567" s="33">
        <v>6</v>
      </c>
      <c r="C567" s="21" t="s">
        <v>922</v>
      </c>
    </row>
    <row r="568" spans="1:3" x14ac:dyDescent="0.25">
      <c r="A568" s="23" t="s">
        <v>834</v>
      </c>
      <c r="B568" s="33">
        <v>7</v>
      </c>
      <c r="C568" s="21" t="s">
        <v>921</v>
      </c>
    </row>
    <row r="569" spans="1:3" x14ac:dyDescent="0.25">
      <c r="A569" s="23" t="s">
        <v>834</v>
      </c>
      <c r="B569" s="33">
        <v>8</v>
      </c>
      <c r="C569" s="21" t="s">
        <v>920</v>
      </c>
    </row>
    <row r="570" spans="1:3" x14ac:dyDescent="0.25">
      <c r="A570" s="23" t="s">
        <v>834</v>
      </c>
      <c r="B570" s="33">
        <v>9</v>
      </c>
      <c r="C570" s="21" t="s">
        <v>919</v>
      </c>
    </row>
    <row r="571" spans="1:3" x14ac:dyDescent="0.25">
      <c r="A571" s="23" t="s">
        <v>834</v>
      </c>
      <c r="B571" s="32">
        <v>10</v>
      </c>
      <c r="C571" s="21" t="s">
        <v>918</v>
      </c>
    </row>
    <row r="572" spans="1:3" x14ac:dyDescent="0.25">
      <c r="A572" s="23" t="s">
        <v>834</v>
      </c>
      <c r="B572" s="32">
        <v>11</v>
      </c>
      <c r="C572" s="21" t="s">
        <v>917</v>
      </c>
    </row>
    <row r="573" spans="1:3" x14ac:dyDescent="0.25">
      <c r="A573" s="23" t="s">
        <v>834</v>
      </c>
      <c r="B573" s="32">
        <v>12</v>
      </c>
      <c r="C573" s="21" t="s">
        <v>916</v>
      </c>
    </row>
    <row r="574" spans="1:3" x14ac:dyDescent="0.25">
      <c r="A574" s="23" t="s">
        <v>834</v>
      </c>
      <c r="B574" s="32">
        <v>13</v>
      </c>
      <c r="C574" s="21" t="s">
        <v>915</v>
      </c>
    </row>
    <row r="575" spans="1:3" x14ac:dyDescent="0.25">
      <c r="A575" s="23" t="s">
        <v>834</v>
      </c>
      <c r="B575" s="32">
        <v>14</v>
      </c>
      <c r="C575" s="21" t="s">
        <v>914</v>
      </c>
    </row>
    <row r="576" spans="1:3" x14ac:dyDescent="0.25">
      <c r="A576" s="23" t="s">
        <v>834</v>
      </c>
      <c r="B576" s="32">
        <v>15</v>
      </c>
      <c r="C576" s="21" t="s">
        <v>913</v>
      </c>
    </row>
    <row r="577" spans="1:3" x14ac:dyDescent="0.25">
      <c r="A577" s="23" t="s">
        <v>834</v>
      </c>
      <c r="B577" s="32">
        <v>16</v>
      </c>
      <c r="C577" s="21" t="s">
        <v>912</v>
      </c>
    </row>
    <row r="578" spans="1:3" x14ac:dyDescent="0.25">
      <c r="A578" s="23" t="s">
        <v>834</v>
      </c>
      <c r="B578" s="32">
        <v>17</v>
      </c>
      <c r="C578" s="21" t="s">
        <v>911</v>
      </c>
    </row>
    <row r="579" spans="1:3" x14ac:dyDescent="0.25">
      <c r="A579" s="23" t="s">
        <v>834</v>
      </c>
      <c r="B579" s="32">
        <v>18</v>
      </c>
      <c r="C579" s="21" t="s">
        <v>910</v>
      </c>
    </row>
    <row r="580" spans="1:3" x14ac:dyDescent="0.25">
      <c r="A580" s="23" t="s">
        <v>834</v>
      </c>
      <c r="B580" s="32">
        <v>19</v>
      </c>
      <c r="C580" s="21" t="s">
        <v>909</v>
      </c>
    </row>
    <row r="581" spans="1:3" x14ac:dyDescent="0.25">
      <c r="A581" s="23" t="s">
        <v>834</v>
      </c>
      <c r="B581" s="32">
        <v>20</v>
      </c>
      <c r="C581" s="21" t="s">
        <v>908</v>
      </c>
    </row>
    <row r="582" spans="1:3" x14ac:dyDescent="0.25">
      <c r="A582" s="23" t="s">
        <v>834</v>
      </c>
      <c r="B582" s="32">
        <v>21</v>
      </c>
      <c r="C582" s="21" t="s">
        <v>907</v>
      </c>
    </row>
    <row r="583" spans="1:3" x14ac:dyDescent="0.25">
      <c r="A583" s="23" t="s">
        <v>834</v>
      </c>
      <c r="B583" s="32">
        <v>22</v>
      </c>
      <c r="C583" s="21" t="s">
        <v>906</v>
      </c>
    </row>
    <row r="584" spans="1:3" x14ac:dyDescent="0.25">
      <c r="A584" s="23" t="s">
        <v>834</v>
      </c>
      <c r="B584" s="32">
        <v>23</v>
      </c>
      <c r="C584" s="21" t="s">
        <v>905</v>
      </c>
    </row>
    <row r="585" spans="1:3" x14ac:dyDescent="0.25">
      <c r="A585" s="23" t="s">
        <v>834</v>
      </c>
      <c r="B585" s="32">
        <v>24</v>
      </c>
      <c r="C585" s="21" t="s">
        <v>904</v>
      </c>
    </row>
    <row r="586" spans="1:3" x14ac:dyDescent="0.25">
      <c r="A586" s="23" t="s">
        <v>834</v>
      </c>
      <c r="B586" s="32">
        <v>25</v>
      </c>
      <c r="C586" s="21" t="s">
        <v>903</v>
      </c>
    </row>
    <row r="587" spans="1:3" x14ac:dyDescent="0.25">
      <c r="A587" s="23" t="s">
        <v>834</v>
      </c>
      <c r="B587" s="32">
        <v>26</v>
      </c>
      <c r="C587" s="21" t="s">
        <v>902</v>
      </c>
    </row>
    <row r="588" spans="1:3" x14ac:dyDescent="0.25">
      <c r="A588" s="23" t="s">
        <v>834</v>
      </c>
      <c r="B588" s="32">
        <v>27</v>
      </c>
      <c r="C588" s="21" t="s">
        <v>901</v>
      </c>
    </row>
    <row r="589" spans="1:3" x14ac:dyDescent="0.25">
      <c r="A589" s="23" t="s">
        <v>834</v>
      </c>
      <c r="B589" s="32">
        <v>28</v>
      </c>
      <c r="C589" s="21" t="s">
        <v>900</v>
      </c>
    </row>
    <row r="590" spans="1:3" x14ac:dyDescent="0.25">
      <c r="A590" s="23" t="s">
        <v>834</v>
      </c>
      <c r="B590" s="32">
        <v>29</v>
      </c>
      <c r="C590" s="21" t="s">
        <v>899</v>
      </c>
    </row>
    <row r="591" spans="1:3" x14ac:dyDescent="0.25">
      <c r="A591" s="23" t="s">
        <v>834</v>
      </c>
      <c r="B591" s="32">
        <v>30</v>
      </c>
      <c r="C591" s="21" t="s">
        <v>898</v>
      </c>
    </row>
    <row r="592" spans="1:3" x14ac:dyDescent="0.25">
      <c r="A592" s="23" t="s">
        <v>834</v>
      </c>
      <c r="B592" s="32">
        <v>31</v>
      </c>
      <c r="C592" s="21" t="s">
        <v>897</v>
      </c>
    </row>
    <row r="593" spans="1:3" x14ac:dyDescent="0.25">
      <c r="A593" s="23" t="s">
        <v>834</v>
      </c>
      <c r="B593" s="32">
        <v>32</v>
      </c>
      <c r="C593" s="21" t="s">
        <v>896</v>
      </c>
    </row>
    <row r="594" spans="1:3" x14ac:dyDescent="0.25">
      <c r="A594" s="23" t="s">
        <v>834</v>
      </c>
      <c r="B594" s="32">
        <v>33</v>
      </c>
      <c r="C594" s="21" t="s">
        <v>895</v>
      </c>
    </row>
    <row r="595" spans="1:3" x14ac:dyDescent="0.25">
      <c r="A595" s="23" t="s">
        <v>834</v>
      </c>
      <c r="B595" s="32">
        <v>34</v>
      </c>
      <c r="C595" s="21" t="s">
        <v>894</v>
      </c>
    </row>
    <row r="596" spans="1:3" x14ac:dyDescent="0.25">
      <c r="A596" s="23" t="s">
        <v>834</v>
      </c>
      <c r="B596" s="32">
        <v>35</v>
      </c>
      <c r="C596" s="21" t="s">
        <v>893</v>
      </c>
    </row>
    <row r="597" spans="1:3" x14ac:dyDescent="0.25">
      <c r="A597" s="23" t="s">
        <v>834</v>
      </c>
      <c r="B597" s="32">
        <v>36</v>
      </c>
      <c r="C597" s="21" t="s">
        <v>892</v>
      </c>
    </row>
    <row r="598" spans="1:3" x14ac:dyDescent="0.25">
      <c r="A598" s="23" t="s">
        <v>834</v>
      </c>
      <c r="B598" s="32">
        <v>37</v>
      </c>
      <c r="C598" s="21" t="s">
        <v>891</v>
      </c>
    </row>
    <row r="599" spans="1:3" x14ac:dyDescent="0.25">
      <c r="A599" s="23" t="s">
        <v>834</v>
      </c>
      <c r="B599" s="32">
        <v>38</v>
      </c>
      <c r="C599" s="21" t="s">
        <v>890</v>
      </c>
    </row>
    <row r="600" spans="1:3" x14ac:dyDescent="0.25">
      <c r="A600" s="23" t="s">
        <v>834</v>
      </c>
      <c r="B600" s="32">
        <v>39</v>
      </c>
      <c r="C600" s="21" t="s">
        <v>889</v>
      </c>
    </row>
    <row r="601" spans="1:3" x14ac:dyDescent="0.25">
      <c r="A601" s="23" t="s">
        <v>834</v>
      </c>
      <c r="B601" s="32">
        <v>40</v>
      </c>
      <c r="C601" s="21" t="s">
        <v>888</v>
      </c>
    </row>
    <row r="602" spans="1:3" x14ac:dyDescent="0.25">
      <c r="A602" s="23" t="s">
        <v>834</v>
      </c>
      <c r="B602" s="32">
        <v>41</v>
      </c>
      <c r="C602" s="21" t="s">
        <v>887</v>
      </c>
    </row>
    <row r="603" spans="1:3" x14ac:dyDescent="0.25">
      <c r="A603" s="23" t="s">
        <v>834</v>
      </c>
      <c r="B603" s="32">
        <v>42</v>
      </c>
      <c r="C603" s="21" t="s">
        <v>886</v>
      </c>
    </row>
    <row r="604" spans="1:3" x14ac:dyDescent="0.25">
      <c r="A604" s="23" t="s">
        <v>834</v>
      </c>
      <c r="B604" s="32">
        <v>43</v>
      </c>
      <c r="C604" s="21" t="s">
        <v>885</v>
      </c>
    </row>
    <row r="605" spans="1:3" x14ac:dyDescent="0.25">
      <c r="A605" s="23" t="s">
        <v>834</v>
      </c>
      <c r="B605" s="32">
        <v>44</v>
      </c>
      <c r="C605" s="21" t="s">
        <v>884</v>
      </c>
    </row>
    <row r="606" spans="1:3" x14ac:dyDescent="0.25">
      <c r="A606" s="23" t="s">
        <v>834</v>
      </c>
      <c r="B606" s="32">
        <v>45</v>
      </c>
      <c r="C606" s="21" t="s">
        <v>883</v>
      </c>
    </row>
    <row r="607" spans="1:3" x14ac:dyDescent="0.25">
      <c r="A607" s="23" t="s">
        <v>834</v>
      </c>
      <c r="B607" s="32">
        <v>46</v>
      </c>
      <c r="C607" s="21" t="s">
        <v>882</v>
      </c>
    </row>
    <row r="608" spans="1:3" x14ac:dyDescent="0.25">
      <c r="A608" s="23" t="s">
        <v>834</v>
      </c>
      <c r="B608" s="32">
        <v>47</v>
      </c>
      <c r="C608" s="21" t="s">
        <v>881</v>
      </c>
    </row>
    <row r="609" spans="1:3" x14ac:dyDescent="0.25">
      <c r="A609" s="23" t="s">
        <v>834</v>
      </c>
      <c r="B609" s="32">
        <v>48</v>
      </c>
      <c r="C609" s="21" t="s">
        <v>880</v>
      </c>
    </row>
    <row r="610" spans="1:3" x14ac:dyDescent="0.25">
      <c r="A610" s="23" t="s">
        <v>834</v>
      </c>
      <c r="B610" s="32">
        <v>49</v>
      </c>
      <c r="C610" s="21" t="s">
        <v>879</v>
      </c>
    </row>
    <row r="611" spans="1:3" x14ac:dyDescent="0.25">
      <c r="A611" s="23" t="s">
        <v>834</v>
      </c>
      <c r="B611" s="32">
        <v>50</v>
      </c>
      <c r="C611" s="21" t="s">
        <v>878</v>
      </c>
    </row>
    <row r="612" spans="1:3" x14ac:dyDescent="0.25">
      <c r="A612" s="23" t="s">
        <v>834</v>
      </c>
      <c r="B612" s="32">
        <v>51</v>
      </c>
      <c r="C612" s="21" t="s">
        <v>877</v>
      </c>
    </row>
    <row r="613" spans="1:3" x14ac:dyDescent="0.25">
      <c r="A613" s="23" t="s">
        <v>834</v>
      </c>
      <c r="B613" s="32">
        <v>52</v>
      </c>
      <c r="C613" s="21" t="s">
        <v>876</v>
      </c>
    </row>
    <row r="614" spans="1:3" x14ac:dyDescent="0.25">
      <c r="A614" s="23" t="s">
        <v>834</v>
      </c>
      <c r="B614" s="32">
        <v>53</v>
      </c>
      <c r="C614" s="21" t="s">
        <v>875</v>
      </c>
    </row>
    <row r="615" spans="1:3" x14ac:dyDescent="0.25">
      <c r="A615" s="23" t="s">
        <v>834</v>
      </c>
      <c r="B615" s="32">
        <v>54</v>
      </c>
      <c r="C615" s="21" t="s">
        <v>874</v>
      </c>
    </row>
    <row r="616" spans="1:3" x14ac:dyDescent="0.25">
      <c r="A616" s="23" t="s">
        <v>834</v>
      </c>
      <c r="B616" s="32">
        <v>55</v>
      </c>
      <c r="C616" s="21" t="s">
        <v>873</v>
      </c>
    </row>
    <row r="617" spans="1:3" x14ac:dyDescent="0.25">
      <c r="A617" s="23" t="s">
        <v>834</v>
      </c>
      <c r="B617" s="32">
        <v>56</v>
      </c>
      <c r="C617" s="21" t="s">
        <v>872</v>
      </c>
    </row>
    <row r="618" spans="1:3" x14ac:dyDescent="0.25">
      <c r="A618" s="23" t="s">
        <v>834</v>
      </c>
      <c r="B618" s="32">
        <v>57</v>
      </c>
      <c r="C618" s="21" t="s">
        <v>871</v>
      </c>
    </row>
    <row r="619" spans="1:3" x14ac:dyDescent="0.25">
      <c r="A619" s="23" t="s">
        <v>834</v>
      </c>
      <c r="B619" s="32">
        <v>58</v>
      </c>
      <c r="C619" s="21" t="s">
        <v>870</v>
      </c>
    </row>
    <row r="620" spans="1:3" x14ac:dyDescent="0.25">
      <c r="A620" s="23" t="s">
        <v>834</v>
      </c>
      <c r="B620" s="32">
        <v>59</v>
      </c>
      <c r="C620" s="21" t="s">
        <v>869</v>
      </c>
    </row>
    <row r="621" spans="1:3" x14ac:dyDescent="0.25">
      <c r="A621" s="23" t="s">
        <v>834</v>
      </c>
      <c r="B621" s="32">
        <v>60</v>
      </c>
      <c r="C621" s="21" t="s">
        <v>868</v>
      </c>
    </row>
    <row r="622" spans="1:3" x14ac:dyDescent="0.25">
      <c r="A622" s="23" t="s">
        <v>834</v>
      </c>
      <c r="B622" s="32">
        <v>61</v>
      </c>
      <c r="C622" s="21" t="s">
        <v>867</v>
      </c>
    </row>
    <row r="623" spans="1:3" x14ac:dyDescent="0.25">
      <c r="A623" s="23" t="s">
        <v>834</v>
      </c>
      <c r="B623" s="32">
        <v>62</v>
      </c>
      <c r="C623" s="21" t="s">
        <v>866</v>
      </c>
    </row>
    <row r="624" spans="1:3" x14ac:dyDescent="0.25">
      <c r="A624" s="23" t="s">
        <v>834</v>
      </c>
      <c r="B624" s="32">
        <v>63</v>
      </c>
      <c r="C624" s="21" t="s">
        <v>865</v>
      </c>
    </row>
    <row r="625" spans="1:3" x14ac:dyDescent="0.25">
      <c r="A625" s="23" t="s">
        <v>834</v>
      </c>
      <c r="B625" s="32">
        <v>64</v>
      </c>
      <c r="C625" s="21" t="s">
        <v>864</v>
      </c>
    </row>
    <row r="626" spans="1:3" x14ac:dyDescent="0.25">
      <c r="A626" s="23" t="s">
        <v>834</v>
      </c>
      <c r="B626" s="32">
        <v>65</v>
      </c>
      <c r="C626" s="21" t="s">
        <v>863</v>
      </c>
    </row>
    <row r="627" spans="1:3" x14ac:dyDescent="0.25">
      <c r="A627" s="23" t="s">
        <v>834</v>
      </c>
      <c r="B627" s="32">
        <v>66</v>
      </c>
      <c r="C627" s="21" t="s">
        <v>862</v>
      </c>
    </row>
    <row r="628" spans="1:3" x14ac:dyDescent="0.25">
      <c r="A628" s="23" t="s">
        <v>834</v>
      </c>
      <c r="B628" s="32">
        <v>67</v>
      </c>
      <c r="C628" s="21" t="s">
        <v>861</v>
      </c>
    </row>
    <row r="629" spans="1:3" x14ac:dyDescent="0.25">
      <c r="A629" s="23" t="s">
        <v>834</v>
      </c>
      <c r="B629" s="32">
        <v>68</v>
      </c>
      <c r="C629" s="21" t="s">
        <v>860</v>
      </c>
    </row>
    <row r="630" spans="1:3" x14ac:dyDescent="0.25">
      <c r="A630" s="23" t="s">
        <v>834</v>
      </c>
      <c r="B630" s="32">
        <v>69</v>
      </c>
      <c r="C630" s="21" t="s">
        <v>859</v>
      </c>
    </row>
    <row r="631" spans="1:3" x14ac:dyDescent="0.25">
      <c r="A631" s="23" t="s">
        <v>834</v>
      </c>
      <c r="B631" s="32">
        <v>70</v>
      </c>
      <c r="C631" s="21" t="s">
        <v>858</v>
      </c>
    </row>
    <row r="632" spans="1:3" x14ac:dyDescent="0.25">
      <c r="A632" s="23" t="s">
        <v>834</v>
      </c>
      <c r="B632" s="32">
        <v>71</v>
      </c>
      <c r="C632" s="21" t="s">
        <v>857</v>
      </c>
    </row>
    <row r="633" spans="1:3" x14ac:dyDescent="0.25">
      <c r="A633" s="23" t="s">
        <v>834</v>
      </c>
      <c r="B633" s="32">
        <v>72</v>
      </c>
      <c r="C633" s="21" t="s">
        <v>856</v>
      </c>
    </row>
    <row r="634" spans="1:3" x14ac:dyDescent="0.25">
      <c r="A634" s="23" t="s">
        <v>834</v>
      </c>
      <c r="B634" s="32">
        <v>73</v>
      </c>
      <c r="C634" s="21" t="s">
        <v>855</v>
      </c>
    </row>
    <row r="635" spans="1:3" x14ac:dyDescent="0.25">
      <c r="A635" s="23" t="s">
        <v>834</v>
      </c>
      <c r="B635" s="32">
        <v>74</v>
      </c>
      <c r="C635" s="21" t="s">
        <v>854</v>
      </c>
    </row>
    <row r="636" spans="1:3" x14ac:dyDescent="0.25">
      <c r="A636" s="23" t="s">
        <v>834</v>
      </c>
      <c r="B636" s="32">
        <v>75</v>
      </c>
      <c r="C636" s="21" t="s">
        <v>853</v>
      </c>
    </row>
    <row r="637" spans="1:3" x14ac:dyDescent="0.25">
      <c r="A637" s="23" t="s">
        <v>834</v>
      </c>
      <c r="B637" s="32">
        <v>76</v>
      </c>
      <c r="C637" s="21" t="s">
        <v>852</v>
      </c>
    </row>
    <row r="638" spans="1:3" x14ac:dyDescent="0.25">
      <c r="A638" s="23" t="s">
        <v>834</v>
      </c>
      <c r="B638" s="32">
        <v>77</v>
      </c>
      <c r="C638" s="21" t="s">
        <v>851</v>
      </c>
    </row>
    <row r="639" spans="1:3" x14ac:dyDescent="0.25">
      <c r="A639" s="23" t="s">
        <v>834</v>
      </c>
      <c r="B639" s="32">
        <v>78</v>
      </c>
      <c r="C639" s="21" t="s">
        <v>850</v>
      </c>
    </row>
    <row r="640" spans="1:3" x14ac:dyDescent="0.25">
      <c r="A640" s="23" t="s">
        <v>834</v>
      </c>
      <c r="B640" s="32">
        <v>79</v>
      </c>
      <c r="C640" s="21" t="s">
        <v>849</v>
      </c>
    </row>
    <row r="641" spans="1:3" x14ac:dyDescent="0.25">
      <c r="A641" s="23" t="s">
        <v>834</v>
      </c>
      <c r="B641" s="32">
        <v>80</v>
      </c>
      <c r="C641" s="21" t="s">
        <v>848</v>
      </c>
    </row>
    <row r="642" spans="1:3" x14ac:dyDescent="0.25">
      <c r="A642" s="23" t="s">
        <v>834</v>
      </c>
      <c r="B642" s="32">
        <v>81</v>
      </c>
      <c r="C642" s="21" t="s">
        <v>847</v>
      </c>
    </row>
    <row r="643" spans="1:3" x14ac:dyDescent="0.25">
      <c r="A643" s="23" t="s">
        <v>834</v>
      </c>
      <c r="B643" s="32">
        <v>82</v>
      </c>
      <c r="C643" s="21" t="s">
        <v>846</v>
      </c>
    </row>
    <row r="644" spans="1:3" x14ac:dyDescent="0.25">
      <c r="A644" s="23" t="s">
        <v>834</v>
      </c>
      <c r="B644" s="32">
        <v>83</v>
      </c>
      <c r="C644" s="21" t="s">
        <v>845</v>
      </c>
    </row>
    <row r="645" spans="1:3" x14ac:dyDescent="0.25">
      <c r="A645" s="23" t="s">
        <v>834</v>
      </c>
      <c r="B645" s="32">
        <v>84</v>
      </c>
      <c r="C645" s="21" t="s">
        <v>844</v>
      </c>
    </row>
    <row r="646" spans="1:3" x14ac:dyDescent="0.25">
      <c r="A646" s="23" t="s">
        <v>834</v>
      </c>
      <c r="B646" s="32">
        <v>85</v>
      </c>
      <c r="C646" s="21" t="s">
        <v>843</v>
      </c>
    </row>
    <row r="647" spans="1:3" x14ac:dyDescent="0.25">
      <c r="A647" s="23" t="s">
        <v>834</v>
      </c>
      <c r="B647" s="32">
        <v>86</v>
      </c>
      <c r="C647" s="21" t="s">
        <v>842</v>
      </c>
    </row>
    <row r="648" spans="1:3" x14ac:dyDescent="0.25">
      <c r="A648" s="23" t="s">
        <v>834</v>
      </c>
      <c r="B648" s="32">
        <v>87</v>
      </c>
      <c r="C648" s="21" t="s">
        <v>841</v>
      </c>
    </row>
    <row r="649" spans="1:3" x14ac:dyDescent="0.25">
      <c r="A649" s="23" t="s">
        <v>834</v>
      </c>
      <c r="B649" s="32">
        <v>88</v>
      </c>
      <c r="C649" s="21" t="s">
        <v>840</v>
      </c>
    </row>
    <row r="650" spans="1:3" x14ac:dyDescent="0.25">
      <c r="A650" s="23" t="s">
        <v>834</v>
      </c>
      <c r="B650" s="32">
        <v>89</v>
      </c>
      <c r="C650" s="21" t="s">
        <v>839</v>
      </c>
    </row>
    <row r="651" spans="1:3" x14ac:dyDescent="0.25">
      <c r="A651" s="23" t="s">
        <v>834</v>
      </c>
      <c r="B651" s="32">
        <v>90</v>
      </c>
      <c r="C651" s="21" t="s">
        <v>838</v>
      </c>
    </row>
    <row r="652" spans="1:3" x14ac:dyDescent="0.25">
      <c r="A652" s="23" t="s">
        <v>834</v>
      </c>
      <c r="B652" s="32">
        <v>91</v>
      </c>
      <c r="C652" s="21" t="s">
        <v>837</v>
      </c>
    </row>
    <row r="653" spans="1:3" x14ac:dyDescent="0.25">
      <c r="A653" s="23" t="s">
        <v>834</v>
      </c>
      <c r="B653" s="32">
        <v>92</v>
      </c>
      <c r="C653" s="21" t="s">
        <v>836</v>
      </c>
    </row>
    <row r="654" spans="1:3" x14ac:dyDescent="0.25">
      <c r="A654" s="23" t="s">
        <v>834</v>
      </c>
      <c r="B654" s="32">
        <v>93</v>
      </c>
      <c r="C654" s="21" t="s">
        <v>835</v>
      </c>
    </row>
    <row r="655" spans="1:3" x14ac:dyDescent="0.25">
      <c r="A655" s="23" t="s">
        <v>834</v>
      </c>
      <c r="B655" s="32">
        <v>94</v>
      </c>
      <c r="C655" s="21" t="s">
        <v>833</v>
      </c>
    </row>
    <row r="656" spans="1:3" x14ac:dyDescent="0.25">
      <c r="A656" s="23" t="s">
        <v>810</v>
      </c>
      <c r="B656" s="32">
        <v>1</v>
      </c>
      <c r="C656" s="21" t="s">
        <v>832</v>
      </c>
    </row>
    <row r="657" spans="1:3" x14ac:dyDescent="0.25">
      <c r="A657" s="23" t="s">
        <v>810</v>
      </c>
      <c r="B657" s="32">
        <v>2</v>
      </c>
      <c r="C657" s="21" t="s">
        <v>831</v>
      </c>
    </row>
    <row r="658" spans="1:3" x14ac:dyDescent="0.25">
      <c r="A658" s="23" t="s">
        <v>810</v>
      </c>
      <c r="B658" s="32">
        <v>3</v>
      </c>
      <c r="C658" s="21" t="s">
        <v>830</v>
      </c>
    </row>
    <row r="659" spans="1:3" x14ac:dyDescent="0.25">
      <c r="A659" s="23" t="s">
        <v>810</v>
      </c>
      <c r="B659" s="32">
        <v>4</v>
      </c>
      <c r="C659" s="21" t="s">
        <v>829</v>
      </c>
    </row>
    <row r="660" spans="1:3" x14ac:dyDescent="0.25">
      <c r="A660" s="23" t="s">
        <v>810</v>
      </c>
      <c r="B660" s="32">
        <v>5</v>
      </c>
      <c r="C660" s="21" t="s">
        <v>828</v>
      </c>
    </row>
    <row r="661" spans="1:3" x14ac:dyDescent="0.25">
      <c r="A661" s="23" t="s">
        <v>810</v>
      </c>
      <c r="B661" s="32">
        <v>6</v>
      </c>
      <c r="C661" s="21" t="s">
        <v>827</v>
      </c>
    </row>
    <row r="662" spans="1:3" x14ac:dyDescent="0.25">
      <c r="A662" s="23" t="s">
        <v>810</v>
      </c>
      <c r="B662" s="32">
        <v>7</v>
      </c>
      <c r="C662" s="21" t="s">
        <v>826</v>
      </c>
    </row>
    <row r="663" spans="1:3" x14ac:dyDescent="0.25">
      <c r="A663" s="23" t="s">
        <v>810</v>
      </c>
      <c r="B663" s="32">
        <v>8</v>
      </c>
      <c r="C663" s="21" t="s">
        <v>825</v>
      </c>
    </row>
    <row r="664" spans="1:3" x14ac:dyDescent="0.25">
      <c r="A664" s="23" t="s">
        <v>810</v>
      </c>
      <c r="B664" s="32">
        <v>9</v>
      </c>
      <c r="C664" s="21" t="s">
        <v>824</v>
      </c>
    </row>
    <row r="665" spans="1:3" x14ac:dyDescent="0.25">
      <c r="A665" s="23" t="s">
        <v>810</v>
      </c>
      <c r="B665" s="32">
        <v>10</v>
      </c>
      <c r="C665" s="21" t="s">
        <v>823</v>
      </c>
    </row>
    <row r="666" spans="1:3" x14ac:dyDescent="0.25">
      <c r="A666" s="23" t="s">
        <v>810</v>
      </c>
      <c r="B666" s="32">
        <v>11</v>
      </c>
      <c r="C666" s="21" t="s">
        <v>822</v>
      </c>
    </row>
    <row r="667" spans="1:3" x14ac:dyDescent="0.25">
      <c r="A667" s="23" t="s">
        <v>810</v>
      </c>
      <c r="B667" s="32">
        <v>12</v>
      </c>
      <c r="C667" s="21" t="s">
        <v>821</v>
      </c>
    </row>
    <row r="668" spans="1:3" x14ac:dyDescent="0.25">
      <c r="A668" s="23" t="s">
        <v>810</v>
      </c>
      <c r="B668" s="32">
        <v>13</v>
      </c>
      <c r="C668" s="21" t="s">
        <v>820</v>
      </c>
    </row>
    <row r="669" spans="1:3" x14ac:dyDescent="0.25">
      <c r="A669" s="23" t="s">
        <v>810</v>
      </c>
      <c r="B669" s="32">
        <v>14</v>
      </c>
      <c r="C669" s="21" t="s">
        <v>819</v>
      </c>
    </row>
    <row r="670" spans="1:3" x14ac:dyDescent="0.25">
      <c r="A670" s="23" t="s">
        <v>810</v>
      </c>
      <c r="B670" s="32">
        <v>15</v>
      </c>
      <c r="C670" s="21" t="s">
        <v>818</v>
      </c>
    </row>
    <row r="671" spans="1:3" x14ac:dyDescent="0.25">
      <c r="A671" s="23" t="s">
        <v>810</v>
      </c>
      <c r="B671" s="32">
        <v>16</v>
      </c>
      <c r="C671" s="21" t="s">
        <v>817</v>
      </c>
    </row>
    <row r="672" spans="1:3" x14ac:dyDescent="0.25">
      <c r="A672" s="23" t="s">
        <v>810</v>
      </c>
      <c r="B672" s="32">
        <v>17</v>
      </c>
      <c r="C672" s="21" t="s">
        <v>816</v>
      </c>
    </row>
    <row r="673" spans="1:3" x14ac:dyDescent="0.25">
      <c r="A673" s="23" t="s">
        <v>810</v>
      </c>
      <c r="B673" s="32">
        <v>18</v>
      </c>
      <c r="C673" s="21" t="s">
        <v>815</v>
      </c>
    </row>
    <row r="674" spans="1:3" x14ac:dyDescent="0.25">
      <c r="A674" s="23" t="s">
        <v>810</v>
      </c>
      <c r="B674" s="32">
        <v>19</v>
      </c>
      <c r="C674" s="21" t="s">
        <v>814</v>
      </c>
    </row>
    <row r="675" spans="1:3" x14ac:dyDescent="0.25">
      <c r="A675" s="23" t="s">
        <v>810</v>
      </c>
      <c r="B675" s="32">
        <v>20</v>
      </c>
      <c r="C675" s="21" t="s">
        <v>813</v>
      </c>
    </row>
    <row r="676" spans="1:3" x14ac:dyDescent="0.25">
      <c r="A676" s="23" t="s">
        <v>810</v>
      </c>
      <c r="B676" s="32">
        <v>21</v>
      </c>
      <c r="C676" s="21" t="s">
        <v>812</v>
      </c>
    </row>
    <row r="677" spans="1:3" x14ac:dyDescent="0.25">
      <c r="A677" s="23" t="s">
        <v>810</v>
      </c>
      <c r="B677" s="32">
        <v>22</v>
      </c>
      <c r="C677" s="21" t="s">
        <v>811</v>
      </c>
    </row>
    <row r="678" spans="1:3" x14ac:dyDescent="0.25">
      <c r="A678" s="23" t="s">
        <v>810</v>
      </c>
      <c r="B678" s="32">
        <v>23</v>
      </c>
      <c r="C678" s="21" t="s">
        <v>676</v>
      </c>
    </row>
    <row r="679" spans="1:3" x14ac:dyDescent="0.25">
      <c r="A679" s="23" t="s">
        <v>794</v>
      </c>
      <c r="B679" s="33">
        <v>1</v>
      </c>
      <c r="C679" s="21" t="s">
        <v>809</v>
      </c>
    </row>
    <row r="680" spans="1:3" x14ac:dyDescent="0.25">
      <c r="A680" s="23" t="s">
        <v>794</v>
      </c>
      <c r="B680" s="33">
        <v>2</v>
      </c>
      <c r="C680" s="21" t="s">
        <v>808</v>
      </c>
    </row>
    <row r="681" spans="1:3" x14ac:dyDescent="0.25">
      <c r="A681" s="23" t="s">
        <v>794</v>
      </c>
      <c r="B681" s="33">
        <v>3</v>
      </c>
      <c r="C681" s="21" t="s">
        <v>807</v>
      </c>
    </row>
    <row r="682" spans="1:3" x14ac:dyDescent="0.25">
      <c r="A682" s="23" t="s">
        <v>794</v>
      </c>
      <c r="B682" s="33">
        <v>4</v>
      </c>
      <c r="C682" s="21" t="s">
        <v>806</v>
      </c>
    </row>
    <row r="683" spans="1:3" x14ac:dyDescent="0.25">
      <c r="A683" s="23" t="s">
        <v>794</v>
      </c>
      <c r="B683" s="33">
        <v>5</v>
      </c>
      <c r="C683" s="21" t="s">
        <v>805</v>
      </c>
    </row>
    <row r="684" spans="1:3" x14ac:dyDescent="0.25">
      <c r="A684" s="23" t="s">
        <v>794</v>
      </c>
      <c r="B684" s="33">
        <v>6</v>
      </c>
      <c r="C684" s="21" t="s">
        <v>804</v>
      </c>
    </row>
    <row r="685" spans="1:3" x14ac:dyDescent="0.25">
      <c r="A685" s="23" t="s">
        <v>794</v>
      </c>
      <c r="B685" s="33">
        <v>7</v>
      </c>
      <c r="C685" s="21" t="s">
        <v>803</v>
      </c>
    </row>
    <row r="686" spans="1:3" x14ac:dyDescent="0.25">
      <c r="A686" s="23" t="s">
        <v>794</v>
      </c>
      <c r="B686" s="33">
        <v>8</v>
      </c>
      <c r="C686" s="21" t="s">
        <v>802</v>
      </c>
    </row>
    <row r="687" spans="1:3" x14ac:dyDescent="0.25">
      <c r="A687" s="23" t="s">
        <v>794</v>
      </c>
      <c r="B687" s="33">
        <v>9</v>
      </c>
      <c r="C687" s="21" t="s">
        <v>801</v>
      </c>
    </row>
    <row r="688" spans="1:3" x14ac:dyDescent="0.25">
      <c r="A688" s="23" t="s">
        <v>794</v>
      </c>
      <c r="B688" s="32">
        <v>10</v>
      </c>
      <c r="C688" s="21" t="s">
        <v>800</v>
      </c>
    </row>
    <row r="689" spans="1:3" x14ac:dyDescent="0.25">
      <c r="A689" s="23" t="s">
        <v>794</v>
      </c>
      <c r="B689" s="32">
        <v>11</v>
      </c>
      <c r="C689" s="21" t="s">
        <v>799</v>
      </c>
    </row>
    <row r="690" spans="1:3" x14ac:dyDescent="0.25">
      <c r="A690" s="23" t="s">
        <v>794</v>
      </c>
      <c r="B690" s="32">
        <v>12</v>
      </c>
      <c r="C690" s="21" t="s">
        <v>798</v>
      </c>
    </row>
    <row r="691" spans="1:3" x14ac:dyDescent="0.25">
      <c r="A691" s="23" t="s">
        <v>794</v>
      </c>
      <c r="B691" s="32">
        <v>13</v>
      </c>
      <c r="C691" s="21" t="s">
        <v>797</v>
      </c>
    </row>
    <row r="692" spans="1:3" x14ac:dyDescent="0.25">
      <c r="A692" s="23" t="s">
        <v>794</v>
      </c>
      <c r="B692" s="32">
        <v>14</v>
      </c>
      <c r="C692" s="21" t="s">
        <v>796</v>
      </c>
    </row>
    <row r="693" spans="1:3" x14ac:dyDescent="0.25">
      <c r="A693" s="23" t="s">
        <v>794</v>
      </c>
      <c r="B693" s="32">
        <v>15</v>
      </c>
      <c r="C693" s="21" t="s">
        <v>795</v>
      </c>
    </row>
    <row r="694" spans="1:3" x14ac:dyDescent="0.25">
      <c r="A694" s="23" t="s">
        <v>794</v>
      </c>
      <c r="B694" s="32">
        <v>16</v>
      </c>
      <c r="C694" s="21" t="s">
        <v>793</v>
      </c>
    </row>
    <row r="695" spans="1:3" x14ac:dyDescent="0.25">
      <c r="A695" s="23" t="s">
        <v>730</v>
      </c>
      <c r="B695" s="32">
        <v>926</v>
      </c>
      <c r="C695" s="21" t="s">
        <v>792</v>
      </c>
    </row>
    <row r="696" spans="1:3" x14ac:dyDescent="0.25">
      <c r="A696" s="23" t="s">
        <v>730</v>
      </c>
      <c r="B696" s="32">
        <v>921</v>
      </c>
      <c r="C696" s="21" t="s">
        <v>791</v>
      </c>
    </row>
    <row r="697" spans="1:3" x14ac:dyDescent="0.25">
      <c r="A697" s="23" t="s">
        <v>730</v>
      </c>
      <c r="B697" s="32">
        <v>924</v>
      </c>
      <c r="C697" s="21" t="s">
        <v>790</v>
      </c>
    </row>
    <row r="698" spans="1:3" x14ac:dyDescent="0.25">
      <c r="A698" s="23" t="s">
        <v>730</v>
      </c>
      <c r="B698" s="32">
        <v>923</v>
      </c>
      <c r="C698" s="21" t="s">
        <v>789</v>
      </c>
    </row>
    <row r="699" spans="1:3" x14ac:dyDescent="0.25">
      <c r="A699" s="23" t="s">
        <v>730</v>
      </c>
      <c r="B699" s="32">
        <v>922</v>
      </c>
      <c r="C699" s="21" t="s">
        <v>788</v>
      </c>
    </row>
    <row r="700" spans="1:3" x14ac:dyDescent="0.25">
      <c r="A700" s="23" t="s">
        <v>730</v>
      </c>
      <c r="B700" s="32">
        <v>990</v>
      </c>
      <c r="C700" s="21" t="s">
        <v>787</v>
      </c>
    </row>
    <row r="701" spans="1:3" x14ac:dyDescent="0.25">
      <c r="A701" s="23" t="s">
        <v>730</v>
      </c>
      <c r="B701" s="32">
        <v>944</v>
      </c>
      <c r="C701" s="21" t="s">
        <v>786</v>
      </c>
    </row>
    <row r="702" spans="1:3" x14ac:dyDescent="0.25">
      <c r="A702" s="23" t="s">
        <v>730</v>
      </c>
      <c r="B702" s="32">
        <v>947</v>
      </c>
      <c r="C702" s="21" t="s">
        <v>785</v>
      </c>
    </row>
    <row r="703" spans="1:3" x14ac:dyDescent="0.25">
      <c r="A703" s="23" t="s">
        <v>730</v>
      </c>
      <c r="B703" s="32">
        <v>949</v>
      </c>
      <c r="C703" s="21" t="s">
        <v>784</v>
      </c>
    </row>
    <row r="704" spans="1:3" x14ac:dyDescent="0.25">
      <c r="A704" s="23" t="s">
        <v>730</v>
      </c>
      <c r="B704" s="32">
        <v>950</v>
      </c>
      <c r="C704" s="21" t="s">
        <v>783</v>
      </c>
    </row>
    <row r="705" spans="1:3" x14ac:dyDescent="0.25">
      <c r="A705" s="23" t="s">
        <v>730</v>
      </c>
      <c r="B705" s="33">
        <v>53</v>
      </c>
      <c r="C705" s="21" t="s">
        <v>782</v>
      </c>
    </row>
    <row r="706" spans="1:3" x14ac:dyDescent="0.25">
      <c r="A706" s="23" t="s">
        <v>730</v>
      </c>
      <c r="B706" s="32">
        <v>941</v>
      </c>
      <c r="C706" s="21" t="s">
        <v>781</v>
      </c>
    </row>
    <row r="707" spans="1:3" x14ac:dyDescent="0.25">
      <c r="A707" s="23" t="s">
        <v>730</v>
      </c>
      <c r="B707" s="32">
        <v>942</v>
      </c>
      <c r="C707" s="21" t="s">
        <v>780</v>
      </c>
    </row>
    <row r="708" spans="1:3" x14ac:dyDescent="0.25">
      <c r="A708" s="23" t="s">
        <v>730</v>
      </c>
      <c r="B708" s="32">
        <v>943</v>
      </c>
      <c r="C708" s="21" t="s">
        <v>779</v>
      </c>
    </row>
    <row r="709" spans="1:3" x14ac:dyDescent="0.25">
      <c r="A709" s="23" t="s">
        <v>730</v>
      </c>
      <c r="B709" s="33">
        <v>55</v>
      </c>
      <c r="C709" s="21" t="s">
        <v>778</v>
      </c>
    </row>
    <row r="710" spans="1:3" x14ac:dyDescent="0.25">
      <c r="A710" s="23" t="s">
        <v>730</v>
      </c>
      <c r="B710" s="32">
        <v>945</v>
      </c>
      <c r="C710" s="21" t="s">
        <v>777</v>
      </c>
    </row>
    <row r="711" spans="1:3" x14ac:dyDescent="0.25">
      <c r="A711" s="23" t="s">
        <v>730</v>
      </c>
      <c r="B711" s="32">
        <v>946</v>
      </c>
      <c r="C711" s="21" t="s">
        <v>776</v>
      </c>
    </row>
    <row r="712" spans="1:3" x14ac:dyDescent="0.25">
      <c r="A712" s="23" t="s">
        <v>730</v>
      </c>
      <c r="B712" s="33">
        <v>58</v>
      </c>
      <c r="C712" s="21" t="s">
        <v>775</v>
      </c>
    </row>
    <row r="713" spans="1:3" x14ac:dyDescent="0.25">
      <c r="A713" s="23" t="s">
        <v>730</v>
      </c>
      <c r="B713" s="32">
        <v>948</v>
      </c>
      <c r="C713" s="21" t="s">
        <v>774</v>
      </c>
    </row>
    <row r="714" spans="1:3" x14ac:dyDescent="0.25">
      <c r="A714" s="23" t="s">
        <v>730</v>
      </c>
      <c r="B714" s="33">
        <v>57</v>
      </c>
      <c r="C714" s="21" t="s">
        <v>773</v>
      </c>
    </row>
    <row r="715" spans="1:3" x14ac:dyDescent="0.25">
      <c r="A715" s="23" t="s">
        <v>730</v>
      </c>
      <c r="B715" s="33">
        <v>54</v>
      </c>
      <c r="C715" s="21" t="s">
        <v>772</v>
      </c>
    </row>
    <row r="716" spans="1:3" x14ac:dyDescent="0.25">
      <c r="A716" s="23" t="s">
        <v>730</v>
      </c>
      <c r="B716" s="32">
        <v>957</v>
      </c>
      <c r="C716" s="21" t="s">
        <v>771</v>
      </c>
    </row>
    <row r="717" spans="1:3" x14ac:dyDescent="0.25">
      <c r="A717" s="23" t="s">
        <v>730</v>
      </c>
      <c r="B717" s="32">
        <v>959</v>
      </c>
      <c r="C717" s="21" t="s">
        <v>770</v>
      </c>
    </row>
    <row r="718" spans="1:3" x14ac:dyDescent="0.25">
      <c r="A718" s="23" t="s">
        <v>730</v>
      </c>
      <c r="B718" s="32">
        <v>960</v>
      </c>
      <c r="C718" s="21" t="s">
        <v>769</v>
      </c>
    </row>
    <row r="719" spans="1:3" x14ac:dyDescent="0.25">
      <c r="A719" s="23" t="s">
        <v>730</v>
      </c>
      <c r="B719" s="33">
        <v>61</v>
      </c>
      <c r="C719" s="21" t="s">
        <v>768</v>
      </c>
    </row>
    <row r="720" spans="1:3" x14ac:dyDescent="0.25">
      <c r="A720" s="23" t="s">
        <v>730</v>
      </c>
      <c r="B720" s="32">
        <v>962</v>
      </c>
      <c r="C720" s="21" t="s">
        <v>767</v>
      </c>
    </row>
    <row r="721" spans="1:3" x14ac:dyDescent="0.25">
      <c r="A721" s="23" t="s">
        <v>730</v>
      </c>
      <c r="B721" s="32">
        <v>963</v>
      </c>
      <c r="C721" s="21" t="s">
        <v>766</v>
      </c>
    </row>
    <row r="722" spans="1:3" x14ac:dyDescent="0.25">
      <c r="A722" s="23" t="s">
        <v>730</v>
      </c>
      <c r="B722" s="33">
        <v>63</v>
      </c>
      <c r="C722" s="21" t="s">
        <v>765</v>
      </c>
    </row>
    <row r="723" spans="1:3" x14ac:dyDescent="0.25">
      <c r="A723" s="23" t="s">
        <v>730</v>
      </c>
      <c r="B723" s="32">
        <v>964</v>
      </c>
      <c r="C723" s="21" t="s">
        <v>764</v>
      </c>
    </row>
    <row r="724" spans="1:3" x14ac:dyDescent="0.25">
      <c r="A724" s="23" t="s">
        <v>730</v>
      </c>
      <c r="B724" s="33">
        <v>62</v>
      </c>
      <c r="C724" s="21" t="s">
        <v>763</v>
      </c>
    </row>
    <row r="725" spans="1:3" x14ac:dyDescent="0.25">
      <c r="A725" s="23" t="s">
        <v>730</v>
      </c>
      <c r="B725" s="33">
        <v>59</v>
      </c>
      <c r="C725" s="21" t="s">
        <v>762</v>
      </c>
    </row>
    <row r="726" spans="1:3" x14ac:dyDescent="0.25">
      <c r="A726" s="23" t="s">
        <v>730</v>
      </c>
      <c r="B726" s="32">
        <v>955</v>
      </c>
      <c r="C726" s="21" t="s">
        <v>761</v>
      </c>
    </row>
    <row r="727" spans="1:3" x14ac:dyDescent="0.25">
      <c r="A727" s="23" t="s">
        <v>730</v>
      </c>
      <c r="B727" s="32">
        <v>956</v>
      </c>
      <c r="C727" s="21" t="s">
        <v>760</v>
      </c>
    </row>
    <row r="728" spans="1:3" x14ac:dyDescent="0.25">
      <c r="A728" s="23" t="s">
        <v>730</v>
      </c>
      <c r="B728" s="33">
        <v>74</v>
      </c>
      <c r="C728" s="21" t="s">
        <v>759</v>
      </c>
    </row>
    <row r="729" spans="1:3" x14ac:dyDescent="0.25">
      <c r="A729" s="23" t="s">
        <v>730</v>
      </c>
      <c r="B729" s="32">
        <v>958</v>
      </c>
      <c r="C729" s="21" t="s">
        <v>758</v>
      </c>
    </row>
    <row r="730" spans="1:3" x14ac:dyDescent="0.25">
      <c r="A730" s="23" t="s">
        <v>730</v>
      </c>
      <c r="B730" s="33">
        <v>73</v>
      </c>
      <c r="C730" s="21" t="s">
        <v>757</v>
      </c>
    </row>
    <row r="731" spans="1:3" x14ac:dyDescent="0.25">
      <c r="A731" s="23" t="s">
        <v>730</v>
      </c>
      <c r="B731" s="33">
        <v>65</v>
      </c>
      <c r="C731" s="21" t="s">
        <v>756</v>
      </c>
    </row>
    <row r="732" spans="1:3" x14ac:dyDescent="0.25">
      <c r="A732" s="23" t="s">
        <v>730</v>
      </c>
      <c r="B732" s="33">
        <v>961</v>
      </c>
      <c r="C732" s="21" t="s">
        <v>755</v>
      </c>
    </row>
    <row r="733" spans="1:3" x14ac:dyDescent="0.25">
      <c r="A733" s="23" t="s">
        <v>730</v>
      </c>
      <c r="B733" s="33">
        <v>75</v>
      </c>
      <c r="C733" s="21" t="s">
        <v>754</v>
      </c>
    </row>
    <row r="734" spans="1:3" x14ac:dyDescent="0.25">
      <c r="A734" s="23" t="s">
        <v>730</v>
      </c>
      <c r="B734" s="33">
        <v>67</v>
      </c>
      <c r="C734" s="21" t="s">
        <v>753</v>
      </c>
    </row>
    <row r="735" spans="1:3" x14ac:dyDescent="0.25">
      <c r="A735" s="23" t="s">
        <v>730</v>
      </c>
      <c r="B735" s="33">
        <v>66</v>
      </c>
      <c r="C735" s="21" t="s">
        <v>752</v>
      </c>
    </row>
    <row r="736" spans="1:3" x14ac:dyDescent="0.25">
      <c r="A736" s="23" t="s">
        <v>730</v>
      </c>
      <c r="B736" s="32">
        <v>966</v>
      </c>
      <c r="C736" s="21" t="s">
        <v>751</v>
      </c>
    </row>
    <row r="737" spans="1:3" x14ac:dyDescent="0.25">
      <c r="A737" s="23" t="s">
        <v>730</v>
      </c>
      <c r="B737" s="32">
        <v>967</v>
      </c>
      <c r="C737" s="21" t="s">
        <v>750</v>
      </c>
    </row>
    <row r="738" spans="1:3" x14ac:dyDescent="0.25">
      <c r="A738" s="23" t="s">
        <v>730</v>
      </c>
      <c r="B738" s="33">
        <v>81</v>
      </c>
      <c r="C738" s="21" t="s">
        <v>749</v>
      </c>
    </row>
    <row r="739" spans="1:3" x14ac:dyDescent="0.25">
      <c r="A739" s="23" t="s">
        <v>730</v>
      </c>
      <c r="B739" s="32">
        <v>968</v>
      </c>
      <c r="C739" s="21" t="s">
        <v>748</v>
      </c>
    </row>
    <row r="740" spans="1:3" x14ac:dyDescent="0.25">
      <c r="A740" s="23" t="s">
        <v>730</v>
      </c>
      <c r="B740" s="33">
        <v>80</v>
      </c>
      <c r="C740" s="21" t="s">
        <v>747</v>
      </c>
    </row>
    <row r="741" spans="1:3" x14ac:dyDescent="0.25">
      <c r="A741" s="23" t="s">
        <v>730</v>
      </c>
      <c r="B741" s="33">
        <v>77</v>
      </c>
      <c r="C741" s="21" t="s">
        <v>746</v>
      </c>
    </row>
    <row r="742" spans="1:3" x14ac:dyDescent="0.25">
      <c r="A742" s="23" t="s">
        <v>730</v>
      </c>
      <c r="B742" s="32">
        <v>969</v>
      </c>
      <c r="C742" s="21" t="s">
        <v>745</v>
      </c>
    </row>
    <row r="743" spans="1:3" x14ac:dyDescent="0.25">
      <c r="A743" s="23" t="s">
        <v>730</v>
      </c>
      <c r="B743" s="33">
        <v>82</v>
      </c>
      <c r="C743" s="21" t="s">
        <v>744</v>
      </c>
    </row>
    <row r="744" spans="1:3" x14ac:dyDescent="0.25">
      <c r="A744" s="23" t="s">
        <v>730</v>
      </c>
      <c r="B744" s="33">
        <v>79</v>
      </c>
      <c r="C744" s="21" t="s">
        <v>743</v>
      </c>
    </row>
    <row r="745" spans="1:3" x14ac:dyDescent="0.25">
      <c r="A745" s="23" t="s">
        <v>730</v>
      </c>
      <c r="B745" s="33">
        <v>78</v>
      </c>
      <c r="C745" s="21" t="s">
        <v>742</v>
      </c>
    </row>
    <row r="746" spans="1:3" x14ac:dyDescent="0.25">
      <c r="A746" s="23" t="s">
        <v>730</v>
      </c>
      <c r="B746" s="32">
        <v>965</v>
      </c>
      <c r="C746" s="21" t="s">
        <v>741</v>
      </c>
    </row>
    <row r="747" spans="1:3" x14ac:dyDescent="0.25">
      <c r="A747" s="23" t="s">
        <v>730</v>
      </c>
      <c r="B747" s="33">
        <v>88</v>
      </c>
      <c r="C747" s="21" t="s">
        <v>740</v>
      </c>
    </row>
    <row r="748" spans="1:3" x14ac:dyDescent="0.25">
      <c r="A748" s="23" t="s">
        <v>730</v>
      </c>
      <c r="B748" s="33">
        <v>85</v>
      </c>
      <c r="C748" s="21" t="s">
        <v>739</v>
      </c>
    </row>
    <row r="749" spans="1:3" x14ac:dyDescent="0.25">
      <c r="A749" s="23" t="s">
        <v>730</v>
      </c>
      <c r="B749" s="33">
        <v>83</v>
      </c>
      <c r="C749" s="21" t="s">
        <v>738</v>
      </c>
    </row>
    <row r="750" spans="1:3" x14ac:dyDescent="0.25">
      <c r="A750" s="23" t="s">
        <v>730</v>
      </c>
      <c r="B750" s="33">
        <v>87</v>
      </c>
      <c r="C750" s="21" t="s">
        <v>737</v>
      </c>
    </row>
    <row r="751" spans="1:3" x14ac:dyDescent="0.25">
      <c r="A751" s="23" t="s">
        <v>730</v>
      </c>
      <c r="B751" s="32">
        <v>970</v>
      </c>
      <c r="C751" s="21" t="s">
        <v>736</v>
      </c>
    </row>
    <row r="752" spans="1:3" x14ac:dyDescent="0.25">
      <c r="A752" s="23" t="s">
        <v>730</v>
      </c>
      <c r="B752" s="33">
        <v>91</v>
      </c>
      <c r="C752" s="21" t="s">
        <v>735</v>
      </c>
    </row>
    <row r="753" spans="1:3" x14ac:dyDescent="0.25">
      <c r="A753" s="23" t="s">
        <v>730</v>
      </c>
      <c r="B753" s="33">
        <v>94</v>
      </c>
      <c r="C753" s="21" t="s">
        <v>734</v>
      </c>
    </row>
    <row r="754" spans="1:3" x14ac:dyDescent="0.25">
      <c r="A754" s="23" t="s">
        <v>730</v>
      </c>
      <c r="B754" s="33">
        <v>95</v>
      </c>
      <c r="C754" s="21" t="s">
        <v>733</v>
      </c>
    </row>
    <row r="755" spans="1:3" x14ac:dyDescent="0.25">
      <c r="A755" s="23" t="s">
        <v>730</v>
      </c>
      <c r="B755" s="33">
        <v>93</v>
      </c>
      <c r="C755" s="21" t="s">
        <v>732</v>
      </c>
    </row>
    <row r="756" spans="1:3" x14ac:dyDescent="0.25">
      <c r="A756" s="23" t="s">
        <v>730</v>
      </c>
      <c r="B756" s="33">
        <v>89</v>
      </c>
      <c r="C756" s="21" t="s">
        <v>731</v>
      </c>
    </row>
    <row r="757" spans="1:3" x14ac:dyDescent="0.25">
      <c r="A757" s="23" t="s">
        <v>730</v>
      </c>
      <c r="B757" s="33">
        <v>97</v>
      </c>
      <c r="C757" s="21" t="s">
        <v>729</v>
      </c>
    </row>
    <row r="758" spans="1:3" x14ac:dyDescent="0.25">
      <c r="A758" s="23" t="s">
        <v>677</v>
      </c>
      <c r="B758" s="32">
        <v>1</v>
      </c>
      <c r="C758" s="21" t="s">
        <v>728</v>
      </c>
    </row>
    <row r="759" spans="1:3" x14ac:dyDescent="0.25">
      <c r="A759" s="23" t="s">
        <v>677</v>
      </c>
      <c r="B759" s="32">
        <v>2</v>
      </c>
      <c r="C759" s="21" t="s">
        <v>727</v>
      </c>
    </row>
    <row r="760" spans="1:3" x14ac:dyDescent="0.25">
      <c r="A760" s="23" t="s">
        <v>677</v>
      </c>
      <c r="B760" s="32">
        <v>3</v>
      </c>
      <c r="C760" s="21" t="s">
        <v>726</v>
      </c>
    </row>
    <row r="761" spans="1:3" x14ac:dyDescent="0.25">
      <c r="A761" s="23" t="s">
        <v>677</v>
      </c>
      <c r="B761" s="32">
        <v>4</v>
      </c>
      <c r="C761" s="21" t="s">
        <v>725</v>
      </c>
    </row>
    <row r="762" spans="1:3" x14ac:dyDescent="0.25">
      <c r="A762" s="23" t="s">
        <v>677</v>
      </c>
      <c r="B762" s="32">
        <v>5</v>
      </c>
      <c r="C762" s="21" t="s">
        <v>724</v>
      </c>
    </row>
    <row r="763" spans="1:3" x14ac:dyDescent="0.25">
      <c r="A763" s="23" t="s">
        <v>677</v>
      </c>
      <c r="B763" s="32">
        <v>6</v>
      </c>
      <c r="C763" s="21" t="s">
        <v>723</v>
      </c>
    </row>
    <row r="764" spans="1:3" x14ac:dyDescent="0.25">
      <c r="A764" s="23" t="s">
        <v>677</v>
      </c>
      <c r="B764" s="32">
        <v>7</v>
      </c>
      <c r="C764" s="21" t="s">
        <v>722</v>
      </c>
    </row>
    <row r="765" spans="1:3" x14ac:dyDescent="0.25">
      <c r="A765" s="23" t="s">
        <v>677</v>
      </c>
      <c r="B765" s="32">
        <v>8</v>
      </c>
      <c r="C765" s="21" t="s">
        <v>721</v>
      </c>
    </row>
    <row r="766" spans="1:3" x14ac:dyDescent="0.25">
      <c r="A766" s="23" t="s">
        <v>677</v>
      </c>
      <c r="B766" s="32">
        <v>9</v>
      </c>
      <c r="C766" s="21" t="s">
        <v>720</v>
      </c>
    </row>
    <row r="767" spans="1:3" x14ac:dyDescent="0.25">
      <c r="A767" s="23" t="s">
        <v>677</v>
      </c>
      <c r="B767" s="32">
        <v>10</v>
      </c>
      <c r="C767" s="21" t="s">
        <v>719</v>
      </c>
    </row>
    <row r="768" spans="1:3" x14ac:dyDescent="0.25">
      <c r="A768" s="23" t="s">
        <v>677</v>
      </c>
      <c r="B768" s="32">
        <v>11</v>
      </c>
      <c r="C768" s="21" t="s">
        <v>718</v>
      </c>
    </row>
    <row r="769" spans="1:3" x14ac:dyDescent="0.25">
      <c r="A769" s="23" t="s">
        <v>677</v>
      </c>
      <c r="B769" s="32">
        <v>12</v>
      </c>
      <c r="C769" s="21" t="s">
        <v>717</v>
      </c>
    </row>
    <row r="770" spans="1:3" x14ac:dyDescent="0.25">
      <c r="A770" s="23" t="s">
        <v>677</v>
      </c>
      <c r="B770" s="32">
        <v>13</v>
      </c>
      <c r="C770" s="21" t="s">
        <v>716</v>
      </c>
    </row>
    <row r="771" spans="1:3" x14ac:dyDescent="0.25">
      <c r="A771" s="23" t="s">
        <v>677</v>
      </c>
      <c r="B771" s="32">
        <v>14</v>
      </c>
      <c r="C771" s="21" t="s">
        <v>715</v>
      </c>
    </row>
    <row r="772" spans="1:3" x14ac:dyDescent="0.25">
      <c r="A772" s="23" t="s">
        <v>677</v>
      </c>
      <c r="B772" s="32">
        <v>15</v>
      </c>
      <c r="C772" s="21" t="s">
        <v>714</v>
      </c>
    </row>
    <row r="773" spans="1:3" x14ac:dyDescent="0.25">
      <c r="A773" s="23" t="s">
        <v>677</v>
      </c>
      <c r="B773" s="32">
        <v>16</v>
      </c>
      <c r="C773" s="21" t="s">
        <v>713</v>
      </c>
    </row>
    <row r="774" spans="1:3" x14ac:dyDescent="0.25">
      <c r="A774" s="23" t="s">
        <v>677</v>
      </c>
      <c r="B774" s="32">
        <v>17</v>
      </c>
      <c r="C774" s="21" t="s">
        <v>712</v>
      </c>
    </row>
    <row r="775" spans="1:3" x14ac:dyDescent="0.25">
      <c r="A775" s="23" t="s">
        <v>677</v>
      </c>
      <c r="B775" s="32">
        <v>18</v>
      </c>
      <c r="C775" s="21" t="s">
        <v>711</v>
      </c>
    </row>
    <row r="776" spans="1:3" x14ac:dyDescent="0.25">
      <c r="A776" s="23" t="s">
        <v>677</v>
      </c>
      <c r="B776" s="32">
        <v>19</v>
      </c>
      <c r="C776" s="21" t="s">
        <v>710</v>
      </c>
    </row>
    <row r="777" spans="1:3" x14ac:dyDescent="0.25">
      <c r="A777" s="23" t="s">
        <v>677</v>
      </c>
      <c r="B777" s="32">
        <v>20</v>
      </c>
      <c r="C777" s="21" t="s">
        <v>709</v>
      </c>
    </row>
    <row r="778" spans="1:3" x14ac:dyDescent="0.25">
      <c r="A778" s="23" t="s">
        <v>677</v>
      </c>
      <c r="B778" s="32">
        <v>21</v>
      </c>
      <c r="C778" s="21" t="s">
        <v>708</v>
      </c>
    </row>
    <row r="779" spans="1:3" x14ac:dyDescent="0.25">
      <c r="A779" s="23" t="s">
        <v>677</v>
      </c>
      <c r="B779" s="32">
        <v>22</v>
      </c>
      <c r="C779" s="21" t="s">
        <v>707</v>
      </c>
    </row>
    <row r="780" spans="1:3" x14ac:dyDescent="0.25">
      <c r="A780" s="23" t="s">
        <v>677</v>
      </c>
      <c r="B780" s="32">
        <v>23</v>
      </c>
      <c r="C780" s="21" t="s">
        <v>706</v>
      </c>
    </row>
    <row r="781" spans="1:3" x14ac:dyDescent="0.25">
      <c r="A781" s="23" t="s">
        <v>677</v>
      </c>
      <c r="B781" s="32">
        <v>24</v>
      </c>
      <c r="C781" s="21" t="s">
        <v>705</v>
      </c>
    </row>
    <row r="782" spans="1:3" x14ac:dyDescent="0.25">
      <c r="A782" s="23" t="s">
        <v>677</v>
      </c>
      <c r="B782" s="32">
        <v>25</v>
      </c>
      <c r="C782" s="21" t="s">
        <v>704</v>
      </c>
    </row>
    <row r="783" spans="1:3" x14ac:dyDescent="0.25">
      <c r="A783" s="23" t="s">
        <v>677</v>
      </c>
      <c r="B783" s="32">
        <v>26</v>
      </c>
      <c r="C783" s="21" t="s">
        <v>703</v>
      </c>
    </row>
    <row r="784" spans="1:3" x14ac:dyDescent="0.25">
      <c r="A784" s="23" t="s">
        <v>677</v>
      </c>
      <c r="B784" s="32">
        <v>27</v>
      </c>
      <c r="C784" s="21" t="s">
        <v>702</v>
      </c>
    </row>
    <row r="785" spans="1:3" x14ac:dyDescent="0.25">
      <c r="A785" s="23" t="s">
        <v>677</v>
      </c>
      <c r="B785" s="32">
        <v>28</v>
      </c>
      <c r="C785" s="21" t="s">
        <v>701</v>
      </c>
    </row>
    <row r="786" spans="1:3" x14ac:dyDescent="0.25">
      <c r="A786" s="23" t="s">
        <v>677</v>
      </c>
      <c r="B786" s="32">
        <v>29</v>
      </c>
      <c r="C786" s="21" t="s">
        <v>700</v>
      </c>
    </row>
    <row r="787" spans="1:3" x14ac:dyDescent="0.25">
      <c r="A787" s="23" t="s">
        <v>677</v>
      </c>
      <c r="B787" s="32">
        <v>30</v>
      </c>
      <c r="C787" s="21" t="s">
        <v>699</v>
      </c>
    </row>
    <row r="788" spans="1:3" x14ac:dyDescent="0.25">
      <c r="A788" s="23" t="s">
        <v>677</v>
      </c>
      <c r="B788" s="32">
        <v>31</v>
      </c>
      <c r="C788" s="21" t="s">
        <v>698</v>
      </c>
    </row>
    <row r="789" spans="1:3" x14ac:dyDescent="0.25">
      <c r="A789" s="23" t="s">
        <v>677</v>
      </c>
      <c r="B789" s="32">
        <v>32</v>
      </c>
      <c r="C789" s="21" t="s">
        <v>697</v>
      </c>
    </row>
    <row r="790" spans="1:3" x14ac:dyDescent="0.25">
      <c r="A790" s="23" t="s">
        <v>677</v>
      </c>
      <c r="B790" s="32">
        <v>33</v>
      </c>
      <c r="C790" s="21" t="s">
        <v>696</v>
      </c>
    </row>
    <row r="791" spans="1:3" x14ac:dyDescent="0.25">
      <c r="A791" s="23" t="s">
        <v>677</v>
      </c>
      <c r="B791" s="32">
        <v>34</v>
      </c>
      <c r="C791" s="21" t="s">
        <v>695</v>
      </c>
    </row>
    <row r="792" spans="1:3" x14ac:dyDescent="0.25">
      <c r="A792" s="23" t="s">
        <v>677</v>
      </c>
      <c r="B792" s="32">
        <v>35</v>
      </c>
      <c r="C792" s="21" t="s">
        <v>694</v>
      </c>
    </row>
    <row r="793" spans="1:3" x14ac:dyDescent="0.25">
      <c r="A793" s="23" t="s">
        <v>677</v>
      </c>
      <c r="B793" s="32">
        <v>36</v>
      </c>
      <c r="C793" s="21" t="s">
        <v>693</v>
      </c>
    </row>
    <row r="794" spans="1:3" x14ac:dyDescent="0.25">
      <c r="A794" s="23" t="s">
        <v>677</v>
      </c>
      <c r="B794" s="32">
        <v>37</v>
      </c>
      <c r="C794" s="21" t="s">
        <v>692</v>
      </c>
    </row>
    <row r="795" spans="1:3" x14ac:dyDescent="0.25">
      <c r="A795" s="23" t="s">
        <v>677</v>
      </c>
      <c r="B795" s="32">
        <v>38</v>
      </c>
      <c r="C795" s="21" t="s">
        <v>691</v>
      </c>
    </row>
    <row r="796" spans="1:3" x14ac:dyDescent="0.25">
      <c r="A796" s="23" t="s">
        <v>677</v>
      </c>
      <c r="B796" s="32">
        <v>39</v>
      </c>
      <c r="C796" s="21" t="s">
        <v>690</v>
      </c>
    </row>
    <row r="797" spans="1:3" x14ac:dyDescent="0.25">
      <c r="A797" s="23" t="s">
        <v>677</v>
      </c>
      <c r="B797" s="32">
        <v>40</v>
      </c>
      <c r="C797" s="21" t="s">
        <v>689</v>
      </c>
    </row>
    <row r="798" spans="1:3" x14ac:dyDescent="0.25">
      <c r="A798" s="23" t="s">
        <v>677</v>
      </c>
      <c r="B798" s="32">
        <v>41</v>
      </c>
      <c r="C798" s="21" t="s">
        <v>688</v>
      </c>
    </row>
    <row r="799" spans="1:3" x14ac:dyDescent="0.25">
      <c r="A799" s="23" t="s">
        <v>677</v>
      </c>
      <c r="B799" s="32">
        <v>42</v>
      </c>
      <c r="C799" s="21" t="s">
        <v>687</v>
      </c>
    </row>
    <row r="800" spans="1:3" x14ac:dyDescent="0.25">
      <c r="A800" s="23" t="s">
        <v>677</v>
      </c>
      <c r="B800" s="32">
        <v>43</v>
      </c>
      <c r="C800" s="21" t="s">
        <v>686</v>
      </c>
    </row>
    <row r="801" spans="1:3" x14ac:dyDescent="0.25">
      <c r="A801" s="23" t="s">
        <v>677</v>
      </c>
      <c r="B801" s="32">
        <v>44</v>
      </c>
      <c r="C801" s="21" t="s">
        <v>685</v>
      </c>
    </row>
    <row r="802" spans="1:3" x14ac:dyDescent="0.25">
      <c r="A802" s="23" t="s">
        <v>677</v>
      </c>
      <c r="B802" s="32">
        <v>45</v>
      </c>
      <c r="C802" s="21" t="s">
        <v>684</v>
      </c>
    </row>
    <row r="803" spans="1:3" x14ac:dyDescent="0.25">
      <c r="A803" s="23" t="s">
        <v>677</v>
      </c>
      <c r="B803" s="32">
        <v>46</v>
      </c>
      <c r="C803" s="21" t="s">
        <v>683</v>
      </c>
    </row>
    <row r="804" spans="1:3" x14ac:dyDescent="0.25">
      <c r="A804" s="23" t="s">
        <v>677</v>
      </c>
      <c r="B804" s="32">
        <v>47</v>
      </c>
      <c r="C804" s="21" t="s">
        <v>682</v>
      </c>
    </row>
    <row r="805" spans="1:3" x14ac:dyDescent="0.25">
      <c r="A805" s="23" t="s">
        <v>677</v>
      </c>
      <c r="B805" s="32">
        <v>48</v>
      </c>
      <c r="C805" s="21" t="s">
        <v>681</v>
      </c>
    </row>
    <row r="806" spans="1:3" x14ac:dyDescent="0.25">
      <c r="A806" s="23" t="s">
        <v>677</v>
      </c>
      <c r="B806" s="32">
        <v>49</v>
      </c>
      <c r="C806" s="21" t="s">
        <v>680</v>
      </c>
    </row>
    <row r="807" spans="1:3" x14ac:dyDescent="0.25">
      <c r="A807" s="23" t="s">
        <v>677</v>
      </c>
      <c r="B807" s="32">
        <v>50</v>
      </c>
      <c r="C807" s="21" t="s">
        <v>679</v>
      </c>
    </row>
    <row r="808" spans="1:3" x14ac:dyDescent="0.25">
      <c r="A808" s="23" t="s">
        <v>677</v>
      </c>
      <c r="B808" s="32">
        <v>51</v>
      </c>
      <c r="C808" s="21" t="s">
        <v>678</v>
      </c>
    </row>
    <row r="809" spans="1:3" x14ac:dyDescent="0.25">
      <c r="A809" s="23" t="s">
        <v>677</v>
      </c>
      <c r="B809" s="32">
        <v>52</v>
      </c>
      <c r="C809" s="21" t="s">
        <v>676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338A-77EA-4DDD-846F-BE8AE56BF063}">
  <dimension ref="A1:D389"/>
  <sheetViews>
    <sheetView workbookViewId="0"/>
  </sheetViews>
  <sheetFormatPr defaultColWidth="8.7109375" defaultRowHeight="14.25" x14ac:dyDescent="0.2"/>
  <cols>
    <col min="1" max="1" width="38.140625" style="67" customWidth="1"/>
    <col min="2" max="2" width="17.85546875" style="67" customWidth="1"/>
    <col min="3" max="3" width="8.7109375" style="67"/>
    <col min="4" max="4" width="37.85546875" style="66" customWidth="1"/>
    <col min="5" max="16384" width="8.7109375" style="66"/>
  </cols>
  <sheetData>
    <row r="1" spans="1:3" ht="15" x14ac:dyDescent="0.25">
      <c r="A1" s="77" t="s">
        <v>675</v>
      </c>
      <c r="B1" s="78" t="s">
        <v>674</v>
      </c>
      <c r="C1" s="77" t="s">
        <v>673</v>
      </c>
    </row>
    <row r="2" spans="1:3" ht="15" x14ac:dyDescent="0.2">
      <c r="A2" s="67" t="s">
        <v>3081</v>
      </c>
      <c r="B2" s="69">
        <v>1</v>
      </c>
      <c r="C2" s="70" t="s">
        <v>3599</v>
      </c>
    </row>
    <row r="3" spans="1:3" ht="15" x14ac:dyDescent="0.2">
      <c r="A3" s="67" t="s">
        <v>3081</v>
      </c>
      <c r="B3" s="69">
        <v>2</v>
      </c>
      <c r="C3" s="70" t="s">
        <v>3598</v>
      </c>
    </row>
    <row r="4" spans="1:3" ht="15" x14ac:dyDescent="0.2">
      <c r="A4" s="67" t="s">
        <v>3081</v>
      </c>
      <c r="B4" s="69">
        <v>3</v>
      </c>
      <c r="C4" s="70" t="s">
        <v>3597</v>
      </c>
    </row>
    <row r="5" spans="1:3" ht="15" x14ac:dyDescent="0.2">
      <c r="A5" s="67" t="s">
        <v>3081</v>
      </c>
      <c r="B5" s="69">
        <v>4</v>
      </c>
      <c r="C5" s="70" t="s">
        <v>3596</v>
      </c>
    </row>
    <row r="6" spans="1:3" ht="15" x14ac:dyDescent="0.2">
      <c r="A6" s="67" t="s">
        <v>3081</v>
      </c>
      <c r="B6" s="69">
        <v>5</v>
      </c>
      <c r="C6" s="70" t="s">
        <v>3595</v>
      </c>
    </row>
    <row r="7" spans="1:3" ht="15" x14ac:dyDescent="0.2">
      <c r="A7" s="67" t="s">
        <v>3081</v>
      </c>
      <c r="B7" s="69">
        <v>6</v>
      </c>
      <c r="C7" s="70" t="s">
        <v>3594</v>
      </c>
    </row>
    <row r="8" spans="1:3" ht="15" x14ac:dyDescent="0.2">
      <c r="A8" s="67" t="s">
        <v>3081</v>
      </c>
      <c r="B8" s="69">
        <v>7</v>
      </c>
      <c r="C8" s="70" t="s">
        <v>3593</v>
      </c>
    </row>
    <row r="9" spans="1:3" ht="15" x14ac:dyDescent="0.2">
      <c r="A9" s="67" t="s">
        <v>3081</v>
      </c>
      <c r="B9" s="69">
        <v>8</v>
      </c>
      <c r="C9" s="70" t="s">
        <v>3592</v>
      </c>
    </row>
    <row r="10" spans="1:3" ht="15" x14ac:dyDescent="0.2">
      <c r="A10" s="67" t="s">
        <v>3083</v>
      </c>
      <c r="B10" s="69">
        <v>1</v>
      </c>
      <c r="C10" s="70" t="s">
        <v>577</v>
      </c>
    </row>
    <row r="11" spans="1:3" ht="15" x14ac:dyDescent="0.2">
      <c r="A11" s="67" t="s">
        <v>3083</v>
      </c>
      <c r="B11" s="69">
        <v>2</v>
      </c>
      <c r="C11" s="70" t="s">
        <v>3591</v>
      </c>
    </row>
    <row r="12" spans="1:3" x14ac:dyDescent="0.2">
      <c r="A12" s="67" t="s">
        <v>3089</v>
      </c>
      <c r="B12" s="67">
        <v>1</v>
      </c>
      <c r="C12" s="68" t="s">
        <v>3590</v>
      </c>
    </row>
    <row r="13" spans="1:3" x14ac:dyDescent="0.2">
      <c r="A13" s="67" t="s">
        <v>3089</v>
      </c>
      <c r="B13" s="71">
        <v>2</v>
      </c>
      <c r="C13" s="67" t="s">
        <v>3589</v>
      </c>
    </row>
    <row r="14" spans="1:3" x14ac:dyDescent="0.2">
      <c r="A14" s="67" t="s">
        <v>3089</v>
      </c>
      <c r="B14" s="71">
        <v>3</v>
      </c>
      <c r="C14" s="67" t="s">
        <v>3588</v>
      </c>
    </row>
    <row r="15" spans="1:3" x14ac:dyDescent="0.2">
      <c r="A15" s="67" t="s">
        <v>3089</v>
      </c>
      <c r="B15" s="67">
        <v>4</v>
      </c>
      <c r="C15" s="67" t="s">
        <v>3587</v>
      </c>
    </row>
    <row r="16" spans="1:3" x14ac:dyDescent="0.2">
      <c r="A16" s="67" t="s">
        <v>3089</v>
      </c>
      <c r="B16" s="67">
        <v>5</v>
      </c>
      <c r="C16" s="67" t="s">
        <v>3586</v>
      </c>
    </row>
    <row r="17" spans="1:3" x14ac:dyDescent="0.2">
      <c r="A17" s="67" t="s">
        <v>3089</v>
      </c>
      <c r="B17" s="67">
        <v>6</v>
      </c>
      <c r="C17" s="67" t="s">
        <v>3585</v>
      </c>
    </row>
    <row r="18" spans="1:3" x14ac:dyDescent="0.2">
      <c r="A18" s="67" t="s">
        <v>3089</v>
      </c>
      <c r="B18" s="67">
        <v>7</v>
      </c>
      <c r="C18" s="67" t="s">
        <v>3584</v>
      </c>
    </row>
    <row r="19" spans="1:3" x14ac:dyDescent="0.2">
      <c r="A19" s="67" t="s">
        <v>3089</v>
      </c>
      <c r="B19" s="68">
        <v>8</v>
      </c>
      <c r="C19" s="68" t="s">
        <v>3583</v>
      </c>
    </row>
    <row r="20" spans="1:3" x14ac:dyDescent="0.2">
      <c r="A20" s="67" t="s">
        <v>3089</v>
      </c>
      <c r="B20" s="67">
        <v>9</v>
      </c>
      <c r="C20" s="67" t="s">
        <v>3582</v>
      </c>
    </row>
    <row r="21" spans="1:3" x14ac:dyDescent="0.2">
      <c r="A21" s="67" t="s">
        <v>3089</v>
      </c>
      <c r="B21" s="67">
        <v>10</v>
      </c>
      <c r="C21" s="67" t="s">
        <v>3581</v>
      </c>
    </row>
    <row r="22" spans="1:3" x14ac:dyDescent="0.2">
      <c r="A22" s="67" t="s">
        <v>3089</v>
      </c>
      <c r="B22" s="68">
        <v>11</v>
      </c>
      <c r="C22" s="67" t="s">
        <v>3580</v>
      </c>
    </row>
    <row r="23" spans="1:3" ht="15" x14ac:dyDescent="0.25">
      <c r="A23" s="67" t="s">
        <v>3089</v>
      </c>
      <c r="B23" s="68">
        <v>12</v>
      </c>
      <c r="C23" s="65" t="s">
        <v>3579</v>
      </c>
    </row>
    <row r="24" spans="1:3" x14ac:dyDescent="0.2">
      <c r="A24" s="67" t="s">
        <v>3091</v>
      </c>
      <c r="B24" s="68">
        <v>1</v>
      </c>
      <c r="C24" s="68" t="s">
        <v>3261</v>
      </c>
    </row>
    <row r="25" spans="1:3" x14ac:dyDescent="0.2">
      <c r="A25" s="67" t="s">
        <v>3091</v>
      </c>
      <c r="B25" s="68">
        <v>2</v>
      </c>
      <c r="C25" s="68" t="s">
        <v>3260</v>
      </c>
    </row>
    <row r="26" spans="1:3" x14ac:dyDescent="0.2">
      <c r="A26" s="67" t="s">
        <v>3091</v>
      </c>
      <c r="B26" s="68">
        <v>3</v>
      </c>
      <c r="C26" s="68" t="s">
        <v>3578</v>
      </c>
    </row>
    <row r="27" spans="1:3" x14ac:dyDescent="0.2">
      <c r="A27" s="67" t="s">
        <v>3091</v>
      </c>
      <c r="B27" s="68">
        <v>4</v>
      </c>
      <c r="C27" s="68" t="s">
        <v>3577</v>
      </c>
    </row>
    <row r="28" spans="1:3" x14ac:dyDescent="0.2">
      <c r="A28" s="67" t="s">
        <v>3091</v>
      </c>
      <c r="B28" s="68">
        <v>5</v>
      </c>
      <c r="C28" s="68" t="s">
        <v>3252</v>
      </c>
    </row>
    <row r="29" spans="1:3" x14ac:dyDescent="0.2">
      <c r="A29" s="67" t="s">
        <v>3093</v>
      </c>
      <c r="B29" s="68">
        <v>1</v>
      </c>
      <c r="C29" s="68" t="s">
        <v>3576</v>
      </c>
    </row>
    <row r="30" spans="1:3" x14ac:dyDescent="0.2">
      <c r="A30" s="67" t="s">
        <v>3093</v>
      </c>
      <c r="B30" s="68">
        <v>2</v>
      </c>
      <c r="C30" s="68" t="s">
        <v>3575</v>
      </c>
    </row>
    <row r="31" spans="1:3" x14ac:dyDescent="0.2">
      <c r="A31" s="67" t="s">
        <v>3093</v>
      </c>
      <c r="B31" s="68">
        <v>3</v>
      </c>
      <c r="C31" s="68" t="s">
        <v>3574</v>
      </c>
    </row>
    <row r="32" spans="1:3" x14ac:dyDescent="0.2">
      <c r="A32" s="67" t="s">
        <v>3093</v>
      </c>
      <c r="B32" s="68">
        <v>4</v>
      </c>
      <c r="C32" s="68" t="s">
        <v>3573</v>
      </c>
    </row>
    <row r="33" spans="1:4" x14ac:dyDescent="0.2">
      <c r="A33" s="67" t="s">
        <v>3093</v>
      </c>
      <c r="B33" s="68">
        <v>5</v>
      </c>
      <c r="C33" s="68" t="s">
        <v>3572</v>
      </c>
    </row>
    <row r="34" spans="1:4" x14ac:dyDescent="0.2">
      <c r="A34" s="67" t="s">
        <v>3093</v>
      </c>
      <c r="B34" s="68">
        <v>6</v>
      </c>
      <c r="C34" s="68" t="s">
        <v>787</v>
      </c>
    </row>
    <row r="35" spans="1:4" x14ac:dyDescent="0.2">
      <c r="A35" s="67" t="s">
        <v>3101</v>
      </c>
      <c r="B35" s="72">
        <v>1000000</v>
      </c>
      <c r="C35" s="67" t="s">
        <v>3571</v>
      </c>
      <c r="D35" s="66" t="s">
        <v>3563</v>
      </c>
    </row>
    <row r="36" spans="1:4" x14ac:dyDescent="0.2">
      <c r="A36" s="67" t="s">
        <v>3101</v>
      </c>
      <c r="B36" s="73">
        <v>100000</v>
      </c>
      <c r="C36" s="67" t="s">
        <v>3570</v>
      </c>
    </row>
    <row r="37" spans="1:4" x14ac:dyDescent="0.2">
      <c r="A37" s="67" t="s">
        <v>3101</v>
      </c>
      <c r="B37" s="73">
        <v>10000</v>
      </c>
      <c r="C37" s="67" t="s">
        <v>3569</v>
      </c>
    </row>
    <row r="38" spans="1:4" x14ac:dyDescent="0.2">
      <c r="A38" s="67" t="s">
        <v>3101</v>
      </c>
      <c r="B38" s="73">
        <v>1000</v>
      </c>
      <c r="C38" s="68" t="s">
        <v>3568</v>
      </c>
    </row>
    <row r="39" spans="1:4" x14ac:dyDescent="0.2">
      <c r="A39" s="67" t="s">
        <v>3101</v>
      </c>
      <c r="B39" s="73">
        <v>100</v>
      </c>
      <c r="C39" s="68" t="s">
        <v>3567</v>
      </c>
    </row>
    <row r="40" spans="1:4" x14ac:dyDescent="0.2">
      <c r="A40" s="67" t="s">
        <v>3101</v>
      </c>
      <c r="B40" s="73">
        <v>10</v>
      </c>
      <c r="C40" s="68" t="s">
        <v>3566</v>
      </c>
    </row>
    <row r="41" spans="1:4" x14ac:dyDescent="0.2">
      <c r="A41" s="67" t="s">
        <v>3101</v>
      </c>
      <c r="B41" s="73">
        <v>1</v>
      </c>
      <c r="C41" s="68" t="s">
        <v>3565</v>
      </c>
    </row>
    <row r="42" spans="1:4" x14ac:dyDescent="0.2">
      <c r="A42" s="67" t="s">
        <v>3103</v>
      </c>
      <c r="B42" s="74">
        <v>10000</v>
      </c>
      <c r="C42" s="68" t="s">
        <v>3564</v>
      </c>
      <c r="D42" s="66" t="s">
        <v>3563</v>
      </c>
    </row>
    <row r="43" spans="1:4" x14ac:dyDescent="0.2">
      <c r="A43" s="67" t="s">
        <v>3103</v>
      </c>
      <c r="B43" s="74">
        <v>1000</v>
      </c>
      <c r="C43" s="68" t="s">
        <v>3562</v>
      </c>
    </row>
    <row r="44" spans="1:4" ht="15" x14ac:dyDescent="0.2">
      <c r="A44" s="67" t="s">
        <v>3103</v>
      </c>
      <c r="B44" s="74">
        <v>100</v>
      </c>
      <c r="C44" s="68" t="s">
        <v>3561</v>
      </c>
    </row>
    <row r="45" spans="1:4" x14ac:dyDescent="0.2">
      <c r="A45" s="67" t="s">
        <v>3103</v>
      </c>
      <c r="B45" s="74">
        <v>10</v>
      </c>
      <c r="C45" s="68" t="s">
        <v>3560</v>
      </c>
    </row>
    <row r="46" spans="1:4" x14ac:dyDescent="0.2">
      <c r="A46" s="67" t="s">
        <v>3103</v>
      </c>
      <c r="B46" s="74">
        <v>1</v>
      </c>
      <c r="C46" s="68" t="s">
        <v>3559</v>
      </c>
    </row>
    <row r="47" spans="1:4" x14ac:dyDescent="0.2">
      <c r="A47" s="67" t="s">
        <v>3105</v>
      </c>
      <c r="B47" s="75">
        <v>0</v>
      </c>
      <c r="C47" s="75" t="s">
        <v>3558</v>
      </c>
    </row>
    <row r="48" spans="1:4" x14ac:dyDescent="0.2">
      <c r="A48" s="67" t="s">
        <v>3105</v>
      </c>
      <c r="B48" s="68">
        <v>1</v>
      </c>
      <c r="C48" s="68" t="s">
        <v>3557</v>
      </c>
    </row>
    <row r="49" spans="1:3" x14ac:dyDescent="0.2">
      <c r="A49" s="67" t="s">
        <v>3105</v>
      </c>
      <c r="B49" s="68">
        <v>2</v>
      </c>
      <c r="C49" s="68" t="s">
        <v>3556</v>
      </c>
    </row>
    <row r="50" spans="1:3" x14ac:dyDescent="0.2">
      <c r="A50" s="67" t="s">
        <v>3109</v>
      </c>
      <c r="B50" s="68">
        <v>1</v>
      </c>
      <c r="C50" s="68" t="s">
        <v>3555</v>
      </c>
    </row>
    <row r="51" spans="1:3" x14ac:dyDescent="0.2">
      <c r="A51" s="67" t="s">
        <v>3109</v>
      </c>
      <c r="B51" s="68">
        <v>2</v>
      </c>
      <c r="C51" s="68" t="s">
        <v>3554</v>
      </c>
    </row>
    <row r="52" spans="1:3" x14ac:dyDescent="0.2">
      <c r="A52" s="67" t="s">
        <v>3109</v>
      </c>
      <c r="B52" s="68">
        <v>3</v>
      </c>
      <c r="C52" s="68" t="s">
        <v>3553</v>
      </c>
    </row>
    <row r="53" spans="1:3" x14ac:dyDescent="0.2">
      <c r="A53" s="67" t="s">
        <v>3109</v>
      </c>
      <c r="B53" s="68">
        <v>4</v>
      </c>
      <c r="C53" s="68" t="s">
        <v>3552</v>
      </c>
    </row>
    <row r="54" spans="1:3" x14ac:dyDescent="0.2">
      <c r="A54" s="67" t="s">
        <v>3111</v>
      </c>
      <c r="B54" s="68">
        <v>1</v>
      </c>
      <c r="C54" s="68" t="s">
        <v>3551</v>
      </c>
    </row>
    <row r="55" spans="1:3" x14ac:dyDescent="0.2">
      <c r="A55" s="67" t="s">
        <v>3111</v>
      </c>
      <c r="B55" s="68">
        <v>2</v>
      </c>
      <c r="C55" s="68" t="s">
        <v>3550</v>
      </c>
    </row>
    <row r="56" spans="1:3" x14ac:dyDescent="0.2">
      <c r="A56" s="67" t="s">
        <v>3111</v>
      </c>
      <c r="B56" s="68">
        <v>3</v>
      </c>
      <c r="C56" s="68" t="s">
        <v>3549</v>
      </c>
    </row>
    <row r="57" spans="1:3" x14ac:dyDescent="0.2">
      <c r="A57" s="67" t="s">
        <v>3111</v>
      </c>
      <c r="B57" s="68">
        <v>4</v>
      </c>
      <c r="C57" s="68" t="s">
        <v>3548</v>
      </c>
    </row>
    <row r="58" spans="1:3" x14ac:dyDescent="0.2">
      <c r="A58" s="67" t="s">
        <v>3111</v>
      </c>
      <c r="B58" s="68">
        <v>5</v>
      </c>
      <c r="C58" s="68" t="s">
        <v>3547</v>
      </c>
    </row>
    <row r="59" spans="1:3" x14ac:dyDescent="0.2">
      <c r="A59" s="67" t="s">
        <v>3111</v>
      </c>
      <c r="B59" s="68">
        <v>6</v>
      </c>
      <c r="C59" s="68" t="s">
        <v>3546</v>
      </c>
    </row>
    <row r="60" spans="1:3" x14ac:dyDescent="0.2">
      <c r="A60" s="67" t="s">
        <v>3111</v>
      </c>
      <c r="B60" s="68">
        <v>7</v>
      </c>
      <c r="C60" s="68" t="s">
        <v>3545</v>
      </c>
    </row>
    <row r="61" spans="1:3" x14ac:dyDescent="0.2">
      <c r="A61" s="67" t="s">
        <v>3111</v>
      </c>
      <c r="B61" s="68">
        <v>8</v>
      </c>
      <c r="C61" s="68" t="s">
        <v>3544</v>
      </c>
    </row>
    <row r="62" spans="1:3" ht="15" x14ac:dyDescent="0.2">
      <c r="A62" s="67" t="s">
        <v>3115</v>
      </c>
      <c r="B62" s="61">
        <v>0</v>
      </c>
      <c r="C62" s="61" t="s">
        <v>3543</v>
      </c>
    </row>
    <row r="63" spans="1:3" ht="15" x14ac:dyDescent="0.2">
      <c r="A63" s="67" t="s">
        <v>3115</v>
      </c>
      <c r="B63" s="61">
        <v>1</v>
      </c>
      <c r="C63" s="61" t="s">
        <v>3542</v>
      </c>
    </row>
    <row r="64" spans="1:3" ht="15" x14ac:dyDescent="0.2">
      <c r="A64" s="67" t="s">
        <v>3115</v>
      </c>
      <c r="B64" s="61">
        <v>2</v>
      </c>
      <c r="C64" s="61" t="s">
        <v>3541</v>
      </c>
    </row>
    <row r="65" spans="1:3" ht="15" x14ac:dyDescent="0.2">
      <c r="A65" s="67" t="s">
        <v>3115</v>
      </c>
      <c r="B65" s="61">
        <v>3</v>
      </c>
      <c r="C65" s="61" t="s">
        <v>3540</v>
      </c>
    </row>
    <row r="66" spans="1:3" ht="15" x14ac:dyDescent="0.2">
      <c r="A66" s="67" t="s">
        <v>3115</v>
      </c>
      <c r="B66" s="61">
        <v>4</v>
      </c>
      <c r="C66" s="61" t="s">
        <v>3539</v>
      </c>
    </row>
    <row r="67" spans="1:3" ht="15" x14ac:dyDescent="0.2">
      <c r="A67" s="67" t="s">
        <v>3115</v>
      </c>
      <c r="B67" s="61">
        <v>5</v>
      </c>
      <c r="C67" s="61" t="s">
        <v>3538</v>
      </c>
    </row>
    <row r="68" spans="1:3" ht="15" x14ac:dyDescent="0.2">
      <c r="A68" s="67" t="s">
        <v>3115</v>
      </c>
      <c r="B68" s="61">
        <v>6</v>
      </c>
      <c r="C68" s="61" t="s">
        <v>3537</v>
      </c>
    </row>
    <row r="69" spans="1:3" ht="15" x14ac:dyDescent="0.2">
      <c r="A69" s="67" t="s">
        <v>3115</v>
      </c>
      <c r="B69" s="61">
        <v>7</v>
      </c>
      <c r="C69" s="61" t="s">
        <v>3536</v>
      </c>
    </row>
    <row r="70" spans="1:3" ht="15" x14ac:dyDescent="0.2">
      <c r="A70" s="67" t="s">
        <v>3115</v>
      </c>
      <c r="B70" s="61">
        <v>8</v>
      </c>
      <c r="C70" s="61" t="s">
        <v>3535</v>
      </c>
    </row>
    <row r="71" spans="1:3" ht="15" x14ac:dyDescent="0.2">
      <c r="A71" s="67" t="s">
        <v>3115</v>
      </c>
      <c r="B71" s="61">
        <v>9</v>
      </c>
      <c r="C71" s="61" t="s">
        <v>3534</v>
      </c>
    </row>
    <row r="72" spans="1:3" ht="15" x14ac:dyDescent="0.2">
      <c r="A72" s="67" t="s">
        <v>3119</v>
      </c>
      <c r="B72" s="61">
        <v>1</v>
      </c>
      <c r="C72" s="61" t="s">
        <v>3533</v>
      </c>
    </row>
    <row r="73" spans="1:3" ht="15" x14ac:dyDescent="0.2">
      <c r="A73" s="67" t="s">
        <v>3119</v>
      </c>
      <c r="B73" s="61">
        <v>2</v>
      </c>
      <c r="C73" s="61" t="s">
        <v>3532</v>
      </c>
    </row>
    <row r="74" spans="1:3" ht="15" x14ac:dyDescent="0.2">
      <c r="A74" s="67" t="s">
        <v>3119</v>
      </c>
      <c r="B74" s="61">
        <v>3</v>
      </c>
      <c r="C74" s="61" t="s">
        <v>3531</v>
      </c>
    </row>
    <row r="75" spans="1:3" ht="15" x14ac:dyDescent="0.2">
      <c r="A75" s="67" t="s">
        <v>3119</v>
      </c>
      <c r="B75" s="61">
        <v>4</v>
      </c>
      <c r="C75" s="61" t="s">
        <v>3530</v>
      </c>
    </row>
    <row r="76" spans="1:3" ht="15" x14ac:dyDescent="0.2">
      <c r="A76" s="67" t="s">
        <v>3121</v>
      </c>
      <c r="B76" s="62" t="s">
        <v>3251</v>
      </c>
      <c r="C76" s="61" t="s">
        <v>3529</v>
      </c>
    </row>
    <row r="77" spans="1:3" ht="15" x14ac:dyDescent="0.2">
      <c r="A77" s="67" t="s">
        <v>3121</v>
      </c>
      <c r="B77" s="62" t="s">
        <v>3249</v>
      </c>
      <c r="C77" s="61" t="s">
        <v>3528</v>
      </c>
    </row>
    <row r="78" spans="1:3" ht="15" x14ac:dyDescent="0.2">
      <c r="A78" s="67" t="s">
        <v>3121</v>
      </c>
      <c r="B78" s="62" t="s">
        <v>3247</v>
      </c>
      <c r="C78" s="61" t="s">
        <v>3527</v>
      </c>
    </row>
    <row r="79" spans="1:3" ht="15" x14ac:dyDescent="0.2">
      <c r="A79" s="67" t="s">
        <v>3121</v>
      </c>
      <c r="B79" s="62" t="s">
        <v>3245</v>
      </c>
      <c r="C79" s="61" t="s">
        <v>3526</v>
      </c>
    </row>
    <row r="80" spans="1:3" ht="15" x14ac:dyDescent="0.2">
      <c r="A80" s="67" t="s">
        <v>3121</v>
      </c>
      <c r="B80" s="62" t="s">
        <v>3243</v>
      </c>
      <c r="C80" s="61" t="s">
        <v>3525</v>
      </c>
    </row>
    <row r="81" spans="1:3" ht="15" x14ac:dyDescent="0.2">
      <c r="A81" s="67" t="s">
        <v>3121</v>
      </c>
      <c r="B81" s="62" t="s">
        <v>3241</v>
      </c>
      <c r="C81" s="61" t="s">
        <v>3524</v>
      </c>
    </row>
    <row r="82" spans="1:3" ht="15" x14ac:dyDescent="0.2">
      <c r="A82" s="67" t="s">
        <v>3121</v>
      </c>
      <c r="B82" s="62" t="s">
        <v>3239</v>
      </c>
      <c r="C82" s="61" t="s">
        <v>3523</v>
      </c>
    </row>
    <row r="83" spans="1:3" ht="15" x14ac:dyDescent="0.2">
      <c r="A83" s="67" t="s">
        <v>3121</v>
      </c>
      <c r="B83" s="62" t="s">
        <v>3237</v>
      </c>
      <c r="C83" s="61" t="s">
        <v>3522</v>
      </c>
    </row>
    <row r="84" spans="1:3" ht="15" x14ac:dyDescent="0.2">
      <c r="A84" s="67" t="s">
        <v>3121</v>
      </c>
      <c r="B84" s="62" t="s">
        <v>3235</v>
      </c>
      <c r="C84" s="61" t="s">
        <v>3521</v>
      </c>
    </row>
    <row r="85" spans="1:3" ht="15" x14ac:dyDescent="0.2">
      <c r="A85" s="67" t="s">
        <v>3121</v>
      </c>
      <c r="B85" s="61">
        <v>10</v>
      </c>
      <c r="C85" s="61" t="s">
        <v>3520</v>
      </c>
    </row>
    <row r="86" spans="1:3" ht="15" x14ac:dyDescent="0.2">
      <c r="A86" s="67" t="s">
        <v>3121</v>
      </c>
      <c r="B86" s="61">
        <v>11</v>
      </c>
      <c r="C86" s="61" t="s">
        <v>3519</v>
      </c>
    </row>
    <row r="87" spans="1:3" ht="15" x14ac:dyDescent="0.2">
      <c r="A87" s="67" t="s">
        <v>3121</v>
      </c>
      <c r="B87" s="61">
        <v>12</v>
      </c>
      <c r="C87" s="61" t="s">
        <v>3518</v>
      </c>
    </row>
    <row r="88" spans="1:3" ht="15" x14ac:dyDescent="0.2">
      <c r="A88" s="67" t="s">
        <v>3129</v>
      </c>
      <c r="B88" s="61">
        <v>1</v>
      </c>
      <c r="C88" s="64" t="s">
        <v>3517</v>
      </c>
    </row>
    <row r="89" spans="1:3" ht="15" x14ac:dyDescent="0.2">
      <c r="A89" s="67" t="s">
        <v>3129</v>
      </c>
      <c r="B89" s="61">
        <v>2</v>
      </c>
      <c r="C89" s="64" t="s">
        <v>3516</v>
      </c>
    </row>
    <row r="90" spans="1:3" ht="15" x14ac:dyDescent="0.2">
      <c r="A90" s="67" t="s">
        <v>3129</v>
      </c>
      <c r="B90" s="61">
        <v>3</v>
      </c>
      <c r="C90" s="64" t="s">
        <v>3515</v>
      </c>
    </row>
    <row r="91" spans="1:3" ht="15" x14ac:dyDescent="0.2">
      <c r="A91" s="67" t="s">
        <v>3129</v>
      </c>
      <c r="B91" s="61">
        <v>4</v>
      </c>
      <c r="C91" s="64" t="s">
        <v>3514</v>
      </c>
    </row>
    <row r="92" spans="1:3" ht="15" x14ac:dyDescent="0.2">
      <c r="A92" s="67" t="s">
        <v>3129</v>
      </c>
      <c r="B92" s="61">
        <v>5</v>
      </c>
      <c r="C92" s="64" t="s">
        <v>3513</v>
      </c>
    </row>
    <row r="93" spans="1:3" ht="15" x14ac:dyDescent="0.2">
      <c r="A93" s="67" t="s">
        <v>3129</v>
      </c>
      <c r="B93" s="61">
        <v>6</v>
      </c>
      <c r="C93" s="64" t="s">
        <v>3512</v>
      </c>
    </row>
    <row r="94" spans="1:3" ht="15" x14ac:dyDescent="0.2">
      <c r="A94" s="67" t="s">
        <v>3129</v>
      </c>
      <c r="B94" s="61">
        <v>7</v>
      </c>
      <c r="C94" s="64" t="s">
        <v>3511</v>
      </c>
    </row>
    <row r="95" spans="1:3" ht="15" x14ac:dyDescent="0.2">
      <c r="A95" s="67" t="s">
        <v>3129</v>
      </c>
      <c r="B95" s="61">
        <v>8</v>
      </c>
      <c r="C95" s="64" t="s">
        <v>3510</v>
      </c>
    </row>
    <row r="96" spans="1:3" ht="15" x14ac:dyDescent="0.2">
      <c r="A96" s="67" t="s">
        <v>3129</v>
      </c>
      <c r="B96" s="61">
        <v>9</v>
      </c>
      <c r="C96" s="64" t="s">
        <v>3509</v>
      </c>
    </row>
    <row r="97" spans="1:3" ht="15" x14ac:dyDescent="0.2">
      <c r="A97" s="67" t="s">
        <v>3135</v>
      </c>
      <c r="B97" s="62" t="s">
        <v>3251</v>
      </c>
      <c r="C97" s="61" t="s">
        <v>3500</v>
      </c>
    </row>
    <row r="98" spans="1:3" ht="15" x14ac:dyDescent="0.2">
      <c r="A98" s="67" t="s">
        <v>3135</v>
      </c>
      <c r="B98" s="62" t="s">
        <v>3249</v>
      </c>
      <c r="C98" s="61" t="s">
        <v>3508</v>
      </c>
    </row>
    <row r="99" spans="1:3" ht="15" x14ac:dyDescent="0.2">
      <c r="A99" s="67" t="s">
        <v>3135</v>
      </c>
      <c r="B99" s="62" t="s">
        <v>3247</v>
      </c>
      <c r="C99" s="61" t="s">
        <v>3507</v>
      </c>
    </row>
    <row r="100" spans="1:3" ht="15" x14ac:dyDescent="0.2">
      <c r="A100" s="67" t="s">
        <v>3135</v>
      </c>
      <c r="B100" s="62" t="s">
        <v>3245</v>
      </c>
      <c r="C100" s="61" t="s">
        <v>3506</v>
      </c>
    </row>
    <row r="101" spans="1:3" ht="15" x14ac:dyDescent="0.2">
      <c r="A101" s="67" t="s">
        <v>3135</v>
      </c>
      <c r="B101" s="62" t="s">
        <v>3243</v>
      </c>
      <c r="C101" s="61" t="s">
        <v>3505</v>
      </c>
    </row>
    <row r="102" spans="1:3" ht="15" x14ac:dyDescent="0.2">
      <c r="A102" s="67" t="s">
        <v>3135</v>
      </c>
      <c r="B102" s="62" t="s">
        <v>3241</v>
      </c>
      <c r="C102" s="61" t="s">
        <v>3504</v>
      </c>
    </row>
    <row r="103" spans="1:3" ht="15" x14ac:dyDescent="0.2">
      <c r="A103" s="67" t="s">
        <v>3135</v>
      </c>
      <c r="B103" s="62" t="s">
        <v>3239</v>
      </c>
      <c r="C103" s="61" t="s">
        <v>3503</v>
      </c>
    </row>
    <row r="104" spans="1:3" ht="15" x14ac:dyDescent="0.2">
      <c r="A104" s="67" t="s">
        <v>3135</v>
      </c>
      <c r="B104" s="62" t="s">
        <v>3237</v>
      </c>
      <c r="C104" s="61" t="s">
        <v>3502</v>
      </c>
    </row>
    <row r="105" spans="1:3" ht="15" x14ac:dyDescent="0.2">
      <c r="A105" s="67" t="s">
        <v>3135</v>
      </c>
      <c r="B105" s="62" t="s">
        <v>3235</v>
      </c>
      <c r="C105" s="61" t="s">
        <v>3501</v>
      </c>
    </row>
    <row r="106" spans="1:3" ht="15" x14ac:dyDescent="0.2">
      <c r="A106" s="67" t="s">
        <v>3137</v>
      </c>
      <c r="B106" s="61">
        <v>1</v>
      </c>
      <c r="C106" s="61" t="s">
        <v>3500</v>
      </c>
    </row>
    <row r="107" spans="1:3" ht="15" x14ac:dyDescent="0.2">
      <c r="A107" s="67" t="s">
        <v>3137</v>
      </c>
      <c r="B107" s="61">
        <v>2</v>
      </c>
      <c r="C107" s="61" t="s">
        <v>3499</v>
      </c>
    </row>
    <row r="108" spans="1:3" ht="15" x14ac:dyDescent="0.2">
      <c r="A108" s="67" t="s">
        <v>3137</v>
      </c>
      <c r="B108" s="61">
        <v>3</v>
      </c>
      <c r="C108" s="61" t="s">
        <v>3498</v>
      </c>
    </row>
    <row r="109" spans="1:3" ht="15" x14ac:dyDescent="0.2">
      <c r="A109" s="67" t="s">
        <v>3137</v>
      </c>
      <c r="B109" s="61">
        <v>4</v>
      </c>
      <c r="C109" s="61" t="s">
        <v>3497</v>
      </c>
    </row>
    <row r="110" spans="1:3" ht="15" x14ac:dyDescent="0.2">
      <c r="A110" s="67" t="s">
        <v>3137</v>
      </c>
      <c r="B110" s="61">
        <v>5</v>
      </c>
      <c r="C110" s="61" t="s">
        <v>3496</v>
      </c>
    </row>
    <row r="111" spans="1:3" ht="15" x14ac:dyDescent="0.2">
      <c r="A111" s="67" t="s">
        <v>3137</v>
      </c>
      <c r="B111" s="61">
        <v>6</v>
      </c>
      <c r="C111" s="61" t="s">
        <v>3495</v>
      </c>
    </row>
    <row r="112" spans="1:3" ht="15" x14ac:dyDescent="0.2">
      <c r="A112" s="67" t="s">
        <v>3137</v>
      </c>
      <c r="B112" s="61">
        <v>7</v>
      </c>
      <c r="C112" s="61" t="s">
        <v>3494</v>
      </c>
    </row>
    <row r="113" spans="1:3" ht="15" x14ac:dyDescent="0.2">
      <c r="A113" s="67" t="s">
        <v>3139</v>
      </c>
      <c r="B113" s="62" t="s">
        <v>3251</v>
      </c>
      <c r="C113" s="61" t="s">
        <v>3493</v>
      </c>
    </row>
    <row r="114" spans="1:3" ht="15" x14ac:dyDescent="0.2">
      <c r="A114" s="67" t="s">
        <v>3139</v>
      </c>
      <c r="B114" s="62" t="s">
        <v>3249</v>
      </c>
      <c r="C114" s="61" t="s">
        <v>3492</v>
      </c>
    </row>
    <row r="115" spans="1:3" ht="15" x14ac:dyDescent="0.2">
      <c r="A115" s="67" t="s">
        <v>3139</v>
      </c>
      <c r="B115" s="62" t="s">
        <v>3247</v>
      </c>
      <c r="C115" s="61" t="s">
        <v>3486</v>
      </c>
    </row>
    <row r="116" spans="1:3" ht="15" x14ac:dyDescent="0.2">
      <c r="A116" s="67" t="s">
        <v>3139</v>
      </c>
      <c r="B116" s="62" t="s">
        <v>3245</v>
      </c>
      <c r="C116" s="61" t="s">
        <v>3491</v>
      </c>
    </row>
    <row r="117" spans="1:3" ht="15" x14ac:dyDescent="0.2">
      <c r="A117" s="67" t="s">
        <v>3139</v>
      </c>
      <c r="B117" s="62" t="s">
        <v>3243</v>
      </c>
      <c r="C117" s="61" t="s">
        <v>3488</v>
      </c>
    </row>
    <row r="118" spans="1:3" ht="15" x14ac:dyDescent="0.2">
      <c r="A118" s="67" t="s">
        <v>3139</v>
      </c>
      <c r="B118" s="62" t="s">
        <v>3241</v>
      </c>
      <c r="C118" s="61" t="s">
        <v>3490</v>
      </c>
    </row>
    <row r="119" spans="1:3" ht="15" x14ac:dyDescent="0.2">
      <c r="A119" s="67" t="s">
        <v>3139</v>
      </c>
      <c r="B119" s="62" t="s">
        <v>3239</v>
      </c>
      <c r="C119" s="61" t="s">
        <v>3489</v>
      </c>
    </row>
    <row r="120" spans="1:3" ht="15" x14ac:dyDescent="0.2">
      <c r="A120" s="67" t="s">
        <v>3139</v>
      </c>
      <c r="B120" s="62" t="s">
        <v>3237</v>
      </c>
      <c r="C120" s="61" t="s">
        <v>3486</v>
      </c>
    </row>
    <row r="121" spans="1:3" ht="15" x14ac:dyDescent="0.2">
      <c r="A121" s="67" t="s">
        <v>3139</v>
      </c>
      <c r="B121" s="62" t="s">
        <v>3235</v>
      </c>
      <c r="C121" s="61" t="s">
        <v>3485</v>
      </c>
    </row>
    <row r="122" spans="1:3" ht="15" x14ac:dyDescent="0.2">
      <c r="A122" s="67" t="s">
        <v>3139</v>
      </c>
      <c r="B122" s="61">
        <v>10</v>
      </c>
      <c r="C122" s="61" t="s">
        <v>3488</v>
      </c>
    </row>
    <row r="123" spans="1:3" ht="15" x14ac:dyDescent="0.2">
      <c r="A123" s="67" t="s">
        <v>3139</v>
      </c>
      <c r="B123" s="61">
        <v>11</v>
      </c>
      <c r="C123" s="61" t="s">
        <v>3487</v>
      </c>
    </row>
    <row r="124" spans="1:3" ht="15" x14ac:dyDescent="0.2">
      <c r="A124" s="67" t="s">
        <v>3139</v>
      </c>
      <c r="B124" s="61">
        <v>12</v>
      </c>
      <c r="C124" s="61" t="s">
        <v>3486</v>
      </c>
    </row>
    <row r="125" spans="1:3" ht="15" x14ac:dyDescent="0.2">
      <c r="A125" s="67" t="s">
        <v>3139</v>
      </c>
      <c r="B125" s="61">
        <v>13</v>
      </c>
      <c r="C125" s="61" t="s">
        <v>3485</v>
      </c>
    </row>
    <row r="126" spans="1:3" ht="15" x14ac:dyDescent="0.2">
      <c r="A126" s="67" t="s">
        <v>3139</v>
      </c>
      <c r="B126" s="61">
        <v>14</v>
      </c>
      <c r="C126" s="61" t="s">
        <v>3484</v>
      </c>
    </row>
    <row r="127" spans="1:3" ht="15" x14ac:dyDescent="0.2">
      <c r="A127" s="67" t="s">
        <v>3139</v>
      </c>
      <c r="B127" s="61">
        <v>15</v>
      </c>
      <c r="C127" s="61" t="s">
        <v>3483</v>
      </c>
    </row>
    <row r="128" spans="1:3" ht="15" x14ac:dyDescent="0.2">
      <c r="A128" s="67" t="s">
        <v>3141</v>
      </c>
      <c r="B128" s="62" t="s">
        <v>3482</v>
      </c>
      <c r="C128" s="61" t="s">
        <v>3481</v>
      </c>
    </row>
    <row r="129" spans="1:3" ht="15" x14ac:dyDescent="0.2">
      <c r="A129" s="67" t="s">
        <v>3141</v>
      </c>
      <c r="B129" s="62" t="s">
        <v>3251</v>
      </c>
      <c r="C129" s="61" t="s">
        <v>3480</v>
      </c>
    </row>
    <row r="130" spans="1:3" ht="15" x14ac:dyDescent="0.2">
      <c r="A130" s="67" t="s">
        <v>3141</v>
      </c>
      <c r="B130" s="62" t="s">
        <v>3249</v>
      </c>
      <c r="C130" s="61" t="s">
        <v>3479</v>
      </c>
    </row>
    <row r="131" spans="1:3" ht="15" x14ac:dyDescent="0.2">
      <c r="A131" s="67" t="s">
        <v>3141</v>
      </c>
      <c r="B131" s="62" t="s">
        <v>3247</v>
      </c>
      <c r="C131" s="61" t="s">
        <v>3478</v>
      </c>
    </row>
    <row r="132" spans="1:3" ht="15" x14ac:dyDescent="0.2">
      <c r="A132" s="67" t="s">
        <v>3141</v>
      </c>
      <c r="B132" s="62" t="s">
        <v>3245</v>
      </c>
      <c r="C132" s="61" t="s">
        <v>3477</v>
      </c>
    </row>
    <row r="133" spans="1:3" ht="15" x14ac:dyDescent="0.2">
      <c r="A133" s="67" t="s">
        <v>3141</v>
      </c>
      <c r="B133" s="62" t="s">
        <v>3243</v>
      </c>
      <c r="C133" s="61" t="s">
        <v>3476</v>
      </c>
    </row>
    <row r="134" spans="1:3" ht="15" x14ac:dyDescent="0.2">
      <c r="A134" s="67" t="s">
        <v>3141</v>
      </c>
      <c r="B134" s="62" t="s">
        <v>3241</v>
      </c>
      <c r="C134" s="61" t="s">
        <v>3475</v>
      </c>
    </row>
    <row r="135" spans="1:3" ht="15" x14ac:dyDescent="0.2">
      <c r="A135" s="67" t="s">
        <v>3141</v>
      </c>
      <c r="B135" s="62" t="s">
        <v>3239</v>
      </c>
      <c r="C135" s="61" t="s">
        <v>3474</v>
      </c>
    </row>
    <row r="136" spans="1:3" ht="15" x14ac:dyDescent="0.2">
      <c r="A136" s="67" t="s">
        <v>3141</v>
      </c>
      <c r="B136" s="62" t="s">
        <v>3237</v>
      </c>
      <c r="C136" s="61" t="s">
        <v>3473</v>
      </c>
    </row>
    <row r="137" spans="1:3" ht="15" x14ac:dyDescent="0.2">
      <c r="A137" s="67" t="s">
        <v>3141</v>
      </c>
      <c r="B137" s="62" t="s">
        <v>3235</v>
      </c>
      <c r="C137" s="61" t="s">
        <v>3472</v>
      </c>
    </row>
    <row r="138" spans="1:3" ht="15" x14ac:dyDescent="0.2">
      <c r="A138" s="67" t="s">
        <v>3141</v>
      </c>
      <c r="B138" s="61">
        <v>10</v>
      </c>
      <c r="C138" s="61" t="s">
        <v>3471</v>
      </c>
    </row>
    <row r="139" spans="1:3" ht="15" x14ac:dyDescent="0.2">
      <c r="A139" s="67" t="s">
        <v>3141</v>
      </c>
      <c r="B139" s="61">
        <v>11</v>
      </c>
      <c r="C139" s="61" t="s">
        <v>3470</v>
      </c>
    </row>
    <row r="140" spans="1:3" ht="15" x14ac:dyDescent="0.2">
      <c r="A140" s="67" t="s">
        <v>3141</v>
      </c>
      <c r="B140" s="61">
        <v>12</v>
      </c>
      <c r="C140" s="61" t="s">
        <v>3469</v>
      </c>
    </row>
    <row r="141" spans="1:3" ht="15" x14ac:dyDescent="0.2">
      <c r="A141" s="67" t="s">
        <v>3141</v>
      </c>
      <c r="B141" s="61">
        <v>13</v>
      </c>
      <c r="C141" s="61" t="s">
        <v>3468</v>
      </c>
    </row>
    <row r="142" spans="1:3" ht="15" x14ac:dyDescent="0.2">
      <c r="A142" s="67" t="s">
        <v>3141</v>
      </c>
      <c r="B142" s="61">
        <v>14</v>
      </c>
      <c r="C142" s="61" t="s">
        <v>3467</v>
      </c>
    </row>
    <row r="143" spans="1:3" ht="15" x14ac:dyDescent="0.2">
      <c r="A143" s="67" t="s">
        <v>3141</v>
      </c>
      <c r="B143" s="61">
        <v>15</v>
      </c>
      <c r="C143" s="61" t="s">
        <v>3466</v>
      </c>
    </row>
    <row r="144" spans="1:3" ht="15" x14ac:dyDescent="0.2">
      <c r="A144" s="67" t="s">
        <v>3141</v>
      </c>
      <c r="B144" s="61">
        <v>16</v>
      </c>
      <c r="C144" s="61" t="s">
        <v>3465</v>
      </c>
    </row>
    <row r="145" spans="1:3" ht="15" x14ac:dyDescent="0.2">
      <c r="A145" s="67" t="s">
        <v>3141</v>
      </c>
      <c r="B145" s="61">
        <v>17</v>
      </c>
      <c r="C145" s="61" t="s">
        <v>3464</v>
      </c>
    </row>
    <row r="146" spans="1:3" ht="15" x14ac:dyDescent="0.2">
      <c r="A146" s="67" t="s">
        <v>3141</v>
      </c>
      <c r="B146" s="61">
        <v>18</v>
      </c>
      <c r="C146" s="61" t="s">
        <v>3463</v>
      </c>
    </row>
    <row r="147" spans="1:3" ht="15" x14ac:dyDescent="0.2">
      <c r="A147" s="67" t="s">
        <v>3141</v>
      </c>
      <c r="B147" s="61">
        <v>19</v>
      </c>
      <c r="C147" s="61" t="s">
        <v>3462</v>
      </c>
    </row>
    <row r="148" spans="1:3" ht="15" x14ac:dyDescent="0.2">
      <c r="A148" s="67" t="s">
        <v>3143</v>
      </c>
      <c r="B148" s="61">
        <v>1</v>
      </c>
      <c r="C148" s="61" t="s">
        <v>3461</v>
      </c>
    </row>
    <row r="149" spans="1:3" ht="15" x14ac:dyDescent="0.2">
      <c r="A149" s="67" t="s">
        <v>3143</v>
      </c>
      <c r="B149" s="61">
        <v>2</v>
      </c>
      <c r="C149" s="61" t="s">
        <v>3460</v>
      </c>
    </row>
    <row r="150" spans="1:3" ht="15" x14ac:dyDescent="0.2">
      <c r="A150" s="67" t="s">
        <v>3143</v>
      </c>
      <c r="B150" s="61">
        <v>3</v>
      </c>
      <c r="C150" s="61" t="s">
        <v>3459</v>
      </c>
    </row>
    <row r="151" spans="1:3" ht="15" x14ac:dyDescent="0.2">
      <c r="A151" s="67" t="s">
        <v>3143</v>
      </c>
      <c r="B151" s="61">
        <v>4</v>
      </c>
      <c r="C151" s="61" t="s">
        <v>3458</v>
      </c>
    </row>
    <row r="152" spans="1:3" ht="15" x14ac:dyDescent="0.2">
      <c r="A152" s="67" t="s">
        <v>3143</v>
      </c>
      <c r="B152" s="61">
        <v>5</v>
      </c>
      <c r="C152" s="61" t="s">
        <v>3457</v>
      </c>
    </row>
    <row r="153" spans="1:3" ht="15" x14ac:dyDescent="0.2">
      <c r="A153" s="67" t="s">
        <v>3145</v>
      </c>
      <c r="B153" s="61">
        <v>0</v>
      </c>
      <c r="C153" s="61" t="s">
        <v>3456</v>
      </c>
    </row>
    <row r="154" spans="1:3" ht="15" x14ac:dyDescent="0.2">
      <c r="A154" s="67" t="s">
        <v>3145</v>
      </c>
      <c r="B154" s="61">
        <v>1</v>
      </c>
      <c r="C154" s="61" t="s">
        <v>3455</v>
      </c>
    </row>
    <row r="155" spans="1:3" ht="15" x14ac:dyDescent="0.2">
      <c r="A155" s="67" t="s">
        <v>3147</v>
      </c>
      <c r="B155" s="61">
        <v>0</v>
      </c>
      <c r="C155" s="61" t="s">
        <v>3454</v>
      </c>
    </row>
    <row r="156" spans="1:3" ht="15" x14ac:dyDescent="0.2">
      <c r="A156" s="67" t="s">
        <v>3147</v>
      </c>
      <c r="B156" s="61">
        <v>1</v>
      </c>
      <c r="C156" s="61" t="s">
        <v>3453</v>
      </c>
    </row>
    <row r="157" spans="1:3" ht="15" x14ac:dyDescent="0.2">
      <c r="A157" s="67" t="s">
        <v>3149</v>
      </c>
      <c r="B157" s="61">
        <v>0</v>
      </c>
      <c r="C157" s="61" t="s">
        <v>3452</v>
      </c>
    </row>
    <row r="158" spans="1:3" ht="15" x14ac:dyDescent="0.2">
      <c r="A158" s="67" t="s">
        <v>3149</v>
      </c>
      <c r="B158" s="61">
        <v>1</v>
      </c>
      <c r="C158" s="61" t="s">
        <v>3451</v>
      </c>
    </row>
    <row r="159" spans="1:3" ht="15" x14ac:dyDescent="0.2">
      <c r="A159" s="67" t="s">
        <v>3151</v>
      </c>
      <c r="B159" s="61">
        <v>0</v>
      </c>
      <c r="C159" s="61" t="s">
        <v>3450</v>
      </c>
    </row>
    <row r="160" spans="1:3" ht="15" x14ac:dyDescent="0.2">
      <c r="A160" s="67" t="s">
        <v>3151</v>
      </c>
      <c r="B160" s="61">
        <v>1</v>
      </c>
      <c r="C160" s="61" t="s">
        <v>3449</v>
      </c>
    </row>
    <row r="161" spans="1:3" ht="15" x14ac:dyDescent="0.2">
      <c r="A161" s="67" t="s">
        <v>3155</v>
      </c>
      <c r="B161" s="61">
        <v>0</v>
      </c>
      <c r="C161" s="61" t="s">
        <v>3448</v>
      </c>
    </row>
    <row r="162" spans="1:3" ht="15" x14ac:dyDescent="0.2">
      <c r="A162" s="67" t="s">
        <v>3155</v>
      </c>
      <c r="B162" s="61">
        <v>1</v>
      </c>
      <c r="C162" s="61" t="s">
        <v>3447</v>
      </c>
    </row>
    <row r="163" spans="1:3" ht="15" x14ac:dyDescent="0.2">
      <c r="A163" s="67" t="s">
        <v>3155</v>
      </c>
      <c r="B163" s="61">
        <v>2</v>
      </c>
      <c r="C163" s="61" t="s">
        <v>3446</v>
      </c>
    </row>
    <row r="164" spans="1:3" ht="15" x14ac:dyDescent="0.2">
      <c r="A164" s="67" t="s">
        <v>3155</v>
      </c>
      <c r="B164" s="61">
        <v>3</v>
      </c>
      <c r="C164" s="61" t="s">
        <v>3445</v>
      </c>
    </row>
    <row r="165" spans="1:3" ht="15" x14ac:dyDescent="0.2">
      <c r="A165" s="67" t="s">
        <v>3155</v>
      </c>
      <c r="B165" s="61">
        <v>4</v>
      </c>
      <c r="C165" s="61" t="s">
        <v>3444</v>
      </c>
    </row>
    <row r="166" spans="1:3" ht="15" x14ac:dyDescent="0.2">
      <c r="A166" s="67" t="s">
        <v>3155</v>
      </c>
      <c r="B166" s="61">
        <v>5</v>
      </c>
      <c r="C166" s="61" t="s">
        <v>3443</v>
      </c>
    </row>
    <row r="167" spans="1:3" ht="15" x14ac:dyDescent="0.2">
      <c r="A167" s="67" t="s">
        <v>3155</v>
      </c>
      <c r="B167" s="61">
        <v>6</v>
      </c>
      <c r="C167" s="61" t="s">
        <v>3442</v>
      </c>
    </row>
    <row r="168" spans="1:3" ht="15" x14ac:dyDescent="0.2">
      <c r="A168" s="67" t="s">
        <v>3157</v>
      </c>
      <c r="B168" s="61">
        <v>1</v>
      </c>
      <c r="C168" s="61" t="s">
        <v>3323</v>
      </c>
    </row>
    <row r="169" spans="1:3" ht="15" x14ac:dyDescent="0.2">
      <c r="A169" s="67" t="s">
        <v>3157</v>
      </c>
      <c r="B169" s="61">
        <v>2</v>
      </c>
      <c r="C169" s="61" t="s">
        <v>3441</v>
      </c>
    </row>
    <row r="170" spans="1:3" ht="15" x14ac:dyDescent="0.2">
      <c r="A170" s="67" t="s">
        <v>3157</v>
      </c>
      <c r="B170" s="61">
        <v>3</v>
      </c>
      <c r="C170" s="61" t="s">
        <v>3440</v>
      </c>
    </row>
    <row r="171" spans="1:3" ht="15" x14ac:dyDescent="0.2">
      <c r="A171" s="67" t="s">
        <v>3157</v>
      </c>
      <c r="B171" s="61">
        <v>4</v>
      </c>
      <c r="C171" s="61" t="s">
        <v>3439</v>
      </c>
    </row>
    <row r="172" spans="1:3" ht="15" x14ac:dyDescent="0.2">
      <c r="A172" s="67" t="s">
        <v>3157</v>
      </c>
      <c r="B172" s="61">
        <v>5</v>
      </c>
      <c r="C172" s="61" t="s">
        <v>3438</v>
      </c>
    </row>
    <row r="173" spans="1:3" ht="15" x14ac:dyDescent="0.2">
      <c r="A173" s="67" t="s">
        <v>3157</v>
      </c>
      <c r="B173" s="61">
        <v>6</v>
      </c>
      <c r="C173" s="61" t="s">
        <v>3437</v>
      </c>
    </row>
    <row r="174" spans="1:3" ht="15" x14ac:dyDescent="0.2">
      <c r="A174" s="67" t="s">
        <v>3157</v>
      </c>
      <c r="B174" s="61">
        <v>7</v>
      </c>
      <c r="C174" s="61" t="s">
        <v>3436</v>
      </c>
    </row>
    <row r="175" spans="1:3" ht="15" x14ac:dyDescent="0.2">
      <c r="A175" s="67" t="s">
        <v>3157</v>
      </c>
      <c r="B175" s="61">
        <v>8</v>
      </c>
      <c r="C175" s="61" t="s">
        <v>3435</v>
      </c>
    </row>
    <row r="176" spans="1:3" ht="15" x14ac:dyDescent="0.2">
      <c r="A176" s="67" t="s">
        <v>3157</v>
      </c>
      <c r="B176" s="61">
        <v>9</v>
      </c>
      <c r="C176" s="61" t="s">
        <v>3434</v>
      </c>
    </row>
    <row r="177" spans="1:3" ht="15" x14ac:dyDescent="0.2">
      <c r="A177" s="67" t="s">
        <v>3157</v>
      </c>
      <c r="B177" s="61">
        <v>10</v>
      </c>
      <c r="C177" s="61" t="s">
        <v>3433</v>
      </c>
    </row>
    <row r="178" spans="1:3" ht="15" x14ac:dyDescent="0.2">
      <c r="A178" s="67" t="s">
        <v>3157</v>
      </c>
      <c r="B178" s="61">
        <v>11</v>
      </c>
      <c r="C178" s="61" t="s">
        <v>3432</v>
      </c>
    </row>
    <row r="179" spans="1:3" ht="15" x14ac:dyDescent="0.2">
      <c r="A179" s="67" t="s">
        <v>3157</v>
      </c>
      <c r="B179" s="61">
        <v>12</v>
      </c>
      <c r="C179" s="61" t="s">
        <v>3431</v>
      </c>
    </row>
    <row r="180" spans="1:3" ht="15" x14ac:dyDescent="0.2">
      <c r="A180" s="67" t="s">
        <v>3157</v>
      </c>
      <c r="B180" s="61">
        <v>13</v>
      </c>
      <c r="C180" s="61" t="s">
        <v>3430</v>
      </c>
    </row>
    <row r="181" spans="1:3" ht="15" x14ac:dyDescent="0.2">
      <c r="A181" s="67" t="s">
        <v>3157</v>
      </c>
      <c r="B181" s="61">
        <v>14</v>
      </c>
      <c r="C181" s="61" t="s">
        <v>3429</v>
      </c>
    </row>
    <row r="182" spans="1:3" ht="15" x14ac:dyDescent="0.2">
      <c r="A182" s="67" t="s">
        <v>3157</v>
      </c>
      <c r="B182" s="61">
        <v>15</v>
      </c>
      <c r="C182" s="61" t="s">
        <v>3428</v>
      </c>
    </row>
    <row r="183" spans="1:3" ht="15" x14ac:dyDescent="0.2">
      <c r="A183" s="67" t="s">
        <v>3157</v>
      </c>
      <c r="B183" s="61">
        <v>16</v>
      </c>
      <c r="C183" s="61" t="s">
        <v>3427</v>
      </c>
    </row>
    <row r="184" spans="1:3" ht="15" x14ac:dyDescent="0.2">
      <c r="A184" s="67" t="s">
        <v>3157</v>
      </c>
      <c r="B184" s="61">
        <v>17</v>
      </c>
      <c r="C184" s="61" t="s">
        <v>3426</v>
      </c>
    </row>
    <row r="185" spans="1:3" ht="15" x14ac:dyDescent="0.2">
      <c r="A185" s="67" t="s">
        <v>3159</v>
      </c>
      <c r="B185" s="62" t="s">
        <v>3251</v>
      </c>
      <c r="C185" s="61" t="s">
        <v>3425</v>
      </c>
    </row>
    <row r="186" spans="1:3" ht="15" x14ac:dyDescent="0.2">
      <c r="A186" s="67" t="s">
        <v>3159</v>
      </c>
      <c r="B186" s="62" t="s">
        <v>3249</v>
      </c>
      <c r="C186" s="61" t="s">
        <v>3424</v>
      </c>
    </row>
    <row r="187" spans="1:3" ht="15" x14ac:dyDescent="0.2">
      <c r="A187" s="67" t="s">
        <v>3159</v>
      </c>
      <c r="B187" s="62" t="s">
        <v>3247</v>
      </c>
      <c r="C187" s="61" t="s">
        <v>3423</v>
      </c>
    </row>
    <row r="188" spans="1:3" ht="15" x14ac:dyDescent="0.2">
      <c r="A188" s="67" t="s">
        <v>3159</v>
      </c>
      <c r="B188" s="62" t="s">
        <v>3245</v>
      </c>
      <c r="C188" s="61" t="s">
        <v>3422</v>
      </c>
    </row>
    <row r="189" spans="1:3" ht="15" x14ac:dyDescent="0.2">
      <c r="A189" s="67" t="s">
        <v>3159</v>
      </c>
      <c r="B189" s="62" t="s">
        <v>3243</v>
      </c>
      <c r="C189" s="61" t="s">
        <v>3421</v>
      </c>
    </row>
    <row r="190" spans="1:3" ht="15" x14ac:dyDescent="0.2">
      <c r="A190" s="67" t="s">
        <v>3159</v>
      </c>
      <c r="B190" s="62" t="s">
        <v>3241</v>
      </c>
      <c r="C190" s="61" t="s">
        <v>3420</v>
      </c>
    </row>
    <row r="191" spans="1:3" ht="15" x14ac:dyDescent="0.2">
      <c r="A191" s="67" t="s">
        <v>3159</v>
      </c>
      <c r="B191" s="62" t="s">
        <v>3239</v>
      </c>
      <c r="C191" s="61" t="s">
        <v>3419</v>
      </c>
    </row>
    <row r="192" spans="1:3" ht="15" x14ac:dyDescent="0.2">
      <c r="A192" s="67" t="s">
        <v>3159</v>
      </c>
      <c r="B192" s="62" t="s">
        <v>3237</v>
      </c>
      <c r="C192" s="61" t="s">
        <v>3418</v>
      </c>
    </row>
    <row r="193" spans="1:3" ht="15" x14ac:dyDescent="0.2">
      <c r="A193" s="67" t="s">
        <v>3159</v>
      </c>
      <c r="B193" s="62" t="s">
        <v>3235</v>
      </c>
      <c r="C193" s="61" t="s">
        <v>3417</v>
      </c>
    </row>
    <row r="194" spans="1:3" ht="15" x14ac:dyDescent="0.2">
      <c r="A194" s="67" t="s">
        <v>3159</v>
      </c>
      <c r="B194" s="61">
        <v>10</v>
      </c>
      <c r="C194" s="61" t="s">
        <v>3416</v>
      </c>
    </row>
    <row r="195" spans="1:3" ht="15" x14ac:dyDescent="0.2">
      <c r="A195" s="67" t="s">
        <v>3159</v>
      </c>
      <c r="B195" s="61">
        <v>11</v>
      </c>
      <c r="C195" s="61" t="s">
        <v>3415</v>
      </c>
    </row>
    <row r="196" spans="1:3" ht="15" x14ac:dyDescent="0.2">
      <c r="A196" s="67" t="s">
        <v>3159</v>
      </c>
      <c r="B196" s="61">
        <v>12</v>
      </c>
      <c r="C196" s="61" t="s">
        <v>3414</v>
      </c>
    </row>
    <row r="197" spans="1:3" ht="15" x14ac:dyDescent="0.2">
      <c r="A197" s="67" t="s">
        <v>3159</v>
      </c>
      <c r="B197" s="61">
        <v>13</v>
      </c>
      <c r="C197" s="61" t="s">
        <v>3413</v>
      </c>
    </row>
    <row r="198" spans="1:3" ht="15" x14ac:dyDescent="0.2">
      <c r="A198" s="67" t="s">
        <v>3159</v>
      </c>
      <c r="B198" s="61">
        <v>14</v>
      </c>
      <c r="C198" s="61" t="s">
        <v>3412</v>
      </c>
    </row>
    <row r="199" spans="1:3" ht="15" x14ac:dyDescent="0.2">
      <c r="A199" s="67" t="s">
        <v>3159</v>
      </c>
      <c r="B199" s="61">
        <v>15</v>
      </c>
      <c r="C199" s="61" t="s">
        <v>3411</v>
      </c>
    </row>
    <row r="200" spans="1:3" ht="15" x14ac:dyDescent="0.2">
      <c r="A200" s="67" t="s">
        <v>3159</v>
      </c>
      <c r="B200" s="61">
        <v>16</v>
      </c>
      <c r="C200" s="61" t="s">
        <v>3410</v>
      </c>
    </row>
    <row r="201" spans="1:3" ht="15" x14ac:dyDescent="0.2">
      <c r="A201" s="67" t="s">
        <v>3159</v>
      </c>
      <c r="B201" s="61">
        <v>17</v>
      </c>
      <c r="C201" s="61" t="s">
        <v>3409</v>
      </c>
    </row>
    <row r="202" spans="1:3" ht="15" x14ac:dyDescent="0.2">
      <c r="A202" s="67" t="s">
        <v>3159</v>
      </c>
      <c r="B202" s="61">
        <v>18</v>
      </c>
      <c r="C202" s="61" t="s">
        <v>3408</v>
      </c>
    </row>
    <row r="203" spans="1:3" ht="15" x14ac:dyDescent="0.2">
      <c r="A203" s="67" t="s">
        <v>3159</v>
      </c>
      <c r="B203" s="61">
        <v>19</v>
      </c>
      <c r="C203" s="61" t="s">
        <v>3407</v>
      </c>
    </row>
    <row r="204" spans="1:3" ht="15" x14ac:dyDescent="0.2">
      <c r="A204" s="67" t="s">
        <v>3159</v>
      </c>
      <c r="B204" s="61">
        <v>20</v>
      </c>
      <c r="C204" s="61" t="s">
        <v>3406</v>
      </c>
    </row>
    <row r="205" spans="1:3" ht="15" x14ac:dyDescent="0.2">
      <c r="A205" s="67" t="s">
        <v>3159</v>
      </c>
      <c r="B205" s="61">
        <v>21</v>
      </c>
      <c r="C205" s="61" t="s">
        <v>3405</v>
      </c>
    </row>
    <row r="206" spans="1:3" ht="15" x14ac:dyDescent="0.2">
      <c r="A206" s="67" t="s">
        <v>3159</v>
      </c>
      <c r="B206" s="61">
        <v>22</v>
      </c>
      <c r="C206" s="61" t="s">
        <v>3404</v>
      </c>
    </row>
    <row r="207" spans="1:3" ht="15" x14ac:dyDescent="0.2">
      <c r="A207" s="67" t="s">
        <v>3159</v>
      </c>
      <c r="B207" s="61">
        <v>23</v>
      </c>
      <c r="C207" s="61" t="s">
        <v>3403</v>
      </c>
    </row>
    <row r="208" spans="1:3" ht="15" x14ac:dyDescent="0.2">
      <c r="A208" s="67" t="s">
        <v>3159</v>
      </c>
      <c r="B208" s="61">
        <v>24</v>
      </c>
      <c r="C208" s="61" t="s">
        <v>3402</v>
      </c>
    </row>
    <row r="209" spans="1:3" ht="15" x14ac:dyDescent="0.2">
      <c r="A209" s="67" t="s">
        <v>3159</v>
      </c>
      <c r="B209" s="61">
        <v>25</v>
      </c>
      <c r="C209" s="61" t="s">
        <v>3401</v>
      </c>
    </row>
    <row r="210" spans="1:3" ht="15" x14ac:dyDescent="0.2">
      <c r="A210" s="67" t="s">
        <v>3159</v>
      </c>
      <c r="B210" s="61">
        <v>26</v>
      </c>
      <c r="C210" s="61" t="s">
        <v>3400</v>
      </c>
    </row>
    <row r="211" spans="1:3" ht="15" x14ac:dyDescent="0.2">
      <c r="A211" s="67" t="s">
        <v>3159</v>
      </c>
      <c r="B211" s="61">
        <v>27</v>
      </c>
      <c r="C211" s="61" t="s">
        <v>3399</v>
      </c>
    </row>
    <row r="212" spans="1:3" ht="15" x14ac:dyDescent="0.2">
      <c r="A212" s="67" t="s">
        <v>3159</v>
      </c>
      <c r="B212" s="61">
        <v>28</v>
      </c>
      <c r="C212" s="61" t="s">
        <v>3398</v>
      </c>
    </row>
    <row r="213" spans="1:3" ht="15" x14ac:dyDescent="0.2">
      <c r="A213" s="67" t="s">
        <v>3159</v>
      </c>
      <c r="B213" s="61">
        <v>29</v>
      </c>
      <c r="C213" s="61" t="s">
        <v>3397</v>
      </c>
    </row>
    <row r="214" spans="1:3" ht="15" x14ac:dyDescent="0.2">
      <c r="A214" s="67" t="s">
        <v>3159</v>
      </c>
      <c r="B214" s="61">
        <v>30</v>
      </c>
      <c r="C214" s="61" t="s">
        <v>3396</v>
      </c>
    </row>
    <row r="215" spans="1:3" ht="15" x14ac:dyDescent="0.2">
      <c r="A215" s="67" t="s">
        <v>3159</v>
      </c>
      <c r="B215" s="61">
        <v>31</v>
      </c>
      <c r="C215" s="61" t="s">
        <v>3395</v>
      </c>
    </row>
    <row r="216" spans="1:3" ht="15" x14ac:dyDescent="0.2">
      <c r="A216" s="67" t="s">
        <v>3159</v>
      </c>
      <c r="B216" s="61">
        <v>32</v>
      </c>
      <c r="C216" s="61" t="s">
        <v>3394</v>
      </c>
    </row>
    <row r="217" spans="1:3" ht="15" x14ac:dyDescent="0.2">
      <c r="A217" s="67" t="s">
        <v>3159</v>
      </c>
      <c r="B217" s="61">
        <v>33</v>
      </c>
      <c r="C217" s="61" t="s">
        <v>3393</v>
      </c>
    </row>
    <row r="218" spans="1:3" ht="15" x14ac:dyDescent="0.2">
      <c r="A218" s="67" t="s">
        <v>3159</v>
      </c>
      <c r="B218" s="61">
        <v>34</v>
      </c>
      <c r="C218" s="61" t="s">
        <v>3392</v>
      </c>
    </row>
    <row r="219" spans="1:3" ht="15" x14ac:dyDescent="0.2">
      <c r="A219" s="67" t="s">
        <v>3159</v>
      </c>
      <c r="B219" s="61">
        <v>35</v>
      </c>
      <c r="C219" s="61" t="s">
        <v>3391</v>
      </c>
    </row>
    <row r="220" spans="1:3" ht="15" x14ac:dyDescent="0.2">
      <c r="A220" s="67" t="s">
        <v>3159</v>
      </c>
      <c r="B220" s="61">
        <v>36</v>
      </c>
      <c r="C220" s="61" t="s">
        <v>3390</v>
      </c>
    </row>
    <row r="221" spans="1:3" ht="15" x14ac:dyDescent="0.2">
      <c r="A221" s="67" t="s">
        <v>3159</v>
      </c>
      <c r="B221" s="61">
        <v>37</v>
      </c>
      <c r="C221" s="61" t="s">
        <v>3389</v>
      </c>
    </row>
    <row r="222" spans="1:3" ht="15" x14ac:dyDescent="0.2">
      <c r="A222" s="67" t="s">
        <v>3159</v>
      </c>
      <c r="B222" s="61">
        <v>38</v>
      </c>
      <c r="C222" s="61" t="s">
        <v>3388</v>
      </c>
    </row>
    <row r="223" spans="1:3" ht="15" x14ac:dyDescent="0.2">
      <c r="A223" s="67" t="s">
        <v>3159</v>
      </c>
      <c r="B223" s="61">
        <v>39</v>
      </c>
      <c r="C223" s="61" t="s">
        <v>3387</v>
      </c>
    </row>
    <row r="224" spans="1:3" ht="15" x14ac:dyDescent="0.2">
      <c r="A224" s="67" t="s">
        <v>3159</v>
      </c>
      <c r="B224" s="61">
        <v>40</v>
      </c>
      <c r="C224" s="61" t="s">
        <v>3386</v>
      </c>
    </row>
    <row r="225" spans="1:3" ht="15" x14ac:dyDescent="0.2">
      <c r="A225" s="67" t="s">
        <v>3159</v>
      </c>
      <c r="B225" s="61">
        <v>41</v>
      </c>
      <c r="C225" s="61" t="s">
        <v>3385</v>
      </c>
    </row>
    <row r="226" spans="1:3" ht="15" x14ac:dyDescent="0.2">
      <c r="A226" s="67" t="s">
        <v>3159</v>
      </c>
      <c r="B226" s="61">
        <v>42</v>
      </c>
      <c r="C226" s="61" t="s">
        <v>3384</v>
      </c>
    </row>
    <row r="227" spans="1:3" ht="15" x14ac:dyDescent="0.2">
      <c r="A227" s="67" t="s">
        <v>3159</v>
      </c>
      <c r="B227" s="61">
        <v>43</v>
      </c>
      <c r="C227" s="61" t="s">
        <v>3383</v>
      </c>
    </row>
    <row r="228" spans="1:3" ht="15" x14ac:dyDescent="0.2">
      <c r="A228" s="67" t="s">
        <v>3159</v>
      </c>
      <c r="B228" s="61">
        <v>44</v>
      </c>
      <c r="C228" s="61" t="s">
        <v>3382</v>
      </c>
    </row>
    <row r="229" spans="1:3" ht="15" x14ac:dyDescent="0.2">
      <c r="A229" s="67" t="s">
        <v>3159</v>
      </c>
      <c r="B229" s="61">
        <v>45</v>
      </c>
      <c r="C229" s="61" t="s">
        <v>3381</v>
      </c>
    </row>
    <row r="230" spans="1:3" ht="15" x14ac:dyDescent="0.2">
      <c r="A230" s="67" t="s">
        <v>3159</v>
      </c>
      <c r="B230" s="61">
        <v>46</v>
      </c>
      <c r="C230" s="61" t="s">
        <v>3380</v>
      </c>
    </row>
    <row r="231" spans="1:3" ht="15" x14ac:dyDescent="0.2">
      <c r="A231" s="67" t="s">
        <v>3159</v>
      </c>
      <c r="B231" s="61">
        <v>47</v>
      </c>
      <c r="C231" s="61" t="s">
        <v>3379</v>
      </c>
    </row>
    <row r="232" spans="1:3" ht="15" x14ac:dyDescent="0.2">
      <c r="A232" s="67" t="s">
        <v>3159</v>
      </c>
      <c r="B232" s="61">
        <v>48</v>
      </c>
      <c r="C232" s="61" t="s">
        <v>3378</v>
      </c>
    </row>
    <row r="233" spans="1:3" ht="15" x14ac:dyDescent="0.2">
      <c r="A233" s="67" t="s">
        <v>3159</v>
      </c>
      <c r="B233" s="61">
        <v>49</v>
      </c>
      <c r="C233" s="61" t="s">
        <v>3377</v>
      </c>
    </row>
    <row r="234" spans="1:3" ht="15" x14ac:dyDescent="0.2">
      <c r="A234" s="67" t="s">
        <v>3159</v>
      </c>
      <c r="B234" s="61">
        <v>50</v>
      </c>
      <c r="C234" s="61" t="s">
        <v>3376</v>
      </c>
    </row>
    <row r="235" spans="1:3" ht="15" x14ac:dyDescent="0.2">
      <c r="A235" s="67" t="s">
        <v>3159</v>
      </c>
      <c r="B235" s="61">
        <v>51</v>
      </c>
      <c r="C235" s="61" t="s">
        <v>3375</v>
      </c>
    </row>
    <row r="236" spans="1:3" ht="15" x14ac:dyDescent="0.2">
      <c r="A236" s="67" t="s">
        <v>3161</v>
      </c>
      <c r="B236" s="61">
        <v>1</v>
      </c>
      <c r="C236" s="61" t="s">
        <v>3374</v>
      </c>
    </row>
    <row r="237" spans="1:3" ht="15" x14ac:dyDescent="0.2">
      <c r="A237" s="67" t="s">
        <v>3161</v>
      </c>
      <c r="B237" s="61">
        <v>2</v>
      </c>
      <c r="C237" s="61" t="s">
        <v>3373</v>
      </c>
    </row>
    <row r="238" spans="1:3" ht="15" x14ac:dyDescent="0.2">
      <c r="A238" s="67" t="s">
        <v>3161</v>
      </c>
      <c r="B238" s="61">
        <v>3</v>
      </c>
      <c r="C238" s="61" t="s">
        <v>3372</v>
      </c>
    </row>
    <row r="239" spans="1:3" ht="15" x14ac:dyDescent="0.2">
      <c r="A239" s="67" t="s">
        <v>3161</v>
      </c>
      <c r="B239" s="61">
        <v>4</v>
      </c>
      <c r="C239" s="61" t="s">
        <v>3371</v>
      </c>
    </row>
    <row r="240" spans="1:3" ht="15" x14ac:dyDescent="0.2">
      <c r="A240" s="67" t="s">
        <v>3163</v>
      </c>
      <c r="B240" s="62" t="s">
        <v>3251</v>
      </c>
      <c r="C240" s="61" t="s">
        <v>3370</v>
      </c>
    </row>
    <row r="241" spans="1:3" ht="15" x14ac:dyDescent="0.2">
      <c r="A241" s="67" t="s">
        <v>3163</v>
      </c>
      <c r="B241" s="62" t="s">
        <v>3249</v>
      </c>
      <c r="C241" s="61" t="s">
        <v>3369</v>
      </c>
    </row>
    <row r="242" spans="1:3" ht="15" x14ac:dyDescent="0.2">
      <c r="A242" s="67" t="s">
        <v>3163</v>
      </c>
      <c r="B242" s="62" t="s">
        <v>3247</v>
      </c>
      <c r="C242" s="61" t="s">
        <v>3368</v>
      </c>
    </row>
    <row r="243" spans="1:3" ht="15" x14ac:dyDescent="0.2">
      <c r="A243" s="67" t="s">
        <v>3163</v>
      </c>
      <c r="B243" s="62" t="s">
        <v>3245</v>
      </c>
      <c r="C243" s="61" t="s">
        <v>3367</v>
      </c>
    </row>
    <row r="244" spans="1:3" ht="15" x14ac:dyDescent="0.2">
      <c r="A244" s="67" t="s">
        <v>3163</v>
      </c>
      <c r="B244" s="62" t="s">
        <v>3243</v>
      </c>
      <c r="C244" s="61" t="s">
        <v>3366</v>
      </c>
    </row>
    <row r="245" spans="1:3" ht="15" x14ac:dyDescent="0.2">
      <c r="A245" s="67" t="s">
        <v>3163</v>
      </c>
      <c r="B245" s="62" t="s">
        <v>3241</v>
      </c>
      <c r="C245" s="61" t="s">
        <v>3365</v>
      </c>
    </row>
    <row r="246" spans="1:3" ht="15" x14ac:dyDescent="0.2">
      <c r="A246" s="67" t="s">
        <v>3163</v>
      </c>
      <c r="B246" s="62" t="s">
        <v>3239</v>
      </c>
      <c r="C246" s="61" t="s">
        <v>3364</v>
      </c>
    </row>
    <row r="247" spans="1:3" ht="15" x14ac:dyDescent="0.2">
      <c r="A247" s="67" t="s">
        <v>3163</v>
      </c>
      <c r="B247" s="62" t="s">
        <v>3237</v>
      </c>
      <c r="C247" s="61" t="s">
        <v>3363</v>
      </c>
    </row>
    <row r="248" spans="1:3" ht="15" x14ac:dyDescent="0.2">
      <c r="A248" s="67" t="s">
        <v>3163</v>
      </c>
      <c r="B248" s="62" t="s">
        <v>3235</v>
      </c>
      <c r="C248" s="61" t="s">
        <v>3362</v>
      </c>
    </row>
    <row r="249" spans="1:3" ht="15" x14ac:dyDescent="0.2">
      <c r="A249" s="67" t="s">
        <v>3163</v>
      </c>
      <c r="B249" s="64">
        <v>10</v>
      </c>
      <c r="C249" s="61" t="s">
        <v>3361</v>
      </c>
    </row>
    <row r="250" spans="1:3" ht="15" x14ac:dyDescent="0.2">
      <c r="A250" s="67" t="s">
        <v>3163</v>
      </c>
      <c r="B250" s="64">
        <v>11</v>
      </c>
      <c r="C250" s="61" t="s">
        <v>3360</v>
      </c>
    </row>
    <row r="251" spans="1:3" ht="15" x14ac:dyDescent="0.2">
      <c r="A251" s="67" t="s">
        <v>3163</v>
      </c>
      <c r="B251" s="64">
        <v>12</v>
      </c>
      <c r="C251" s="61" t="s">
        <v>3359</v>
      </c>
    </row>
    <row r="252" spans="1:3" ht="15" x14ac:dyDescent="0.2">
      <c r="A252" s="67" t="s">
        <v>3163</v>
      </c>
      <c r="B252" s="64">
        <v>13</v>
      </c>
      <c r="C252" s="61" t="s">
        <v>3358</v>
      </c>
    </row>
    <row r="253" spans="1:3" ht="15" x14ac:dyDescent="0.2">
      <c r="A253" s="67" t="s">
        <v>3163</v>
      </c>
      <c r="B253" s="64">
        <v>14</v>
      </c>
      <c r="C253" s="61" t="s">
        <v>3357</v>
      </c>
    </row>
    <row r="254" spans="1:3" ht="15" x14ac:dyDescent="0.2">
      <c r="A254" s="67" t="s">
        <v>3163</v>
      </c>
      <c r="B254" s="64">
        <v>15</v>
      </c>
      <c r="C254" s="61" t="s">
        <v>3356</v>
      </c>
    </row>
    <row r="255" spans="1:3" ht="15" x14ac:dyDescent="0.2">
      <c r="A255" s="67" t="s">
        <v>3163</v>
      </c>
      <c r="B255" s="64">
        <v>16</v>
      </c>
      <c r="C255" s="61" t="s">
        <v>3355</v>
      </c>
    </row>
    <row r="256" spans="1:3" ht="15" x14ac:dyDescent="0.2">
      <c r="A256" s="67" t="s">
        <v>3163</v>
      </c>
      <c r="B256" s="64">
        <v>17</v>
      </c>
      <c r="C256" s="61" t="s">
        <v>3354</v>
      </c>
    </row>
    <row r="257" spans="1:3" ht="15" x14ac:dyDescent="0.2">
      <c r="A257" s="67" t="s">
        <v>3163</v>
      </c>
      <c r="B257" s="64">
        <v>18</v>
      </c>
      <c r="C257" s="61" t="s">
        <v>3353</v>
      </c>
    </row>
    <row r="258" spans="1:3" ht="15" x14ac:dyDescent="0.2">
      <c r="A258" s="67" t="s">
        <v>3163</v>
      </c>
      <c r="B258" s="64">
        <v>19</v>
      </c>
      <c r="C258" s="61" t="s">
        <v>3352</v>
      </c>
    </row>
    <row r="259" spans="1:3" ht="15" x14ac:dyDescent="0.2">
      <c r="A259" s="67" t="s">
        <v>3163</v>
      </c>
      <c r="B259" s="64">
        <v>20</v>
      </c>
      <c r="C259" s="61" t="s">
        <v>3351</v>
      </c>
    </row>
    <row r="260" spans="1:3" ht="15" x14ac:dyDescent="0.2">
      <c r="A260" s="67" t="s">
        <v>3163</v>
      </c>
      <c r="B260" s="64">
        <v>21</v>
      </c>
      <c r="C260" s="61" t="s">
        <v>3350</v>
      </c>
    </row>
    <row r="261" spans="1:3" ht="15" x14ac:dyDescent="0.2">
      <c r="A261" s="67" t="s">
        <v>3165</v>
      </c>
      <c r="B261" s="62" t="s">
        <v>3251</v>
      </c>
      <c r="C261" s="61" t="s">
        <v>3349</v>
      </c>
    </row>
    <row r="262" spans="1:3" ht="15" x14ac:dyDescent="0.2">
      <c r="A262" s="67" t="s">
        <v>3165</v>
      </c>
      <c r="B262" s="62" t="s">
        <v>3249</v>
      </c>
      <c r="C262" s="61" t="s">
        <v>3348</v>
      </c>
    </row>
    <row r="263" spans="1:3" ht="15" x14ac:dyDescent="0.2">
      <c r="A263" s="67" t="s">
        <v>3165</v>
      </c>
      <c r="B263" s="62" t="s">
        <v>3247</v>
      </c>
      <c r="C263" s="61" t="s">
        <v>3347</v>
      </c>
    </row>
    <row r="264" spans="1:3" ht="15" x14ac:dyDescent="0.2">
      <c r="A264" s="67" t="s">
        <v>3165</v>
      </c>
      <c r="B264" s="62" t="s">
        <v>3245</v>
      </c>
      <c r="C264" s="61" t="s">
        <v>3346</v>
      </c>
    </row>
    <row r="265" spans="1:3" ht="15" x14ac:dyDescent="0.2">
      <c r="A265" s="67" t="s">
        <v>3165</v>
      </c>
      <c r="B265" s="62" t="s">
        <v>3243</v>
      </c>
      <c r="C265" s="61" t="s">
        <v>3345</v>
      </c>
    </row>
    <row r="266" spans="1:3" ht="15" x14ac:dyDescent="0.2">
      <c r="A266" s="67" t="s">
        <v>3165</v>
      </c>
      <c r="B266" s="62" t="s">
        <v>3241</v>
      </c>
      <c r="C266" s="61" t="s">
        <v>3344</v>
      </c>
    </row>
    <row r="267" spans="1:3" ht="15" x14ac:dyDescent="0.2">
      <c r="A267" s="67" t="s">
        <v>3165</v>
      </c>
      <c r="B267" s="62" t="s">
        <v>3239</v>
      </c>
      <c r="C267" s="61" t="s">
        <v>3343</v>
      </c>
    </row>
    <row r="268" spans="1:3" ht="15" x14ac:dyDescent="0.2">
      <c r="A268" s="67" t="s">
        <v>3165</v>
      </c>
      <c r="B268" s="62" t="s">
        <v>3237</v>
      </c>
      <c r="C268" s="61" t="s">
        <v>3342</v>
      </c>
    </row>
    <row r="269" spans="1:3" ht="15" x14ac:dyDescent="0.2">
      <c r="A269" s="67" t="s">
        <v>3165</v>
      </c>
      <c r="B269" s="62" t="s">
        <v>3235</v>
      </c>
      <c r="C269" s="61" t="s">
        <v>3341</v>
      </c>
    </row>
    <row r="270" spans="1:3" ht="15" x14ac:dyDescent="0.2">
      <c r="A270" s="67" t="s">
        <v>3165</v>
      </c>
      <c r="B270" s="61">
        <v>10</v>
      </c>
      <c r="C270" s="61" t="s">
        <v>3340</v>
      </c>
    </row>
    <row r="271" spans="1:3" ht="15" x14ac:dyDescent="0.2">
      <c r="A271" s="67" t="s">
        <v>3165</v>
      </c>
      <c r="B271" s="61">
        <v>11</v>
      </c>
      <c r="C271" s="61" t="s">
        <v>3339</v>
      </c>
    </row>
    <row r="272" spans="1:3" ht="15" x14ac:dyDescent="0.2">
      <c r="A272" s="67" t="s">
        <v>3165</v>
      </c>
      <c r="B272" s="61">
        <v>12</v>
      </c>
      <c r="C272" s="61" t="s">
        <v>3338</v>
      </c>
    </row>
    <row r="273" spans="1:3" ht="15" x14ac:dyDescent="0.2">
      <c r="A273" s="67" t="s">
        <v>3165</v>
      </c>
      <c r="B273" s="61">
        <v>13</v>
      </c>
      <c r="C273" s="61" t="s">
        <v>3337</v>
      </c>
    </row>
    <row r="274" spans="1:3" ht="15" x14ac:dyDescent="0.2">
      <c r="A274" s="67" t="s">
        <v>3165</v>
      </c>
      <c r="B274" s="61">
        <v>14</v>
      </c>
      <c r="C274" s="61" t="s">
        <v>3336</v>
      </c>
    </row>
    <row r="275" spans="1:3" ht="15" x14ac:dyDescent="0.2">
      <c r="A275" s="67" t="s">
        <v>3165</v>
      </c>
      <c r="B275" s="61">
        <v>15</v>
      </c>
      <c r="C275" s="61" t="s">
        <v>3335</v>
      </c>
    </row>
    <row r="276" spans="1:3" ht="15" x14ac:dyDescent="0.2">
      <c r="A276" s="67" t="s">
        <v>3165</v>
      </c>
      <c r="B276" s="61">
        <v>16</v>
      </c>
      <c r="C276" s="61" t="s">
        <v>3334</v>
      </c>
    </row>
    <row r="277" spans="1:3" ht="15" x14ac:dyDescent="0.2">
      <c r="A277" s="67" t="s">
        <v>3165</v>
      </c>
      <c r="B277" s="61">
        <v>17</v>
      </c>
      <c r="C277" s="61" t="s">
        <v>3333</v>
      </c>
    </row>
    <row r="278" spans="1:3" ht="15" x14ac:dyDescent="0.2">
      <c r="A278" s="67" t="s">
        <v>3165</v>
      </c>
      <c r="B278" s="61">
        <v>18</v>
      </c>
      <c r="C278" s="61" t="s">
        <v>3332</v>
      </c>
    </row>
    <row r="279" spans="1:3" ht="15" x14ac:dyDescent="0.2">
      <c r="A279" s="67" t="s">
        <v>3165</v>
      </c>
      <c r="B279" s="61">
        <v>19</v>
      </c>
      <c r="C279" s="61" t="s">
        <v>3331</v>
      </c>
    </row>
    <row r="280" spans="1:3" ht="15" x14ac:dyDescent="0.2">
      <c r="A280" s="67" t="s">
        <v>3165</v>
      </c>
      <c r="B280" s="61">
        <v>20</v>
      </c>
      <c r="C280" s="61" t="s">
        <v>3330</v>
      </c>
    </row>
    <row r="281" spans="1:3" ht="15" x14ac:dyDescent="0.2">
      <c r="A281" s="67" t="s">
        <v>3165</v>
      </c>
      <c r="B281" s="61">
        <v>21</v>
      </c>
      <c r="C281" s="61" t="s">
        <v>3329</v>
      </c>
    </row>
    <row r="282" spans="1:3" ht="15" x14ac:dyDescent="0.2">
      <c r="A282" s="67" t="s">
        <v>3165</v>
      </c>
      <c r="B282" s="61">
        <v>22</v>
      </c>
      <c r="C282" s="61" t="s">
        <v>3328</v>
      </c>
    </row>
    <row r="283" spans="1:3" ht="15" x14ac:dyDescent="0.2">
      <c r="A283" s="67" t="s">
        <v>3167</v>
      </c>
      <c r="B283" s="61">
        <v>1</v>
      </c>
      <c r="C283" s="61" t="s">
        <v>3323</v>
      </c>
    </row>
    <row r="284" spans="1:3" ht="15" x14ac:dyDescent="0.2">
      <c r="A284" s="67" t="s">
        <v>3167</v>
      </c>
      <c r="B284" s="61">
        <v>2</v>
      </c>
      <c r="C284" s="61" t="s">
        <v>3327</v>
      </c>
    </row>
    <row r="285" spans="1:3" ht="15" x14ac:dyDescent="0.2">
      <c r="A285" s="67" t="s">
        <v>3167</v>
      </c>
      <c r="B285" s="61">
        <v>3</v>
      </c>
      <c r="C285" s="61" t="s">
        <v>3326</v>
      </c>
    </row>
    <row r="286" spans="1:3" ht="15" x14ac:dyDescent="0.2">
      <c r="A286" s="67" t="s">
        <v>3167</v>
      </c>
      <c r="B286" s="61">
        <v>4</v>
      </c>
      <c r="C286" s="61" t="s">
        <v>3325</v>
      </c>
    </row>
    <row r="287" spans="1:3" ht="15" x14ac:dyDescent="0.2">
      <c r="A287" s="67" t="s">
        <v>3167</v>
      </c>
      <c r="B287" s="61">
        <v>5</v>
      </c>
      <c r="C287" s="61" t="s">
        <v>3324</v>
      </c>
    </row>
    <row r="288" spans="1:3" ht="15" x14ac:dyDescent="0.2">
      <c r="A288" s="67" t="s">
        <v>3169</v>
      </c>
      <c r="B288" s="61">
        <v>1</v>
      </c>
      <c r="C288" s="61" t="s">
        <v>3323</v>
      </c>
    </row>
    <row r="289" spans="1:3" ht="15" x14ac:dyDescent="0.2">
      <c r="A289" s="67" t="s">
        <v>3169</v>
      </c>
      <c r="B289" s="61">
        <v>2</v>
      </c>
      <c r="C289" s="61" t="s">
        <v>3322</v>
      </c>
    </row>
    <row r="290" spans="1:3" ht="15" x14ac:dyDescent="0.2">
      <c r="A290" s="67" t="s">
        <v>3169</v>
      </c>
      <c r="B290" s="61">
        <v>3</v>
      </c>
      <c r="C290" s="61" t="s">
        <v>3321</v>
      </c>
    </row>
    <row r="291" spans="1:3" ht="15" x14ac:dyDescent="0.2">
      <c r="A291" s="67" t="s">
        <v>3169</v>
      </c>
      <c r="B291" s="61">
        <v>4</v>
      </c>
      <c r="C291" s="61" t="s">
        <v>3320</v>
      </c>
    </row>
    <row r="292" spans="1:3" ht="15" x14ac:dyDescent="0.2">
      <c r="A292" s="67" t="s">
        <v>3169</v>
      </c>
      <c r="B292" s="61">
        <v>5</v>
      </c>
      <c r="C292" s="61" t="s">
        <v>3319</v>
      </c>
    </row>
    <row r="293" spans="1:3" ht="15" x14ac:dyDescent="0.2">
      <c r="A293" s="67" t="s">
        <v>3181</v>
      </c>
      <c r="B293" s="61">
        <v>1</v>
      </c>
      <c r="C293" s="61" t="s">
        <v>3318</v>
      </c>
    </row>
    <row r="294" spans="1:3" ht="15" x14ac:dyDescent="0.2">
      <c r="A294" s="67" t="s">
        <v>3181</v>
      </c>
      <c r="B294" s="61">
        <v>2</v>
      </c>
      <c r="C294" s="61" t="s">
        <v>3317</v>
      </c>
    </row>
    <row r="295" spans="1:3" ht="15" x14ac:dyDescent="0.2">
      <c r="A295" s="67" t="s">
        <v>3181</v>
      </c>
      <c r="B295" s="61">
        <v>3</v>
      </c>
      <c r="C295" s="61" t="s">
        <v>3316</v>
      </c>
    </row>
    <row r="296" spans="1:3" ht="15" x14ac:dyDescent="0.2">
      <c r="A296" s="67" t="s">
        <v>3181</v>
      </c>
      <c r="B296" s="61">
        <v>4</v>
      </c>
      <c r="C296" s="61" t="s">
        <v>3315</v>
      </c>
    </row>
    <row r="297" spans="1:3" ht="15" x14ac:dyDescent="0.2">
      <c r="A297" s="67" t="s">
        <v>3183</v>
      </c>
      <c r="B297" s="61">
        <v>1</v>
      </c>
      <c r="C297" s="61" t="s">
        <v>3314</v>
      </c>
    </row>
    <row r="298" spans="1:3" ht="15" x14ac:dyDescent="0.2">
      <c r="A298" s="67" t="s">
        <v>3183</v>
      </c>
      <c r="B298" s="61">
        <v>2</v>
      </c>
      <c r="C298" s="61" t="s">
        <v>3313</v>
      </c>
    </row>
    <row r="299" spans="1:3" ht="15" x14ac:dyDescent="0.2">
      <c r="A299" s="67" t="s">
        <v>3183</v>
      </c>
      <c r="B299" s="61">
        <v>3</v>
      </c>
      <c r="C299" s="61" t="s">
        <v>3312</v>
      </c>
    </row>
    <row r="300" spans="1:3" ht="15" x14ac:dyDescent="0.2">
      <c r="A300" s="67" t="s">
        <v>3183</v>
      </c>
      <c r="B300" s="61">
        <v>4</v>
      </c>
      <c r="C300" s="61" t="s">
        <v>3311</v>
      </c>
    </row>
    <row r="301" spans="1:3" ht="15" x14ac:dyDescent="0.2">
      <c r="A301" s="67" t="s">
        <v>3187</v>
      </c>
      <c r="B301" s="61">
        <v>1</v>
      </c>
      <c r="C301" s="61" t="s">
        <v>3310</v>
      </c>
    </row>
    <row r="302" spans="1:3" ht="15" x14ac:dyDescent="0.2">
      <c r="A302" s="67" t="s">
        <v>3187</v>
      </c>
      <c r="B302" s="61">
        <v>2</v>
      </c>
      <c r="C302" s="61" t="s">
        <v>3309</v>
      </c>
    </row>
    <row r="303" spans="1:3" ht="15" x14ac:dyDescent="0.2">
      <c r="A303" s="67" t="s">
        <v>3187</v>
      </c>
      <c r="B303" s="61">
        <v>3</v>
      </c>
      <c r="C303" s="61" t="s">
        <v>3308</v>
      </c>
    </row>
    <row r="304" spans="1:3" ht="15" x14ac:dyDescent="0.2">
      <c r="A304" s="67" t="s">
        <v>3187</v>
      </c>
      <c r="B304" s="61">
        <v>4</v>
      </c>
      <c r="C304" s="61" t="s">
        <v>3307</v>
      </c>
    </row>
    <row r="305" spans="1:3" ht="15" x14ac:dyDescent="0.2">
      <c r="A305" s="67" t="s">
        <v>3189</v>
      </c>
      <c r="B305" s="61">
        <v>0</v>
      </c>
      <c r="C305" s="61" t="s">
        <v>3261</v>
      </c>
    </row>
    <row r="306" spans="1:3" ht="15" x14ac:dyDescent="0.2">
      <c r="A306" s="67" t="s">
        <v>3189</v>
      </c>
      <c r="B306" s="61">
        <v>1</v>
      </c>
      <c r="C306" s="61" t="s">
        <v>3260</v>
      </c>
    </row>
    <row r="307" spans="1:3" ht="15" x14ac:dyDescent="0.2">
      <c r="A307" s="67" t="s">
        <v>3189</v>
      </c>
      <c r="B307" s="61">
        <v>2</v>
      </c>
      <c r="C307" s="61" t="s">
        <v>3306</v>
      </c>
    </row>
    <row r="308" spans="1:3" ht="15" x14ac:dyDescent="0.2">
      <c r="A308" s="67" t="s">
        <v>3189</v>
      </c>
      <c r="B308" s="61">
        <v>3</v>
      </c>
      <c r="C308" s="61" t="s">
        <v>3305</v>
      </c>
    </row>
    <row r="309" spans="1:3" ht="15" x14ac:dyDescent="0.2">
      <c r="A309" s="67" t="s">
        <v>3189</v>
      </c>
      <c r="B309" s="61">
        <v>4</v>
      </c>
      <c r="C309" s="61" t="s">
        <v>3304</v>
      </c>
    </row>
    <row r="310" spans="1:3" ht="15" x14ac:dyDescent="0.2">
      <c r="A310" s="67" t="s">
        <v>3189</v>
      </c>
      <c r="B310" s="61">
        <v>5</v>
      </c>
      <c r="C310" s="61" t="s">
        <v>3303</v>
      </c>
    </row>
    <row r="311" spans="1:3" ht="15" x14ac:dyDescent="0.2">
      <c r="A311" s="67" t="s">
        <v>3189</v>
      </c>
      <c r="B311" s="61">
        <v>6</v>
      </c>
      <c r="C311" s="61" t="s">
        <v>3302</v>
      </c>
    </row>
    <row r="312" spans="1:3" ht="15" x14ac:dyDescent="0.2">
      <c r="A312" s="67" t="s">
        <v>3189</v>
      </c>
      <c r="B312" s="61">
        <v>7</v>
      </c>
      <c r="C312" s="61" t="s">
        <v>3301</v>
      </c>
    </row>
    <row r="313" spans="1:3" ht="15" x14ac:dyDescent="0.2">
      <c r="A313" s="67" t="s">
        <v>3189</v>
      </c>
      <c r="B313" s="61">
        <v>8</v>
      </c>
      <c r="C313" s="61" t="s">
        <v>3300</v>
      </c>
    </row>
    <row r="314" spans="1:3" ht="15" x14ac:dyDescent="0.2">
      <c r="A314" s="67" t="s">
        <v>3189</v>
      </c>
      <c r="B314" s="61">
        <v>9</v>
      </c>
      <c r="C314" s="61" t="s">
        <v>3299</v>
      </c>
    </row>
    <row r="315" spans="1:3" ht="15" x14ac:dyDescent="0.2">
      <c r="A315" s="67" t="s">
        <v>3199</v>
      </c>
      <c r="B315" s="62" t="s">
        <v>3251</v>
      </c>
      <c r="C315" s="61" t="s">
        <v>3298</v>
      </c>
    </row>
    <row r="316" spans="1:3" ht="15" x14ac:dyDescent="0.2">
      <c r="A316" s="67" t="s">
        <v>3199</v>
      </c>
      <c r="B316" s="62" t="s">
        <v>3249</v>
      </c>
      <c r="C316" s="61" t="s">
        <v>3297</v>
      </c>
    </row>
    <row r="317" spans="1:3" ht="15" x14ac:dyDescent="0.2">
      <c r="A317" s="67" t="s">
        <v>3199</v>
      </c>
      <c r="B317" s="62" t="s">
        <v>3247</v>
      </c>
      <c r="C317" s="61" t="s">
        <v>3296</v>
      </c>
    </row>
    <row r="318" spans="1:3" ht="15" x14ac:dyDescent="0.2">
      <c r="A318" s="67" t="s">
        <v>3199</v>
      </c>
      <c r="B318" s="62" t="s">
        <v>3245</v>
      </c>
      <c r="C318" s="61" t="s">
        <v>3295</v>
      </c>
    </row>
    <row r="319" spans="1:3" ht="15" x14ac:dyDescent="0.2">
      <c r="A319" s="67" t="s">
        <v>3199</v>
      </c>
      <c r="B319" s="62" t="s">
        <v>3243</v>
      </c>
      <c r="C319" s="61" t="s">
        <v>3294</v>
      </c>
    </row>
    <row r="320" spans="1:3" ht="15" x14ac:dyDescent="0.2">
      <c r="A320" s="67" t="s">
        <v>3199</v>
      </c>
      <c r="B320" s="62" t="s">
        <v>3241</v>
      </c>
      <c r="C320" s="61" t="s">
        <v>3293</v>
      </c>
    </row>
    <row r="321" spans="1:3" ht="15" x14ac:dyDescent="0.2">
      <c r="A321" s="67" t="s">
        <v>3199</v>
      </c>
      <c r="B321" s="62" t="s">
        <v>3239</v>
      </c>
      <c r="C321" s="61" t="s">
        <v>3292</v>
      </c>
    </row>
    <row r="322" spans="1:3" ht="15" x14ac:dyDescent="0.2">
      <c r="A322" s="67" t="s">
        <v>3199</v>
      </c>
      <c r="B322" s="62" t="s">
        <v>3237</v>
      </c>
      <c r="C322" s="61" t="s">
        <v>3291</v>
      </c>
    </row>
    <row r="323" spans="1:3" ht="15" x14ac:dyDescent="0.2">
      <c r="A323" s="67" t="s">
        <v>3199</v>
      </c>
      <c r="B323" s="62" t="s">
        <v>3235</v>
      </c>
      <c r="C323" s="61" t="s">
        <v>3290</v>
      </c>
    </row>
    <row r="324" spans="1:3" ht="15" x14ac:dyDescent="0.2">
      <c r="A324" s="67" t="s">
        <v>3199</v>
      </c>
      <c r="B324" s="61">
        <v>10</v>
      </c>
      <c r="C324" s="61" t="s">
        <v>3289</v>
      </c>
    </row>
    <row r="325" spans="1:3" ht="15" x14ac:dyDescent="0.2">
      <c r="A325" s="67" t="s">
        <v>3199</v>
      </c>
      <c r="B325" s="61">
        <v>11</v>
      </c>
      <c r="C325" s="61" t="s">
        <v>3288</v>
      </c>
    </row>
    <row r="326" spans="1:3" ht="15" x14ac:dyDescent="0.2">
      <c r="A326" s="67" t="s">
        <v>3201</v>
      </c>
      <c r="B326" s="62" t="s">
        <v>3251</v>
      </c>
      <c r="C326" s="61" t="s">
        <v>3287</v>
      </c>
    </row>
    <row r="327" spans="1:3" ht="15" x14ac:dyDescent="0.2">
      <c r="A327" s="67" t="s">
        <v>3201</v>
      </c>
      <c r="B327" s="62" t="s">
        <v>3249</v>
      </c>
      <c r="C327" s="61" t="s">
        <v>3286</v>
      </c>
    </row>
    <row r="328" spans="1:3" ht="15" x14ac:dyDescent="0.2">
      <c r="A328" s="67" t="s">
        <v>3201</v>
      </c>
      <c r="B328" s="62" t="s">
        <v>3247</v>
      </c>
      <c r="C328" s="61" t="s">
        <v>3285</v>
      </c>
    </row>
    <row r="329" spans="1:3" ht="15" x14ac:dyDescent="0.2">
      <c r="A329" s="67" t="s">
        <v>3201</v>
      </c>
      <c r="B329" s="62" t="s">
        <v>3245</v>
      </c>
      <c r="C329" s="61" t="s">
        <v>3284</v>
      </c>
    </row>
    <row r="330" spans="1:3" ht="15" x14ac:dyDescent="0.2">
      <c r="A330" s="67" t="s">
        <v>3201</v>
      </c>
      <c r="B330" s="62" t="s">
        <v>3243</v>
      </c>
      <c r="C330" s="61" t="s">
        <v>3283</v>
      </c>
    </row>
    <row r="331" spans="1:3" ht="15" x14ac:dyDescent="0.2">
      <c r="A331" s="67" t="s">
        <v>3201</v>
      </c>
      <c r="B331" s="62" t="s">
        <v>3241</v>
      </c>
      <c r="C331" s="61" t="s">
        <v>3282</v>
      </c>
    </row>
    <row r="332" spans="1:3" ht="15" x14ac:dyDescent="0.2">
      <c r="A332" s="67" t="s">
        <v>3201</v>
      </c>
      <c r="B332" s="62" t="s">
        <v>3239</v>
      </c>
      <c r="C332" s="61" t="s">
        <v>3281</v>
      </c>
    </row>
    <row r="333" spans="1:3" ht="15" x14ac:dyDescent="0.2">
      <c r="A333" s="67" t="s">
        <v>3201</v>
      </c>
      <c r="B333" s="62" t="s">
        <v>3237</v>
      </c>
      <c r="C333" s="61" t="s">
        <v>3280</v>
      </c>
    </row>
    <row r="334" spans="1:3" ht="15" x14ac:dyDescent="0.2">
      <c r="A334" s="67" t="s">
        <v>3201</v>
      </c>
      <c r="B334" s="62" t="s">
        <v>3235</v>
      </c>
      <c r="C334" s="61" t="s">
        <v>3279</v>
      </c>
    </row>
    <row r="335" spans="1:3" ht="15" x14ac:dyDescent="0.2">
      <c r="A335" s="67" t="s">
        <v>3201</v>
      </c>
      <c r="B335" s="61">
        <v>10</v>
      </c>
      <c r="C335" s="61" t="s">
        <v>3278</v>
      </c>
    </row>
    <row r="336" spans="1:3" ht="15" x14ac:dyDescent="0.2">
      <c r="A336" s="67" t="s">
        <v>3201</v>
      </c>
      <c r="B336" s="61">
        <v>11</v>
      </c>
      <c r="C336" s="61" t="s">
        <v>3277</v>
      </c>
    </row>
    <row r="337" spans="1:3" ht="15" x14ac:dyDescent="0.2">
      <c r="A337" s="67" t="s">
        <v>3205</v>
      </c>
      <c r="B337" s="63">
        <v>1</v>
      </c>
      <c r="C337" s="61" t="s">
        <v>3276</v>
      </c>
    </row>
    <row r="338" spans="1:3" ht="15" x14ac:dyDescent="0.2">
      <c r="A338" s="67" t="s">
        <v>3205</v>
      </c>
      <c r="B338" s="63">
        <v>2</v>
      </c>
      <c r="C338" s="61" t="s">
        <v>3275</v>
      </c>
    </row>
    <row r="339" spans="1:3" ht="15" x14ac:dyDescent="0.2">
      <c r="A339" s="67" t="s">
        <v>3205</v>
      </c>
      <c r="B339" s="63">
        <v>3</v>
      </c>
      <c r="C339" s="61" t="s">
        <v>3274</v>
      </c>
    </row>
    <row r="340" spans="1:3" ht="15" x14ac:dyDescent="0.2">
      <c r="A340" s="67" t="s">
        <v>3207</v>
      </c>
      <c r="B340" s="63">
        <v>1</v>
      </c>
      <c r="C340" s="61" t="s">
        <v>3261</v>
      </c>
    </row>
    <row r="341" spans="1:3" ht="15" x14ac:dyDescent="0.2">
      <c r="A341" s="67" t="s">
        <v>3207</v>
      </c>
      <c r="B341" s="63">
        <v>2</v>
      </c>
      <c r="C341" s="61" t="s">
        <v>3260</v>
      </c>
    </row>
    <row r="342" spans="1:3" ht="15" x14ac:dyDescent="0.2">
      <c r="A342" s="67" t="s">
        <v>3207</v>
      </c>
      <c r="B342" s="63">
        <v>31</v>
      </c>
      <c r="C342" s="61" t="s">
        <v>3273</v>
      </c>
    </row>
    <row r="343" spans="1:3" ht="15" x14ac:dyDescent="0.2">
      <c r="A343" s="67" t="s">
        <v>3207</v>
      </c>
      <c r="B343" s="63">
        <v>32</v>
      </c>
      <c r="C343" s="61" t="s">
        <v>3272</v>
      </c>
    </row>
    <row r="344" spans="1:3" ht="15" x14ac:dyDescent="0.2">
      <c r="A344" s="67" t="s">
        <v>3207</v>
      </c>
      <c r="B344" s="63">
        <v>33</v>
      </c>
      <c r="C344" s="61" t="s">
        <v>3271</v>
      </c>
    </row>
    <row r="345" spans="1:3" ht="15" x14ac:dyDescent="0.2">
      <c r="A345" s="67" t="s">
        <v>3207</v>
      </c>
      <c r="B345" s="63">
        <v>34</v>
      </c>
      <c r="C345" s="61" t="s">
        <v>3270</v>
      </c>
    </row>
    <row r="346" spans="1:3" ht="15" x14ac:dyDescent="0.2">
      <c r="A346" s="67" t="s">
        <v>3207</v>
      </c>
      <c r="B346" s="63">
        <v>35</v>
      </c>
      <c r="C346" s="61" t="s">
        <v>3269</v>
      </c>
    </row>
    <row r="347" spans="1:3" ht="15" x14ac:dyDescent="0.2">
      <c r="A347" s="67" t="s">
        <v>3207</v>
      </c>
      <c r="B347" s="63">
        <v>36</v>
      </c>
      <c r="C347" s="61" t="s">
        <v>3268</v>
      </c>
    </row>
    <row r="348" spans="1:3" ht="15" x14ac:dyDescent="0.2">
      <c r="A348" s="67" t="s">
        <v>3207</v>
      </c>
      <c r="B348" s="63">
        <v>41</v>
      </c>
      <c r="C348" s="61" t="s">
        <v>3257</v>
      </c>
    </row>
    <row r="349" spans="1:3" ht="15" x14ac:dyDescent="0.2">
      <c r="A349" s="67" t="s">
        <v>3207</v>
      </c>
      <c r="B349" s="63">
        <v>42</v>
      </c>
      <c r="C349" s="61" t="s">
        <v>3258</v>
      </c>
    </row>
    <row r="350" spans="1:3" ht="15" x14ac:dyDescent="0.2">
      <c r="A350" s="67" t="s">
        <v>3207</v>
      </c>
      <c r="B350" s="63">
        <v>43</v>
      </c>
      <c r="C350" s="61" t="s">
        <v>3256</v>
      </c>
    </row>
    <row r="351" spans="1:3" ht="15" x14ac:dyDescent="0.2">
      <c r="A351" s="67" t="s">
        <v>3207</v>
      </c>
      <c r="B351" s="63">
        <v>44</v>
      </c>
      <c r="C351" s="61" t="s">
        <v>3255</v>
      </c>
    </row>
    <row r="352" spans="1:3" ht="15" x14ac:dyDescent="0.2">
      <c r="A352" s="67" t="s">
        <v>3207</v>
      </c>
      <c r="B352" s="63">
        <v>45</v>
      </c>
      <c r="C352" s="61" t="s">
        <v>3254</v>
      </c>
    </row>
    <row r="353" spans="1:3" ht="15" x14ac:dyDescent="0.2">
      <c r="A353" s="67" t="s">
        <v>3207</v>
      </c>
      <c r="B353" s="63">
        <v>46</v>
      </c>
      <c r="C353" s="61" t="s">
        <v>3253</v>
      </c>
    </row>
    <row r="354" spans="1:3" ht="15" x14ac:dyDescent="0.2">
      <c r="A354" s="67" t="s">
        <v>3207</v>
      </c>
      <c r="B354" s="63">
        <v>51</v>
      </c>
      <c r="C354" s="61" t="s">
        <v>3267</v>
      </c>
    </row>
    <row r="355" spans="1:3" ht="15" x14ac:dyDescent="0.2">
      <c r="A355" s="67" t="s">
        <v>3207</v>
      </c>
      <c r="B355" s="63">
        <v>52</v>
      </c>
      <c r="C355" s="61" t="s">
        <v>3266</v>
      </c>
    </row>
    <row r="356" spans="1:3" ht="15" x14ac:dyDescent="0.2">
      <c r="A356" s="67" t="s">
        <v>3207</v>
      </c>
      <c r="B356" s="63">
        <v>53</v>
      </c>
      <c r="C356" s="61" t="s">
        <v>3265</v>
      </c>
    </row>
    <row r="357" spans="1:3" ht="15" x14ac:dyDescent="0.2">
      <c r="A357" s="67" t="s">
        <v>3207</v>
      </c>
      <c r="B357" s="63">
        <v>54</v>
      </c>
      <c r="C357" s="61" t="s">
        <v>3264</v>
      </c>
    </row>
    <row r="358" spans="1:3" ht="15" x14ac:dyDescent="0.2">
      <c r="A358" s="67" t="s">
        <v>3207</v>
      </c>
      <c r="B358" s="63">
        <v>55</v>
      </c>
      <c r="C358" s="61" t="s">
        <v>3263</v>
      </c>
    </row>
    <row r="359" spans="1:3" ht="15" x14ac:dyDescent="0.2">
      <c r="A359" s="67" t="s">
        <v>3207</v>
      </c>
      <c r="B359" s="63">
        <v>56</v>
      </c>
      <c r="C359" s="61" t="s">
        <v>3262</v>
      </c>
    </row>
    <row r="360" spans="1:3" ht="15" x14ac:dyDescent="0.2">
      <c r="A360" s="67" t="s">
        <v>3209</v>
      </c>
      <c r="B360" s="63">
        <v>1</v>
      </c>
      <c r="C360" s="61" t="s">
        <v>3261</v>
      </c>
    </row>
    <row r="361" spans="1:3" ht="15" x14ac:dyDescent="0.2">
      <c r="A361" s="67" t="s">
        <v>3209</v>
      </c>
      <c r="B361" s="63">
        <v>2</v>
      </c>
      <c r="C361" s="61" t="s">
        <v>3260</v>
      </c>
    </row>
    <row r="362" spans="1:3" ht="15" x14ac:dyDescent="0.2">
      <c r="A362" s="67" t="s">
        <v>3209</v>
      </c>
      <c r="B362" s="63">
        <v>3</v>
      </c>
      <c r="C362" s="61" t="s">
        <v>3259</v>
      </c>
    </row>
    <row r="363" spans="1:3" ht="15" x14ac:dyDescent="0.2">
      <c r="A363" s="67" t="s">
        <v>3209</v>
      </c>
      <c r="B363" s="63">
        <v>4</v>
      </c>
      <c r="C363" s="61" t="s">
        <v>3258</v>
      </c>
    </row>
    <row r="364" spans="1:3" ht="15" x14ac:dyDescent="0.2">
      <c r="A364" s="67" t="s">
        <v>3209</v>
      </c>
      <c r="B364" s="63">
        <v>5</v>
      </c>
      <c r="C364" s="61" t="s">
        <v>3257</v>
      </c>
    </row>
    <row r="365" spans="1:3" ht="15" x14ac:dyDescent="0.2">
      <c r="A365" s="67" t="s">
        <v>3209</v>
      </c>
      <c r="B365" s="63">
        <v>6</v>
      </c>
      <c r="C365" s="61" t="s">
        <v>3256</v>
      </c>
    </row>
    <row r="366" spans="1:3" ht="15" x14ac:dyDescent="0.2">
      <c r="A366" s="67" t="s">
        <v>3209</v>
      </c>
      <c r="B366" s="63">
        <v>7</v>
      </c>
      <c r="C366" s="61" t="s">
        <v>3255</v>
      </c>
    </row>
    <row r="367" spans="1:3" ht="15" x14ac:dyDescent="0.2">
      <c r="A367" s="67" t="s">
        <v>3209</v>
      </c>
      <c r="B367" s="63">
        <v>8</v>
      </c>
      <c r="C367" s="61" t="s">
        <v>3254</v>
      </c>
    </row>
    <row r="368" spans="1:3" ht="15" x14ac:dyDescent="0.2">
      <c r="A368" s="67" t="s">
        <v>3209</v>
      </c>
      <c r="B368" s="63">
        <v>9</v>
      </c>
      <c r="C368" s="61" t="s">
        <v>3253</v>
      </c>
    </row>
    <row r="369" spans="1:3" ht="15" x14ac:dyDescent="0.2">
      <c r="A369" s="67" t="s">
        <v>3209</v>
      </c>
      <c r="B369" s="63">
        <v>10</v>
      </c>
      <c r="C369" s="61" t="s">
        <v>3252</v>
      </c>
    </row>
    <row r="370" spans="1:3" ht="15" x14ac:dyDescent="0.2">
      <c r="A370" s="67" t="s">
        <v>3210</v>
      </c>
      <c r="B370" s="62" t="s">
        <v>3251</v>
      </c>
      <c r="C370" s="61" t="s">
        <v>3250</v>
      </c>
    </row>
    <row r="371" spans="1:3" ht="15" x14ac:dyDescent="0.2">
      <c r="A371" s="67" t="s">
        <v>3210</v>
      </c>
      <c r="B371" s="62" t="s">
        <v>3249</v>
      </c>
      <c r="C371" s="61" t="s">
        <v>3248</v>
      </c>
    </row>
    <row r="372" spans="1:3" ht="15" x14ac:dyDescent="0.2">
      <c r="A372" s="67" t="s">
        <v>3210</v>
      </c>
      <c r="B372" s="62" t="s">
        <v>3247</v>
      </c>
      <c r="C372" s="61" t="s">
        <v>3246</v>
      </c>
    </row>
    <row r="373" spans="1:3" ht="15" x14ac:dyDescent="0.2">
      <c r="A373" s="67" t="s">
        <v>3210</v>
      </c>
      <c r="B373" s="62" t="s">
        <v>3245</v>
      </c>
      <c r="C373" s="61" t="s">
        <v>3244</v>
      </c>
    </row>
    <row r="374" spans="1:3" ht="15" x14ac:dyDescent="0.2">
      <c r="A374" s="67" t="s">
        <v>3210</v>
      </c>
      <c r="B374" s="62" t="s">
        <v>3243</v>
      </c>
      <c r="C374" s="61" t="s">
        <v>3242</v>
      </c>
    </row>
    <row r="375" spans="1:3" ht="15" x14ac:dyDescent="0.2">
      <c r="A375" s="67" t="s">
        <v>3210</v>
      </c>
      <c r="B375" s="62" t="s">
        <v>3241</v>
      </c>
      <c r="C375" s="61" t="s">
        <v>3240</v>
      </c>
    </row>
    <row r="376" spans="1:3" ht="15" x14ac:dyDescent="0.2">
      <c r="A376" s="67" t="s">
        <v>3210</v>
      </c>
      <c r="B376" s="62" t="s">
        <v>3239</v>
      </c>
      <c r="C376" s="61" t="s">
        <v>3238</v>
      </c>
    </row>
    <row r="377" spans="1:3" ht="15" x14ac:dyDescent="0.2">
      <c r="A377" s="67" t="s">
        <v>3210</v>
      </c>
      <c r="B377" s="62" t="s">
        <v>3237</v>
      </c>
      <c r="C377" s="61" t="s">
        <v>3236</v>
      </c>
    </row>
    <row r="378" spans="1:3" ht="15" x14ac:dyDescent="0.2">
      <c r="A378" s="67" t="s">
        <v>3210</v>
      </c>
      <c r="B378" s="62" t="s">
        <v>3235</v>
      </c>
      <c r="C378" s="61" t="s">
        <v>3234</v>
      </c>
    </row>
    <row r="379" spans="1:3" ht="15" x14ac:dyDescent="0.2">
      <c r="A379" s="67" t="s">
        <v>3210</v>
      </c>
      <c r="B379" s="61">
        <v>10</v>
      </c>
      <c r="C379" s="61" t="s">
        <v>3233</v>
      </c>
    </row>
    <row r="380" spans="1:3" ht="15" x14ac:dyDescent="0.2">
      <c r="A380" s="67" t="s">
        <v>3210</v>
      </c>
      <c r="B380" s="61">
        <v>11</v>
      </c>
      <c r="C380" s="61" t="s">
        <v>3232</v>
      </c>
    </row>
    <row r="381" spans="1:3" ht="15" x14ac:dyDescent="0.2">
      <c r="A381" s="67" t="s">
        <v>3210</v>
      </c>
      <c r="B381" s="61">
        <v>12</v>
      </c>
      <c r="C381" s="61" t="s">
        <v>3231</v>
      </c>
    </row>
    <row r="382" spans="1:3" ht="15" x14ac:dyDescent="0.2">
      <c r="A382" s="67" t="s">
        <v>3210</v>
      </c>
      <c r="B382" s="61">
        <v>13</v>
      </c>
      <c r="C382" s="61" t="s">
        <v>3230</v>
      </c>
    </row>
    <row r="383" spans="1:3" ht="15" x14ac:dyDescent="0.2">
      <c r="A383" s="67" t="s">
        <v>3210</v>
      </c>
      <c r="B383" s="61">
        <v>14</v>
      </c>
      <c r="C383" s="61" t="s">
        <v>3229</v>
      </c>
    </row>
    <row r="384" spans="1:3" ht="15" x14ac:dyDescent="0.2">
      <c r="A384" s="67" t="s">
        <v>3210</v>
      </c>
      <c r="B384" s="61">
        <v>15</v>
      </c>
      <c r="C384" s="61" t="s">
        <v>3228</v>
      </c>
    </row>
    <row r="385" spans="1:3" ht="15" x14ac:dyDescent="0.2">
      <c r="A385" s="67" t="s">
        <v>3210</v>
      </c>
      <c r="B385" s="61">
        <v>16</v>
      </c>
      <c r="C385" s="61" t="s">
        <v>3227</v>
      </c>
    </row>
    <row r="386" spans="1:3" ht="15" x14ac:dyDescent="0.2">
      <c r="A386" s="67" t="s">
        <v>3210</v>
      </c>
      <c r="B386" s="61">
        <v>17</v>
      </c>
      <c r="C386" s="61" t="s">
        <v>3226</v>
      </c>
    </row>
    <row r="387" spans="1:3" ht="15" x14ac:dyDescent="0.2">
      <c r="A387" s="67" t="s">
        <v>3212</v>
      </c>
      <c r="B387" s="61">
        <v>0</v>
      </c>
      <c r="C387" s="61" t="s">
        <v>3225</v>
      </c>
    </row>
    <row r="388" spans="1:3" ht="15" x14ac:dyDescent="0.2">
      <c r="A388" s="67" t="s">
        <v>3212</v>
      </c>
      <c r="B388" s="61">
        <v>1</v>
      </c>
      <c r="C388" s="61" t="s">
        <v>3224</v>
      </c>
    </row>
    <row r="389" spans="1:3" ht="15" x14ac:dyDescent="0.2">
      <c r="A389" s="67" t="s">
        <v>3212</v>
      </c>
      <c r="B389" s="61">
        <v>2</v>
      </c>
      <c r="C389" s="61" t="s">
        <v>3223</v>
      </c>
    </row>
  </sheetData>
  <conditionalFormatting sqref="B2:C11 B42:B47">
    <cfRule type="containsBlanks" dxfId="4" priority="1">
      <formula>LEN(TRIM(B2))=0</formula>
    </cfRule>
  </conditionalFormatting>
  <conditionalFormatting sqref="B24:C34">
    <cfRule type="containsBlanks" dxfId="3" priority="3">
      <formula>LEN(TRIM(B24))=0</formula>
    </cfRule>
  </conditionalFormatting>
  <conditionalFormatting sqref="C12">
    <cfRule type="containsBlanks" dxfId="2" priority="4">
      <formula>LEN(TRIM(C12))=0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D4893-FC0C-40A9-A345-6CD71255B996}">
  <dimension ref="A1:C14"/>
  <sheetViews>
    <sheetView workbookViewId="0"/>
  </sheetViews>
  <sheetFormatPr defaultColWidth="8.7109375" defaultRowHeight="14.25" x14ac:dyDescent="0.2"/>
  <cols>
    <col min="1" max="3" width="14.42578125" style="67" customWidth="1"/>
    <col min="4" max="16384" width="8.7109375" style="66"/>
  </cols>
  <sheetData>
    <row r="1" spans="1:3" ht="15" x14ac:dyDescent="0.25">
      <c r="A1" s="77" t="s">
        <v>675</v>
      </c>
      <c r="B1" s="78" t="s">
        <v>674</v>
      </c>
      <c r="C1" s="77" t="s">
        <v>673</v>
      </c>
    </row>
    <row r="2" spans="1:3" x14ac:dyDescent="0.2">
      <c r="A2" s="67" t="s">
        <v>3219</v>
      </c>
      <c r="B2" s="68">
        <v>1</v>
      </c>
      <c r="C2" s="68" t="s">
        <v>3612</v>
      </c>
    </row>
    <row r="3" spans="1:3" x14ac:dyDescent="0.2">
      <c r="A3" s="67" t="s">
        <v>3219</v>
      </c>
      <c r="B3" s="68">
        <v>2</v>
      </c>
      <c r="C3" s="68" t="s">
        <v>3611</v>
      </c>
    </row>
    <row r="4" spans="1:3" x14ac:dyDescent="0.2">
      <c r="A4" s="67" t="s">
        <v>3219</v>
      </c>
      <c r="B4" s="68">
        <v>3</v>
      </c>
      <c r="C4" s="68" t="s">
        <v>3610</v>
      </c>
    </row>
    <row r="5" spans="1:3" x14ac:dyDescent="0.2">
      <c r="A5" s="67" t="s">
        <v>3219</v>
      </c>
      <c r="B5" s="68">
        <v>4</v>
      </c>
      <c r="C5" s="68" t="s">
        <v>3609</v>
      </c>
    </row>
    <row r="6" spans="1:3" x14ac:dyDescent="0.2">
      <c r="A6" s="67" t="s">
        <v>3219</v>
      </c>
      <c r="B6" s="68">
        <v>5</v>
      </c>
      <c r="C6" s="68" t="s">
        <v>3608</v>
      </c>
    </row>
    <row r="7" spans="1:3" x14ac:dyDescent="0.2">
      <c r="A7" s="67" t="s">
        <v>3219</v>
      </c>
      <c r="B7" s="68">
        <v>6</v>
      </c>
      <c r="C7" s="68" t="s">
        <v>3607</v>
      </c>
    </row>
    <row r="8" spans="1:3" x14ac:dyDescent="0.2">
      <c r="A8" s="67" t="s">
        <v>3219</v>
      </c>
      <c r="B8" s="68">
        <v>7</v>
      </c>
      <c r="C8" s="68" t="s">
        <v>3606</v>
      </c>
    </row>
    <row r="9" spans="1:3" x14ac:dyDescent="0.2">
      <c r="A9" s="67" t="s">
        <v>3219</v>
      </c>
      <c r="B9" s="68">
        <v>8</v>
      </c>
      <c r="C9" s="68" t="s">
        <v>3605</v>
      </c>
    </row>
    <row r="10" spans="1:3" x14ac:dyDescent="0.2">
      <c r="A10" s="67" t="s">
        <v>3219</v>
      </c>
      <c r="B10" s="68">
        <v>9</v>
      </c>
      <c r="C10" s="68" t="s">
        <v>3604</v>
      </c>
    </row>
    <row r="11" spans="1:3" x14ac:dyDescent="0.2">
      <c r="A11" s="67" t="s">
        <v>3219</v>
      </c>
      <c r="B11" s="68">
        <v>10</v>
      </c>
      <c r="C11" s="68" t="s">
        <v>3603</v>
      </c>
    </row>
    <row r="12" spans="1:3" x14ac:dyDescent="0.2">
      <c r="A12" s="67" t="s">
        <v>3219</v>
      </c>
      <c r="B12" s="68">
        <v>11</v>
      </c>
      <c r="C12" s="68" t="s">
        <v>3602</v>
      </c>
    </row>
    <row r="13" spans="1:3" x14ac:dyDescent="0.2">
      <c r="A13" s="67" t="s">
        <v>3219</v>
      </c>
      <c r="B13" s="68">
        <v>12</v>
      </c>
      <c r="C13" s="68" t="s">
        <v>3601</v>
      </c>
    </row>
    <row r="14" spans="1:3" x14ac:dyDescent="0.2">
      <c r="A14" s="67" t="s">
        <v>3219</v>
      </c>
      <c r="B14" s="68">
        <v>13</v>
      </c>
      <c r="C14" s="68" t="s">
        <v>3600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C865-D907-4D98-B15B-B391005F584E}">
  <dimension ref="A1:B279"/>
  <sheetViews>
    <sheetView workbookViewId="0"/>
  </sheetViews>
  <sheetFormatPr defaultRowHeight="15" x14ac:dyDescent="0.25"/>
  <cols>
    <col min="1" max="1" width="20.140625" style="36" customWidth="1"/>
    <col min="2" max="2" width="50.140625" bestFit="1" customWidth="1"/>
  </cols>
  <sheetData>
    <row r="1" spans="1:2" x14ac:dyDescent="0.25">
      <c r="A1" s="78" t="s">
        <v>674</v>
      </c>
      <c r="B1" s="77" t="s">
        <v>673</v>
      </c>
    </row>
    <row r="2" spans="1:2" x14ac:dyDescent="0.25">
      <c r="A2" s="38">
        <v>0</v>
      </c>
      <c r="B2" s="41" t="s">
        <v>1853</v>
      </c>
    </row>
    <row r="3" spans="1:2" x14ac:dyDescent="0.25">
      <c r="A3" s="38">
        <v>4</v>
      </c>
      <c r="B3" s="37" t="s">
        <v>1852</v>
      </c>
    </row>
    <row r="4" spans="1:2" x14ac:dyDescent="0.25">
      <c r="A4" s="38">
        <v>8</v>
      </c>
      <c r="B4" s="37" t="s">
        <v>1851</v>
      </c>
    </row>
    <row r="5" spans="1:2" x14ac:dyDescent="0.25">
      <c r="A5" s="38">
        <v>10</v>
      </c>
      <c r="B5" s="37" t="s">
        <v>1850</v>
      </c>
    </row>
    <row r="6" spans="1:2" x14ac:dyDescent="0.25">
      <c r="A6" s="38">
        <v>12</v>
      </c>
      <c r="B6" s="37" t="s">
        <v>1849</v>
      </c>
    </row>
    <row r="7" spans="1:2" x14ac:dyDescent="0.25">
      <c r="A7" s="38">
        <v>16</v>
      </c>
      <c r="B7" s="37" t="s">
        <v>1848</v>
      </c>
    </row>
    <row r="8" spans="1:2" x14ac:dyDescent="0.25">
      <c r="A8" s="38">
        <v>20</v>
      </c>
      <c r="B8" s="37" t="s">
        <v>1847</v>
      </c>
    </row>
    <row r="9" spans="1:2" x14ac:dyDescent="0.25">
      <c r="A9" s="38">
        <v>24</v>
      </c>
      <c r="B9" s="37" t="s">
        <v>1846</v>
      </c>
    </row>
    <row r="10" spans="1:2" x14ac:dyDescent="0.25">
      <c r="A10" s="38">
        <v>28</v>
      </c>
      <c r="B10" s="37" t="s">
        <v>1845</v>
      </c>
    </row>
    <row r="11" spans="1:2" x14ac:dyDescent="0.25">
      <c r="A11" s="38">
        <v>31</v>
      </c>
      <c r="B11" s="37" t="s">
        <v>1844</v>
      </c>
    </row>
    <row r="12" spans="1:2" x14ac:dyDescent="0.25">
      <c r="A12" s="38">
        <v>32</v>
      </c>
      <c r="B12" s="37" t="s">
        <v>1843</v>
      </c>
    </row>
    <row r="13" spans="1:2" x14ac:dyDescent="0.25">
      <c r="A13" s="38">
        <v>36</v>
      </c>
      <c r="B13" s="37" t="s">
        <v>1842</v>
      </c>
    </row>
    <row r="14" spans="1:2" x14ac:dyDescent="0.25">
      <c r="A14" s="38">
        <v>40</v>
      </c>
      <c r="B14" s="37" t="s">
        <v>1841</v>
      </c>
    </row>
    <row r="15" spans="1:2" x14ac:dyDescent="0.25">
      <c r="A15" s="38">
        <v>44</v>
      </c>
      <c r="B15" s="37" t="s">
        <v>1840</v>
      </c>
    </row>
    <row r="16" spans="1:2" x14ac:dyDescent="0.25">
      <c r="A16" s="38">
        <v>48</v>
      </c>
      <c r="B16" s="37" t="s">
        <v>1839</v>
      </c>
    </row>
    <row r="17" spans="1:2" x14ac:dyDescent="0.25">
      <c r="A17" s="38">
        <v>50</v>
      </c>
      <c r="B17" s="37" t="s">
        <v>1838</v>
      </c>
    </row>
    <row r="18" spans="1:2" x14ac:dyDescent="0.25">
      <c r="A18" s="38">
        <v>51</v>
      </c>
      <c r="B18" s="37" t="s">
        <v>1837</v>
      </c>
    </row>
    <row r="19" spans="1:2" x14ac:dyDescent="0.25">
      <c r="A19" s="38">
        <v>52</v>
      </c>
      <c r="B19" s="37" t="s">
        <v>1836</v>
      </c>
    </row>
    <row r="20" spans="1:2" x14ac:dyDescent="0.25">
      <c r="A20" s="38">
        <v>56</v>
      </c>
      <c r="B20" s="37" t="s">
        <v>1835</v>
      </c>
    </row>
    <row r="21" spans="1:2" x14ac:dyDescent="0.25">
      <c r="A21" s="38">
        <v>60</v>
      </c>
      <c r="B21" s="37" t="s">
        <v>1834</v>
      </c>
    </row>
    <row r="22" spans="1:2" x14ac:dyDescent="0.25">
      <c r="A22" s="38">
        <v>64</v>
      </c>
      <c r="B22" s="37" t="s">
        <v>1833</v>
      </c>
    </row>
    <row r="23" spans="1:2" x14ac:dyDescent="0.25">
      <c r="A23" s="38">
        <v>68</v>
      </c>
      <c r="B23" s="37" t="s">
        <v>1832</v>
      </c>
    </row>
    <row r="24" spans="1:2" x14ac:dyDescent="0.25">
      <c r="A24" s="38">
        <v>70</v>
      </c>
      <c r="B24" s="37" t="s">
        <v>1831</v>
      </c>
    </row>
    <row r="25" spans="1:2" x14ac:dyDescent="0.25">
      <c r="A25" s="38">
        <v>72</v>
      </c>
      <c r="B25" s="37" t="s">
        <v>1830</v>
      </c>
    </row>
    <row r="26" spans="1:2" x14ac:dyDescent="0.25">
      <c r="A26" s="38">
        <v>74</v>
      </c>
      <c r="B26" s="37" t="s">
        <v>1829</v>
      </c>
    </row>
    <row r="27" spans="1:2" x14ac:dyDescent="0.25">
      <c r="A27" s="38">
        <v>76</v>
      </c>
      <c r="B27" s="37" t="s">
        <v>1828</v>
      </c>
    </row>
    <row r="28" spans="1:2" x14ac:dyDescent="0.25">
      <c r="A28" s="38">
        <v>84</v>
      </c>
      <c r="B28" s="37" t="s">
        <v>1827</v>
      </c>
    </row>
    <row r="29" spans="1:2" x14ac:dyDescent="0.25">
      <c r="A29" s="38">
        <v>86</v>
      </c>
      <c r="B29" s="37" t="s">
        <v>1826</v>
      </c>
    </row>
    <row r="30" spans="1:2" x14ac:dyDescent="0.25">
      <c r="A30" s="38">
        <v>90</v>
      </c>
      <c r="B30" s="37" t="s">
        <v>1825</v>
      </c>
    </row>
    <row r="31" spans="1:2" x14ac:dyDescent="0.25">
      <c r="A31" s="38">
        <v>92</v>
      </c>
      <c r="B31" s="37" t="s">
        <v>1824</v>
      </c>
    </row>
    <row r="32" spans="1:2" x14ac:dyDescent="0.25">
      <c r="A32" s="38">
        <v>96</v>
      </c>
      <c r="B32" s="37" t="s">
        <v>1823</v>
      </c>
    </row>
    <row r="33" spans="1:2" x14ac:dyDescent="0.25">
      <c r="A33" s="38">
        <v>100</v>
      </c>
      <c r="B33" s="37" t="s">
        <v>1822</v>
      </c>
    </row>
    <row r="34" spans="1:2" x14ac:dyDescent="0.25">
      <c r="A34" s="40">
        <v>104</v>
      </c>
      <c r="B34" s="37" t="s">
        <v>1821</v>
      </c>
    </row>
    <row r="35" spans="1:2" x14ac:dyDescent="0.25">
      <c r="A35" s="38">
        <v>108</v>
      </c>
      <c r="B35" s="37" t="s">
        <v>1820</v>
      </c>
    </row>
    <row r="36" spans="1:2" x14ac:dyDescent="0.25">
      <c r="A36" s="38">
        <v>112</v>
      </c>
      <c r="B36" s="37" t="s">
        <v>1819</v>
      </c>
    </row>
    <row r="37" spans="1:2" x14ac:dyDescent="0.25">
      <c r="A37" s="38">
        <v>116</v>
      </c>
      <c r="B37" s="37" t="s">
        <v>1818</v>
      </c>
    </row>
    <row r="38" spans="1:2" x14ac:dyDescent="0.25">
      <c r="A38" s="38">
        <v>120</v>
      </c>
      <c r="B38" s="37" t="s">
        <v>1817</v>
      </c>
    </row>
    <row r="39" spans="1:2" x14ac:dyDescent="0.25">
      <c r="A39" s="38">
        <v>124</v>
      </c>
      <c r="B39" s="37" t="s">
        <v>1816</v>
      </c>
    </row>
    <row r="40" spans="1:2" x14ac:dyDescent="0.25">
      <c r="A40" s="38">
        <v>132</v>
      </c>
      <c r="B40" s="37" t="s">
        <v>1815</v>
      </c>
    </row>
    <row r="41" spans="1:2" x14ac:dyDescent="0.25">
      <c r="A41" s="38">
        <v>136</v>
      </c>
      <c r="B41" s="37" t="s">
        <v>1814</v>
      </c>
    </row>
    <row r="42" spans="1:2" x14ac:dyDescent="0.25">
      <c r="A42" s="38">
        <v>140</v>
      </c>
      <c r="B42" s="37" t="s">
        <v>1813</v>
      </c>
    </row>
    <row r="43" spans="1:2" x14ac:dyDescent="0.25">
      <c r="A43" s="38">
        <v>144</v>
      </c>
      <c r="B43" s="37" t="s">
        <v>1812</v>
      </c>
    </row>
    <row r="44" spans="1:2" x14ac:dyDescent="0.25">
      <c r="A44" s="38">
        <v>148</v>
      </c>
      <c r="B44" s="37" t="s">
        <v>1811</v>
      </c>
    </row>
    <row r="45" spans="1:2" x14ac:dyDescent="0.25">
      <c r="A45" s="38">
        <v>152</v>
      </c>
      <c r="B45" s="37" t="s">
        <v>1810</v>
      </c>
    </row>
    <row r="46" spans="1:2" x14ac:dyDescent="0.25">
      <c r="A46" s="38">
        <v>156</v>
      </c>
      <c r="B46" s="37" t="s">
        <v>1809</v>
      </c>
    </row>
    <row r="47" spans="1:2" x14ac:dyDescent="0.25">
      <c r="A47" s="38">
        <v>158</v>
      </c>
      <c r="B47" s="37" t="s">
        <v>1808</v>
      </c>
    </row>
    <row r="48" spans="1:2" x14ac:dyDescent="0.25">
      <c r="A48" s="38">
        <v>162</v>
      </c>
      <c r="B48" s="37" t="s">
        <v>1807</v>
      </c>
    </row>
    <row r="49" spans="1:2" x14ac:dyDescent="0.25">
      <c r="A49" s="38">
        <v>166</v>
      </c>
      <c r="B49" s="37" t="s">
        <v>1806</v>
      </c>
    </row>
    <row r="50" spans="1:2" x14ac:dyDescent="0.25">
      <c r="A50" s="38">
        <v>170</v>
      </c>
      <c r="B50" s="37" t="s">
        <v>1805</v>
      </c>
    </row>
    <row r="51" spans="1:2" x14ac:dyDescent="0.25">
      <c r="A51" s="38">
        <v>174</v>
      </c>
      <c r="B51" s="37" t="s">
        <v>1804</v>
      </c>
    </row>
    <row r="52" spans="1:2" x14ac:dyDescent="0.25">
      <c r="A52" s="38">
        <v>175</v>
      </c>
      <c r="B52" s="37" t="s">
        <v>1803</v>
      </c>
    </row>
    <row r="53" spans="1:2" x14ac:dyDescent="0.25">
      <c r="A53" s="38">
        <v>178</v>
      </c>
      <c r="B53" s="37" t="s">
        <v>1802</v>
      </c>
    </row>
    <row r="54" spans="1:2" x14ac:dyDescent="0.25">
      <c r="A54" s="38">
        <v>180</v>
      </c>
      <c r="B54" s="37" t="s">
        <v>1801</v>
      </c>
    </row>
    <row r="55" spans="1:2" x14ac:dyDescent="0.25">
      <c r="A55" s="38">
        <v>184</v>
      </c>
      <c r="B55" s="37" t="s">
        <v>1800</v>
      </c>
    </row>
    <row r="56" spans="1:2" x14ac:dyDescent="0.25">
      <c r="A56" s="38">
        <v>188</v>
      </c>
      <c r="B56" s="37" t="s">
        <v>1799</v>
      </c>
    </row>
    <row r="57" spans="1:2" x14ac:dyDescent="0.25">
      <c r="A57" s="38">
        <v>191</v>
      </c>
      <c r="B57" s="37" t="s">
        <v>1798</v>
      </c>
    </row>
    <row r="58" spans="1:2" x14ac:dyDescent="0.25">
      <c r="A58" s="38">
        <v>192</v>
      </c>
      <c r="B58" s="37" t="s">
        <v>1797</v>
      </c>
    </row>
    <row r="59" spans="1:2" x14ac:dyDescent="0.25">
      <c r="A59" s="38">
        <v>203</v>
      </c>
      <c r="B59" s="37" t="s">
        <v>1796</v>
      </c>
    </row>
    <row r="60" spans="1:2" x14ac:dyDescent="0.25">
      <c r="A60" s="38">
        <v>204</v>
      </c>
      <c r="B60" s="37" t="s">
        <v>1795</v>
      </c>
    </row>
    <row r="61" spans="1:2" x14ac:dyDescent="0.25">
      <c r="A61" s="38">
        <v>208</v>
      </c>
      <c r="B61" s="37" t="s">
        <v>1794</v>
      </c>
    </row>
    <row r="62" spans="1:2" x14ac:dyDescent="0.25">
      <c r="A62" s="38">
        <v>212</v>
      </c>
      <c r="B62" s="37" t="s">
        <v>1793</v>
      </c>
    </row>
    <row r="63" spans="1:2" x14ac:dyDescent="0.25">
      <c r="A63" s="38">
        <v>214</v>
      </c>
      <c r="B63" s="37" t="s">
        <v>1792</v>
      </c>
    </row>
    <row r="64" spans="1:2" x14ac:dyDescent="0.25">
      <c r="A64" s="38">
        <v>218</v>
      </c>
      <c r="B64" s="37" t="s">
        <v>1791</v>
      </c>
    </row>
    <row r="65" spans="1:2" x14ac:dyDescent="0.25">
      <c r="A65" s="38">
        <v>222</v>
      </c>
      <c r="B65" s="37" t="s">
        <v>1790</v>
      </c>
    </row>
    <row r="66" spans="1:2" x14ac:dyDescent="0.25">
      <c r="A66" s="38">
        <v>226</v>
      </c>
      <c r="B66" s="37" t="s">
        <v>1789</v>
      </c>
    </row>
    <row r="67" spans="1:2" x14ac:dyDescent="0.25">
      <c r="A67" s="38">
        <v>231</v>
      </c>
      <c r="B67" s="37" t="s">
        <v>1788</v>
      </c>
    </row>
    <row r="68" spans="1:2" x14ac:dyDescent="0.25">
      <c r="A68" s="38">
        <v>232</v>
      </c>
      <c r="B68" s="37" t="s">
        <v>1787</v>
      </c>
    </row>
    <row r="69" spans="1:2" x14ac:dyDescent="0.25">
      <c r="A69" s="38">
        <v>233</v>
      </c>
      <c r="B69" s="37" t="s">
        <v>1786</v>
      </c>
    </row>
    <row r="70" spans="1:2" x14ac:dyDescent="0.25">
      <c r="A70" s="38">
        <v>234</v>
      </c>
      <c r="B70" s="37" t="s">
        <v>1785</v>
      </c>
    </row>
    <row r="71" spans="1:2" x14ac:dyDescent="0.25">
      <c r="A71" s="38">
        <v>238</v>
      </c>
      <c r="B71" s="37" t="s">
        <v>1784</v>
      </c>
    </row>
    <row r="72" spans="1:2" x14ac:dyDescent="0.25">
      <c r="A72" s="38">
        <v>239</v>
      </c>
      <c r="B72" s="37" t="s">
        <v>1783</v>
      </c>
    </row>
    <row r="73" spans="1:2" x14ac:dyDescent="0.25">
      <c r="A73" s="38">
        <v>242</v>
      </c>
      <c r="B73" s="37" t="s">
        <v>1782</v>
      </c>
    </row>
    <row r="74" spans="1:2" x14ac:dyDescent="0.25">
      <c r="A74" s="38">
        <v>246</v>
      </c>
      <c r="B74" s="37" t="s">
        <v>1781</v>
      </c>
    </row>
    <row r="75" spans="1:2" x14ac:dyDescent="0.25">
      <c r="A75" s="38">
        <v>248</v>
      </c>
      <c r="B75" s="37" t="s">
        <v>1780</v>
      </c>
    </row>
    <row r="76" spans="1:2" x14ac:dyDescent="0.25">
      <c r="A76" s="38">
        <v>250</v>
      </c>
      <c r="B76" s="37" t="s">
        <v>1779</v>
      </c>
    </row>
    <row r="77" spans="1:2" x14ac:dyDescent="0.25">
      <c r="A77" s="38">
        <v>254</v>
      </c>
      <c r="B77" s="37" t="s">
        <v>1778</v>
      </c>
    </row>
    <row r="78" spans="1:2" x14ac:dyDescent="0.25">
      <c r="A78" s="38">
        <v>258</v>
      </c>
      <c r="B78" s="37" t="s">
        <v>1777</v>
      </c>
    </row>
    <row r="79" spans="1:2" x14ac:dyDescent="0.25">
      <c r="A79" s="38">
        <v>260</v>
      </c>
      <c r="B79" s="37" t="s">
        <v>1776</v>
      </c>
    </row>
    <row r="80" spans="1:2" x14ac:dyDescent="0.25">
      <c r="A80" s="38">
        <v>262</v>
      </c>
      <c r="B80" s="37" t="s">
        <v>1775</v>
      </c>
    </row>
    <row r="81" spans="1:2" x14ac:dyDescent="0.25">
      <c r="A81" s="38">
        <v>266</v>
      </c>
      <c r="B81" s="37" t="s">
        <v>1774</v>
      </c>
    </row>
    <row r="82" spans="1:2" x14ac:dyDescent="0.25">
      <c r="A82" s="38">
        <v>268</v>
      </c>
      <c r="B82" s="37" t="s">
        <v>1773</v>
      </c>
    </row>
    <row r="83" spans="1:2" x14ac:dyDescent="0.25">
      <c r="A83" s="38">
        <v>270</v>
      </c>
      <c r="B83" s="37" t="s">
        <v>1772</v>
      </c>
    </row>
    <row r="84" spans="1:2" x14ac:dyDescent="0.25">
      <c r="A84" s="38">
        <v>275</v>
      </c>
      <c r="B84" s="37" t="s">
        <v>1771</v>
      </c>
    </row>
    <row r="85" spans="1:2" x14ac:dyDescent="0.25">
      <c r="A85" s="38">
        <v>276</v>
      </c>
      <c r="B85" s="37" t="s">
        <v>1770</v>
      </c>
    </row>
    <row r="86" spans="1:2" x14ac:dyDescent="0.25">
      <c r="A86" s="38">
        <v>288</v>
      </c>
      <c r="B86" s="37" t="s">
        <v>1769</v>
      </c>
    </row>
    <row r="87" spans="1:2" x14ac:dyDescent="0.25">
      <c r="A87" s="38">
        <v>292</v>
      </c>
      <c r="B87" s="37" t="s">
        <v>1768</v>
      </c>
    </row>
    <row r="88" spans="1:2" x14ac:dyDescent="0.25">
      <c r="A88" s="38">
        <v>296</v>
      </c>
      <c r="B88" s="37" t="s">
        <v>1767</v>
      </c>
    </row>
    <row r="89" spans="1:2" x14ac:dyDescent="0.25">
      <c r="A89" s="38">
        <v>300</v>
      </c>
      <c r="B89" s="37" t="s">
        <v>1766</v>
      </c>
    </row>
    <row r="90" spans="1:2" x14ac:dyDescent="0.25">
      <c r="A90" s="38">
        <v>304</v>
      </c>
      <c r="B90" s="37" t="s">
        <v>1765</v>
      </c>
    </row>
    <row r="91" spans="1:2" x14ac:dyDescent="0.25">
      <c r="A91" s="38">
        <v>308</v>
      </c>
      <c r="B91" s="37" t="s">
        <v>1764</v>
      </c>
    </row>
    <row r="92" spans="1:2" x14ac:dyDescent="0.25">
      <c r="A92" s="38">
        <v>312</v>
      </c>
      <c r="B92" s="37" t="s">
        <v>1763</v>
      </c>
    </row>
    <row r="93" spans="1:2" x14ac:dyDescent="0.25">
      <c r="A93" s="38">
        <v>316</v>
      </c>
      <c r="B93" s="37" t="s">
        <v>1762</v>
      </c>
    </row>
    <row r="94" spans="1:2" x14ac:dyDescent="0.25">
      <c r="A94" s="38">
        <v>320</v>
      </c>
      <c r="B94" s="37" t="s">
        <v>1761</v>
      </c>
    </row>
    <row r="95" spans="1:2" x14ac:dyDescent="0.25">
      <c r="A95" s="38">
        <v>324</v>
      </c>
      <c r="B95" s="37" t="s">
        <v>1760</v>
      </c>
    </row>
    <row r="96" spans="1:2" x14ac:dyDescent="0.25">
      <c r="A96" s="38">
        <v>328</v>
      </c>
      <c r="B96" s="37" t="s">
        <v>1759</v>
      </c>
    </row>
    <row r="97" spans="1:2" x14ac:dyDescent="0.25">
      <c r="A97" s="38">
        <v>332</v>
      </c>
      <c r="B97" s="37" t="s">
        <v>1758</v>
      </c>
    </row>
    <row r="98" spans="1:2" x14ac:dyDescent="0.25">
      <c r="A98" s="38">
        <v>334</v>
      </c>
      <c r="B98" s="37" t="s">
        <v>1757</v>
      </c>
    </row>
    <row r="99" spans="1:2" x14ac:dyDescent="0.25">
      <c r="A99" s="38">
        <v>336</v>
      </c>
      <c r="B99" s="37" t="s">
        <v>1756</v>
      </c>
    </row>
    <row r="100" spans="1:2" x14ac:dyDescent="0.25">
      <c r="A100" s="38">
        <v>340</v>
      </c>
      <c r="B100" s="37" t="s">
        <v>1755</v>
      </c>
    </row>
    <row r="101" spans="1:2" x14ac:dyDescent="0.25">
      <c r="A101" s="38">
        <v>344</v>
      </c>
      <c r="B101" s="37" t="s">
        <v>1754</v>
      </c>
    </row>
    <row r="102" spans="1:2" x14ac:dyDescent="0.25">
      <c r="A102" s="38">
        <v>348</v>
      </c>
      <c r="B102" s="37" t="s">
        <v>1753</v>
      </c>
    </row>
    <row r="103" spans="1:2" x14ac:dyDescent="0.25">
      <c r="A103" s="38">
        <v>352</v>
      </c>
      <c r="B103" s="37" t="s">
        <v>1752</v>
      </c>
    </row>
    <row r="104" spans="1:2" x14ac:dyDescent="0.25">
      <c r="A104" s="38">
        <v>356</v>
      </c>
      <c r="B104" s="37" t="s">
        <v>1751</v>
      </c>
    </row>
    <row r="105" spans="1:2" x14ac:dyDescent="0.25">
      <c r="A105" s="38">
        <v>360</v>
      </c>
      <c r="B105" s="37" t="s">
        <v>1750</v>
      </c>
    </row>
    <row r="106" spans="1:2" x14ac:dyDescent="0.25">
      <c r="A106" s="38">
        <v>364</v>
      </c>
      <c r="B106" s="37" t="s">
        <v>1749</v>
      </c>
    </row>
    <row r="107" spans="1:2" x14ac:dyDescent="0.25">
      <c r="A107" s="38">
        <v>368</v>
      </c>
      <c r="B107" s="37" t="s">
        <v>1748</v>
      </c>
    </row>
    <row r="108" spans="1:2" x14ac:dyDescent="0.25">
      <c r="A108" s="38">
        <v>372</v>
      </c>
      <c r="B108" s="37" t="s">
        <v>1747</v>
      </c>
    </row>
    <row r="109" spans="1:2" x14ac:dyDescent="0.25">
      <c r="A109" s="39">
        <v>373</v>
      </c>
      <c r="B109" s="37" t="s">
        <v>1746</v>
      </c>
    </row>
    <row r="110" spans="1:2" x14ac:dyDescent="0.25">
      <c r="A110" s="38">
        <v>376</v>
      </c>
      <c r="B110" s="37" t="s">
        <v>1745</v>
      </c>
    </row>
    <row r="111" spans="1:2" x14ac:dyDescent="0.25">
      <c r="A111" s="38">
        <v>380</v>
      </c>
      <c r="B111" s="37" t="s">
        <v>1744</v>
      </c>
    </row>
    <row r="112" spans="1:2" x14ac:dyDescent="0.25">
      <c r="A112" s="38">
        <v>384</v>
      </c>
      <c r="B112" s="37" t="s">
        <v>1743</v>
      </c>
    </row>
    <row r="113" spans="1:2" x14ac:dyDescent="0.25">
      <c r="A113" s="38">
        <v>388</v>
      </c>
      <c r="B113" s="37" t="s">
        <v>1742</v>
      </c>
    </row>
    <row r="114" spans="1:2" x14ac:dyDescent="0.25">
      <c r="A114" s="38">
        <v>392</v>
      </c>
      <c r="B114" s="37" t="s">
        <v>1741</v>
      </c>
    </row>
    <row r="115" spans="1:2" x14ac:dyDescent="0.25">
      <c r="A115" s="38">
        <v>398</v>
      </c>
      <c r="B115" s="37" t="s">
        <v>1740</v>
      </c>
    </row>
    <row r="116" spans="1:2" x14ac:dyDescent="0.25">
      <c r="A116" s="38">
        <v>400</v>
      </c>
      <c r="B116" s="37" t="s">
        <v>1739</v>
      </c>
    </row>
    <row r="117" spans="1:2" x14ac:dyDescent="0.25">
      <c r="A117" s="38">
        <v>404</v>
      </c>
      <c r="B117" s="37" t="s">
        <v>1738</v>
      </c>
    </row>
    <row r="118" spans="1:2" x14ac:dyDescent="0.25">
      <c r="A118" s="38">
        <v>408</v>
      </c>
      <c r="B118" s="37" t="s">
        <v>1737</v>
      </c>
    </row>
    <row r="119" spans="1:2" x14ac:dyDescent="0.25">
      <c r="A119" s="38">
        <v>410</v>
      </c>
      <c r="B119" s="37" t="s">
        <v>1736</v>
      </c>
    </row>
    <row r="120" spans="1:2" x14ac:dyDescent="0.25">
      <c r="A120" s="38">
        <v>414</v>
      </c>
      <c r="B120" s="37" t="s">
        <v>1735</v>
      </c>
    </row>
    <row r="121" spans="1:2" x14ac:dyDescent="0.25">
      <c r="A121" s="38">
        <v>417</v>
      </c>
      <c r="B121" s="37" t="s">
        <v>1734</v>
      </c>
    </row>
    <row r="122" spans="1:2" x14ac:dyDescent="0.25">
      <c r="A122" s="38">
        <v>418</v>
      </c>
      <c r="B122" s="37" t="s">
        <v>1733</v>
      </c>
    </row>
    <row r="123" spans="1:2" x14ac:dyDescent="0.25">
      <c r="A123" s="38">
        <v>422</v>
      </c>
      <c r="B123" s="37" t="s">
        <v>1732</v>
      </c>
    </row>
    <row r="124" spans="1:2" x14ac:dyDescent="0.25">
      <c r="A124" s="38">
        <v>426</v>
      </c>
      <c r="B124" s="37" t="s">
        <v>1731</v>
      </c>
    </row>
    <row r="125" spans="1:2" x14ac:dyDescent="0.25">
      <c r="A125" s="38">
        <v>428</v>
      </c>
      <c r="B125" s="37" t="s">
        <v>1730</v>
      </c>
    </row>
    <row r="126" spans="1:2" x14ac:dyDescent="0.25">
      <c r="A126" s="38">
        <v>430</v>
      </c>
      <c r="B126" s="37" t="s">
        <v>1729</v>
      </c>
    </row>
    <row r="127" spans="1:2" x14ac:dyDescent="0.25">
      <c r="A127" s="38">
        <v>434</v>
      </c>
      <c r="B127" s="37" t="s">
        <v>1728</v>
      </c>
    </row>
    <row r="128" spans="1:2" x14ac:dyDescent="0.25">
      <c r="A128" s="38">
        <v>438</v>
      </c>
      <c r="B128" s="37" t="s">
        <v>1727</v>
      </c>
    </row>
    <row r="129" spans="1:2" x14ac:dyDescent="0.25">
      <c r="A129" s="38">
        <v>440</v>
      </c>
      <c r="B129" s="37" t="s">
        <v>1726</v>
      </c>
    </row>
    <row r="130" spans="1:2" x14ac:dyDescent="0.25">
      <c r="A130" s="38">
        <v>442</v>
      </c>
      <c r="B130" s="37" t="s">
        <v>1725</v>
      </c>
    </row>
    <row r="131" spans="1:2" x14ac:dyDescent="0.25">
      <c r="A131" s="38">
        <v>446</v>
      </c>
      <c r="B131" s="37" t="s">
        <v>1724</v>
      </c>
    </row>
    <row r="132" spans="1:2" x14ac:dyDescent="0.25">
      <c r="A132" s="38">
        <v>450</v>
      </c>
      <c r="B132" s="37" t="s">
        <v>1723</v>
      </c>
    </row>
    <row r="133" spans="1:2" x14ac:dyDescent="0.25">
      <c r="A133" s="38">
        <v>454</v>
      </c>
      <c r="B133" s="37" t="s">
        <v>1722</v>
      </c>
    </row>
    <row r="134" spans="1:2" x14ac:dyDescent="0.25">
      <c r="A134" s="38">
        <v>458</v>
      </c>
      <c r="B134" s="37" t="s">
        <v>1721</v>
      </c>
    </row>
    <row r="135" spans="1:2" x14ac:dyDescent="0.25">
      <c r="A135" s="38">
        <v>462</v>
      </c>
      <c r="B135" s="37" t="s">
        <v>1720</v>
      </c>
    </row>
    <row r="136" spans="1:2" x14ac:dyDescent="0.25">
      <c r="A136" s="38">
        <v>466</v>
      </c>
      <c r="B136" s="37" t="s">
        <v>1719</v>
      </c>
    </row>
    <row r="137" spans="1:2" x14ac:dyDescent="0.25">
      <c r="A137" s="38">
        <v>470</v>
      </c>
      <c r="B137" s="37" t="s">
        <v>1718</v>
      </c>
    </row>
    <row r="138" spans="1:2" x14ac:dyDescent="0.25">
      <c r="A138" s="38">
        <v>474</v>
      </c>
      <c r="B138" s="37" t="s">
        <v>1717</v>
      </c>
    </row>
    <row r="139" spans="1:2" x14ac:dyDescent="0.25">
      <c r="A139" s="38">
        <v>478</v>
      </c>
      <c r="B139" s="37" t="s">
        <v>1716</v>
      </c>
    </row>
    <row r="140" spans="1:2" x14ac:dyDescent="0.25">
      <c r="A140" s="38">
        <v>480</v>
      </c>
      <c r="B140" s="37" t="s">
        <v>1715</v>
      </c>
    </row>
    <row r="141" spans="1:2" x14ac:dyDescent="0.25">
      <c r="A141" s="38">
        <v>484</v>
      </c>
      <c r="B141" s="37" t="s">
        <v>1714</v>
      </c>
    </row>
    <row r="142" spans="1:2" x14ac:dyDescent="0.25">
      <c r="A142" s="38">
        <v>492</v>
      </c>
      <c r="B142" s="37" t="s">
        <v>1713</v>
      </c>
    </row>
    <row r="143" spans="1:2" x14ac:dyDescent="0.25">
      <c r="A143" s="38">
        <v>496</v>
      </c>
      <c r="B143" s="37" t="s">
        <v>1712</v>
      </c>
    </row>
    <row r="144" spans="1:2" x14ac:dyDescent="0.25">
      <c r="A144" s="38">
        <v>498</v>
      </c>
      <c r="B144" s="37" t="s">
        <v>1711</v>
      </c>
    </row>
    <row r="145" spans="1:2" x14ac:dyDescent="0.25">
      <c r="A145" s="38">
        <v>499</v>
      </c>
      <c r="B145" s="37" t="s">
        <v>1710</v>
      </c>
    </row>
    <row r="146" spans="1:2" x14ac:dyDescent="0.25">
      <c r="A146" s="38">
        <v>500</v>
      </c>
      <c r="B146" s="37" t="s">
        <v>1709</v>
      </c>
    </row>
    <row r="147" spans="1:2" x14ac:dyDescent="0.25">
      <c r="A147" s="38">
        <v>504</v>
      </c>
      <c r="B147" s="37" t="s">
        <v>1708</v>
      </c>
    </row>
    <row r="148" spans="1:2" x14ac:dyDescent="0.25">
      <c r="A148" s="38">
        <v>508</v>
      </c>
      <c r="B148" s="37" t="s">
        <v>1707</v>
      </c>
    </row>
    <row r="149" spans="1:2" x14ac:dyDescent="0.25">
      <c r="A149" s="38">
        <v>512</v>
      </c>
      <c r="B149" s="37" t="s">
        <v>1706</v>
      </c>
    </row>
    <row r="150" spans="1:2" x14ac:dyDescent="0.25">
      <c r="A150" s="38">
        <v>516</v>
      </c>
      <c r="B150" s="37" t="s">
        <v>1705</v>
      </c>
    </row>
    <row r="151" spans="1:2" x14ac:dyDescent="0.25">
      <c r="A151" s="38">
        <v>520</v>
      </c>
      <c r="B151" s="37" t="s">
        <v>1704</v>
      </c>
    </row>
    <row r="152" spans="1:2" x14ac:dyDescent="0.25">
      <c r="A152" s="38">
        <v>524</v>
      </c>
      <c r="B152" s="37" t="s">
        <v>1703</v>
      </c>
    </row>
    <row r="153" spans="1:2" x14ac:dyDescent="0.25">
      <c r="A153" s="38">
        <v>528</v>
      </c>
      <c r="B153" s="37" t="s">
        <v>1702</v>
      </c>
    </row>
    <row r="154" spans="1:2" x14ac:dyDescent="0.25">
      <c r="A154" s="38">
        <v>531</v>
      </c>
      <c r="B154" s="37" t="s">
        <v>1701</v>
      </c>
    </row>
    <row r="155" spans="1:2" x14ac:dyDescent="0.25">
      <c r="A155" s="38">
        <v>533</v>
      </c>
      <c r="B155" s="37" t="s">
        <v>1700</v>
      </c>
    </row>
    <row r="156" spans="1:2" x14ac:dyDescent="0.25">
      <c r="A156" s="38">
        <v>534</v>
      </c>
      <c r="B156" s="37" t="s">
        <v>1699</v>
      </c>
    </row>
    <row r="157" spans="1:2" x14ac:dyDescent="0.25">
      <c r="A157" s="38">
        <v>535</v>
      </c>
      <c r="B157" s="37" t="s">
        <v>1698</v>
      </c>
    </row>
    <row r="158" spans="1:2" x14ac:dyDescent="0.25">
      <c r="A158" s="38">
        <v>540</v>
      </c>
      <c r="B158" s="37" t="s">
        <v>1697</v>
      </c>
    </row>
    <row r="159" spans="1:2" x14ac:dyDescent="0.25">
      <c r="A159" s="38">
        <v>548</v>
      </c>
      <c r="B159" s="37" t="s">
        <v>1696</v>
      </c>
    </row>
    <row r="160" spans="1:2" x14ac:dyDescent="0.25">
      <c r="A160" s="38">
        <v>554</v>
      </c>
      <c r="B160" s="37" t="s">
        <v>1695</v>
      </c>
    </row>
    <row r="161" spans="1:2" x14ac:dyDescent="0.25">
      <c r="A161" s="38">
        <v>558</v>
      </c>
      <c r="B161" s="37" t="s">
        <v>1694</v>
      </c>
    </row>
    <row r="162" spans="1:2" x14ac:dyDescent="0.25">
      <c r="A162" s="38">
        <v>562</v>
      </c>
      <c r="B162" s="37" t="s">
        <v>1693</v>
      </c>
    </row>
    <row r="163" spans="1:2" x14ac:dyDescent="0.25">
      <c r="A163" s="38">
        <v>566</v>
      </c>
      <c r="B163" s="37" t="s">
        <v>1692</v>
      </c>
    </row>
    <row r="164" spans="1:2" x14ac:dyDescent="0.25">
      <c r="A164" s="38">
        <v>570</v>
      </c>
      <c r="B164" s="37" t="s">
        <v>1691</v>
      </c>
    </row>
    <row r="165" spans="1:2" x14ac:dyDescent="0.25">
      <c r="A165" s="38">
        <v>574</v>
      </c>
      <c r="B165" s="37" t="s">
        <v>1690</v>
      </c>
    </row>
    <row r="166" spans="1:2" x14ac:dyDescent="0.25">
      <c r="A166" s="38">
        <v>578</v>
      </c>
      <c r="B166" s="37" t="s">
        <v>1689</v>
      </c>
    </row>
    <row r="167" spans="1:2" x14ac:dyDescent="0.25">
      <c r="A167" s="38">
        <v>580</v>
      </c>
      <c r="B167" s="37" t="s">
        <v>1688</v>
      </c>
    </row>
    <row r="168" spans="1:2" x14ac:dyDescent="0.25">
      <c r="A168" s="38">
        <v>581</v>
      </c>
      <c r="B168" s="37" t="s">
        <v>1687</v>
      </c>
    </row>
    <row r="169" spans="1:2" x14ac:dyDescent="0.25">
      <c r="A169" s="38">
        <v>583</v>
      </c>
      <c r="B169" s="37" t="s">
        <v>1686</v>
      </c>
    </row>
    <row r="170" spans="1:2" x14ac:dyDescent="0.25">
      <c r="A170" s="38">
        <v>584</v>
      </c>
      <c r="B170" s="37" t="s">
        <v>1685</v>
      </c>
    </row>
    <row r="171" spans="1:2" x14ac:dyDescent="0.25">
      <c r="A171" s="38">
        <v>585</v>
      </c>
      <c r="B171" s="37" t="s">
        <v>1684</v>
      </c>
    </row>
    <row r="172" spans="1:2" x14ac:dyDescent="0.25">
      <c r="A172" s="38">
        <v>586</v>
      </c>
      <c r="B172" s="37" t="s">
        <v>1683</v>
      </c>
    </row>
    <row r="173" spans="1:2" x14ac:dyDescent="0.25">
      <c r="A173" s="38">
        <v>591</v>
      </c>
      <c r="B173" s="37" t="s">
        <v>1682</v>
      </c>
    </row>
    <row r="174" spans="1:2" x14ac:dyDescent="0.25">
      <c r="A174" s="38">
        <v>598</v>
      </c>
      <c r="B174" s="37" t="s">
        <v>1681</v>
      </c>
    </row>
    <row r="175" spans="1:2" x14ac:dyDescent="0.25">
      <c r="A175" s="38">
        <v>600</v>
      </c>
      <c r="B175" s="37" t="s">
        <v>1680</v>
      </c>
    </row>
    <row r="176" spans="1:2" x14ac:dyDescent="0.25">
      <c r="A176" s="38">
        <v>604</v>
      </c>
      <c r="B176" s="37" t="s">
        <v>1679</v>
      </c>
    </row>
    <row r="177" spans="1:2" x14ac:dyDescent="0.25">
      <c r="A177" s="38">
        <v>608</v>
      </c>
      <c r="B177" s="37" t="s">
        <v>1678</v>
      </c>
    </row>
    <row r="178" spans="1:2" x14ac:dyDescent="0.25">
      <c r="A178" s="38">
        <v>612</v>
      </c>
      <c r="B178" s="37" t="s">
        <v>1677</v>
      </c>
    </row>
    <row r="179" spans="1:2" x14ac:dyDescent="0.25">
      <c r="A179" s="38">
        <v>616</v>
      </c>
      <c r="B179" s="37" t="s">
        <v>1676</v>
      </c>
    </row>
    <row r="180" spans="1:2" x14ac:dyDescent="0.25">
      <c r="A180" s="38">
        <v>620</v>
      </c>
      <c r="B180" s="37" t="s">
        <v>1675</v>
      </c>
    </row>
    <row r="181" spans="1:2" x14ac:dyDescent="0.25">
      <c r="A181" s="38">
        <v>624</v>
      </c>
      <c r="B181" s="37" t="s">
        <v>1674</v>
      </c>
    </row>
    <row r="182" spans="1:2" x14ac:dyDescent="0.25">
      <c r="A182" s="38">
        <v>626</v>
      </c>
      <c r="B182" s="37" t="s">
        <v>1673</v>
      </c>
    </row>
    <row r="183" spans="1:2" x14ac:dyDescent="0.25">
      <c r="A183" s="38">
        <v>630</v>
      </c>
      <c r="B183" s="37" t="s">
        <v>1672</v>
      </c>
    </row>
    <row r="184" spans="1:2" x14ac:dyDescent="0.25">
      <c r="A184" s="38">
        <v>634</v>
      </c>
      <c r="B184" s="37" t="s">
        <v>1671</v>
      </c>
    </row>
    <row r="185" spans="1:2" x14ac:dyDescent="0.25">
      <c r="A185" s="38">
        <v>638</v>
      </c>
      <c r="B185" s="37" t="s">
        <v>1670</v>
      </c>
    </row>
    <row r="186" spans="1:2" x14ac:dyDescent="0.25">
      <c r="A186" s="38">
        <v>642</v>
      </c>
      <c r="B186" s="37" t="s">
        <v>1669</v>
      </c>
    </row>
    <row r="187" spans="1:2" x14ac:dyDescent="0.25">
      <c r="A187" s="38">
        <v>643</v>
      </c>
      <c r="B187" s="37" t="s">
        <v>1668</v>
      </c>
    </row>
    <row r="188" spans="1:2" x14ac:dyDescent="0.25">
      <c r="A188" s="38">
        <v>646</v>
      </c>
      <c r="B188" s="37" t="s">
        <v>1667</v>
      </c>
    </row>
    <row r="189" spans="1:2" x14ac:dyDescent="0.25">
      <c r="A189" s="38">
        <v>652</v>
      </c>
      <c r="B189" s="37" t="s">
        <v>1666</v>
      </c>
    </row>
    <row r="190" spans="1:2" x14ac:dyDescent="0.25">
      <c r="A190" s="38">
        <v>654</v>
      </c>
      <c r="B190" s="37" t="s">
        <v>1665</v>
      </c>
    </row>
    <row r="191" spans="1:2" x14ac:dyDescent="0.25">
      <c r="A191" s="38">
        <v>659</v>
      </c>
      <c r="B191" s="37" t="s">
        <v>1664</v>
      </c>
    </row>
    <row r="192" spans="1:2" x14ac:dyDescent="0.25">
      <c r="A192" s="38">
        <v>660</v>
      </c>
      <c r="B192" s="37" t="s">
        <v>1663</v>
      </c>
    </row>
    <row r="193" spans="1:2" x14ac:dyDescent="0.25">
      <c r="A193" s="38">
        <v>662</v>
      </c>
      <c r="B193" s="37" t="s">
        <v>1662</v>
      </c>
    </row>
    <row r="194" spans="1:2" x14ac:dyDescent="0.25">
      <c r="A194" s="38">
        <v>663</v>
      </c>
      <c r="B194" s="37" t="s">
        <v>1661</v>
      </c>
    </row>
    <row r="195" spans="1:2" x14ac:dyDescent="0.25">
      <c r="A195" s="38">
        <v>666</v>
      </c>
      <c r="B195" s="37" t="s">
        <v>1660</v>
      </c>
    </row>
    <row r="196" spans="1:2" x14ac:dyDescent="0.25">
      <c r="A196" s="38">
        <v>670</v>
      </c>
      <c r="B196" s="37" t="s">
        <v>1659</v>
      </c>
    </row>
    <row r="197" spans="1:2" x14ac:dyDescent="0.25">
      <c r="A197" s="38">
        <v>674</v>
      </c>
      <c r="B197" s="37" t="s">
        <v>1658</v>
      </c>
    </row>
    <row r="198" spans="1:2" x14ac:dyDescent="0.25">
      <c r="A198" s="38">
        <v>678</v>
      </c>
      <c r="B198" s="37" t="s">
        <v>1657</v>
      </c>
    </row>
    <row r="199" spans="1:2" x14ac:dyDescent="0.25">
      <c r="A199" s="38">
        <v>682</v>
      </c>
      <c r="B199" s="37" t="s">
        <v>1656</v>
      </c>
    </row>
    <row r="200" spans="1:2" x14ac:dyDescent="0.25">
      <c r="A200" s="38">
        <v>686</v>
      </c>
      <c r="B200" s="37" t="s">
        <v>1655</v>
      </c>
    </row>
    <row r="201" spans="1:2" x14ac:dyDescent="0.25">
      <c r="A201" s="38">
        <v>688</v>
      </c>
      <c r="B201" s="37" t="s">
        <v>1654</v>
      </c>
    </row>
    <row r="202" spans="1:2" x14ac:dyDescent="0.25">
      <c r="A202" s="38">
        <v>690</v>
      </c>
      <c r="B202" s="37" t="s">
        <v>1653</v>
      </c>
    </row>
    <row r="203" spans="1:2" x14ac:dyDescent="0.25">
      <c r="A203" s="38">
        <v>694</v>
      </c>
      <c r="B203" s="37" t="s">
        <v>1652</v>
      </c>
    </row>
    <row r="204" spans="1:2" x14ac:dyDescent="0.25">
      <c r="A204" s="38">
        <v>702</v>
      </c>
      <c r="B204" s="37" t="s">
        <v>1651</v>
      </c>
    </row>
    <row r="205" spans="1:2" x14ac:dyDescent="0.25">
      <c r="A205" s="38">
        <v>703</v>
      </c>
      <c r="B205" s="37" t="s">
        <v>1650</v>
      </c>
    </row>
    <row r="206" spans="1:2" x14ac:dyDescent="0.25">
      <c r="A206" s="38">
        <v>704</v>
      </c>
      <c r="B206" s="37" t="s">
        <v>1649</v>
      </c>
    </row>
    <row r="207" spans="1:2" x14ac:dyDescent="0.25">
      <c r="A207" s="38">
        <v>705</v>
      </c>
      <c r="B207" s="37" t="s">
        <v>1648</v>
      </c>
    </row>
    <row r="208" spans="1:2" x14ac:dyDescent="0.25">
      <c r="A208" s="38">
        <v>706</v>
      </c>
      <c r="B208" s="37" t="s">
        <v>1647</v>
      </c>
    </row>
    <row r="209" spans="1:2" x14ac:dyDescent="0.25">
      <c r="A209" s="38">
        <v>710</v>
      </c>
      <c r="B209" s="37" t="s">
        <v>1646</v>
      </c>
    </row>
    <row r="210" spans="1:2" x14ac:dyDescent="0.25">
      <c r="A210" s="38">
        <v>716</v>
      </c>
      <c r="B210" s="37" t="s">
        <v>1645</v>
      </c>
    </row>
    <row r="211" spans="1:2" x14ac:dyDescent="0.25">
      <c r="A211" s="38">
        <v>728</v>
      </c>
      <c r="B211" s="37" t="s">
        <v>1644</v>
      </c>
    </row>
    <row r="212" spans="1:2" x14ac:dyDescent="0.25">
      <c r="A212" s="38">
        <v>729</v>
      </c>
      <c r="B212" s="37" t="s">
        <v>1643</v>
      </c>
    </row>
    <row r="213" spans="1:2" x14ac:dyDescent="0.25">
      <c r="A213" s="38">
        <v>732</v>
      </c>
      <c r="B213" s="37" t="s">
        <v>1642</v>
      </c>
    </row>
    <row r="214" spans="1:2" x14ac:dyDescent="0.25">
      <c r="A214" s="38">
        <v>740</v>
      </c>
      <c r="B214" s="37" t="s">
        <v>1641</v>
      </c>
    </row>
    <row r="215" spans="1:2" x14ac:dyDescent="0.25">
      <c r="A215" s="38">
        <v>744</v>
      </c>
      <c r="B215" s="37" t="s">
        <v>1640</v>
      </c>
    </row>
    <row r="216" spans="1:2" x14ac:dyDescent="0.25">
      <c r="A216" s="38">
        <v>748</v>
      </c>
      <c r="B216" s="37" t="s">
        <v>1639</v>
      </c>
    </row>
    <row r="217" spans="1:2" x14ac:dyDescent="0.25">
      <c r="A217" s="38">
        <v>752</v>
      </c>
      <c r="B217" s="37" t="s">
        <v>1638</v>
      </c>
    </row>
    <row r="218" spans="1:2" x14ac:dyDescent="0.25">
      <c r="A218" s="38">
        <v>756</v>
      </c>
      <c r="B218" s="37" t="s">
        <v>1637</v>
      </c>
    </row>
    <row r="219" spans="1:2" x14ac:dyDescent="0.25">
      <c r="A219" s="38">
        <v>760</v>
      </c>
      <c r="B219" s="37" t="s">
        <v>1636</v>
      </c>
    </row>
    <row r="220" spans="1:2" x14ac:dyDescent="0.25">
      <c r="A220" s="38">
        <v>762</v>
      </c>
      <c r="B220" s="37" t="s">
        <v>1635</v>
      </c>
    </row>
    <row r="221" spans="1:2" x14ac:dyDescent="0.25">
      <c r="A221" s="38">
        <v>764</v>
      </c>
      <c r="B221" s="37" t="s">
        <v>1634</v>
      </c>
    </row>
    <row r="222" spans="1:2" x14ac:dyDescent="0.25">
      <c r="A222" s="38">
        <v>768</v>
      </c>
      <c r="B222" s="37" t="s">
        <v>1633</v>
      </c>
    </row>
    <row r="223" spans="1:2" x14ac:dyDescent="0.25">
      <c r="A223" s="38">
        <v>772</v>
      </c>
      <c r="B223" s="37" t="s">
        <v>1632</v>
      </c>
    </row>
    <row r="224" spans="1:2" x14ac:dyDescent="0.25">
      <c r="A224" s="38">
        <v>776</v>
      </c>
      <c r="B224" s="37" t="s">
        <v>1631</v>
      </c>
    </row>
    <row r="225" spans="1:2" x14ac:dyDescent="0.25">
      <c r="A225" s="38">
        <v>780</v>
      </c>
      <c r="B225" s="37" t="s">
        <v>1630</v>
      </c>
    </row>
    <row r="226" spans="1:2" x14ac:dyDescent="0.25">
      <c r="A226" s="38">
        <v>784</v>
      </c>
      <c r="B226" s="37" t="s">
        <v>1629</v>
      </c>
    </row>
    <row r="227" spans="1:2" x14ac:dyDescent="0.25">
      <c r="A227" s="38">
        <v>788</v>
      </c>
      <c r="B227" s="37" t="s">
        <v>1628</v>
      </c>
    </row>
    <row r="228" spans="1:2" x14ac:dyDescent="0.25">
      <c r="A228" s="38">
        <v>792</v>
      </c>
      <c r="B228" s="37" t="s">
        <v>1627</v>
      </c>
    </row>
    <row r="229" spans="1:2" x14ac:dyDescent="0.25">
      <c r="A229" s="38">
        <v>795</v>
      </c>
      <c r="B229" s="37" t="s">
        <v>1626</v>
      </c>
    </row>
    <row r="230" spans="1:2" x14ac:dyDescent="0.25">
      <c r="A230" s="38">
        <v>796</v>
      </c>
      <c r="B230" s="37" t="s">
        <v>1625</v>
      </c>
    </row>
    <row r="231" spans="1:2" x14ac:dyDescent="0.25">
      <c r="A231" s="38">
        <v>798</v>
      </c>
      <c r="B231" s="37" t="s">
        <v>1624</v>
      </c>
    </row>
    <row r="232" spans="1:2" x14ac:dyDescent="0.25">
      <c r="A232" s="38">
        <v>800</v>
      </c>
      <c r="B232" s="37" t="s">
        <v>1623</v>
      </c>
    </row>
    <row r="233" spans="1:2" x14ac:dyDescent="0.25">
      <c r="A233" s="38">
        <v>804</v>
      </c>
      <c r="B233" s="37" t="s">
        <v>1622</v>
      </c>
    </row>
    <row r="234" spans="1:2" x14ac:dyDescent="0.25">
      <c r="A234" s="38">
        <v>807</v>
      </c>
      <c r="B234" s="37" t="s">
        <v>1621</v>
      </c>
    </row>
    <row r="235" spans="1:2" x14ac:dyDescent="0.25">
      <c r="A235" s="38">
        <v>818</v>
      </c>
      <c r="B235" s="37" t="s">
        <v>1620</v>
      </c>
    </row>
    <row r="236" spans="1:2" x14ac:dyDescent="0.25">
      <c r="A236" s="38">
        <v>831</v>
      </c>
      <c r="B236" s="37" t="s">
        <v>1619</v>
      </c>
    </row>
    <row r="237" spans="1:2" x14ac:dyDescent="0.25">
      <c r="A237" s="38">
        <v>832</v>
      </c>
      <c r="B237" s="37" t="s">
        <v>1618</v>
      </c>
    </row>
    <row r="238" spans="1:2" x14ac:dyDescent="0.25">
      <c r="A238" s="38">
        <v>833</v>
      </c>
      <c r="B238" s="37" t="s">
        <v>1617</v>
      </c>
    </row>
    <row r="239" spans="1:2" x14ac:dyDescent="0.25">
      <c r="A239" s="38">
        <v>834</v>
      </c>
      <c r="B239" s="37" t="s">
        <v>1616</v>
      </c>
    </row>
    <row r="240" spans="1:2" x14ac:dyDescent="0.25">
      <c r="A240" s="38">
        <v>840</v>
      </c>
      <c r="B240" s="37" t="s">
        <v>1615</v>
      </c>
    </row>
    <row r="241" spans="1:2" x14ac:dyDescent="0.25">
      <c r="A241" s="38">
        <v>850</v>
      </c>
      <c r="B241" s="37" t="s">
        <v>1614</v>
      </c>
    </row>
    <row r="242" spans="1:2" x14ac:dyDescent="0.25">
      <c r="A242" s="38">
        <v>854</v>
      </c>
      <c r="B242" s="37" t="s">
        <v>1613</v>
      </c>
    </row>
    <row r="243" spans="1:2" x14ac:dyDescent="0.25">
      <c r="A243" s="38">
        <v>858</v>
      </c>
      <c r="B243" s="37" t="s">
        <v>1612</v>
      </c>
    </row>
    <row r="244" spans="1:2" x14ac:dyDescent="0.25">
      <c r="A244" s="38">
        <v>860</v>
      </c>
      <c r="B244" s="37" t="s">
        <v>1611</v>
      </c>
    </row>
    <row r="245" spans="1:2" x14ac:dyDescent="0.25">
      <c r="A245" s="38">
        <v>862</v>
      </c>
      <c r="B245" s="37" t="s">
        <v>1610</v>
      </c>
    </row>
    <row r="246" spans="1:2" x14ac:dyDescent="0.25">
      <c r="A246" s="38">
        <v>876</v>
      </c>
      <c r="B246" s="37" t="s">
        <v>1609</v>
      </c>
    </row>
    <row r="247" spans="1:2" x14ac:dyDescent="0.25">
      <c r="A247" s="38">
        <v>882</v>
      </c>
      <c r="B247" s="37" t="s">
        <v>1608</v>
      </c>
    </row>
    <row r="248" spans="1:2" x14ac:dyDescent="0.25">
      <c r="A248" s="38">
        <v>887</v>
      </c>
      <c r="B248" s="37" t="s">
        <v>1607</v>
      </c>
    </row>
    <row r="249" spans="1:2" x14ac:dyDescent="0.25">
      <c r="A249" s="38">
        <v>894</v>
      </c>
      <c r="B249" s="37" t="s">
        <v>1606</v>
      </c>
    </row>
    <row r="250" spans="1:2" x14ac:dyDescent="0.25">
      <c r="A250" s="38">
        <v>901</v>
      </c>
      <c r="B250" s="37" t="s">
        <v>1605</v>
      </c>
    </row>
    <row r="251" spans="1:2" x14ac:dyDescent="0.25">
      <c r="A251" s="38">
        <v>902</v>
      </c>
      <c r="B251" s="37" t="s">
        <v>1604</v>
      </c>
    </row>
    <row r="252" spans="1:2" x14ac:dyDescent="0.25">
      <c r="A252" s="38">
        <v>903</v>
      </c>
      <c r="B252" s="37" t="s">
        <v>1603</v>
      </c>
    </row>
    <row r="253" spans="1:2" x14ac:dyDescent="0.25">
      <c r="A253" s="38">
        <v>911</v>
      </c>
      <c r="B253" s="37" t="s">
        <v>1602</v>
      </c>
    </row>
    <row r="254" spans="1:2" x14ac:dyDescent="0.25">
      <c r="A254" s="38">
        <v>912</v>
      </c>
      <c r="B254" s="37" t="s">
        <v>1601</v>
      </c>
    </row>
    <row r="255" spans="1:2" x14ac:dyDescent="0.25">
      <c r="A255" s="38">
        <v>913</v>
      </c>
      <c r="B255" s="37" t="s">
        <v>1600</v>
      </c>
    </row>
    <row r="256" spans="1:2" x14ac:dyDescent="0.25">
      <c r="A256" s="38">
        <v>921</v>
      </c>
      <c r="B256" s="37" t="s">
        <v>1599</v>
      </c>
    </row>
    <row r="257" spans="1:2" x14ac:dyDescent="0.25">
      <c r="A257" s="38">
        <v>922</v>
      </c>
      <c r="B257" s="37" t="s">
        <v>591</v>
      </c>
    </row>
    <row r="258" spans="1:2" x14ac:dyDescent="0.25">
      <c r="A258" s="38">
        <v>923</v>
      </c>
      <c r="B258" s="37" t="s">
        <v>593</v>
      </c>
    </row>
    <row r="259" spans="1:2" x14ac:dyDescent="0.25">
      <c r="A259" s="38">
        <v>924</v>
      </c>
      <c r="B259" s="37" t="s">
        <v>594</v>
      </c>
    </row>
    <row r="260" spans="1:2" x14ac:dyDescent="0.25">
      <c r="A260" s="38">
        <v>925</v>
      </c>
      <c r="B260" s="37" t="s">
        <v>1598</v>
      </c>
    </row>
    <row r="261" spans="1:2" x14ac:dyDescent="0.25">
      <c r="A261" s="38">
        <v>926</v>
      </c>
      <c r="B261" s="37" t="s">
        <v>1597</v>
      </c>
    </row>
    <row r="262" spans="1:2" x14ac:dyDescent="0.25">
      <c r="A262" s="38">
        <v>931</v>
      </c>
      <c r="B262" s="37" t="s">
        <v>1596</v>
      </c>
    </row>
    <row r="263" spans="1:2" x14ac:dyDescent="0.25">
      <c r="A263" s="38">
        <v>951</v>
      </c>
      <c r="B263" s="37" t="s">
        <v>1595</v>
      </c>
    </row>
    <row r="264" spans="1:2" x14ac:dyDescent="0.25">
      <c r="A264" s="38">
        <v>971</v>
      </c>
      <c r="B264" s="37" t="s">
        <v>1594</v>
      </c>
    </row>
    <row r="265" spans="1:2" x14ac:dyDescent="0.25">
      <c r="A265" s="38">
        <v>972</v>
      </c>
      <c r="B265" s="37" t="s">
        <v>1593</v>
      </c>
    </row>
    <row r="266" spans="1:2" x14ac:dyDescent="0.25">
      <c r="A266" s="38">
        <v>973</v>
      </c>
      <c r="B266" s="37" t="s">
        <v>1592</v>
      </c>
    </row>
    <row r="267" spans="1:2" x14ac:dyDescent="0.25">
      <c r="A267" s="38">
        <v>974</v>
      </c>
      <c r="B267" s="37" t="s">
        <v>1591</v>
      </c>
    </row>
    <row r="268" spans="1:2" x14ac:dyDescent="0.25">
      <c r="A268" s="38">
        <v>981</v>
      </c>
      <c r="B268" s="37" t="s">
        <v>1590</v>
      </c>
    </row>
    <row r="269" spans="1:2" x14ac:dyDescent="0.25">
      <c r="A269" s="38">
        <v>982</v>
      </c>
      <c r="B269" s="37" t="s">
        <v>1589</v>
      </c>
    </row>
    <row r="270" spans="1:2" x14ac:dyDescent="0.25">
      <c r="A270" s="38">
        <v>983</v>
      </c>
      <c r="B270" s="37" t="s">
        <v>1588</v>
      </c>
    </row>
    <row r="271" spans="1:2" x14ac:dyDescent="0.25">
      <c r="A271" s="38">
        <v>984</v>
      </c>
      <c r="B271" s="37" t="s">
        <v>1587</v>
      </c>
    </row>
    <row r="272" spans="1:2" x14ac:dyDescent="0.25">
      <c r="A272" s="38">
        <v>985</v>
      </c>
      <c r="B272" s="37" t="s">
        <v>1586</v>
      </c>
    </row>
    <row r="273" spans="1:2" x14ac:dyDescent="0.25">
      <c r="A273" s="38">
        <v>986</v>
      </c>
      <c r="B273" s="37" t="s">
        <v>1585</v>
      </c>
    </row>
    <row r="274" spans="1:2" x14ac:dyDescent="0.25">
      <c r="A274" s="38">
        <v>987</v>
      </c>
      <c r="B274" s="37" t="s">
        <v>1584</v>
      </c>
    </row>
    <row r="275" spans="1:2" x14ac:dyDescent="0.25">
      <c r="A275" s="38">
        <v>988</v>
      </c>
      <c r="B275" s="37" t="s">
        <v>1583</v>
      </c>
    </row>
    <row r="276" spans="1:2" x14ac:dyDescent="0.25">
      <c r="A276" s="38">
        <v>989</v>
      </c>
      <c r="B276" s="37" t="s">
        <v>1582</v>
      </c>
    </row>
    <row r="277" spans="1:2" x14ac:dyDescent="0.25">
      <c r="A277" s="38">
        <v>991</v>
      </c>
      <c r="B277" s="37" t="s">
        <v>1581</v>
      </c>
    </row>
    <row r="278" spans="1:2" x14ac:dyDescent="0.25">
      <c r="A278" s="38">
        <v>992</v>
      </c>
      <c r="B278" s="37" t="s">
        <v>1580</v>
      </c>
    </row>
    <row r="279" spans="1:2" x14ac:dyDescent="0.25">
      <c r="A279" s="38">
        <v>999</v>
      </c>
      <c r="B279" s="37" t="s">
        <v>1579</v>
      </c>
    </row>
  </sheetData>
  <conditionalFormatting sqref="A2:A279">
    <cfRule type="containsBlanks" dxfId="1" priority="1">
      <formula>LEN(TRIM(A2))=0</formula>
    </cfRule>
  </conditionalFormatting>
  <conditionalFormatting sqref="B2:B279">
    <cfRule type="duplicateValues" dxfId="0"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BA56D-3135-4603-9B30-2F0CC5820B9D}">
  <dimension ref="A1:B415"/>
  <sheetViews>
    <sheetView workbookViewId="0"/>
  </sheetViews>
  <sheetFormatPr defaultRowHeight="15" x14ac:dyDescent="0.25"/>
  <cols>
    <col min="1" max="1" width="8.7109375" style="42"/>
    <col min="2" max="2" width="51.5703125" bestFit="1" customWidth="1"/>
  </cols>
  <sheetData>
    <row r="1" spans="1:2" x14ac:dyDescent="0.25">
      <c r="A1" s="78" t="s">
        <v>674</v>
      </c>
      <c r="B1" s="77" t="s">
        <v>673</v>
      </c>
    </row>
    <row r="2" spans="1:2" x14ac:dyDescent="0.25">
      <c r="A2" s="43" t="s">
        <v>2564</v>
      </c>
      <c r="B2" s="37" t="s">
        <v>2563</v>
      </c>
    </row>
    <row r="3" spans="1:2" x14ac:dyDescent="0.25">
      <c r="A3" s="43" t="s">
        <v>2562</v>
      </c>
      <c r="B3" s="37" t="s">
        <v>2561</v>
      </c>
    </row>
    <row r="4" spans="1:2" x14ac:dyDescent="0.25">
      <c r="A4" s="43" t="s">
        <v>2560</v>
      </c>
      <c r="B4" s="37" t="s">
        <v>2559</v>
      </c>
    </row>
    <row r="5" spans="1:2" x14ac:dyDescent="0.25">
      <c r="A5" s="43" t="s">
        <v>2558</v>
      </c>
      <c r="B5" s="37" t="s">
        <v>2557</v>
      </c>
    </row>
    <row r="6" spans="1:2" x14ac:dyDescent="0.25">
      <c r="A6" s="43" t="s">
        <v>2556</v>
      </c>
      <c r="B6" s="37" t="s">
        <v>2555</v>
      </c>
    </row>
    <row r="7" spans="1:2" x14ac:dyDescent="0.25">
      <c r="A7" s="43" t="s">
        <v>2554</v>
      </c>
      <c r="B7" s="37" t="s">
        <v>2553</v>
      </c>
    </row>
    <row r="8" spans="1:2" x14ac:dyDescent="0.25">
      <c r="A8" s="43" t="s">
        <v>2552</v>
      </c>
      <c r="B8" s="37" t="s">
        <v>2551</v>
      </c>
    </row>
    <row r="9" spans="1:2" x14ac:dyDescent="0.25">
      <c r="A9" s="43" t="s">
        <v>2550</v>
      </c>
      <c r="B9" s="37" t="s">
        <v>2549</v>
      </c>
    </row>
    <row r="10" spans="1:2" x14ac:dyDescent="0.25">
      <c r="A10" s="43" t="s">
        <v>2548</v>
      </c>
      <c r="B10" s="37" t="s">
        <v>2547</v>
      </c>
    </row>
    <row r="11" spans="1:2" x14ac:dyDescent="0.25">
      <c r="A11" s="43" t="s">
        <v>2546</v>
      </c>
      <c r="B11" s="37" t="s">
        <v>2545</v>
      </c>
    </row>
    <row r="12" spans="1:2" x14ac:dyDescent="0.25">
      <c r="A12" s="43" t="s">
        <v>2544</v>
      </c>
      <c r="B12" s="37" t="s">
        <v>2543</v>
      </c>
    </row>
    <row r="13" spans="1:2" x14ac:dyDescent="0.25">
      <c r="A13" s="43" t="s">
        <v>2542</v>
      </c>
      <c r="B13" s="37" t="s">
        <v>2541</v>
      </c>
    </row>
    <row r="14" spans="1:2" x14ac:dyDescent="0.25">
      <c r="A14" s="43" t="s">
        <v>2540</v>
      </c>
      <c r="B14" s="37" t="s">
        <v>2539</v>
      </c>
    </row>
    <row r="15" spans="1:2" x14ac:dyDescent="0.25">
      <c r="A15" s="43" t="s">
        <v>2538</v>
      </c>
      <c r="B15" s="37" t="s">
        <v>2537</v>
      </c>
    </row>
    <row r="16" spans="1:2" x14ac:dyDescent="0.25">
      <c r="A16" s="43" t="s">
        <v>2536</v>
      </c>
      <c r="B16" s="37" t="s">
        <v>2535</v>
      </c>
    </row>
    <row r="17" spans="1:2" x14ac:dyDescent="0.25">
      <c r="A17" s="43" t="s">
        <v>2534</v>
      </c>
      <c r="B17" s="37" t="s">
        <v>2533</v>
      </c>
    </row>
    <row r="18" spans="1:2" x14ac:dyDescent="0.25">
      <c r="A18" s="43" t="s">
        <v>2532</v>
      </c>
      <c r="B18" s="37" t="s">
        <v>2531</v>
      </c>
    </row>
    <row r="19" spans="1:2" x14ac:dyDescent="0.25">
      <c r="A19" s="43" t="s">
        <v>2530</v>
      </c>
      <c r="B19" s="37" t="s">
        <v>2529</v>
      </c>
    </row>
    <row r="20" spans="1:2" x14ac:dyDescent="0.25">
      <c r="A20" s="43" t="s">
        <v>2528</v>
      </c>
      <c r="B20" s="37" t="s">
        <v>2527</v>
      </c>
    </row>
    <row r="21" spans="1:2" x14ac:dyDescent="0.25">
      <c r="A21" s="43" t="s">
        <v>2526</v>
      </c>
      <c r="B21" s="37" t="s">
        <v>2525</v>
      </c>
    </row>
    <row r="22" spans="1:2" x14ac:dyDescent="0.25">
      <c r="A22" s="43" t="s">
        <v>2524</v>
      </c>
      <c r="B22" s="37" t="s">
        <v>2523</v>
      </c>
    </row>
    <row r="23" spans="1:2" x14ac:dyDescent="0.25">
      <c r="A23" s="43" t="s">
        <v>2522</v>
      </c>
      <c r="B23" s="37" t="s">
        <v>2521</v>
      </c>
    </row>
    <row r="24" spans="1:2" x14ac:dyDescent="0.25">
      <c r="A24" s="43" t="s">
        <v>2520</v>
      </c>
      <c r="B24" s="37" t="s">
        <v>2519</v>
      </c>
    </row>
    <row r="25" spans="1:2" x14ac:dyDescent="0.25">
      <c r="A25" s="43" t="s">
        <v>2518</v>
      </c>
      <c r="B25" s="37" t="s">
        <v>2517</v>
      </c>
    </row>
    <row r="26" spans="1:2" x14ac:dyDescent="0.25">
      <c r="A26" s="43" t="s">
        <v>2516</v>
      </c>
      <c r="B26" s="37" t="s">
        <v>2515</v>
      </c>
    </row>
    <row r="27" spans="1:2" x14ac:dyDescent="0.25">
      <c r="A27" s="43" t="s">
        <v>2514</v>
      </c>
      <c r="B27" s="37" t="s">
        <v>2513</v>
      </c>
    </row>
    <row r="28" spans="1:2" x14ac:dyDescent="0.25">
      <c r="A28" s="43" t="s">
        <v>2512</v>
      </c>
      <c r="B28" s="37" t="s">
        <v>2511</v>
      </c>
    </row>
    <row r="29" spans="1:2" x14ac:dyDescent="0.25">
      <c r="A29" s="43" t="s">
        <v>2510</v>
      </c>
      <c r="B29" s="37" t="s">
        <v>2509</v>
      </c>
    </row>
    <row r="30" spans="1:2" x14ac:dyDescent="0.25">
      <c r="A30" s="43" t="s">
        <v>2508</v>
      </c>
      <c r="B30" s="37" t="s">
        <v>2507</v>
      </c>
    </row>
    <row r="31" spans="1:2" x14ac:dyDescent="0.25">
      <c r="A31" s="43" t="s">
        <v>2506</v>
      </c>
      <c r="B31" s="37" t="s">
        <v>2505</v>
      </c>
    </row>
    <row r="32" spans="1:2" x14ac:dyDescent="0.25">
      <c r="A32" s="43" t="s">
        <v>2504</v>
      </c>
      <c r="B32" s="37" t="s">
        <v>2503</v>
      </c>
    </row>
    <row r="33" spans="1:2" x14ac:dyDescent="0.25">
      <c r="A33" s="45" t="s">
        <v>2502</v>
      </c>
      <c r="B33" s="37" t="s">
        <v>2501</v>
      </c>
    </row>
    <row r="34" spans="1:2" x14ac:dyDescent="0.25">
      <c r="A34" s="43" t="s">
        <v>2500</v>
      </c>
      <c r="B34" s="37" t="s">
        <v>2499</v>
      </c>
    </row>
    <row r="35" spans="1:2" x14ac:dyDescent="0.25">
      <c r="A35" s="43" t="s">
        <v>2498</v>
      </c>
      <c r="B35" s="37" t="s">
        <v>2497</v>
      </c>
    </row>
    <row r="36" spans="1:2" x14ac:dyDescent="0.25">
      <c r="A36" s="43" t="s">
        <v>2496</v>
      </c>
      <c r="B36" s="37" t="s">
        <v>2495</v>
      </c>
    </row>
    <row r="37" spans="1:2" x14ac:dyDescent="0.25">
      <c r="A37" s="45" t="s">
        <v>2494</v>
      </c>
      <c r="B37" s="37" t="s">
        <v>2493</v>
      </c>
    </row>
    <row r="38" spans="1:2" x14ac:dyDescent="0.25">
      <c r="A38" s="43" t="s">
        <v>2492</v>
      </c>
      <c r="B38" s="37" t="s">
        <v>2491</v>
      </c>
    </row>
    <row r="39" spans="1:2" x14ac:dyDescent="0.25">
      <c r="A39" s="43" t="s">
        <v>2490</v>
      </c>
      <c r="B39" s="37" t="s">
        <v>2489</v>
      </c>
    </row>
    <row r="40" spans="1:2" x14ac:dyDescent="0.25">
      <c r="A40" s="43" t="s">
        <v>2488</v>
      </c>
      <c r="B40" s="37" t="s">
        <v>2487</v>
      </c>
    </row>
    <row r="41" spans="1:2" x14ac:dyDescent="0.25">
      <c r="A41" s="43" t="s">
        <v>2486</v>
      </c>
      <c r="B41" s="37" t="s">
        <v>2485</v>
      </c>
    </row>
    <row r="42" spans="1:2" x14ac:dyDescent="0.25">
      <c r="A42" s="43" t="s">
        <v>2484</v>
      </c>
      <c r="B42" s="37" t="s">
        <v>2483</v>
      </c>
    </row>
    <row r="43" spans="1:2" x14ac:dyDescent="0.25">
      <c r="A43" s="43" t="s">
        <v>2482</v>
      </c>
      <c r="B43" s="37" t="s">
        <v>2481</v>
      </c>
    </row>
    <row r="44" spans="1:2" x14ac:dyDescent="0.25">
      <c r="A44" s="43" t="s">
        <v>2480</v>
      </c>
      <c r="B44" s="37" t="s">
        <v>2479</v>
      </c>
    </row>
    <row r="45" spans="1:2" x14ac:dyDescent="0.25">
      <c r="A45" s="43" t="s">
        <v>2478</v>
      </c>
      <c r="B45" s="37" t="s">
        <v>2477</v>
      </c>
    </row>
    <row r="46" spans="1:2" x14ac:dyDescent="0.25">
      <c r="A46" s="43" t="s">
        <v>2476</v>
      </c>
      <c r="B46" s="37" t="s">
        <v>2475</v>
      </c>
    </row>
    <row r="47" spans="1:2" x14ac:dyDescent="0.25">
      <c r="A47" s="43" t="s">
        <v>2474</v>
      </c>
      <c r="B47" s="37" t="s">
        <v>2473</v>
      </c>
    </row>
    <row r="48" spans="1:2" x14ac:dyDescent="0.25">
      <c r="A48" s="43" t="s">
        <v>2472</v>
      </c>
      <c r="B48" s="37" t="s">
        <v>2471</v>
      </c>
    </row>
    <row r="49" spans="1:2" x14ac:dyDescent="0.25">
      <c r="A49" s="43" t="s">
        <v>2470</v>
      </c>
      <c r="B49" s="37" t="s">
        <v>2469</v>
      </c>
    </row>
    <row r="50" spans="1:2" x14ac:dyDescent="0.25">
      <c r="A50" s="43" t="s">
        <v>2468</v>
      </c>
      <c r="B50" s="37" t="s">
        <v>2467</v>
      </c>
    </row>
    <row r="51" spans="1:2" x14ac:dyDescent="0.25">
      <c r="A51" s="43" t="s">
        <v>2466</v>
      </c>
      <c r="B51" s="37" t="s">
        <v>2465</v>
      </c>
    </row>
    <row r="52" spans="1:2" x14ac:dyDescent="0.25">
      <c r="A52" s="43" t="s">
        <v>2464</v>
      </c>
      <c r="B52" s="37" t="s">
        <v>782</v>
      </c>
    </row>
    <row r="53" spans="1:2" x14ac:dyDescent="0.25">
      <c r="A53" s="43" t="s">
        <v>2463</v>
      </c>
      <c r="B53" s="37" t="s">
        <v>772</v>
      </c>
    </row>
    <row r="54" spans="1:2" x14ac:dyDescent="0.25">
      <c r="A54" s="45" t="s">
        <v>2462</v>
      </c>
      <c r="B54" s="37" t="s">
        <v>778</v>
      </c>
    </row>
    <row r="55" spans="1:2" x14ac:dyDescent="0.25">
      <c r="A55" s="45" t="s">
        <v>2461</v>
      </c>
      <c r="B55" s="37" t="s">
        <v>2460</v>
      </c>
    </row>
    <row r="56" spans="1:2" x14ac:dyDescent="0.25">
      <c r="A56" s="43" t="s">
        <v>2459</v>
      </c>
      <c r="B56" s="37" t="s">
        <v>773</v>
      </c>
    </row>
    <row r="57" spans="1:2" x14ac:dyDescent="0.25">
      <c r="A57" s="43" t="s">
        <v>2458</v>
      </c>
      <c r="B57" s="37" t="s">
        <v>775</v>
      </c>
    </row>
    <row r="58" spans="1:2" x14ac:dyDescent="0.25">
      <c r="A58" s="43" t="s">
        <v>2457</v>
      </c>
      <c r="B58" s="37" t="s">
        <v>762</v>
      </c>
    </row>
    <row r="59" spans="1:2" x14ac:dyDescent="0.25">
      <c r="A59" s="43" t="s">
        <v>2456</v>
      </c>
      <c r="B59" s="37" t="s">
        <v>2455</v>
      </c>
    </row>
    <row r="60" spans="1:2" x14ac:dyDescent="0.25">
      <c r="A60" s="43" t="s">
        <v>2454</v>
      </c>
      <c r="B60" s="37" t="s">
        <v>768</v>
      </c>
    </row>
    <row r="61" spans="1:2" x14ac:dyDescent="0.25">
      <c r="A61" s="43" t="s">
        <v>2453</v>
      </c>
      <c r="B61" s="37" t="s">
        <v>763</v>
      </c>
    </row>
    <row r="62" spans="1:2" x14ac:dyDescent="0.25">
      <c r="A62" s="43" t="s">
        <v>2452</v>
      </c>
      <c r="B62" s="37" t="s">
        <v>765</v>
      </c>
    </row>
    <row r="63" spans="1:2" x14ac:dyDescent="0.25">
      <c r="A63" s="43" t="s">
        <v>2451</v>
      </c>
      <c r="B63" s="37" t="s">
        <v>2450</v>
      </c>
    </row>
    <row r="64" spans="1:2" x14ac:dyDescent="0.25">
      <c r="A64" s="43" t="s">
        <v>2449</v>
      </c>
      <c r="B64" s="37" t="s">
        <v>756</v>
      </c>
    </row>
    <row r="65" spans="1:2" x14ac:dyDescent="0.25">
      <c r="A65" s="43" t="s">
        <v>2448</v>
      </c>
      <c r="B65" s="37" t="s">
        <v>752</v>
      </c>
    </row>
    <row r="66" spans="1:2" x14ac:dyDescent="0.25">
      <c r="A66" s="43" t="s">
        <v>2447</v>
      </c>
      <c r="B66" s="37" t="s">
        <v>753</v>
      </c>
    </row>
    <row r="67" spans="1:2" x14ac:dyDescent="0.25">
      <c r="A67" s="43" t="s">
        <v>2446</v>
      </c>
      <c r="B67" s="37" t="s">
        <v>2445</v>
      </c>
    </row>
    <row r="68" spans="1:2" x14ac:dyDescent="0.25">
      <c r="A68" s="43" t="s">
        <v>2444</v>
      </c>
      <c r="B68" s="37" t="s">
        <v>2443</v>
      </c>
    </row>
    <row r="69" spans="1:2" x14ac:dyDescent="0.25">
      <c r="A69" s="43" t="s">
        <v>2442</v>
      </c>
      <c r="B69" s="37" t="s">
        <v>2441</v>
      </c>
    </row>
    <row r="70" spans="1:2" x14ac:dyDescent="0.25">
      <c r="A70" s="43" t="s">
        <v>2440</v>
      </c>
      <c r="B70" s="37" t="s">
        <v>2439</v>
      </c>
    </row>
    <row r="71" spans="1:2" x14ac:dyDescent="0.25">
      <c r="A71" s="43" t="s">
        <v>2438</v>
      </c>
      <c r="B71" s="37" t="s">
        <v>2437</v>
      </c>
    </row>
    <row r="72" spans="1:2" x14ac:dyDescent="0.25">
      <c r="A72" s="43" t="s">
        <v>2436</v>
      </c>
      <c r="B72" s="37" t="s">
        <v>757</v>
      </c>
    </row>
    <row r="73" spans="1:2" x14ac:dyDescent="0.25">
      <c r="A73" s="43" t="s">
        <v>2435</v>
      </c>
      <c r="B73" s="37" t="s">
        <v>759</v>
      </c>
    </row>
    <row r="74" spans="1:2" x14ac:dyDescent="0.25">
      <c r="A74" s="43" t="s">
        <v>2434</v>
      </c>
      <c r="B74" s="37" t="s">
        <v>754</v>
      </c>
    </row>
    <row r="75" spans="1:2" x14ac:dyDescent="0.25">
      <c r="A75" s="45" t="s">
        <v>2433</v>
      </c>
      <c r="B75" s="37" t="s">
        <v>2432</v>
      </c>
    </row>
    <row r="76" spans="1:2" x14ac:dyDescent="0.25">
      <c r="A76" s="43" t="s">
        <v>2431</v>
      </c>
      <c r="B76" s="37" t="s">
        <v>746</v>
      </c>
    </row>
    <row r="77" spans="1:2" x14ac:dyDescent="0.25">
      <c r="A77" s="43" t="s">
        <v>2430</v>
      </c>
      <c r="B77" s="37" t="s">
        <v>742</v>
      </c>
    </row>
    <row r="78" spans="1:2" x14ac:dyDescent="0.25">
      <c r="A78" s="43" t="s">
        <v>2429</v>
      </c>
      <c r="B78" s="37" t="s">
        <v>743</v>
      </c>
    </row>
    <row r="79" spans="1:2" x14ac:dyDescent="0.25">
      <c r="A79" s="43" t="s">
        <v>2428</v>
      </c>
      <c r="B79" s="37" t="s">
        <v>747</v>
      </c>
    </row>
    <row r="80" spans="1:2" x14ac:dyDescent="0.25">
      <c r="A80" s="43" t="s">
        <v>2427</v>
      </c>
      <c r="B80" s="37" t="s">
        <v>749</v>
      </c>
    </row>
    <row r="81" spans="1:2" x14ac:dyDescent="0.25">
      <c r="A81" s="43" t="s">
        <v>2426</v>
      </c>
      <c r="B81" s="37" t="s">
        <v>744</v>
      </c>
    </row>
    <row r="82" spans="1:2" x14ac:dyDescent="0.25">
      <c r="A82" s="43" t="s">
        <v>2425</v>
      </c>
      <c r="B82" s="37" t="s">
        <v>738</v>
      </c>
    </row>
    <row r="83" spans="1:2" x14ac:dyDescent="0.25">
      <c r="A83" s="43" t="s">
        <v>2424</v>
      </c>
      <c r="B83" s="37" t="s">
        <v>2423</v>
      </c>
    </row>
    <row r="84" spans="1:2" x14ac:dyDescent="0.25">
      <c r="A84" s="43" t="s">
        <v>2422</v>
      </c>
      <c r="B84" s="37" t="s">
        <v>739</v>
      </c>
    </row>
    <row r="85" spans="1:2" x14ac:dyDescent="0.25">
      <c r="A85" s="43" t="s">
        <v>2421</v>
      </c>
      <c r="B85" s="37" t="s">
        <v>2420</v>
      </c>
    </row>
    <row r="86" spans="1:2" x14ac:dyDescent="0.25">
      <c r="A86" s="43" t="s">
        <v>2419</v>
      </c>
      <c r="B86" s="37" t="s">
        <v>737</v>
      </c>
    </row>
    <row r="87" spans="1:2" x14ac:dyDescent="0.25">
      <c r="A87" s="43" t="s">
        <v>2418</v>
      </c>
      <c r="B87" s="37" t="s">
        <v>740</v>
      </c>
    </row>
    <row r="88" spans="1:2" x14ac:dyDescent="0.25">
      <c r="A88" s="43" t="s">
        <v>2417</v>
      </c>
      <c r="B88" s="37" t="s">
        <v>731</v>
      </c>
    </row>
    <row r="89" spans="1:2" x14ac:dyDescent="0.25">
      <c r="A89" s="43" t="s">
        <v>2416</v>
      </c>
      <c r="B89" s="37" t="s">
        <v>2415</v>
      </c>
    </row>
    <row r="90" spans="1:2" x14ac:dyDescent="0.25">
      <c r="A90" s="43" t="s">
        <v>2414</v>
      </c>
      <c r="B90" s="37" t="s">
        <v>735</v>
      </c>
    </row>
    <row r="91" spans="1:2" x14ac:dyDescent="0.25">
      <c r="A91" s="43" t="s">
        <v>2413</v>
      </c>
      <c r="B91" s="37" t="s">
        <v>2412</v>
      </c>
    </row>
    <row r="92" spans="1:2" x14ac:dyDescent="0.25">
      <c r="A92" s="43" t="s">
        <v>2411</v>
      </c>
      <c r="B92" s="37" t="s">
        <v>732</v>
      </c>
    </row>
    <row r="93" spans="1:2" x14ac:dyDescent="0.25">
      <c r="A93" s="43" t="s">
        <v>2410</v>
      </c>
      <c r="B93" s="37" t="s">
        <v>734</v>
      </c>
    </row>
    <row r="94" spans="1:2" x14ac:dyDescent="0.25">
      <c r="A94" s="43" t="s">
        <v>2409</v>
      </c>
      <c r="B94" s="37" t="s">
        <v>733</v>
      </c>
    </row>
    <row r="95" spans="1:2" x14ac:dyDescent="0.25">
      <c r="A95" s="43" t="s">
        <v>2408</v>
      </c>
      <c r="B95" s="37" t="s">
        <v>2407</v>
      </c>
    </row>
    <row r="96" spans="1:2" x14ac:dyDescent="0.25">
      <c r="A96" s="43" t="s">
        <v>2406</v>
      </c>
      <c r="B96" s="37" t="s">
        <v>729</v>
      </c>
    </row>
    <row r="97" spans="1:2" x14ac:dyDescent="0.25">
      <c r="A97" s="43" t="s">
        <v>2405</v>
      </c>
      <c r="B97" s="37" t="s">
        <v>2404</v>
      </c>
    </row>
    <row r="98" spans="1:2" x14ac:dyDescent="0.25">
      <c r="A98" s="43" t="s">
        <v>2403</v>
      </c>
      <c r="B98" s="37" t="s">
        <v>2402</v>
      </c>
    </row>
    <row r="99" spans="1:2" x14ac:dyDescent="0.25">
      <c r="A99" s="43" t="s">
        <v>2401</v>
      </c>
      <c r="B99" s="37" t="s">
        <v>2400</v>
      </c>
    </row>
    <row r="100" spans="1:2" x14ac:dyDescent="0.25">
      <c r="A100" s="43" t="s">
        <v>2399</v>
      </c>
      <c r="B100" s="37" t="s">
        <v>2398</v>
      </c>
    </row>
    <row r="101" spans="1:2" x14ac:dyDescent="0.25">
      <c r="A101" s="43">
        <v>104</v>
      </c>
      <c r="B101" s="37" t="s">
        <v>2397</v>
      </c>
    </row>
    <row r="102" spans="1:2" x14ac:dyDescent="0.25">
      <c r="A102" s="43" t="s">
        <v>2396</v>
      </c>
      <c r="B102" s="37" t="s">
        <v>2395</v>
      </c>
    </row>
    <row r="103" spans="1:2" x14ac:dyDescent="0.25">
      <c r="A103" s="43" t="s">
        <v>2394</v>
      </c>
      <c r="B103" s="37" t="s">
        <v>2393</v>
      </c>
    </row>
    <row r="104" spans="1:2" x14ac:dyDescent="0.25">
      <c r="A104" s="43" t="s">
        <v>2392</v>
      </c>
      <c r="B104" s="37" t="s">
        <v>2391</v>
      </c>
    </row>
    <row r="105" spans="1:2" x14ac:dyDescent="0.25">
      <c r="A105" s="43" t="s">
        <v>2390</v>
      </c>
      <c r="B105" s="37" t="s">
        <v>2389</v>
      </c>
    </row>
    <row r="106" spans="1:2" x14ac:dyDescent="0.25">
      <c r="A106" s="43" t="s">
        <v>2388</v>
      </c>
      <c r="B106" s="37" t="s">
        <v>2387</v>
      </c>
    </row>
    <row r="107" spans="1:2" x14ac:dyDescent="0.25">
      <c r="A107" s="43" t="s">
        <v>2386</v>
      </c>
      <c r="B107" s="37" t="s">
        <v>2385</v>
      </c>
    </row>
    <row r="108" spans="1:2" x14ac:dyDescent="0.25">
      <c r="A108" s="43" t="s">
        <v>2384</v>
      </c>
      <c r="B108" s="37" t="s">
        <v>2383</v>
      </c>
    </row>
    <row r="109" spans="1:2" x14ac:dyDescent="0.25">
      <c r="A109" s="43" t="s">
        <v>2382</v>
      </c>
      <c r="B109" s="37" t="s">
        <v>2381</v>
      </c>
    </row>
    <row r="110" spans="1:2" x14ac:dyDescent="0.25">
      <c r="A110" s="43" t="s">
        <v>2380</v>
      </c>
      <c r="B110" s="37" t="s">
        <v>2379</v>
      </c>
    </row>
    <row r="111" spans="1:2" x14ac:dyDescent="0.25">
      <c r="A111" s="43" t="s">
        <v>2378</v>
      </c>
      <c r="B111" s="37" t="s">
        <v>2377</v>
      </c>
    </row>
    <row r="112" spans="1:2" x14ac:dyDescent="0.25">
      <c r="A112" s="43" t="s">
        <v>2376</v>
      </c>
      <c r="B112" s="37" t="s">
        <v>2375</v>
      </c>
    </row>
    <row r="113" spans="1:2" x14ac:dyDescent="0.25">
      <c r="A113" s="43" t="s">
        <v>2374</v>
      </c>
      <c r="B113" s="37" t="s">
        <v>2373</v>
      </c>
    </row>
    <row r="114" spans="1:2" x14ac:dyDescent="0.25">
      <c r="A114" s="43" t="s">
        <v>2372</v>
      </c>
      <c r="B114" s="37" t="s">
        <v>2371</v>
      </c>
    </row>
    <row r="115" spans="1:2" x14ac:dyDescent="0.25">
      <c r="A115" s="43" t="s">
        <v>2370</v>
      </c>
      <c r="B115" s="37" t="s">
        <v>2369</v>
      </c>
    </row>
    <row r="116" spans="1:2" x14ac:dyDescent="0.25">
      <c r="A116" s="43" t="s">
        <v>2368</v>
      </c>
      <c r="B116" s="37" t="s">
        <v>2367</v>
      </c>
    </row>
    <row r="117" spans="1:2" x14ac:dyDescent="0.25">
      <c r="A117" s="43" t="s">
        <v>2366</v>
      </c>
      <c r="B117" s="37" t="s">
        <v>2365</v>
      </c>
    </row>
    <row r="118" spans="1:2" x14ac:dyDescent="0.25">
      <c r="A118" s="43" t="s">
        <v>2364</v>
      </c>
      <c r="B118" s="37" t="s">
        <v>2363</v>
      </c>
    </row>
    <row r="119" spans="1:2" x14ac:dyDescent="0.25">
      <c r="A119" s="43" t="s">
        <v>2362</v>
      </c>
      <c r="B119" s="37" t="s">
        <v>2361</v>
      </c>
    </row>
    <row r="120" spans="1:2" x14ac:dyDescent="0.25">
      <c r="A120" s="43" t="s">
        <v>2360</v>
      </c>
      <c r="B120" s="37" t="s">
        <v>2359</v>
      </c>
    </row>
    <row r="121" spans="1:2" x14ac:dyDescent="0.25">
      <c r="A121" s="45">
        <v>124</v>
      </c>
      <c r="B121" s="37" t="s">
        <v>2358</v>
      </c>
    </row>
    <row r="122" spans="1:2" x14ac:dyDescent="0.25">
      <c r="A122" s="43" t="s">
        <v>2357</v>
      </c>
      <c r="B122" s="37" t="s">
        <v>2356</v>
      </c>
    </row>
    <row r="123" spans="1:2" x14ac:dyDescent="0.25">
      <c r="A123" s="43" t="s">
        <v>2355</v>
      </c>
      <c r="B123" s="37" t="s">
        <v>2354</v>
      </c>
    </row>
    <row r="124" spans="1:2" x14ac:dyDescent="0.25">
      <c r="A124" s="43" t="s">
        <v>2353</v>
      </c>
      <c r="B124" s="37" t="s">
        <v>2352</v>
      </c>
    </row>
    <row r="125" spans="1:2" x14ac:dyDescent="0.25">
      <c r="A125" s="43" t="s">
        <v>2351</v>
      </c>
      <c r="B125" s="37" t="s">
        <v>2350</v>
      </c>
    </row>
    <row r="126" spans="1:2" x14ac:dyDescent="0.25">
      <c r="A126" s="43" t="s">
        <v>2349</v>
      </c>
      <c r="B126" s="37" t="s">
        <v>2348</v>
      </c>
    </row>
    <row r="127" spans="1:2" x14ac:dyDescent="0.25">
      <c r="A127" s="43" t="s">
        <v>2347</v>
      </c>
      <c r="B127" s="37" t="s">
        <v>2346</v>
      </c>
    </row>
    <row r="128" spans="1:2" x14ac:dyDescent="0.25">
      <c r="A128" s="43" t="s">
        <v>2345</v>
      </c>
      <c r="B128" s="37" t="s">
        <v>2344</v>
      </c>
    </row>
    <row r="129" spans="1:2" x14ac:dyDescent="0.25">
      <c r="A129" s="43" t="s">
        <v>2343</v>
      </c>
      <c r="B129" s="37" t="s">
        <v>2342</v>
      </c>
    </row>
    <row r="130" spans="1:2" x14ac:dyDescent="0.25">
      <c r="A130" s="43" t="s">
        <v>2341</v>
      </c>
      <c r="B130" s="37" t="s">
        <v>2340</v>
      </c>
    </row>
    <row r="131" spans="1:2" x14ac:dyDescent="0.25">
      <c r="A131" s="43" t="s">
        <v>2339</v>
      </c>
      <c r="B131" s="37" t="s">
        <v>2338</v>
      </c>
    </row>
    <row r="132" spans="1:2" x14ac:dyDescent="0.25">
      <c r="A132" s="43" t="s">
        <v>2337</v>
      </c>
      <c r="B132" s="37" t="s">
        <v>2336</v>
      </c>
    </row>
    <row r="133" spans="1:2" x14ac:dyDescent="0.25">
      <c r="A133" s="43" t="s">
        <v>2335</v>
      </c>
      <c r="B133" s="37" t="s">
        <v>2334</v>
      </c>
    </row>
    <row r="134" spans="1:2" x14ac:dyDescent="0.25">
      <c r="A134" s="43" t="s">
        <v>2333</v>
      </c>
      <c r="B134" s="37" t="s">
        <v>2332</v>
      </c>
    </row>
    <row r="135" spans="1:2" x14ac:dyDescent="0.25">
      <c r="A135" s="43" t="s">
        <v>2331</v>
      </c>
      <c r="B135" s="37" t="s">
        <v>2330</v>
      </c>
    </row>
    <row r="136" spans="1:2" x14ac:dyDescent="0.25">
      <c r="A136" s="43" t="s">
        <v>2329</v>
      </c>
      <c r="B136" s="37" t="s">
        <v>2328</v>
      </c>
    </row>
    <row r="137" spans="1:2" x14ac:dyDescent="0.25">
      <c r="A137" s="43" t="s">
        <v>2327</v>
      </c>
      <c r="B137" s="37" t="s">
        <v>2326</v>
      </c>
    </row>
    <row r="138" spans="1:2" x14ac:dyDescent="0.25">
      <c r="A138" s="43" t="s">
        <v>2325</v>
      </c>
      <c r="B138" s="37" t="s">
        <v>2324</v>
      </c>
    </row>
    <row r="139" spans="1:2" x14ac:dyDescent="0.25">
      <c r="A139" s="43">
        <v>144</v>
      </c>
      <c r="B139" s="37" t="s">
        <v>1812</v>
      </c>
    </row>
    <row r="140" spans="1:2" x14ac:dyDescent="0.25">
      <c r="A140" s="43" t="s">
        <v>2323</v>
      </c>
      <c r="B140" s="37" t="s">
        <v>2322</v>
      </c>
    </row>
    <row r="141" spans="1:2" x14ac:dyDescent="0.25">
      <c r="A141" s="43" t="s">
        <v>2321</v>
      </c>
      <c r="B141" s="37" t="s">
        <v>2320</v>
      </c>
    </row>
    <row r="142" spans="1:2" x14ac:dyDescent="0.25">
      <c r="A142" s="45">
        <v>156</v>
      </c>
      <c r="B142" s="37" t="s">
        <v>2319</v>
      </c>
    </row>
    <row r="143" spans="1:2" x14ac:dyDescent="0.25">
      <c r="A143" s="43" t="s">
        <v>2318</v>
      </c>
      <c r="B143" s="37" t="s">
        <v>2317</v>
      </c>
    </row>
    <row r="144" spans="1:2" x14ac:dyDescent="0.25">
      <c r="A144" s="43" t="s">
        <v>2316</v>
      </c>
      <c r="B144" s="37" t="s">
        <v>2315</v>
      </c>
    </row>
    <row r="145" spans="1:2" x14ac:dyDescent="0.25">
      <c r="A145" s="43" t="s">
        <v>2314</v>
      </c>
      <c r="B145" s="37" t="s">
        <v>2313</v>
      </c>
    </row>
    <row r="146" spans="1:2" x14ac:dyDescent="0.25">
      <c r="A146" s="45">
        <v>170</v>
      </c>
      <c r="B146" s="37" t="s">
        <v>2312</v>
      </c>
    </row>
    <row r="147" spans="1:2" x14ac:dyDescent="0.25">
      <c r="A147" s="43" t="s">
        <v>2311</v>
      </c>
      <c r="B147" s="37" t="s">
        <v>2310</v>
      </c>
    </row>
    <row r="148" spans="1:2" x14ac:dyDescent="0.25">
      <c r="A148" s="43" t="s">
        <v>2309</v>
      </c>
      <c r="B148" s="37" t="s">
        <v>2308</v>
      </c>
    </row>
    <row r="149" spans="1:2" x14ac:dyDescent="0.25">
      <c r="A149" s="43" t="s">
        <v>2307</v>
      </c>
      <c r="B149" s="37" t="s">
        <v>2306</v>
      </c>
    </row>
    <row r="150" spans="1:2" x14ac:dyDescent="0.25">
      <c r="A150" s="43" t="s">
        <v>2305</v>
      </c>
      <c r="B150" s="37" t="s">
        <v>2304</v>
      </c>
    </row>
    <row r="151" spans="1:2" x14ac:dyDescent="0.25">
      <c r="A151" s="43" t="s">
        <v>2303</v>
      </c>
      <c r="B151" s="37" t="s">
        <v>2302</v>
      </c>
    </row>
    <row r="152" spans="1:2" x14ac:dyDescent="0.25">
      <c r="A152" s="43" t="s">
        <v>2301</v>
      </c>
      <c r="B152" s="37" t="s">
        <v>2300</v>
      </c>
    </row>
    <row r="153" spans="1:2" x14ac:dyDescent="0.25">
      <c r="A153" s="43" t="s">
        <v>2299</v>
      </c>
      <c r="B153" s="37" t="s">
        <v>2298</v>
      </c>
    </row>
    <row r="154" spans="1:2" x14ac:dyDescent="0.25">
      <c r="A154" s="43" t="s">
        <v>2297</v>
      </c>
      <c r="B154" s="37" t="s">
        <v>2296</v>
      </c>
    </row>
    <row r="155" spans="1:2" x14ac:dyDescent="0.25">
      <c r="A155" s="43" t="s">
        <v>2295</v>
      </c>
      <c r="B155" s="37" t="s">
        <v>2294</v>
      </c>
    </row>
    <row r="156" spans="1:2" x14ac:dyDescent="0.25">
      <c r="A156" s="43">
        <v>203</v>
      </c>
      <c r="B156" s="37" t="s">
        <v>2293</v>
      </c>
    </row>
    <row r="157" spans="1:2" x14ac:dyDescent="0.25">
      <c r="A157" s="43" t="s">
        <v>2292</v>
      </c>
      <c r="B157" s="37" t="s">
        <v>2291</v>
      </c>
    </row>
    <row r="158" spans="1:2" x14ac:dyDescent="0.25">
      <c r="A158" s="45">
        <v>208</v>
      </c>
      <c r="B158" s="37" t="s">
        <v>2290</v>
      </c>
    </row>
    <row r="159" spans="1:2" x14ac:dyDescent="0.25">
      <c r="A159" s="43" t="s">
        <v>2289</v>
      </c>
      <c r="B159" s="37" t="s">
        <v>2288</v>
      </c>
    </row>
    <row r="160" spans="1:2" x14ac:dyDescent="0.25">
      <c r="A160" s="43" t="s">
        <v>2287</v>
      </c>
      <c r="B160" s="37" t="s">
        <v>2286</v>
      </c>
    </row>
    <row r="161" spans="1:2" x14ac:dyDescent="0.25">
      <c r="A161" s="43" t="s">
        <v>2285</v>
      </c>
      <c r="B161" s="37" t="s">
        <v>2284</v>
      </c>
    </row>
    <row r="162" spans="1:2" x14ac:dyDescent="0.25">
      <c r="A162" s="43" t="s">
        <v>2283</v>
      </c>
      <c r="B162" s="37" t="s">
        <v>2282</v>
      </c>
    </row>
    <row r="163" spans="1:2" x14ac:dyDescent="0.25">
      <c r="A163" s="43" t="s">
        <v>2281</v>
      </c>
      <c r="B163" s="37" t="s">
        <v>2280</v>
      </c>
    </row>
    <row r="164" spans="1:2" x14ac:dyDescent="0.25">
      <c r="A164" s="43" t="s">
        <v>2279</v>
      </c>
      <c r="B164" s="37" t="s">
        <v>2278</v>
      </c>
    </row>
    <row r="165" spans="1:2" x14ac:dyDescent="0.25">
      <c r="A165" s="43" t="s">
        <v>2277</v>
      </c>
      <c r="B165" s="37" t="s">
        <v>2276</v>
      </c>
    </row>
    <row r="166" spans="1:2" x14ac:dyDescent="0.25">
      <c r="A166" s="43" t="s">
        <v>2275</v>
      </c>
      <c r="B166" s="37" t="s">
        <v>2274</v>
      </c>
    </row>
    <row r="167" spans="1:2" x14ac:dyDescent="0.25">
      <c r="A167" s="43" t="s">
        <v>2273</v>
      </c>
      <c r="B167" s="37" t="s">
        <v>2272</v>
      </c>
    </row>
    <row r="168" spans="1:2" x14ac:dyDescent="0.25">
      <c r="A168" s="43" t="s">
        <v>2271</v>
      </c>
      <c r="B168" s="37" t="s">
        <v>2270</v>
      </c>
    </row>
    <row r="169" spans="1:2" x14ac:dyDescent="0.25">
      <c r="A169" s="43" t="s">
        <v>2269</v>
      </c>
      <c r="B169" s="37" t="s">
        <v>2268</v>
      </c>
    </row>
    <row r="170" spans="1:2" x14ac:dyDescent="0.25">
      <c r="A170" s="43">
        <v>246</v>
      </c>
      <c r="B170" s="37" t="s">
        <v>2267</v>
      </c>
    </row>
    <row r="171" spans="1:2" x14ac:dyDescent="0.25">
      <c r="A171" s="43" t="s">
        <v>2266</v>
      </c>
      <c r="B171" s="37" t="s">
        <v>2265</v>
      </c>
    </row>
    <row r="172" spans="1:2" x14ac:dyDescent="0.25">
      <c r="A172" s="45">
        <v>250</v>
      </c>
      <c r="B172" s="37" t="s">
        <v>916</v>
      </c>
    </row>
    <row r="173" spans="1:2" x14ac:dyDescent="0.25">
      <c r="A173" s="43" t="s">
        <v>2264</v>
      </c>
      <c r="B173" s="37" t="s">
        <v>2263</v>
      </c>
    </row>
    <row r="174" spans="1:2" x14ac:dyDescent="0.25">
      <c r="A174" s="43" t="s">
        <v>2262</v>
      </c>
      <c r="B174" s="37" t="s">
        <v>2261</v>
      </c>
    </row>
    <row r="175" spans="1:2" x14ac:dyDescent="0.25">
      <c r="A175" s="43" t="s">
        <v>2260</v>
      </c>
      <c r="B175" s="37" t="s">
        <v>2259</v>
      </c>
    </row>
    <row r="176" spans="1:2" x14ac:dyDescent="0.25">
      <c r="A176" s="43" t="s">
        <v>2258</v>
      </c>
      <c r="B176" s="37" t="s">
        <v>2257</v>
      </c>
    </row>
    <row r="177" spans="1:2" x14ac:dyDescent="0.25">
      <c r="A177" s="43" t="s">
        <v>2256</v>
      </c>
      <c r="B177" s="37" t="s">
        <v>2255</v>
      </c>
    </row>
    <row r="178" spans="1:2" x14ac:dyDescent="0.25">
      <c r="A178" s="43" t="s">
        <v>2254</v>
      </c>
      <c r="B178" s="37" t="s">
        <v>2253</v>
      </c>
    </row>
    <row r="179" spans="1:2" x14ac:dyDescent="0.25">
      <c r="A179" s="43" t="s">
        <v>2252</v>
      </c>
      <c r="B179" s="37" t="s">
        <v>2251</v>
      </c>
    </row>
    <row r="180" spans="1:2" x14ac:dyDescent="0.25">
      <c r="A180" s="45">
        <v>276</v>
      </c>
      <c r="B180" s="37" t="s">
        <v>2250</v>
      </c>
    </row>
    <row r="181" spans="1:2" x14ac:dyDescent="0.25">
      <c r="A181" s="43" t="s">
        <v>2249</v>
      </c>
      <c r="B181" s="37" t="s">
        <v>2248</v>
      </c>
    </row>
    <row r="182" spans="1:2" x14ac:dyDescent="0.25">
      <c r="A182" s="43" t="s">
        <v>2247</v>
      </c>
      <c r="B182" s="37" t="s">
        <v>2246</v>
      </c>
    </row>
    <row r="183" spans="1:2" x14ac:dyDescent="0.25">
      <c r="A183" s="43" t="s">
        <v>2245</v>
      </c>
      <c r="B183" s="37" t="s">
        <v>2244</v>
      </c>
    </row>
    <row r="184" spans="1:2" x14ac:dyDescent="0.25">
      <c r="A184" s="43">
        <v>300</v>
      </c>
      <c r="B184" s="37" t="s">
        <v>2243</v>
      </c>
    </row>
    <row r="185" spans="1:2" x14ac:dyDescent="0.25">
      <c r="A185" s="43" t="s">
        <v>2242</v>
      </c>
      <c r="B185" s="37" t="s">
        <v>2241</v>
      </c>
    </row>
    <row r="186" spans="1:2" x14ac:dyDescent="0.25">
      <c r="A186" s="43" t="s">
        <v>2240</v>
      </c>
      <c r="B186" s="37" t="s">
        <v>2239</v>
      </c>
    </row>
    <row r="187" spans="1:2" x14ac:dyDescent="0.25">
      <c r="A187" s="43" t="s">
        <v>2238</v>
      </c>
      <c r="B187" s="37" t="s">
        <v>2237</v>
      </c>
    </row>
    <row r="188" spans="1:2" x14ac:dyDescent="0.25">
      <c r="A188" s="43" t="s">
        <v>2236</v>
      </c>
      <c r="B188" s="37" t="s">
        <v>2235</v>
      </c>
    </row>
    <row r="189" spans="1:2" x14ac:dyDescent="0.25">
      <c r="A189" s="43" t="s">
        <v>2234</v>
      </c>
      <c r="B189" s="37" t="s">
        <v>2233</v>
      </c>
    </row>
    <row r="190" spans="1:2" x14ac:dyDescent="0.25">
      <c r="A190" s="43" t="s">
        <v>2232</v>
      </c>
      <c r="B190" s="37" t="s">
        <v>2231</v>
      </c>
    </row>
    <row r="191" spans="1:2" x14ac:dyDescent="0.25">
      <c r="A191" s="43" t="s">
        <v>2230</v>
      </c>
      <c r="B191" s="37" t="s">
        <v>2229</v>
      </c>
    </row>
    <row r="192" spans="1:2" x14ac:dyDescent="0.25">
      <c r="A192" s="43" t="s">
        <v>2228</v>
      </c>
      <c r="B192" s="37" t="s">
        <v>2227</v>
      </c>
    </row>
    <row r="193" spans="1:2" x14ac:dyDescent="0.25">
      <c r="A193" s="43" t="s">
        <v>2226</v>
      </c>
      <c r="B193" s="37" t="s">
        <v>2225</v>
      </c>
    </row>
    <row r="194" spans="1:2" x14ac:dyDescent="0.25">
      <c r="A194" s="43" t="s">
        <v>2224</v>
      </c>
      <c r="B194" s="37" t="s">
        <v>2223</v>
      </c>
    </row>
    <row r="195" spans="1:2" x14ac:dyDescent="0.25">
      <c r="A195" s="43" t="s">
        <v>2222</v>
      </c>
      <c r="B195" s="37" t="s">
        <v>2221</v>
      </c>
    </row>
    <row r="196" spans="1:2" x14ac:dyDescent="0.25">
      <c r="A196" s="43" t="s">
        <v>2220</v>
      </c>
      <c r="B196" s="37" t="s">
        <v>2219</v>
      </c>
    </row>
    <row r="197" spans="1:2" x14ac:dyDescent="0.25">
      <c r="A197" s="43" t="s">
        <v>2218</v>
      </c>
      <c r="B197" s="37" t="s">
        <v>2217</v>
      </c>
    </row>
    <row r="198" spans="1:2" x14ac:dyDescent="0.25">
      <c r="A198" s="43" t="s">
        <v>2216</v>
      </c>
      <c r="B198" s="37" t="s">
        <v>2215</v>
      </c>
    </row>
    <row r="199" spans="1:2" x14ac:dyDescent="0.25">
      <c r="A199" s="43" t="s">
        <v>2214</v>
      </c>
      <c r="B199" s="37" t="s">
        <v>2213</v>
      </c>
    </row>
    <row r="200" spans="1:2" x14ac:dyDescent="0.25">
      <c r="A200" s="43">
        <v>356</v>
      </c>
      <c r="B200" s="37" t="s">
        <v>2212</v>
      </c>
    </row>
    <row r="201" spans="1:2" x14ac:dyDescent="0.25">
      <c r="A201" s="43" t="s">
        <v>2211</v>
      </c>
      <c r="B201" s="37" t="s">
        <v>2210</v>
      </c>
    </row>
    <row r="202" spans="1:2" x14ac:dyDescent="0.25">
      <c r="A202" s="43">
        <v>364</v>
      </c>
      <c r="B202" s="37" t="s">
        <v>2209</v>
      </c>
    </row>
    <row r="203" spans="1:2" x14ac:dyDescent="0.25">
      <c r="A203" s="43" t="s">
        <v>2208</v>
      </c>
      <c r="B203" s="37" t="s">
        <v>2207</v>
      </c>
    </row>
    <row r="204" spans="1:2" x14ac:dyDescent="0.25">
      <c r="A204" s="45">
        <v>372</v>
      </c>
      <c r="B204" s="37" t="s">
        <v>2206</v>
      </c>
    </row>
    <row r="205" spans="1:2" x14ac:dyDescent="0.25">
      <c r="A205" s="43" t="s">
        <v>2205</v>
      </c>
      <c r="B205" s="37" t="s">
        <v>2204</v>
      </c>
    </row>
    <row r="206" spans="1:2" x14ac:dyDescent="0.25">
      <c r="A206" s="45">
        <v>380</v>
      </c>
      <c r="B206" s="37" t="s">
        <v>2203</v>
      </c>
    </row>
    <row r="207" spans="1:2" x14ac:dyDescent="0.25">
      <c r="A207" s="43" t="s">
        <v>2202</v>
      </c>
      <c r="B207" s="37" t="s">
        <v>2201</v>
      </c>
    </row>
    <row r="208" spans="1:2" x14ac:dyDescent="0.25">
      <c r="A208" s="43" t="s">
        <v>2200</v>
      </c>
      <c r="B208" s="37" t="s">
        <v>2199</v>
      </c>
    </row>
    <row r="209" spans="1:2" x14ac:dyDescent="0.25">
      <c r="A209" s="45">
        <v>392</v>
      </c>
      <c r="B209" s="37" t="s">
        <v>2198</v>
      </c>
    </row>
    <row r="210" spans="1:2" x14ac:dyDescent="0.25">
      <c r="A210" s="43">
        <v>398</v>
      </c>
      <c r="B210" s="37" t="s">
        <v>2197</v>
      </c>
    </row>
    <row r="211" spans="1:2" x14ac:dyDescent="0.25">
      <c r="A211" s="43" t="s">
        <v>2196</v>
      </c>
      <c r="B211" s="37" t="s">
        <v>2195</v>
      </c>
    </row>
    <row r="212" spans="1:2" x14ac:dyDescent="0.25">
      <c r="A212" s="43" t="s">
        <v>2194</v>
      </c>
      <c r="B212" s="37" t="s">
        <v>2193</v>
      </c>
    </row>
    <row r="213" spans="1:2" x14ac:dyDescent="0.25">
      <c r="A213" s="43" t="s">
        <v>2192</v>
      </c>
      <c r="B213" s="37" t="s">
        <v>2191</v>
      </c>
    </row>
    <row r="214" spans="1:2" x14ac:dyDescent="0.25">
      <c r="A214" s="43" t="s">
        <v>2190</v>
      </c>
      <c r="B214" s="37" t="s">
        <v>2189</v>
      </c>
    </row>
    <row r="215" spans="1:2" x14ac:dyDescent="0.25">
      <c r="A215" s="43" t="s">
        <v>2188</v>
      </c>
      <c r="B215" s="37" t="s">
        <v>2187</v>
      </c>
    </row>
    <row r="216" spans="1:2" x14ac:dyDescent="0.25">
      <c r="A216" s="43" t="s">
        <v>2186</v>
      </c>
      <c r="B216" s="37" t="s">
        <v>2185</v>
      </c>
    </row>
    <row r="217" spans="1:2" x14ac:dyDescent="0.25">
      <c r="A217" s="43">
        <v>417</v>
      </c>
      <c r="B217" s="37" t="s">
        <v>2184</v>
      </c>
    </row>
    <row r="218" spans="1:2" x14ac:dyDescent="0.25">
      <c r="A218" s="43" t="s">
        <v>2183</v>
      </c>
      <c r="B218" s="37" t="s">
        <v>2182</v>
      </c>
    </row>
    <row r="219" spans="1:2" x14ac:dyDescent="0.25">
      <c r="A219" s="43" t="s">
        <v>2181</v>
      </c>
      <c r="B219" s="37" t="s">
        <v>2180</v>
      </c>
    </row>
    <row r="220" spans="1:2" x14ac:dyDescent="0.25">
      <c r="A220" s="43" t="s">
        <v>2179</v>
      </c>
      <c r="B220" s="37" t="s">
        <v>2178</v>
      </c>
    </row>
    <row r="221" spans="1:2" x14ac:dyDescent="0.25">
      <c r="A221" s="43" t="s">
        <v>2177</v>
      </c>
      <c r="B221" s="37" t="s">
        <v>2176</v>
      </c>
    </row>
    <row r="222" spans="1:2" x14ac:dyDescent="0.25">
      <c r="A222" s="43" t="s">
        <v>2175</v>
      </c>
      <c r="B222" s="37" t="s">
        <v>2174</v>
      </c>
    </row>
    <row r="223" spans="1:2" x14ac:dyDescent="0.25">
      <c r="A223" s="43">
        <v>434</v>
      </c>
      <c r="B223" s="37" t="s">
        <v>2173</v>
      </c>
    </row>
    <row r="224" spans="1:2" x14ac:dyDescent="0.25">
      <c r="A224" s="43" t="s">
        <v>2172</v>
      </c>
      <c r="B224" s="37" t="s">
        <v>2171</v>
      </c>
    </row>
    <row r="225" spans="1:2" x14ac:dyDescent="0.25">
      <c r="A225" s="43" t="s">
        <v>2170</v>
      </c>
      <c r="B225" s="37" t="s">
        <v>2169</v>
      </c>
    </row>
    <row r="226" spans="1:2" x14ac:dyDescent="0.25">
      <c r="A226" s="43" t="s">
        <v>2168</v>
      </c>
      <c r="B226" s="37" t="s">
        <v>2167</v>
      </c>
    </row>
    <row r="227" spans="1:2" x14ac:dyDescent="0.25">
      <c r="A227" s="43" t="s">
        <v>2166</v>
      </c>
      <c r="B227" s="37" t="s">
        <v>2165</v>
      </c>
    </row>
    <row r="228" spans="1:2" x14ac:dyDescent="0.25">
      <c r="A228" s="43" t="s">
        <v>2164</v>
      </c>
      <c r="B228" s="37" t="s">
        <v>2163</v>
      </c>
    </row>
    <row r="229" spans="1:2" x14ac:dyDescent="0.25">
      <c r="A229" s="43" t="s">
        <v>2162</v>
      </c>
      <c r="B229" s="37" t="s">
        <v>2161</v>
      </c>
    </row>
    <row r="230" spans="1:2" x14ac:dyDescent="0.25">
      <c r="A230" s="43" t="s">
        <v>2160</v>
      </c>
      <c r="B230" s="37" t="s">
        <v>2159</v>
      </c>
    </row>
    <row r="231" spans="1:2" x14ac:dyDescent="0.25">
      <c r="A231" s="43" t="s">
        <v>2158</v>
      </c>
      <c r="B231" s="37" t="s">
        <v>2157</v>
      </c>
    </row>
    <row r="232" spans="1:2" x14ac:dyDescent="0.25">
      <c r="A232" s="43" t="s">
        <v>2156</v>
      </c>
      <c r="B232" s="37" t="s">
        <v>2155</v>
      </c>
    </row>
    <row r="233" spans="1:2" x14ac:dyDescent="0.25">
      <c r="A233" s="43" t="s">
        <v>2154</v>
      </c>
      <c r="B233" s="37" t="s">
        <v>2153</v>
      </c>
    </row>
    <row r="234" spans="1:2" x14ac:dyDescent="0.25">
      <c r="A234" s="43" t="s">
        <v>2152</v>
      </c>
      <c r="B234" s="37" t="s">
        <v>2151</v>
      </c>
    </row>
    <row r="235" spans="1:2" x14ac:dyDescent="0.25">
      <c r="A235" s="43" t="s">
        <v>2150</v>
      </c>
      <c r="B235" s="37" t="s">
        <v>2149</v>
      </c>
    </row>
    <row r="236" spans="1:2" x14ac:dyDescent="0.25">
      <c r="A236" s="43" t="s">
        <v>2148</v>
      </c>
      <c r="B236" s="37" t="s">
        <v>2147</v>
      </c>
    </row>
    <row r="237" spans="1:2" x14ac:dyDescent="0.25">
      <c r="A237" s="43" t="s">
        <v>2146</v>
      </c>
      <c r="B237" s="37" t="s">
        <v>2145</v>
      </c>
    </row>
    <row r="238" spans="1:2" x14ac:dyDescent="0.25">
      <c r="A238" s="43" t="s">
        <v>2144</v>
      </c>
      <c r="B238" s="37" t="s">
        <v>2143</v>
      </c>
    </row>
    <row r="239" spans="1:2" x14ac:dyDescent="0.25">
      <c r="A239" s="43" t="s">
        <v>2142</v>
      </c>
      <c r="B239" s="37" t="s">
        <v>2141</v>
      </c>
    </row>
    <row r="240" spans="1:2" x14ac:dyDescent="0.25">
      <c r="A240" s="43" t="s">
        <v>2140</v>
      </c>
      <c r="B240" s="37" t="s">
        <v>2139</v>
      </c>
    </row>
    <row r="241" spans="1:2" x14ac:dyDescent="0.25">
      <c r="A241" s="43" t="s">
        <v>2138</v>
      </c>
      <c r="B241" s="37" t="s">
        <v>2137</v>
      </c>
    </row>
    <row r="242" spans="1:2" x14ac:dyDescent="0.25">
      <c r="A242" s="43" t="s">
        <v>2136</v>
      </c>
      <c r="B242" s="37" t="s">
        <v>2135</v>
      </c>
    </row>
    <row r="243" spans="1:2" x14ac:dyDescent="0.25">
      <c r="A243" s="43" t="s">
        <v>2134</v>
      </c>
      <c r="B243" s="37" t="s">
        <v>2133</v>
      </c>
    </row>
    <row r="244" spans="1:2" x14ac:dyDescent="0.25">
      <c r="A244" s="43" t="s">
        <v>2132</v>
      </c>
      <c r="B244" s="37" t="s">
        <v>2131</v>
      </c>
    </row>
    <row r="245" spans="1:2" x14ac:dyDescent="0.25">
      <c r="A245" s="43" t="s">
        <v>2130</v>
      </c>
      <c r="B245" s="37" t="s">
        <v>2129</v>
      </c>
    </row>
    <row r="246" spans="1:2" x14ac:dyDescent="0.25">
      <c r="A246" s="43" t="s">
        <v>2128</v>
      </c>
      <c r="B246" s="37" t="s">
        <v>2127</v>
      </c>
    </row>
    <row r="247" spans="1:2" x14ac:dyDescent="0.25">
      <c r="A247" s="43" t="s">
        <v>2126</v>
      </c>
      <c r="B247" s="37" t="s">
        <v>2125</v>
      </c>
    </row>
    <row r="248" spans="1:2" x14ac:dyDescent="0.25">
      <c r="A248" s="43" t="s">
        <v>2124</v>
      </c>
      <c r="B248" s="37" t="s">
        <v>2123</v>
      </c>
    </row>
    <row r="249" spans="1:2" x14ac:dyDescent="0.25">
      <c r="A249" s="43">
        <v>528</v>
      </c>
      <c r="B249" s="37" t="s">
        <v>2122</v>
      </c>
    </row>
    <row r="250" spans="1:2" x14ac:dyDescent="0.25">
      <c r="A250" s="43" t="s">
        <v>2121</v>
      </c>
      <c r="B250" s="37" t="s">
        <v>2120</v>
      </c>
    </row>
    <row r="251" spans="1:2" x14ac:dyDescent="0.25">
      <c r="A251" s="43" t="s">
        <v>2119</v>
      </c>
      <c r="B251" s="37" t="s">
        <v>2118</v>
      </c>
    </row>
    <row r="252" spans="1:2" x14ac:dyDescent="0.25">
      <c r="A252" s="43" t="s">
        <v>2117</v>
      </c>
      <c r="B252" s="37" t="s">
        <v>2116</v>
      </c>
    </row>
    <row r="253" spans="1:2" x14ac:dyDescent="0.25">
      <c r="A253" s="43" t="s">
        <v>2115</v>
      </c>
      <c r="B253" s="37" t="s">
        <v>2114</v>
      </c>
    </row>
    <row r="254" spans="1:2" x14ac:dyDescent="0.25">
      <c r="A254" s="43" t="s">
        <v>2113</v>
      </c>
      <c r="B254" s="37" t="s">
        <v>2112</v>
      </c>
    </row>
    <row r="255" spans="1:2" x14ac:dyDescent="0.25">
      <c r="A255" s="43" t="s">
        <v>2111</v>
      </c>
      <c r="B255" s="37" t="s">
        <v>2110</v>
      </c>
    </row>
    <row r="256" spans="1:2" x14ac:dyDescent="0.25">
      <c r="A256" s="43" t="s">
        <v>2109</v>
      </c>
      <c r="B256" s="37" t="s">
        <v>2108</v>
      </c>
    </row>
    <row r="257" spans="1:2" x14ac:dyDescent="0.25">
      <c r="A257" s="43" t="s">
        <v>2107</v>
      </c>
      <c r="B257" s="37" t="s">
        <v>2106</v>
      </c>
    </row>
    <row r="258" spans="1:2" x14ac:dyDescent="0.25">
      <c r="A258" s="43" t="s">
        <v>2105</v>
      </c>
      <c r="B258" s="37" t="s">
        <v>2104</v>
      </c>
    </row>
    <row r="259" spans="1:2" x14ac:dyDescent="0.25">
      <c r="A259" s="43" t="s">
        <v>2103</v>
      </c>
      <c r="B259" s="37" t="s">
        <v>2102</v>
      </c>
    </row>
    <row r="260" spans="1:2" x14ac:dyDescent="0.25">
      <c r="A260" s="43">
        <v>566</v>
      </c>
      <c r="B260" s="37" t="s">
        <v>2101</v>
      </c>
    </row>
    <row r="261" spans="1:2" x14ac:dyDescent="0.25">
      <c r="A261" s="43" t="s">
        <v>2100</v>
      </c>
      <c r="B261" s="37" t="s">
        <v>2099</v>
      </c>
    </row>
    <row r="262" spans="1:2" x14ac:dyDescent="0.25">
      <c r="A262" s="43" t="s">
        <v>2098</v>
      </c>
      <c r="B262" s="37" t="s">
        <v>2097</v>
      </c>
    </row>
    <row r="263" spans="1:2" x14ac:dyDescent="0.25">
      <c r="A263" s="43" t="s">
        <v>2096</v>
      </c>
      <c r="B263" s="37" t="s">
        <v>2095</v>
      </c>
    </row>
    <row r="264" spans="1:2" x14ac:dyDescent="0.25">
      <c r="A264" s="43" t="s">
        <v>2094</v>
      </c>
      <c r="B264" s="37" t="s">
        <v>2093</v>
      </c>
    </row>
    <row r="265" spans="1:2" x14ac:dyDescent="0.25">
      <c r="A265" s="43" t="s">
        <v>2092</v>
      </c>
      <c r="B265" s="37" t="s">
        <v>2091</v>
      </c>
    </row>
    <row r="266" spans="1:2" x14ac:dyDescent="0.25">
      <c r="A266" s="43" t="s">
        <v>2090</v>
      </c>
      <c r="B266" s="37" t="s">
        <v>2089</v>
      </c>
    </row>
    <row r="267" spans="1:2" x14ac:dyDescent="0.25">
      <c r="A267" s="43" t="s">
        <v>2088</v>
      </c>
      <c r="B267" s="37" t="s">
        <v>2087</v>
      </c>
    </row>
    <row r="268" spans="1:2" x14ac:dyDescent="0.25">
      <c r="A268" s="43">
        <v>586</v>
      </c>
      <c r="B268" s="37" t="s">
        <v>2086</v>
      </c>
    </row>
    <row r="269" spans="1:2" x14ac:dyDescent="0.25">
      <c r="A269" s="43" t="s">
        <v>2085</v>
      </c>
      <c r="B269" s="37" t="s">
        <v>2084</v>
      </c>
    </row>
    <row r="270" spans="1:2" x14ac:dyDescent="0.25">
      <c r="A270" s="43" t="s">
        <v>2083</v>
      </c>
      <c r="B270" s="37" t="s">
        <v>2082</v>
      </c>
    </row>
    <row r="271" spans="1:2" x14ac:dyDescent="0.25">
      <c r="A271" s="43" t="s">
        <v>2081</v>
      </c>
      <c r="B271" s="37" t="s">
        <v>2080</v>
      </c>
    </row>
    <row r="272" spans="1:2" x14ac:dyDescent="0.25">
      <c r="A272" s="43">
        <v>604</v>
      </c>
      <c r="B272" s="37" t="s">
        <v>2079</v>
      </c>
    </row>
    <row r="273" spans="1:2" x14ac:dyDescent="0.25">
      <c r="A273" s="43">
        <v>608</v>
      </c>
      <c r="B273" s="37" t="s">
        <v>2078</v>
      </c>
    </row>
    <row r="274" spans="1:2" x14ac:dyDescent="0.25">
      <c r="A274" s="43" t="s">
        <v>2077</v>
      </c>
      <c r="B274" s="37" t="s">
        <v>2076</v>
      </c>
    </row>
    <row r="275" spans="1:2" x14ac:dyDescent="0.25">
      <c r="A275" s="43">
        <v>616</v>
      </c>
      <c r="B275" s="37" t="s">
        <v>2075</v>
      </c>
    </row>
    <row r="276" spans="1:2" x14ac:dyDescent="0.25">
      <c r="A276" s="43">
        <v>620</v>
      </c>
      <c r="B276" s="37" t="s">
        <v>915</v>
      </c>
    </row>
    <row r="277" spans="1:2" x14ac:dyDescent="0.25">
      <c r="A277" s="43" t="s">
        <v>2074</v>
      </c>
      <c r="B277" s="37" t="s">
        <v>2073</v>
      </c>
    </row>
    <row r="278" spans="1:2" x14ac:dyDescent="0.25">
      <c r="A278" s="43" t="s">
        <v>2072</v>
      </c>
      <c r="B278" s="37" t="s">
        <v>2071</v>
      </c>
    </row>
    <row r="279" spans="1:2" x14ac:dyDescent="0.25">
      <c r="A279" s="43" t="s">
        <v>2070</v>
      </c>
      <c r="B279" s="37" t="s">
        <v>2069</v>
      </c>
    </row>
    <row r="280" spans="1:2" x14ac:dyDescent="0.25">
      <c r="A280" s="43" t="s">
        <v>2068</v>
      </c>
      <c r="B280" s="37" t="s">
        <v>2067</v>
      </c>
    </row>
    <row r="281" spans="1:2" x14ac:dyDescent="0.25">
      <c r="A281" s="43" t="s">
        <v>2066</v>
      </c>
      <c r="B281" s="37" t="s">
        <v>2065</v>
      </c>
    </row>
    <row r="282" spans="1:2" x14ac:dyDescent="0.25">
      <c r="A282" s="43" t="s">
        <v>2064</v>
      </c>
      <c r="B282" s="37" t="s">
        <v>2063</v>
      </c>
    </row>
    <row r="283" spans="1:2" x14ac:dyDescent="0.25">
      <c r="A283" s="43" t="s">
        <v>2062</v>
      </c>
      <c r="B283" s="37" t="s">
        <v>887</v>
      </c>
    </row>
    <row r="284" spans="1:2" x14ac:dyDescent="0.25">
      <c r="A284" s="43" t="s">
        <v>2061</v>
      </c>
      <c r="B284" s="37" t="s">
        <v>2060</v>
      </c>
    </row>
    <row r="285" spans="1:2" x14ac:dyDescent="0.25">
      <c r="A285" s="43" t="s">
        <v>2059</v>
      </c>
      <c r="B285" s="37" t="s">
        <v>2058</v>
      </c>
    </row>
    <row r="286" spans="1:2" x14ac:dyDescent="0.25">
      <c r="A286" s="43" t="s">
        <v>2057</v>
      </c>
      <c r="B286" s="37" t="s">
        <v>2056</v>
      </c>
    </row>
    <row r="287" spans="1:2" x14ac:dyDescent="0.25">
      <c r="A287" s="43" t="s">
        <v>2055</v>
      </c>
      <c r="B287" s="37" t="s">
        <v>2054</v>
      </c>
    </row>
    <row r="288" spans="1:2" x14ac:dyDescent="0.25">
      <c r="A288" s="43" t="s">
        <v>2053</v>
      </c>
      <c r="B288" s="37" t="s">
        <v>2052</v>
      </c>
    </row>
    <row r="289" spans="1:2" x14ac:dyDescent="0.25">
      <c r="A289" s="43" t="s">
        <v>2051</v>
      </c>
      <c r="B289" s="37" t="s">
        <v>2050</v>
      </c>
    </row>
    <row r="290" spans="1:2" x14ac:dyDescent="0.25">
      <c r="A290" s="43" t="s">
        <v>2049</v>
      </c>
      <c r="B290" s="37" t="s">
        <v>2048</v>
      </c>
    </row>
    <row r="291" spans="1:2" x14ac:dyDescent="0.25">
      <c r="A291" s="43">
        <v>662</v>
      </c>
      <c r="B291" s="37" t="s">
        <v>2047</v>
      </c>
    </row>
    <row r="292" spans="1:2" x14ac:dyDescent="0.25">
      <c r="A292" s="43" t="s">
        <v>2046</v>
      </c>
      <c r="B292" s="37" t="s">
        <v>2045</v>
      </c>
    </row>
    <row r="293" spans="1:2" x14ac:dyDescent="0.25">
      <c r="A293" s="43" t="s">
        <v>2044</v>
      </c>
      <c r="B293" s="37" t="s">
        <v>1659</v>
      </c>
    </row>
    <row r="294" spans="1:2" x14ac:dyDescent="0.25">
      <c r="A294" s="43" t="s">
        <v>2043</v>
      </c>
      <c r="B294" s="37" t="s">
        <v>2042</v>
      </c>
    </row>
    <row r="295" spans="1:2" x14ac:dyDescent="0.25">
      <c r="A295" s="43" t="s">
        <v>2041</v>
      </c>
      <c r="B295" s="37" t="s">
        <v>2040</v>
      </c>
    </row>
    <row r="296" spans="1:2" x14ac:dyDescent="0.25">
      <c r="A296" s="43" t="s">
        <v>2039</v>
      </c>
      <c r="B296" s="37" t="s">
        <v>2038</v>
      </c>
    </row>
    <row r="297" spans="1:2" x14ac:dyDescent="0.25">
      <c r="A297" s="43" t="s">
        <v>2037</v>
      </c>
      <c r="B297" s="37" t="s">
        <v>2036</v>
      </c>
    </row>
    <row r="298" spans="1:2" x14ac:dyDescent="0.25">
      <c r="A298" s="43" t="s">
        <v>2035</v>
      </c>
      <c r="B298" s="37" t="s">
        <v>2034</v>
      </c>
    </row>
    <row r="299" spans="1:2" x14ac:dyDescent="0.25">
      <c r="A299" s="43" t="s">
        <v>2033</v>
      </c>
      <c r="B299" s="37" t="s">
        <v>2032</v>
      </c>
    </row>
    <row r="300" spans="1:2" x14ac:dyDescent="0.25">
      <c r="A300" s="43" t="s">
        <v>2031</v>
      </c>
      <c r="B300" s="37" t="s">
        <v>2030</v>
      </c>
    </row>
    <row r="301" spans="1:2" x14ac:dyDescent="0.25">
      <c r="A301" s="43" t="s">
        <v>2029</v>
      </c>
      <c r="B301" s="37" t="s">
        <v>2028</v>
      </c>
    </row>
    <row r="302" spans="1:2" x14ac:dyDescent="0.25">
      <c r="A302" s="43" t="s">
        <v>2027</v>
      </c>
      <c r="B302" s="37" t="s">
        <v>2026</v>
      </c>
    </row>
    <row r="303" spans="1:2" x14ac:dyDescent="0.25">
      <c r="A303" s="43" t="s">
        <v>2025</v>
      </c>
      <c r="B303" s="37" t="s">
        <v>2024</v>
      </c>
    </row>
    <row r="304" spans="1:2" x14ac:dyDescent="0.25">
      <c r="A304" s="43" t="s">
        <v>2023</v>
      </c>
      <c r="B304" s="37" t="s">
        <v>2022</v>
      </c>
    </row>
    <row r="305" spans="1:2" x14ac:dyDescent="0.25">
      <c r="A305" s="43" t="s">
        <v>2021</v>
      </c>
      <c r="B305" s="37" t="s">
        <v>2020</v>
      </c>
    </row>
    <row r="306" spans="1:2" x14ac:dyDescent="0.25">
      <c r="A306" s="43" t="s">
        <v>2019</v>
      </c>
      <c r="B306" s="37" t="s">
        <v>2018</v>
      </c>
    </row>
    <row r="307" spans="1:2" x14ac:dyDescent="0.25">
      <c r="A307" s="43" t="s">
        <v>2017</v>
      </c>
      <c r="B307" s="37" t="s">
        <v>2016</v>
      </c>
    </row>
    <row r="308" spans="1:2" x14ac:dyDescent="0.25">
      <c r="A308" s="43">
        <v>716</v>
      </c>
      <c r="B308" s="37" t="s">
        <v>2015</v>
      </c>
    </row>
    <row r="309" spans="1:2" x14ac:dyDescent="0.25">
      <c r="A309" s="43" t="s">
        <v>2014</v>
      </c>
      <c r="B309" s="37" t="s">
        <v>2013</v>
      </c>
    </row>
    <row r="310" spans="1:2" x14ac:dyDescent="0.25">
      <c r="A310" s="43" t="s">
        <v>2012</v>
      </c>
      <c r="B310" s="37" t="s">
        <v>2011</v>
      </c>
    </row>
    <row r="311" spans="1:2" x14ac:dyDescent="0.25">
      <c r="A311" s="43" t="s">
        <v>2010</v>
      </c>
      <c r="B311" s="37" t="s">
        <v>2009</v>
      </c>
    </row>
    <row r="312" spans="1:2" x14ac:dyDescent="0.25">
      <c r="A312" s="43" t="s">
        <v>2008</v>
      </c>
      <c r="B312" s="37" t="s">
        <v>2007</v>
      </c>
    </row>
    <row r="313" spans="1:2" x14ac:dyDescent="0.25">
      <c r="A313" s="43" t="s">
        <v>2006</v>
      </c>
      <c r="B313" s="37" t="s">
        <v>2005</v>
      </c>
    </row>
    <row r="314" spans="1:2" x14ac:dyDescent="0.25">
      <c r="A314" s="43" t="s">
        <v>2004</v>
      </c>
      <c r="B314" s="37" t="s">
        <v>2003</v>
      </c>
    </row>
    <row r="315" spans="1:2" x14ac:dyDescent="0.25">
      <c r="A315" s="45">
        <v>752</v>
      </c>
      <c r="B315" s="37" t="s">
        <v>2002</v>
      </c>
    </row>
    <row r="316" spans="1:2" x14ac:dyDescent="0.25">
      <c r="A316" s="43">
        <v>756</v>
      </c>
      <c r="B316" s="37" t="s">
        <v>2001</v>
      </c>
    </row>
    <row r="317" spans="1:2" x14ac:dyDescent="0.25">
      <c r="A317" s="43" t="s">
        <v>2000</v>
      </c>
      <c r="B317" s="37" t="s">
        <v>1999</v>
      </c>
    </row>
    <row r="318" spans="1:2" x14ac:dyDescent="0.25">
      <c r="A318" s="43" t="s">
        <v>1998</v>
      </c>
      <c r="B318" s="37" t="s">
        <v>1997</v>
      </c>
    </row>
    <row r="319" spans="1:2" x14ac:dyDescent="0.25">
      <c r="A319" s="43">
        <v>764</v>
      </c>
      <c r="B319" s="37" t="s">
        <v>1996</v>
      </c>
    </row>
    <row r="320" spans="1:2" x14ac:dyDescent="0.25">
      <c r="A320" s="43" t="s">
        <v>1995</v>
      </c>
      <c r="B320" s="37" t="s">
        <v>1994</v>
      </c>
    </row>
    <row r="321" spans="1:2" x14ac:dyDescent="0.25">
      <c r="A321" s="43" t="s">
        <v>1993</v>
      </c>
      <c r="B321" s="37" t="s">
        <v>1992</v>
      </c>
    </row>
    <row r="322" spans="1:2" x14ac:dyDescent="0.25">
      <c r="A322" s="43" t="s">
        <v>1991</v>
      </c>
      <c r="B322" s="37" t="s">
        <v>1990</v>
      </c>
    </row>
    <row r="323" spans="1:2" x14ac:dyDescent="0.25">
      <c r="A323" s="43" t="s">
        <v>1989</v>
      </c>
      <c r="B323" s="37" t="s">
        <v>1988</v>
      </c>
    </row>
    <row r="324" spans="1:2" x14ac:dyDescent="0.25">
      <c r="A324" s="43" t="s">
        <v>1987</v>
      </c>
      <c r="B324" s="37" t="s">
        <v>1986</v>
      </c>
    </row>
    <row r="325" spans="1:2" x14ac:dyDescent="0.25">
      <c r="A325" s="43" t="s">
        <v>1985</v>
      </c>
      <c r="B325" s="37" t="s">
        <v>1984</v>
      </c>
    </row>
    <row r="326" spans="1:2" x14ac:dyDescent="0.25">
      <c r="A326" s="43" t="s">
        <v>1983</v>
      </c>
      <c r="B326" s="37" t="s">
        <v>1982</v>
      </c>
    </row>
    <row r="327" spans="1:2" x14ac:dyDescent="0.25">
      <c r="A327" s="43" t="s">
        <v>1981</v>
      </c>
      <c r="B327" s="37" t="s">
        <v>1980</v>
      </c>
    </row>
    <row r="328" spans="1:2" x14ac:dyDescent="0.25">
      <c r="A328" s="43" t="s">
        <v>1979</v>
      </c>
      <c r="B328" s="37" t="s">
        <v>886</v>
      </c>
    </row>
    <row r="329" spans="1:2" x14ac:dyDescent="0.25">
      <c r="A329" s="43">
        <v>795</v>
      </c>
      <c r="B329" s="37" t="s">
        <v>1978</v>
      </c>
    </row>
    <row r="330" spans="1:2" x14ac:dyDescent="0.25">
      <c r="A330" s="43" t="s">
        <v>1977</v>
      </c>
      <c r="B330" s="37" t="s">
        <v>1976</v>
      </c>
    </row>
    <row r="331" spans="1:2" x14ac:dyDescent="0.25">
      <c r="A331" s="43" t="s">
        <v>1975</v>
      </c>
      <c r="B331" s="37" t="s">
        <v>1974</v>
      </c>
    </row>
    <row r="332" spans="1:2" x14ac:dyDescent="0.25">
      <c r="A332" s="43" t="s">
        <v>1973</v>
      </c>
      <c r="B332" s="37" t="s">
        <v>1972</v>
      </c>
    </row>
    <row r="333" spans="1:2" x14ac:dyDescent="0.25">
      <c r="A333" s="43" t="s">
        <v>1971</v>
      </c>
      <c r="B333" s="37" t="s">
        <v>1970</v>
      </c>
    </row>
    <row r="334" spans="1:2" x14ac:dyDescent="0.25">
      <c r="A334" s="43" t="s">
        <v>1969</v>
      </c>
      <c r="B334" s="37" t="s">
        <v>1968</v>
      </c>
    </row>
    <row r="335" spans="1:2" x14ac:dyDescent="0.25">
      <c r="A335" s="45">
        <v>818</v>
      </c>
      <c r="B335" s="37" t="s">
        <v>1967</v>
      </c>
    </row>
    <row r="336" spans="1:2" x14ac:dyDescent="0.25">
      <c r="A336" s="43" t="s">
        <v>1966</v>
      </c>
      <c r="B336" s="37" t="s">
        <v>1965</v>
      </c>
    </row>
    <row r="337" spans="1:2" x14ac:dyDescent="0.25">
      <c r="A337" s="43" t="s">
        <v>1964</v>
      </c>
      <c r="B337" s="37" t="s">
        <v>1963</v>
      </c>
    </row>
    <row r="338" spans="1:2" x14ac:dyDescent="0.25">
      <c r="A338" s="43" t="s">
        <v>1962</v>
      </c>
      <c r="B338" s="37" t="s">
        <v>1961</v>
      </c>
    </row>
    <row r="339" spans="1:2" x14ac:dyDescent="0.25">
      <c r="A339" s="43" t="s">
        <v>1960</v>
      </c>
      <c r="B339" s="37" t="s">
        <v>1959</v>
      </c>
    </row>
    <row r="340" spans="1:2" x14ac:dyDescent="0.25">
      <c r="A340" s="43">
        <v>840</v>
      </c>
      <c r="B340" s="37" t="s">
        <v>1958</v>
      </c>
    </row>
    <row r="341" spans="1:2" x14ac:dyDescent="0.25">
      <c r="A341" s="43" t="s">
        <v>1957</v>
      </c>
      <c r="B341" s="37" t="s">
        <v>1956</v>
      </c>
    </row>
    <row r="342" spans="1:2" x14ac:dyDescent="0.25">
      <c r="A342" s="43" t="s">
        <v>1955</v>
      </c>
      <c r="B342" s="37" t="s">
        <v>1954</v>
      </c>
    </row>
    <row r="343" spans="1:2" x14ac:dyDescent="0.25">
      <c r="A343" s="43" t="s">
        <v>1953</v>
      </c>
      <c r="B343" s="37" t="s">
        <v>1952</v>
      </c>
    </row>
    <row r="344" spans="1:2" x14ac:dyDescent="0.25">
      <c r="A344" s="43" t="s">
        <v>1951</v>
      </c>
      <c r="B344" s="37" t="s">
        <v>1950</v>
      </c>
    </row>
    <row r="345" spans="1:2" x14ac:dyDescent="0.25">
      <c r="A345" s="43" t="s">
        <v>1949</v>
      </c>
      <c r="B345" s="37" t="s">
        <v>1948</v>
      </c>
    </row>
    <row r="346" spans="1:2" x14ac:dyDescent="0.25">
      <c r="A346" s="43" t="s">
        <v>1947</v>
      </c>
      <c r="B346" s="37" t="s">
        <v>1946</v>
      </c>
    </row>
    <row r="347" spans="1:2" x14ac:dyDescent="0.25">
      <c r="A347" s="43" t="s">
        <v>1945</v>
      </c>
      <c r="B347" s="37" t="s">
        <v>1944</v>
      </c>
    </row>
    <row r="348" spans="1:2" x14ac:dyDescent="0.25">
      <c r="A348" s="43" t="s">
        <v>1943</v>
      </c>
      <c r="B348" s="37" t="s">
        <v>1942</v>
      </c>
    </row>
    <row r="349" spans="1:2" x14ac:dyDescent="0.25">
      <c r="A349" s="43" t="s">
        <v>1941</v>
      </c>
      <c r="B349" s="37" t="s">
        <v>1940</v>
      </c>
    </row>
    <row r="350" spans="1:2" x14ac:dyDescent="0.25">
      <c r="A350" s="43" t="s">
        <v>1939</v>
      </c>
      <c r="B350" s="37" t="s">
        <v>1938</v>
      </c>
    </row>
    <row r="351" spans="1:2" x14ac:dyDescent="0.25">
      <c r="A351" s="43" t="s">
        <v>1937</v>
      </c>
      <c r="B351" s="37" t="s">
        <v>1936</v>
      </c>
    </row>
    <row r="352" spans="1:2" x14ac:dyDescent="0.25">
      <c r="A352" s="43">
        <v>901</v>
      </c>
      <c r="B352" s="37" t="s">
        <v>1935</v>
      </c>
    </row>
    <row r="353" spans="1:2" x14ac:dyDescent="0.25">
      <c r="A353" s="43" t="s">
        <v>1934</v>
      </c>
      <c r="B353" s="37" t="s">
        <v>1933</v>
      </c>
    </row>
    <row r="354" spans="1:2" x14ac:dyDescent="0.25">
      <c r="A354" s="43" t="s">
        <v>1932</v>
      </c>
      <c r="B354" s="37" t="s">
        <v>1931</v>
      </c>
    </row>
    <row r="355" spans="1:2" x14ac:dyDescent="0.25">
      <c r="A355" s="43" t="s">
        <v>1930</v>
      </c>
      <c r="B355" s="37" t="s">
        <v>1929</v>
      </c>
    </row>
    <row r="356" spans="1:2" x14ac:dyDescent="0.25">
      <c r="A356" s="43">
        <v>913</v>
      </c>
      <c r="B356" s="37" t="s">
        <v>914</v>
      </c>
    </row>
    <row r="357" spans="1:2" x14ac:dyDescent="0.25">
      <c r="A357" s="43" t="s">
        <v>1928</v>
      </c>
      <c r="B357" s="37" t="s">
        <v>1927</v>
      </c>
    </row>
    <row r="358" spans="1:2" x14ac:dyDescent="0.25">
      <c r="A358" s="43" t="s">
        <v>1926</v>
      </c>
      <c r="B358" s="37" t="s">
        <v>1925</v>
      </c>
    </row>
    <row r="359" spans="1:2" x14ac:dyDescent="0.25">
      <c r="A359" s="43" t="s">
        <v>1924</v>
      </c>
      <c r="B359" s="37" t="s">
        <v>1923</v>
      </c>
    </row>
    <row r="360" spans="1:2" x14ac:dyDescent="0.25">
      <c r="A360" s="43" t="s">
        <v>1922</v>
      </c>
      <c r="B360" s="37" t="s">
        <v>791</v>
      </c>
    </row>
    <row r="361" spans="1:2" x14ac:dyDescent="0.25">
      <c r="A361" s="43" t="s">
        <v>1921</v>
      </c>
      <c r="B361" s="37" t="s">
        <v>788</v>
      </c>
    </row>
    <row r="362" spans="1:2" x14ac:dyDescent="0.25">
      <c r="A362" s="43" t="s">
        <v>1920</v>
      </c>
      <c r="B362" s="37" t="s">
        <v>789</v>
      </c>
    </row>
    <row r="363" spans="1:2" x14ac:dyDescent="0.25">
      <c r="A363" s="43" t="s">
        <v>1919</v>
      </c>
      <c r="B363" s="37" t="s">
        <v>790</v>
      </c>
    </row>
    <row r="364" spans="1:2" x14ac:dyDescent="0.25">
      <c r="A364" s="43" t="s">
        <v>1918</v>
      </c>
      <c r="B364" s="37" t="s">
        <v>792</v>
      </c>
    </row>
    <row r="365" spans="1:2" x14ac:dyDescent="0.25">
      <c r="A365" s="43" t="s">
        <v>1917</v>
      </c>
      <c r="B365" s="37" t="s">
        <v>1916</v>
      </c>
    </row>
    <row r="366" spans="1:2" x14ac:dyDescent="0.25">
      <c r="A366" s="43" t="s">
        <v>1915</v>
      </c>
      <c r="B366" s="37" t="s">
        <v>1914</v>
      </c>
    </row>
    <row r="367" spans="1:2" x14ac:dyDescent="0.25">
      <c r="A367" s="43" t="s">
        <v>1913</v>
      </c>
      <c r="B367" s="37" t="s">
        <v>1912</v>
      </c>
    </row>
    <row r="368" spans="1:2" x14ac:dyDescent="0.25">
      <c r="A368" s="43" t="s">
        <v>1911</v>
      </c>
      <c r="B368" s="37" t="s">
        <v>1910</v>
      </c>
    </row>
    <row r="369" spans="1:2" x14ac:dyDescent="0.25">
      <c r="A369" s="43" t="s">
        <v>1909</v>
      </c>
      <c r="B369" s="37" t="s">
        <v>1908</v>
      </c>
    </row>
    <row r="370" spans="1:2" x14ac:dyDescent="0.25">
      <c r="A370" s="43" t="s">
        <v>1907</v>
      </c>
      <c r="B370" s="37" t="s">
        <v>1906</v>
      </c>
    </row>
    <row r="371" spans="1:2" x14ac:dyDescent="0.25">
      <c r="A371" s="43" t="s">
        <v>1905</v>
      </c>
      <c r="B371" s="37" t="s">
        <v>781</v>
      </c>
    </row>
    <row r="372" spans="1:2" x14ac:dyDescent="0.25">
      <c r="A372" s="43" t="s">
        <v>1904</v>
      </c>
      <c r="B372" s="37" t="s">
        <v>780</v>
      </c>
    </row>
    <row r="373" spans="1:2" x14ac:dyDescent="0.25">
      <c r="A373" s="43" t="s">
        <v>1903</v>
      </c>
      <c r="B373" s="37" t="s">
        <v>779</v>
      </c>
    </row>
    <row r="374" spans="1:2" x14ac:dyDescent="0.25">
      <c r="A374" s="43" t="s">
        <v>1902</v>
      </c>
      <c r="B374" s="37" t="s">
        <v>786</v>
      </c>
    </row>
    <row r="375" spans="1:2" x14ac:dyDescent="0.25">
      <c r="A375" s="43" t="s">
        <v>1901</v>
      </c>
      <c r="B375" s="37" t="s">
        <v>777</v>
      </c>
    </row>
    <row r="376" spans="1:2" x14ac:dyDescent="0.25">
      <c r="A376" s="43" t="s">
        <v>1900</v>
      </c>
      <c r="B376" s="37" t="s">
        <v>776</v>
      </c>
    </row>
    <row r="377" spans="1:2" x14ac:dyDescent="0.25">
      <c r="A377" s="43">
        <v>947</v>
      </c>
      <c r="B377" s="37" t="s">
        <v>785</v>
      </c>
    </row>
    <row r="378" spans="1:2" x14ac:dyDescent="0.25">
      <c r="A378" s="43" t="s">
        <v>1899</v>
      </c>
      <c r="B378" s="37" t="s">
        <v>774</v>
      </c>
    </row>
    <row r="379" spans="1:2" x14ac:dyDescent="0.25">
      <c r="A379" s="43" t="s">
        <v>1898</v>
      </c>
      <c r="B379" s="37" t="s">
        <v>784</v>
      </c>
    </row>
    <row r="380" spans="1:2" x14ac:dyDescent="0.25">
      <c r="A380" s="43" t="s">
        <v>1897</v>
      </c>
      <c r="B380" s="37" t="s">
        <v>783</v>
      </c>
    </row>
    <row r="381" spans="1:2" x14ac:dyDescent="0.25">
      <c r="A381" s="43">
        <v>951</v>
      </c>
      <c r="B381" s="37" t="s">
        <v>1896</v>
      </c>
    </row>
    <row r="382" spans="1:2" x14ac:dyDescent="0.25">
      <c r="A382" s="43" t="s">
        <v>1895</v>
      </c>
      <c r="B382" s="37" t="s">
        <v>761</v>
      </c>
    </row>
    <row r="383" spans="1:2" x14ac:dyDescent="0.25">
      <c r="A383" s="43" t="s">
        <v>1894</v>
      </c>
      <c r="B383" s="37" t="s">
        <v>760</v>
      </c>
    </row>
    <row r="384" spans="1:2" x14ac:dyDescent="0.25">
      <c r="A384" s="43" t="s">
        <v>1893</v>
      </c>
      <c r="B384" s="37" t="s">
        <v>771</v>
      </c>
    </row>
    <row r="385" spans="1:2" x14ac:dyDescent="0.25">
      <c r="A385" s="43" t="s">
        <v>1892</v>
      </c>
      <c r="B385" s="37" t="s">
        <v>758</v>
      </c>
    </row>
    <row r="386" spans="1:2" x14ac:dyDescent="0.25">
      <c r="A386" s="43" t="s">
        <v>1891</v>
      </c>
      <c r="B386" s="37" t="s">
        <v>770</v>
      </c>
    </row>
    <row r="387" spans="1:2" x14ac:dyDescent="0.25">
      <c r="A387" s="43" t="s">
        <v>1890</v>
      </c>
      <c r="B387" s="37" t="s">
        <v>769</v>
      </c>
    </row>
    <row r="388" spans="1:2" x14ac:dyDescent="0.25">
      <c r="A388" s="43" t="s">
        <v>1889</v>
      </c>
      <c r="B388" s="37" t="s">
        <v>755</v>
      </c>
    </row>
    <row r="389" spans="1:2" x14ac:dyDescent="0.25">
      <c r="A389" s="43" t="s">
        <v>1888</v>
      </c>
      <c r="B389" s="37" t="s">
        <v>767</v>
      </c>
    </row>
    <row r="390" spans="1:2" x14ac:dyDescent="0.25">
      <c r="A390" s="43" t="s">
        <v>1887</v>
      </c>
      <c r="B390" s="37" t="s">
        <v>766</v>
      </c>
    </row>
    <row r="391" spans="1:2" x14ac:dyDescent="0.25">
      <c r="A391" s="43" t="s">
        <v>1886</v>
      </c>
      <c r="B391" s="37" t="s">
        <v>764</v>
      </c>
    </row>
    <row r="392" spans="1:2" x14ac:dyDescent="0.25">
      <c r="A392" s="43" t="s">
        <v>1885</v>
      </c>
      <c r="B392" s="37" t="s">
        <v>741</v>
      </c>
    </row>
    <row r="393" spans="1:2" x14ac:dyDescent="0.25">
      <c r="A393" s="43" t="s">
        <v>1884</v>
      </c>
      <c r="B393" s="37" t="s">
        <v>751</v>
      </c>
    </row>
    <row r="394" spans="1:2" x14ac:dyDescent="0.25">
      <c r="A394" s="43" t="s">
        <v>1883</v>
      </c>
      <c r="B394" s="37" t="s">
        <v>750</v>
      </c>
    </row>
    <row r="395" spans="1:2" x14ac:dyDescent="0.25">
      <c r="A395" s="43" t="s">
        <v>1882</v>
      </c>
      <c r="B395" s="37" t="s">
        <v>748</v>
      </c>
    </row>
    <row r="396" spans="1:2" x14ac:dyDescent="0.25">
      <c r="A396" s="43" t="s">
        <v>1881</v>
      </c>
      <c r="B396" s="37" t="s">
        <v>745</v>
      </c>
    </row>
    <row r="397" spans="1:2" x14ac:dyDescent="0.25">
      <c r="A397" s="43" t="s">
        <v>1880</v>
      </c>
      <c r="B397" s="37" t="s">
        <v>736</v>
      </c>
    </row>
    <row r="398" spans="1:2" x14ac:dyDescent="0.25">
      <c r="A398" s="43" t="s">
        <v>1879</v>
      </c>
      <c r="B398" s="37" t="s">
        <v>1878</v>
      </c>
    </row>
    <row r="399" spans="1:2" x14ac:dyDescent="0.25">
      <c r="A399" s="43" t="s">
        <v>1877</v>
      </c>
      <c r="B399" s="37" t="s">
        <v>1876</v>
      </c>
    </row>
    <row r="400" spans="1:2" x14ac:dyDescent="0.25">
      <c r="A400" s="43" t="s">
        <v>1875</v>
      </c>
      <c r="B400" s="37" t="s">
        <v>1874</v>
      </c>
    </row>
    <row r="401" spans="1:2" x14ac:dyDescent="0.25">
      <c r="A401" s="43" t="s">
        <v>1873</v>
      </c>
      <c r="B401" s="37" t="s">
        <v>1872</v>
      </c>
    </row>
    <row r="402" spans="1:2" x14ac:dyDescent="0.25">
      <c r="A402" s="43">
        <v>980</v>
      </c>
      <c r="B402" s="37" t="s">
        <v>1871</v>
      </c>
    </row>
    <row r="403" spans="1:2" x14ac:dyDescent="0.25">
      <c r="A403" s="43">
        <v>981</v>
      </c>
      <c r="B403" s="37" t="s">
        <v>1870</v>
      </c>
    </row>
    <row r="404" spans="1:2" x14ac:dyDescent="0.25">
      <c r="A404" s="43" t="s">
        <v>1869</v>
      </c>
      <c r="B404" s="44" t="s">
        <v>1868</v>
      </c>
    </row>
    <row r="405" spans="1:2" x14ac:dyDescent="0.25">
      <c r="A405" s="43">
        <v>983</v>
      </c>
      <c r="B405" s="37" t="s">
        <v>1867</v>
      </c>
    </row>
    <row r="406" spans="1:2" x14ac:dyDescent="0.25">
      <c r="A406" s="45">
        <v>984</v>
      </c>
      <c r="B406" s="37" t="s">
        <v>1866</v>
      </c>
    </row>
    <row r="407" spans="1:2" x14ac:dyDescent="0.25">
      <c r="A407" s="43" t="s">
        <v>1865</v>
      </c>
      <c r="B407" s="37" t="s">
        <v>1864</v>
      </c>
    </row>
    <row r="408" spans="1:2" x14ac:dyDescent="0.25">
      <c r="A408" s="43" t="s">
        <v>1863</v>
      </c>
      <c r="B408" s="37" t="s">
        <v>1862</v>
      </c>
    </row>
    <row r="409" spans="1:2" x14ac:dyDescent="0.25">
      <c r="A409" s="43">
        <v>987</v>
      </c>
      <c r="B409" s="37" t="s">
        <v>1861</v>
      </c>
    </row>
    <row r="410" spans="1:2" x14ac:dyDescent="0.25">
      <c r="A410" s="43">
        <v>988</v>
      </c>
      <c r="B410" s="37" t="s">
        <v>1860</v>
      </c>
    </row>
    <row r="411" spans="1:2" x14ac:dyDescent="0.25">
      <c r="A411" s="43" t="s">
        <v>1859</v>
      </c>
      <c r="B411" s="37" t="s">
        <v>1858</v>
      </c>
    </row>
    <row r="412" spans="1:2" x14ac:dyDescent="0.25">
      <c r="A412" s="43">
        <v>998</v>
      </c>
      <c r="B412" s="37" t="s">
        <v>1857</v>
      </c>
    </row>
    <row r="413" spans="1:2" x14ac:dyDescent="0.25">
      <c r="A413" s="43" t="s">
        <v>1856</v>
      </c>
      <c r="B413" s="44" t="s">
        <v>1855</v>
      </c>
    </row>
    <row r="414" spans="1:2" x14ac:dyDescent="0.25">
      <c r="A414" s="43">
        <v>990</v>
      </c>
      <c r="B414" s="37" t="s">
        <v>787</v>
      </c>
    </row>
    <row r="415" spans="1:2" x14ac:dyDescent="0.25">
      <c r="A415" s="43">
        <v>904</v>
      </c>
      <c r="B415" s="37" t="s">
        <v>1854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4BDA-6D9E-4DD7-94D5-45F5B0205124}">
  <dimension ref="A1:B552"/>
  <sheetViews>
    <sheetView workbookViewId="0"/>
  </sheetViews>
  <sheetFormatPr defaultRowHeight="15" x14ac:dyDescent="0.25"/>
  <cols>
    <col min="2" max="2" width="46.140625" bestFit="1" customWidth="1"/>
  </cols>
  <sheetData>
    <row r="1" spans="1:2" x14ac:dyDescent="0.25">
      <c r="A1" s="78" t="s">
        <v>674</v>
      </c>
      <c r="B1" s="77" t="s">
        <v>673</v>
      </c>
    </row>
    <row r="2" spans="1:2" x14ac:dyDescent="0.25">
      <c r="A2" s="47">
        <v>1201</v>
      </c>
      <c r="B2" s="52" t="s">
        <v>916</v>
      </c>
    </row>
    <row r="3" spans="1:2" x14ac:dyDescent="0.25">
      <c r="A3" s="47">
        <v>1202</v>
      </c>
      <c r="B3" s="52" t="s">
        <v>915</v>
      </c>
    </row>
    <row r="4" spans="1:2" x14ac:dyDescent="0.25">
      <c r="A4" s="47">
        <v>1203</v>
      </c>
      <c r="B4" s="52" t="s">
        <v>914</v>
      </c>
    </row>
    <row r="5" spans="1:2" x14ac:dyDescent="0.25">
      <c r="A5" s="47">
        <v>1401</v>
      </c>
      <c r="B5" s="52" t="s">
        <v>887</v>
      </c>
    </row>
    <row r="6" spans="1:2" x14ac:dyDescent="0.25">
      <c r="A6" s="47">
        <v>2001</v>
      </c>
      <c r="B6" s="52" t="s">
        <v>885</v>
      </c>
    </row>
    <row r="7" spans="1:2" x14ac:dyDescent="0.25">
      <c r="A7" s="47">
        <v>12002</v>
      </c>
      <c r="B7" s="52" t="s">
        <v>3072</v>
      </c>
    </row>
    <row r="8" spans="1:2" x14ac:dyDescent="0.25">
      <c r="A8" s="47">
        <v>12003</v>
      </c>
      <c r="B8" s="52" t="s">
        <v>3071</v>
      </c>
    </row>
    <row r="9" spans="1:2" x14ac:dyDescent="0.25">
      <c r="A9" s="47">
        <v>12004</v>
      </c>
      <c r="B9" s="52" t="s">
        <v>3070</v>
      </c>
    </row>
    <row r="10" spans="1:2" x14ac:dyDescent="0.25">
      <c r="A10" s="47">
        <v>12005</v>
      </c>
      <c r="B10" s="55" t="s">
        <v>3069</v>
      </c>
    </row>
    <row r="11" spans="1:2" x14ac:dyDescent="0.25">
      <c r="A11" s="47">
        <v>12006</v>
      </c>
      <c r="B11" s="52" t="s">
        <v>3068</v>
      </c>
    </row>
    <row r="12" spans="1:2" x14ac:dyDescent="0.25">
      <c r="A12" s="47">
        <v>12007</v>
      </c>
      <c r="B12" s="54" t="s">
        <v>3067</v>
      </c>
    </row>
    <row r="13" spans="1:2" x14ac:dyDescent="0.25">
      <c r="A13" s="47">
        <v>12008</v>
      </c>
      <c r="B13" s="53" t="s">
        <v>3066</v>
      </c>
    </row>
    <row r="14" spans="1:2" x14ac:dyDescent="0.25">
      <c r="A14" s="47">
        <v>12009</v>
      </c>
      <c r="B14" s="53" t="s">
        <v>3065</v>
      </c>
    </row>
    <row r="15" spans="1:2" x14ac:dyDescent="0.25">
      <c r="A15" s="47">
        <v>12010</v>
      </c>
      <c r="B15" s="53" t="s">
        <v>3064</v>
      </c>
    </row>
    <row r="16" spans="1:2" x14ac:dyDescent="0.25">
      <c r="A16" s="47">
        <v>12101</v>
      </c>
      <c r="B16" s="52" t="s">
        <v>3063</v>
      </c>
    </row>
    <row r="17" spans="1:2" x14ac:dyDescent="0.25">
      <c r="A17" s="47">
        <v>12102</v>
      </c>
      <c r="B17" s="52" t="s">
        <v>3062</v>
      </c>
    </row>
    <row r="18" spans="1:2" x14ac:dyDescent="0.25">
      <c r="A18" s="47">
        <v>12190</v>
      </c>
      <c r="B18" s="46" t="s">
        <v>3061</v>
      </c>
    </row>
    <row r="19" spans="1:2" x14ac:dyDescent="0.25">
      <c r="A19" s="47">
        <v>12301</v>
      </c>
      <c r="B19" s="46" t="s">
        <v>3060</v>
      </c>
    </row>
    <row r="20" spans="1:2" x14ac:dyDescent="0.25">
      <c r="A20" s="47">
        <v>13201</v>
      </c>
      <c r="B20" s="46" t="s">
        <v>3059</v>
      </c>
    </row>
    <row r="21" spans="1:2" x14ac:dyDescent="0.25">
      <c r="A21" s="47">
        <v>13202</v>
      </c>
      <c r="B21" s="46" t="s">
        <v>3058</v>
      </c>
    </row>
    <row r="22" spans="1:2" x14ac:dyDescent="0.25">
      <c r="A22" s="47">
        <v>21101</v>
      </c>
      <c r="B22" s="46" t="s">
        <v>3057</v>
      </c>
    </row>
    <row r="23" spans="1:2" x14ac:dyDescent="0.25">
      <c r="A23" s="47">
        <v>22001</v>
      </c>
      <c r="B23" s="46" t="s">
        <v>3056</v>
      </c>
    </row>
    <row r="24" spans="1:2" x14ac:dyDescent="0.25">
      <c r="A24" s="47">
        <v>22002</v>
      </c>
      <c r="B24" s="46" t="s">
        <v>3055</v>
      </c>
    </row>
    <row r="25" spans="1:2" x14ac:dyDescent="0.25">
      <c r="A25" s="47">
        <v>22003</v>
      </c>
      <c r="B25" s="46" t="s">
        <v>3054</v>
      </c>
    </row>
    <row r="26" spans="1:2" x14ac:dyDescent="0.25">
      <c r="A26" s="47">
        <v>22201</v>
      </c>
      <c r="B26" s="46" t="s">
        <v>3053</v>
      </c>
    </row>
    <row r="27" spans="1:2" x14ac:dyDescent="0.25">
      <c r="A27" s="47">
        <v>22202</v>
      </c>
      <c r="B27" s="46" t="s">
        <v>3052</v>
      </c>
    </row>
    <row r="28" spans="1:2" x14ac:dyDescent="0.25">
      <c r="A28" s="47">
        <v>22203</v>
      </c>
      <c r="B28" s="46" t="s">
        <v>3051</v>
      </c>
    </row>
    <row r="29" spans="1:2" x14ac:dyDescent="0.25">
      <c r="A29" s="47">
        <v>22301</v>
      </c>
      <c r="B29" s="46" t="s">
        <v>3050</v>
      </c>
    </row>
    <row r="30" spans="1:2" x14ac:dyDescent="0.25">
      <c r="A30" s="47">
        <v>22302</v>
      </c>
      <c r="B30" s="46" t="s">
        <v>3049</v>
      </c>
    </row>
    <row r="31" spans="1:2" x14ac:dyDescent="0.25">
      <c r="A31" s="47">
        <v>22303</v>
      </c>
      <c r="B31" s="46" t="s">
        <v>3048</v>
      </c>
    </row>
    <row r="32" spans="1:2" x14ac:dyDescent="0.25">
      <c r="A32" s="47">
        <v>22304</v>
      </c>
      <c r="B32" s="46" t="s">
        <v>3047</v>
      </c>
    </row>
    <row r="33" spans="1:2" x14ac:dyDescent="0.25">
      <c r="A33" s="47">
        <v>22305</v>
      </c>
      <c r="B33" s="46" t="s">
        <v>3046</v>
      </c>
    </row>
    <row r="34" spans="1:2" x14ac:dyDescent="0.25">
      <c r="A34" s="47">
        <v>22307</v>
      </c>
      <c r="B34" s="46" t="s">
        <v>3045</v>
      </c>
    </row>
    <row r="35" spans="1:2" x14ac:dyDescent="0.25">
      <c r="A35" s="47">
        <v>22401</v>
      </c>
      <c r="B35" s="46" t="s">
        <v>3044</v>
      </c>
    </row>
    <row r="36" spans="1:2" x14ac:dyDescent="0.25">
      <c r="A36" s="47">
        <v>23001</v>
      </c>
      <c r="B36" s="46" t="s">
        <v>3043</v>
      </c>
    </row>
    <row r="37" spans="1:2" x14ac:dyDescent="0.25">
      <c r="A37" s="47">
        <v>23002</v>
      </c>
      <c r="B37" s="46" t="s">
        <v>3042</v>
      </c>
    </row>
    <row r="38" spans="1:2" x14ac:dyDescent="0.25">
      <c r="A38" s="47">
        <v>23003</v>
      </c>
      <c r="B38" s="46" t="s">
        <v>3041</v>
      </c>
    </row>
    <row r="39" spans="1:2" x14ac:dyDescent="0.25">
      <c r="A39" s="47">
        <v>23101</v>
      </c>
      <c r="B39" s="46" t="s">
        <v>3040</v>
      </c>
    </row>
    <row r="40" spans="1:2" x14ac:dyDescent="0.25">
      <c r="A40" s="47">
        <v>23102</v>
      </c>
      <c r="B40" s="46" t="s">
        <v>3039</v>
      </c>
    </row>
    <row r="41" spans="1:2" x14ac:dyDescent="0.25">
      <c r="A41" s="47">
        <v>23103</v>
      </c>
      <c r="B41" s="46" t="s">
        <v>3038</v>
      </c>
    </row>
    <row r="42" spans="1:2" x14ac:dyDescent="0.25">
      <c r="A42" s="47">
        <v>23104</v>
      </c>
      <c r="B42" s="46" t="s">
        <v>3037</v>
      </c>
    </row>
    <row r="43" spans="1:2" x14ac:dyDescent="0.25">
      <c r="A43" s="47">
        <v>23105</v>
      </c>
      <c r="B43" s="46" t="s">
        <v>3036</v>
      </c>
    </row>
    <row r="44" spans="1:2" x14ac:dyDescent="0.25">
      <c r="A44" s="47">
        <v>23106</v>
      </c>
      <c r="B44" s="46" t="s">
        <v>3035</v>
      </c>
    </row>
    <row r="45" spans="1:2" x14ac:dyDescent="0.25">
      <c r="A45" s="47">
        <v>23107</v>
      </c>
      <c r="B45" s="46" t="s">
        <v>3034</v>
      </c>
    </row>
    <row r="46" spans="1:2" x14ac:dyDescent="0.25">
      <c r="A46" s="47">
        <v>23108</v>
      </c>
      <c r="B46" s="46" t="s">
        <v>3033</v>
      </c>
    </row>
    <row r="47" spans="1:2" x14ac:dyDescent="0.25">
      <c r="A47" s="47">
        <v>23109</v>
      </c>
      <c r="B47" s="46" t="s">
        <v>3032</v>
      </c>
    </row>
    <row r="48" spans="1:2" x14ac:dyDescent="0.25">
      <c r="A48" s="47">
        <v>23110</v>
      </c>
      <c r="B48" s="46" t="s">
        <v>3031</v>
      </c>
    </row>
    <row r="49" spans="1:2" x14ac:dyDescent="0.25">
      <c r="A49" s="47">
        <v>23111</v>
      </c>
      <c r="B49" s="46" t="s">
        <v>3030</v>
      </c>
    </row>
    <row r="50" spans="1:2" x14ac:dyDescent="0.25">
      <c r="A50" s="47">
        <v>23112</v>
      </c>
      <c r="B50" s="46" t="s">
        <v>3029</v>
      </c>
    </row>
    <row r="51" spans="1:2" x14ac:dyDescent="0.25">
      <c r="A51" s="47">
        <v>23113</v>
      </c>
      <c r="B51" s="46" t="s">
        <v>3028</v>
      </c>
    </row>
    <row r="52" spans="1:2" x14ac:dyDescent="0.25">
      <c r="A52" s="47">
        <v>23190</v>
      </c>
      <c r="B52" s="46" t="s">
        <v>3027</v>
      </c>
    </row>
    <row r="53" spans="1:2" x14ac:dyDescent="0.25">
      <c r="A53" s="47">
        <v>23301</v>
      </c>
      <c r="B53" s="46" t="s">
        <v>3026</v>
      </c>
    </row>
    <row r="54" spans="1:2" x14ac:dyDescent="0.25">
      <c r="A54" s="47">
        <v>23401</v>
      </c>
      <c r="B54" s="46" t="s">
        <v>3025</v>
      </c>
    </row>
    <row r="55" spans="1:2" x14ac:dyDescent="0.25">
      <c r="A55" s="47">
        <v>23901</v>
      </c>
      <c r="B55" s="46" t="s">
        <v>3024</v>
      </c>
    </row>
    <row r="56" spans="1:2" x14ac:dyDescent="0.25">
      <c r="A56" s="47">
        <v>24001</v>
      </c>
      <c r="B56" s="46" t="s">
        <v>3023</v>
      </c>
    </row>
    <row r="57" spans="1:2" x14ac:dyDescent="0.25">
      <c r="A57" s="47">
        <v>24002</v>
      </c>
      <c r="B57" s="46" t="s">
        <v>3022</v>
      </c>
    </row>
    <row r="58" spans="1:2" x14ac:dyDescent="0.25">
      <c r="A58" s="47">
        <v>24003</v>
      </c>
      <c r="B58" s="46" t="s">
        <v>3021</v>
      </c>
    </row>
    <row r="59" spans="1:2" x14ac:dyDescent="0.25">
      <c r="A59" s="47">
        <v>24004</v>
      </c>
      <c r="B59" s="46" t="s">
        <v>3020</v>
      </c>
    </row>
    <row r="60" spans="1:2" x14ac:dyDescent="0.25">
      <c r="A60" s="47">
        <v>24005</v>
      </c>
      <c r="B60" s="46" t="s">
        <v>3019</v>
      </c>
    </row>
    <row r="61" spans="1:2" x14ac:dyDescent="0.25">
      <c r="A61" s="47">
        <v>24006</v>
      </c>
      <c r="B61" s="46" t="s">
        <v>3018</v>
      </c>
    </row>
    <row r="62" spans="1:2" x14ac:dyDescent="0.25">
      <c r="A62" s="47">
        <v>24007</v>
      </c>
      <c r="B62" s="46" t="s">
        <v>3017</v>
      </c>
    </row>
    <row r="63" spans="1:2" x14ac:dyDescent="0.25">
      <c r="A63" s="47">
        <v>24008</v>
      </c>
      <c r="B63" s="46" t="s">
        <v>3016</v>
      </c>
    </row>
    <row r="64" spans="1:2" x14ac:dyDescent="0.25">
      <c r="A64" s="47">
        <v>24009</v>
      </c>
      <c r="B64" s="46" t="s">
        <v>3015</v>
      </c>
    </row>
    <row r="65" spans="1:2" x14ac:dyDescent="0.25">
      <c r="A65" s="47">
        <v>24010</v>
      </c>
      <c r="B65" s="46" t="s">
        <v>3014</v>
      </c>
    </row>
    <row r="66" spans="1:2" x14ac:dyDescent="0.25">
      <c r="A66" s="47">
        <v>24011</v>
      </c>
      <c r="B66" s="46" t="s">
        <v>3013</v>
      </c>
    </row>
    <row r="67" spans="1:2" x14ac:dyDescent="0.25">
      <c r="A67" s="47">
        <v>24101</v>
      </c>
      <c r="B67" s="46" t="s">
        <v>3012</v>
      </c>
    </row>
    <row r="68" spans="1:2" x14ac:dyDescent="0.25">
      <c r="A68" s="47">
        <v>24102</v>
      </c>
      <c r="B68" s="46" t="s">
        <v>3011</v>
      </c>
    </row>
    <row r="69" spans="1:2" x14ac:dyDescent="0.25">
      <c r="A69" s="47">
        <v>24103</v>
      </c>
      <c r="B69" s="46" t="s">
        <v>3010</v>
      </c>
    </row>
    <row r="70" spans="1:2" x14ac:dyDescent="0.25">
      <c r="A70" s="47">
        <v>24104</v>
      </c>
      <c r="B70" s="46" t="s">
        <v>3009</v>
      </c>
    </row>
    <row r="71" spans="1:2" x14ac:dyDescent="0.25">
      <c r="A71" s="47">
        <v>24105</v>
      </c>
      <c r="B71" s="46" t="s">
        <v>3008</v>
      </c>
    </row>
    <row r="72" spans="1:2" x14ac:dyDescent="0.25">
      <c r="A72" s="47">
        <v>24106</v>
      </c>
      <c r="B72" s="46" t="s">
        <v>3007</v>
      </c>
    </row>
    <row r="73" spans="1:2" x14ac:dyDescent="0.25">
      <c r="A73" s="47">
        <v>24107</v>
      </c>
      <c r="B73" s="46" t="s">
        <v>3006</v>
      </c>
    </row>
    <row r="74" spans="1:2" x14ac:dyDescent="0.25">
      <c r="A74" s="47">
        <v>24201</v>
      </c>
      <c r="B74" s="46" t="s">
        <v>3005</v>
      </c>
    </row>
    <row r="75" spans="1:2" x14ac:dyDescent="0.25">
      <c r="A75" s="47">
        <v>24202</v>
      </c>
      <c r="B75" s="46" t="s">
        <v>3004</v>
      </c>
    </row>
    <row r="76" spans="1:2" x14ac:dyDescent="0.25">
      <c r="A76" s="47">
        <v>24203</v>
      </c>
      <c r="B76" s="46" t="s">
        <v>3003</v>
      </c>
    </row>
    <row r="77" spans="1:2" x14ac:dyDescent="0.25">
      <c r="A77" s="47">
        <v>24204</v>
      </c>
      <c r="B77" s="46" t="s">
        <v>3002</v>
      </c>
    </row>
    <row r="78" spans="1:2" x14ac:dyDescent="0.25">
      <c r="A78" s="47">
        <v>24205</v>
      </c>
      <c r="B78" s="46" t="s">
        <v>3001</v>
      </c>
    </row>
    <row r="79" spans="1:2" x14ac:dyDescent="0.25">
      <c r="A79" s="47">
        <v>24206</v>
      </c>
      <c r="B79" s="46" t="s">
        <v>3000</v>
      </c>
    </row>
    <row r="80" spans="1:2" x14ac:dyDescent="0.25">
      <c r="A80" s="47">
        <v>24207</v>
      </c>
      <c r="B80" s="46" t="s">
        <v>2999</v>
      </c>
    </row>
    <row r="81" spans="1:2" x14ac:dyDescent="0.25">
      <c r="A81" s="47">
        <v>24299</v>
      </c>
      <c r="B81" s="46" t="s">
        <v>2998</v>
      </c>
    </row>
    <row r="82" spans="1:2" x14ac:dyDescent="0.25">
      <c r="A82" s="47">
        <v>24301</v>
      </c>
      <c r="B82" s="46" t="s">
        <v>2997</v>
      </c>
    </row>
    <row r="83" spans="1:2" x14ac:dyDescent="0.25">
      <c r="A83" s="47">
        <v>24302</v>
      </c>
      <c r="B83" s="46" t="s">
        <v>2996</v>
      </c>
    </row>
    <row r="84" spans="1:2" x14ac:dyDescent="0.25">
      <c r="A84" s="47">
        <v>24303</v>
      </c>
      <c r="B84" s="46" t="s">
        <v>2995</v>
      </c>
    </row>
    <row r="85" spans="1:2" x14ac:dyDescent="0.25">
      <c r="A85" s="47">
        <v>24304</v>
      </c>
      <c r="B85" s="46" t="s">
        <v>2994</v>
      </c>
    </row>
    <row r="86" spans="1:2" x14ac:dyDescent="0.25">
      <c r="A86" s="47">
        <v>24305</v>
      </c>
      <c r="B86" s="46" t="s">
        <v>2993</v>
      </c>
    </row>
    <row r="87" spans="1:2" x14ac:dyDescent="0.25">
      <c r="A87" s="47">
        <v>24306</v>
      </c>
      <c r="B87" s="46" t="s">
        <v>2992</v>
      </c>
    </row>
    <row r="88" spans="1:2" x14ac:dyDescent="0.25">
      <c r="A88" s="47">
        <v>24307</v>
      </c>
      <c r="B88" s="46" t="s">
        <v>2991</v>
      </c>
    </row>
    <row r="89" spans="1:2" x14ac:dyDescent="0.25">
      <c r="A89" s="47">
        <v>24308</v>
      </c>
      <c r="B89" s="46" t="s">
        <v>2990</v>
      </c>
    </row>
    <row r="90" spans="1:2" x14ac:dyDescent="0.25">
      <c r="A90" s="47">
        <v>24309</v>
      </c>
      <c r="B90" s="46" t="s">
        <v>2989</v>
      </c>
    </row>
    <row r="91" spans="1:2" x14ac:dyDescent="0.25">
      <c r="A91" s="47">
        <v>24310</v>
      </c>
      <c r="B91" s="46" t="s">
        <v>2988</v>
      </c>
    </row>
    <row r="92" spans="1:2" x14ac:dyDescent="0.25">
      <c r="A92" s="47">
        <v>24311</v>
      </c>
      <c r="B92" s="46" t="s">
        <v>2987</v>
      </c>
    </row>
    <row r="93" spans="1:2" x14ac:dyDescent="0.25">
      <c r="A93" s="47">
        <v>24312</v>
      </c>
      <c r="B93" s="46" t="s">
        <v>2986</v>
      </c>
    </row>
    <row r="94" spans="1:2" x14ac:dyDescent="0.25">
      <c r="A94" s="47">
        <v>24313</v>
      </c>
      <c r="B94" s="46" t="s">
        <v>2985</v>
      </c>
    </row>
    <row r="95" spans="1:2" x14ac:dyDescent="0.25">
      <c r="A95" s="47">
        <v>24314</v>
      </c>
      <c r="B95" s="46" t="s">
        <v>2984</v>
      </c>
    </row>
    <row r="96" spans="1:2" x14ac:dyDescent="0.25">
      <c r="A96" s="47">
        <v>24401</v>
      </c>
      <c r="B96" s="46" t="s">
        <v>2983</v>
      </c>
    </row>
    <row r="97" spans="1:2" x14ac:dyDescent="0.25">
      <c r="A97" s="47">
        <v>24402</v>
      </c>
      <c r="B97" s="46" t="s">
        <v>2982</v>
      </c>
    </row>
    <row r="98" spans="1:2" x14ac:dyDescent="0.25">
      <c r="A98" s="47">
        <v>24403</v>
      </c>
      <c r="B98" s="46" t="s">
        <v>2981</v>
      </c>
    </row>
    <row r="99" spans="1:2" x14ac:dyDescent="0.25">
      <c r="A99" s="47">
        <v>24404</v>
      </c>
      <c r="B99" s="46" t="s">
        <v>2980</v>
      </c>
    </row>
    <row r="100" spans="1:2" x14ac:dyDescent="0.25">
      <c r="A100" s="47">
        <v>24405</v>
      </c>
      <c r="B100" s="46" t="s">
        <v>2979</v>
      </c>
    </row>
    <row r="101" spans="1:2" x14ac:dyDescent="0.25">
      <c r="A101" s="47">
        <v>24406</v>
      </c>
      <c r="B101" s="46" t="s">
        <v>2978</v>
      </c>
    </row>
    <row r="102" spans="1:2" x14ac:dyDescent="0.25">
      <c r="A102" s="47">
        <v>24407</v>
      </c>
      <c r="B102" s="46" t="s">
        <v>2977</v>
      </c>
    </row>
    <row r="103" spans="1:2" x14ac:dyDescent="0.25">
      <c r="A103" s="47">
        <v>24501</v>
      </c>
      <c r="B103" s="46" t="s">
        <v>2976</v>
      </c>
    </row>
    <row r="104" spans="1:2" x14ac:dyDescent="0.25">
      <c r="A104" s="47">
        <v>24502</v>
      </c>
      <c r="B104" s="46" t="s">
        <v>2975</v>
      </c>
    </row>
    <row r="105" spans="1:2" x14ac:dyDescent="0.25">
      <c r="A105" s="47">
        <v>24503</v>
      </c>
      <c r="B105" s="46" t="s">
        <v>2974</v>
      </c>
    </row>
    <row r="106" spans="1:2" x14ac:dyDescent="0.25">
      <c r="A106" s="47">
        <v>24504</v>
      </c>
      <c r="B106" s="46" t="s">
        <v>2973</v>
      </c>
    </row>
    <row r="107" spans="1:2" x14ac:dyDescent="0.25">
      <c r="A107" s="47">
        <v>24505</v>
      </c>
      <c r="B107" s="46" t="s">
        <v>2972</v>
      </c>
    </row>
    <row r="108" spans="1:2" x14ac:dyDescent="0.25">
      <c r="A108" s="47">
        <v>24590</v>
      </c>
      <c r="B108" s="46" t="s">
        <v>2971</v>
      </c>
    </row>
    <row r="109" spans="1:2" x14ac:dyDescent="0.25">
      <c r="A109" s="47">
        <v>24601</v>
      </c>
      <c r="B109" s="46" t="s">
        <v>2970</v>
      </c>
    </row>
    <row r="110" spans="1:2" x14ac:dyDescent="0.25">
      <c r="A110" s="47">
        <v>24604</v>
      </c>
      <c r="B110" s="46" t="s">
        <v>2969</v>
      </c>
    </row>
    <row r="111" spans="1:2" x14ac:dyDescent="0.25">
      <c r="A111" s="47">
        <v>24605</v>
      </c>
      <c r="B111" s="46" t="s">
        <v>2968</v>
      </c>
    </row>
    <row r="112" spans="1:2" x14ac:dyDescent="0.25">
      <c r="A112" s="47">
        <v>24606</v>
      </c>
      <c r="B112" s="46" t="s">
        <v>2967</v>
      </c>
    </row>
    <row r="113" spans="1:2" x14ac:dyDescent="0.25">
      <c r="A113" s="47">
        <v>24607</v>
      </c>
      <c r="B113" s="46" t="s">
        <v>2966</v>
      </c>
    </row>
    <row r="114" spans="1:2" x14ac:dyDescent="0.25">
      <c r="A114" s="47">
        <v>24608</v>
      </c>
      <c r="B114" s="46" t="s">
        <v>2965</v>
      </c>
    </row>
    <row r="115" spans="1:2" x14ac:dyDescent="0.25">
      <c r="A115" s="47">
        <v>24609</v>
      </c>
      <c r="B115" s="46" t="s">
        <v>2964</v>
      </c>
    </row>
    <row r="116" spans="1:2" x14ac:dyDescent="0.25">
      <c r="A116" s="47">
        <v>24610</v>
      </c>
      <c r="B116" s="46" t="s">
        <v>2963</v>
      </c>
    </row>
    <row r="117" spans="1:2" x14ac:dyDescent="0.25">
      <c r="A117" s="47">
        <v>24611</v>
      </c>
      <c r="B117" s="46" t="s">
        <v>2962</v>
      </c>
    </row>
    <row r="118" spans="1:2" x14ac:dyDescent="0.25">
      <c r="A118" s="47">
        <v>24612</v>
      </c>
      <c r="B118" s="46" t="s">
        <v>2961</v>
      </c>
    </row>
    <row r="119" spans="1:2" x14ac:dyDescent="0.25">
      <c r="A119" s="47">
        <v>24614</v>
      </c>
      <c r="B119" s="46" t="s">
        <v>2960</v>
      </c>
    </row>
    <row r="120" spans="1:2" x14ac:dyDescent="0.25">
      <c r="A120" s="47">
        <v>24701</v>
      </c>
      <c r="B120" s="46" t="s">
        <v>2959</v>
      </c>
    </row>
    <row r="121" spans="1:2" x14ac:dyDescent="0.25">
      <c r="A121" s="47">
        <v>24702</v>
      </c>
      <c r="B121" s="46" t="s">
        <v>2958</v>
      </c>
    </row>
    <row r="122" spans="1:2" x14ac:dyDescent="0.25">
      <c r="A122" s="47">
        <v>24703</v>
      </c>
      <c r="B122" s="46" t="s">
        <v>2957</v>
      </c>
    </row>
    <row r="123" spans="1:2" x14ac:dyDescent="0.25">
      <c r="A123" s="47">
        <v>24704</v>
      </c>
      <c r="B123" s="46" t="s">
        <v>2956</v>
      </c>
    </row>
    <row r="124" spans="1:2" x14ac:dyDescent="0.25">
      <c r="A124" s="47">
        <v>24705</v>
      </c>
      <c r="B124" s="46" t="s">
        <v>2955</v>
      </c>
    </row>
    <row r="125" spans="1:2" x14ac:dyDescent="0.25">
      <c r="A125" s="47">
        <v>24706</v>
      </c>
      <c r="B125" s="46" t="s">
        <v>2954</v>
      </c>
    </row>
    <row r="126" spans="1:2" x14ac:dyDescent="0.25">
      <c r="A126" s="47">
        <v>24707</v>
      </c>
      <c r="B126" s="46" t="s">
        <v>2953</v>
      </c>
    </row>
    <row r="127" spans="1:2" x14ac:dyDescent="0.25">
      <c r="A127" s="47">
        <v>24708</v>
      </c>
      <c r="B127" s="46" t="s">
        <v>2952</v>
      </c>
    </row>
    <row r="128" spans="1:2" x14ac:dyDescent="0.25">
      <c r="A128" s="47">
        <v>24709</v>
      </c>
      <c r="B128" s="46" t="s">
        <v>2951</v>
      </c>
    </row>
    <row r="129" spans="1:2" x14ac:dyDescent="0.25">
      <c r="A129" s="47">
        <v>24710</v>
      </c>
      <c r="B129" s="46" t="s">
        <v>2950</v>
      </c>
    </row>
    <row r="130" spans="1:2" x14ac:dyDescent="0.25">
      <c r="A130" s="47">
        <v>24711</v>
      </c>
      <c r="B130" s="46" t="s">
        <v>2949</v>
      </c>
    </row>
    <row r="131" spans="1:2" x14ac:dyDescent="0.25">
      <c r="A131" s="47">
        <v>24712</v>
      </c>
      <c r="B131" s="46" t="s">
        <v>2948</v>
      </c>
    </row>
    <row r="132" spans="1:2" x14ac:dyDescent="0.25">
      <c r="A132" s="47">
        <v>24713</v>
      </c>
      <c r="B132" s="46" t="s">
        <v>2947</v>
      </c>
    </row>
    <row r="133" spans="1:2" x14ac:dyDescent="0.25">
      <c r="A133" s="47">
        <v>24714</v>
      </c>
      <c r="B133" s="46" t="s">
        <v>2946</v>
      </c>
    </row>
    <row r="134" spans="1:2" x14ac:dyDescent="0.25">
      <c r="A134" s="47">
        <v>24715</v>
      </c>
      <c r="B134" s="46" t="s">
        <v>2945</v>
      </c>
    </row>
    <row r="135" spans="1:2" x14ac:dyDescent="0.25">
      <c r="A135" s="47">
        <v>24716</v>
      </c>
      <c r="B135" s="46" t="s">
        <v>2944</v>
      </c>
    </row>
    <row r="136" spans="1:2" x14ac:dyDescent="0.25">
      <c r="A136" s="47">
        <v>24717</v>
      </c>
      <c r="B136" s="46" t="s">
        <v>2943</v>
      </c>
    </row>
    <row r="137" spans="1:2" x14ac:dyDescent="0.25">
      <c r="A137" s="47">
        <v>24790</v>
      </c>
      <c r="B137" s="46" t="s">
        <v>2942</v>
      </c>
    </row>
    <row r="138" spans="1:2" x14ac:dyDescent="0.25">
      <c r="A138" s="47">
        <v>24801</v>
      </c>
      <c r="B138" s="46" t="s">
        <v>2941</v>
      </c>
    </row>
    <row r="139" spans="1:2" x14ac:dyDescent="0.25">
      <c r="A139" s="47">
        <v>24802</v>
      </c>
      <c r="B139" s="46" t="s">
        <v>2940</v>
      </c>
    </row>
    <row r="140" spans="1:2" x14ac:dyDescent="0.25">
      <c r="A140" s="47">
        <v>24803</v>
      </c>
      <c r="B140" s="46" t="s">
        <v>2939</v>
      </c>
    </row>
    <row r="141" spans="1:2" x14ac:dyDescent="0.25">
      <c r="A141" s="47">
        <v>24804</v>
      </c>
      <c r="B141" s="46" t="s">
        <v>2938</v>
      </c>
    </row>
    <row r="142" spans="1:2" x14ac:dyDescent="0.25">
      <c r="A142" s="47">
        <v>24805</v>
      </c>
      <c r="B142" s="46" t="s">
        <v>2937</v>
      </c>
    </row>
    <row r="143" spans="1:2" x14ac:dyDescent="0.25">
      <c r="A143" s="47">
        <v>24806</v>
      </c>
      <c r="B143" s="46" t="s">
        <v>2936</v>
      </c>
    </row>
    <row r="144" spans="1:2" x14ac:dyDescent="0.25">
      <c r="A144" s="47">
        <v>24807</v>
      </c>
      <c r="B144" s="46" t="s">
        <v>2935</v>
      </c>
    </row>
    <row r="145" spans="1:2" x14ac:dyDescent="0.25">
      <c r="A145" s="47">
        <v>24808</v>
      </c>
      <c r="B145" s="46" t="s">
        <v>2934</v>
      </c>
    </row>
    <row r="146" spans="1:2" x14ac:dyDescent="0.25">
      <c r="A146" s="47">
        <v>24809</v>
      </c>
      <c r="B146" s="46" t="s">
        <v>2933</v>
      </c>
    </row>
    <row r="147" spans="1:2" x14ac:dyDescent="0.25">
      <c r="A147" s="47">
        <v>24810</v>
      </c>
      <c r="B147" s="46" t="s">
        <v>2932</v>
      </c>
    </row>
    <row r="148" spans="1:2" x14ac:dyDescent="0.25">
      <c r="A148" s="47">
        <v>24811</v>
      </c>
      <c r="B148" s="46" t="s">
        <v>2931</v>
      </c>
    </row>
    <row r="149" spans="1:2" x14ac:dyDescent="0.25">
      <c r="A149" s="47">
        <v>24812</v>
      </c>
      <c r="B149" s="46" t="s">
        <v>2930</v>
      </c>
    </row>
    <row r="150" spans="1:2" x14ac:dyDescent="0.25">
      <c r="A150" s="47">
        <v>24813</v>
      </c>
      <c r="B150" s="46" t="s">
        <v>2929</v>
      </c>
    </row>
    <row r="151" spans="1:2" x14ac:dyDescent="0.25">
      <c r="A151" s="47">
        <v>24814</v>
      </c>
      <c r="B151" s="46" t="s">
        <v>2928</v>
      </c>
    </row>
    <row r="152" spans="1:2" x14ac:dyDescent="0.25">
      <c r="A152" s="47">
        <v>24815</v>
      </c>
      <c r="B152" s="46" t="s">
        <v>2927</v>
      </c>
    </row>
    <row r="153" spans="1:2" x14ac:dyDescent="0.25">
      <c r="A153" s="47">
        <v>24890</v>
      </c>
      <c r="B153" s="46" t="s">
        <v>2926</v>
      </c>
    </row>
    <row r="154" spans="1:2" x14ac:dyDescent="0.25">
      <c r="A154" s="47">
        <v>24901</v>
      </c>
      <c r="B154" s="46" t="s">
        <v>2925</v>
      </c>
    </row>
    <row r="155" spans="1:2" x14ac:dyDescent="0.25">
      <c r="A155" s="47">
        <v>24902</v>
      </c>
      <c r="B155" s="46" t="s">
        <v>2924</v>
      </c>
    </row>
    <row r="156" spans="1:2" x14ac:dyDescent="0.25">
      <c r="A156" s="47">
        <v>24903</v>
      </c>
      <c r="B156" s="46" t="s">
        <v>2923</v>
      </c>
    </row>
    <row r="157" spans="1:2" x14ac:dyDescent="0.25">
      <c r="A157" s="47">
        <v>24904</v>
      </c>
      <c r="B157" s="46" t="s">
        <v>2922</v>
      </c>
    </row>
    <row r="158" spans="1:2" x14ac:dyDescent="0.25">
      <c r="A158" s="47">
        <v>24905</v>
      </c>
      <c r="B158" s="46" t="s">
        <v>2921</v>
      </c>
    </row>
    <row r="159" spans="1:2" x14ac:dyDescent="0.25">
      <c r="A159" s="47">
        <v>24906</v>
      </c>
      <c r="B159" s="46" t="s">
        <v>2920</v>
      </c>
    </row>
    <row r="160" spans="1:2" x14ac:dyDescent="0.25">
      <c r="A160" s="47">
        <v>24907</v>
      </c>
      <c r="B160" s="46" t="s">
        <v>2919</v>
      </c>
    </row>
    <row r="161" spans="1:2" x14ac:dyDescent="0.25">
      <c r="A161" s="47">
        <v>24908</v>
      </c>
      <c r="B161" s="46" t="s">
        <v>2918</v>
      </c>
    </row>
    <row r="162" spans="1:2" x14ac:dyDescent="0.25">
      <c r="A162" s="47">
        <v>24909</v>
      </c>
      <c r="B162" s="46" t="s">
        <v>2917</v>
      </c>
    </row>
    <row r="163" spans="1:2" x14ac:dyDescent="0.25">
      <c r="A163" s="47">
        <v>24910</v>
      </c>
      <c r="B163" s="46" t="s">
        <v>2916</v>
      </c>
    </row>
    <row r="164" spans="1:2" x14ac:dyDescent="0.25">
      <c r="A164" s="47">
        <v>24911</v>
      </c>
      <c r="B164" s="46" t="s">
        <v>2915</v>
      </c>
    </row>
    <row r="165" spans="1:2" x14ac:dyDescent="0.25">
      <c r="A165" s="47">
        <v>24912</v>
      </c>
      <c r="B165" s="46" t="s">
        <v>2914</v>
      </c>
    </row>
    <row r="166" spans="1:2" x14ac:dyDescent="0.25">
      <c r="A166" s="47">
        <v>24913</v>
      </c>
      <c r="B166" s="46" t="s">
        <v>2913</v>
      </c>
    </row>
    <row r="167" spans="1:2" x14ac:dyDescent="0.25">
      <c r="A167" s="47">
        <v>24914</v>
      </c>
      <c r="B167" s="46" t="s">
        <v>2912</v>
      </c>
    </row>
    <row r="168" spans="1:2" x14ac:dyDescent="0.25">
      <c r="A168" s="47">
        <v>24915</v>
      </c>
      <c r="B168" s="46" t="s">
        <v>2911</v>
      </c>
    </row>
    <row r="169" spans="1:2" x14ac:dyDescent="0.25">
      <c r="A169" s="47">
        <v>24916</v>
      </c>
      <c r="B169" s="46" t="s">
        <v>2910</v>
      </c>
    </row>
    <row r="170" spans="1:2" x14ac:dyDescent="0.25">
      <c r="A170" s="47">
        <v>24917</v>
      </c>
      <c r="B170" s="46" t="s">
        <v>2909</v>
      </c>
    </row>
    <row r="171" spans="1:2" x14ac:dyDescent="0.25">
      <c r="A171" s="47">
        <v>24918</v>
      </c>
      <c r="B171" s="46" t="s">
        <v>2908</v>
      </c>
    </row>
    <row r="172" spans="1:2" x14ac:dyDescent="0.25">
      <c r="A172" s="47">
        <v>24919</v>
      </c>
      <c r="B172" s="46" t="s">
        <v>2907</v>
      </c>
    </row>
    <row r="173" spans="1:2" x14ac:dyDescent="0.25">
      <c r="A173" s="47">
        <v>24920</v>
      </c>
      <c r="B173" s="46" t="s">
        <v>2906</v>
      </c>
    </row>
    <row r="174" spans="1:2" x14ac:dyDescent="0.25">
      <c r="A174" s="47">
        <v>24921</v>
      </c>
      <c r="B174" s="46" t="s">
        <v>2905</v>
      </c>
    </row>
    <row r="175" spans="1:2" x14ac:dyDescent="0.25">
      <c r="A175" s="47">
        <v>24922</v>
      </c>
      <c r="B175" s="46" t="s">
        <v>2904</v>
      </c>
    </row>
    <row r="176" spans="1:2" x14ac:dyDescent="0.25">
      <c r="A176" s="47">
        <v>24923</v>
      </c>
      <c r="B176" s="46" t="s">
        <v>2903</v>
      </c>
    </row>
    <row r="177" spans="1:2" x14ac:dyDescent="0.25">
      <c r="A177" s="47">
        <v>24924</v>
      </c>
      <c r="B177" s="46" t="s">
        <v>2902</v>
      </c>
    </row>
    <row r="178" spans="1:2" x14ac:dyDescent="0.25">
      <c r="A178" s="47">
        <v>24925</v>
      </c>
      <c r="B178" s="46" t="s">
        <v>2901</v>
      </c>
    </row>
    <row r="179" spans="1:2" x14ac:dyDescent="0.25">
      <c r="A179" s="47">
        <v>24926</v>
      </c>
      <c r="B179" s="46" t="s">
        <v>2900</v>
      </c>
    </row>
    <row r="180" spans="1:2" x14ac:dyDescent="0.25">
      <c r="A180" s="47">
        <v>24927</v>
      </c>
      <c r="B180" s="46" t="s">
        <v>2899</v>
      </c>
    </row>
    <row r="181" spans="1:2" x14ac:dyDescent="0.25">
      <c r="A181" s="47">
        <v>24928</v>
      </c>
      <c r="B181" s="46" t="s">
        <v>2898</v>
      </c>
    </row>
    <row r="182" spans="1:2" x14ac:dyDescent="0.25">
      <c r="A182" s="47">
        <v>24929</v>
      </c>
      <c r="B182" s="46" t="s">
        <v>2897</v>
      </c>
    </row>
    <row r="183" spans="1:2" x14ac:dyDescent="0.25">
      <c r="A183" s="47">
        <v>24930</v>
      </c>
      <c r="B183" s="46" t="s">
        <v>2896</v>
      </c>
    </row>
    <row r="184" spans="1:2" x14ac:dyDescent="0.25">
      <c r="A184" s="47">
        <v>24931</v>
      </c>
      <c r="B184" s="46" t="s">
        <v>2895</v>
      </c>
    </row>
    <row r="185" spans="1:2" x14ac:dyDescent="0.25">
      <c r="A185" s="47">
        <v>24932</v>
      </c>
      <c r="B185" s="46" t="s">
        <v>2894</v>
      </c>
    </row>
    <row r="186" spans="1:2" x14ac:dyDescent="0.25">
      <c r="A186" s="47">
        <v>24933</v>
      </c>
      <c r="B186" s="46" t="s">
        <v>2893</v>
      </c>
    </row>
    <row r="187" spans="1:2" x14ac:dyDescent="0.25">
      <c r="A187" s="47">
        <v>24934</v>
      </c>
      <c r="B187" s="46" t="s">
        <v>2892</v>
      </c>
    </row>
    <row r="188" spans="1:2" x14ac:dyDescent="0.25">
      <c r="A188" s="47">
        <v>24935</v>
      </c>
      <c r="B188" s="46" t="s">
        <v>2891</v>
      </c>
    </row>
    <row r="189" spans="1:2" x14ac:dyDescent="0.25">
      <c r="A189" s="47">
        <v>24936</v>
      </c>
      <c r="B189" s="46" t="s">
        <v>2890</v>
      </c>
    </row>
    <row r="190" spans="1:2" x14ac:dyDescent="0.25">
      <c r="A190" s="47">
        <v>24937</v>
      </c>
      <c r="B190" s="46" t="s">
        <v>2889</v>
      </c>
    </row>
    <row r="191" spans="1:2" x14ac:dyDescent="0.25">
      <c r="A191" s="47">
        <v>24938</v>
      </c>
      <c r="B191" s="46" t="s">
        <v>2888</v>
      </c>
    </row>
    <row r="192" spans="1:2" x14ac:dyDescent="0.25">
      <c r="A192" s="47">
        <v>24939</v>
      </c>
      <c r="B192" s="46" t="s">
        <v>2887</v>
      </c>
    </row>
    <row r="193" spans="1:2" x14ac:dyDescent="0.25">
      <c r="A193" s="47">
        <v>24940</v>
      </c>
      <c r="B193" s="46" t="s">
        <v>2886</v>
      </c>
    </row>
    <row r="194" spans="1:2" x14ac:dyDescent="0.25">
      <c r="A194" s="47">
        <v>24941</v>
      </c>
      <c r="B194" s="46" t="s">
        <v>2885</v>
      </c>
    </row>
    <row r="195" spans="1:2" x14ac:dyDescent="0.25">
      <c r="A195" s="47">
        <v>24942</v>
      </c>
      <c r="B195" s="46" t="s">
        <v>2884</v>
      </c>
    </row>
    <row r="196" spans="1:2" x14ac:dyDescent="0.25">
      <c r="A196" s="47">
        <v>24944</v>
      </c>
      <c r="B196" s="46" t="s">
        <v>2883</v>
      </c>
    </row>
    <row r="197" spans="1:2" x14ac:dyDescent="0.25">
      <c r="A197" s="47">
        <v>24945</v>
      </c>
      <c r="B197" s="46" t="s">
        <v>2882</v>
      </c>
    </row>
    <row r="198" spans="1:2" x14ac:dyDescent="0.25">
      <c r="A198" s="47">
        <v>24946</v>
      </c>
      <c r="B198" s="46" t="s">
        <v>2881</v>
      </c>
    </row>
    <row r="199" spans="1:2" x14ac:dyDescent="0.25">
      <c r="A199" s="47">
        <v>24947</v>
      </c>
      <c r="B199" s="46" t="s">
        <v>2880</v>
      </c>
    </row>
    <row r="200" spans="1:2" x14ac:dyDescent="0.25">
      <c r="A200" s="47">
        <v>24948</v>
      </c>
      <c r="B200" s="46" t="s">
        <v>2879</v>
      </c>
    </row>
    <row r="201" spans="1:2" x14ac:dyDescent="0.25">
      <c r="A201" s="47">
        <v>24949</v>
      </c>
      <c r="B201" s="46" t="s">
        <v>2878</v>
      </c>
    </row>
    <row r="202" spans="1:2" x14ac:dyDescent="0.25">
      <c r="A202" s="47">
        <v>24950</v>
      </c>
      <c r="B202" s="46" t="s">
        <v>2877</v>
      </c>
    </row>
    <row r="203" spans="1:2" x14ac:dyDescent="0.25">
      <c r="A203" s="47">
        <v>24951</v>
      </c>
      <c r="B203" s="46" t="s">
        <v>2876</v>
      </c>
    </row>
    <row r="204" spans="1:2" x14ac:dyDescent="0.25">
      <c r="A204" s="47">
        <v>24952</v>
      </c>
      <c r="B204" s="46" t="s">
        <v>2875</v>
      </c>
    </row>
    <row r="205" spans="1:2" x14ac:dyDescent="0.25">
      <c r="A205" s="47">
        <v>24953</v>
      </c>
      <c r="B205" s="46" t="s">
        <v>2874</v>
      </c>
    </row>
    <row r="206" spans="1:2" x14ac:dyDescent="0.25">
      <c r="A206" s="47">
        <v>24954</v>
      </c>
      <c r="B206" s="46" t="s">
        <v>2873</v>
      </c>
    </row>
    <row r="207" spans="1:2" x14ac:dyDescent="0.25">
      <c r="A207" s="47">
        <v>24955</v>
      </c>
      <c r="B207" s="46" t="s">
        <v>2872</v>
      </c>
    </row>
    <row r="208" spans="1:2" x14ac:dyDescent="0.25">
      <c r="A208" s="47">
        <v>24956</v>
      </c>
      <c r="B208" s="46" t="s">
        <v>2871</v>
      </c>
    </row>
    <row r="209" spans="1:2" x14ac:dyDescent="0.25">
      <c r="A209" s="47">
        <v>24957</v>
      </c>
      <c r="B209" s="46" t="s">
        <v>2870</v>
      </c>
    </row>
    <row r="210" spans="1:2" x14ac:dyDescent="0.25">
      <c r="A210" s="47">
        <v>24958</v>
      </c>
      <c r="B210" s="46" t="s">
        <v>2869</v>
      </c>
    </row>
    <row r="211" spans="1:2" x14ac:dyDescent="0.25">
      <c r="A211" s="47">
        <v>24959</v>
      </c>
      <c r="B211" s="46" t="s">
        <v>2868</v>
      </c>
    </row>
    <row r="212" spans="1:2" x14ac:dyDescent="0.25">
      <c r="A212" s="47">
        <v>24960</v>
      </c>
      <c r="B212" s="46" t="s">
        <v>2867</v>
      </c>
    </row>
    <row r="213" spans="1:2" x14ac:dyDescent="0.25">
      <c r="A213" s="47">
        <v>24961</v>
      </c>
      <c r="B213" s="46" t="s">
        <v>2866</v>
      </c>
    </row>
    <row r="214" spans="1:2" x14ac:dyDescent="0.25">
      <c r="A214" s="47">
        <v>24962</v>
      </c>
      <c r="B214" s="46" t="s">
        <v>2865</v>
      </c>
    </row>
    <row r="215" spans="1:2" x14ac:dyDescent="0.25">
      <c r="A215" s="47">
        <v>24963</v>
      </c>
      <c r="B215" s="46" t="s">
        <v>2864</v>
      </c>
    </row>
    <row r="216" spans="1:2" x14ac:dyDescent="0.25">
      <c r="A216" s="47">
        <v>24964</v>
      </c>
      <c r="B216" s="46" t="s">
        <v>2863</v>
      </c>
    </row>
    <row r="217" spans="1:2" x14ac:dyDescent="0.25">
      <c r="A217" s="47">
        <v>24965</v>
      </c>
      <c r="B217" s="46" t="s">
        <v>2862</v>
      </c>
    </row>
    <row r="218" spans="1:2" x14ac:dyDescent="0.25">
      <c r="A218" s="47">
        <v>24966</v>
      </c>
      <c r="B218" s="46" t="s">
        <v>2861</v>
      </c>
    </row>
    <row r="219" spans="1:2" x14ac:dyDescent="0.25">
      <c r="A219" s="47">
        <v>24967</v>
      </c>
      <c r="B219" s="46" t="s">
        <v>2860</v>
      </c>
    </row>
    <row r="220" spans="1:2" x14ac:dyDescent="0.25">
      <c r="A220" s="47">
        <v>24968</v>
      </c>
      <c r="B220" s="46" t="s">
        <v>2859</v>
      </c>
    </row>
    <row r="221" spans="1:2" x14ac:dyDescent="0.25">
      <c r="A221" s="47">
        <v>24969</v>
      </c>
      <c r="B221" s="46" t="s">
        <v>2858</v>
      </c>
    </row>
    <row r="222" spans="1:2" x14ac:dyDescent="0.25">
      <c r="A222" s="47">
        <v>24970</v>
      </c>
      <c r="B222" s="46" t="s">
        <v>2857</v>
      </c>
    </row>
    <row r="223" spans="1:2" x14ac:dyDescent="0.25">
      <c r="A223" s="47">
        <v>24971</v>
      </c>
      <c r="B223" s="46" t="s">
        <v>2856</v>
      </c>
    </row>
    <row r="224" spans="1:2" x14ac:dyDescent="0.25">
      <c r="A224" s="47">
        <v>24972</v>
      </c>
      <c r="B224" s="46" t="s">
        <v>2855</v>
      </c>
    </row>
    <row r="225" spans="1:2" x14ac:dyDescent="0.25">
      <c r="A225" s="47">
        <v>24973</v>
      </c>
      <c r="B225" s="46" t="s">
        <v>2854</v>
      </c>
    </row>
    <row r="226" spans="1:2" x14ac:dyDescent="0.25">
      <c r="A226" s="47">
        <v>24990</v>
      </c>
      <c r="B226" s="46" t="s">
        <v>2853</v>
      </c>
    </row>
    <row r="227" spans="1:2" x14ac:dyDescent="0.25">
      <c r="A227" s="47">
        <v>24991</v>
      </c>
      <c r="B227" s="46" t="s">
        <v>2852</v>
      </c>
    </row>
    <row r="228" spans="1:2" x14ac:dyDescent="0.25">
      <c r="A228" s="47">
        <v>24992</v>
      </c>
      <c r="B228" s="46" t="s">
        <v>2851</v>
      </c>
    </row>
    <row r="229" spans="1:2" x14ac:dyDescent="0.25">
      <c r="A229" s="47">
        <v>24993</v>
      </c>
      <c r="B229" s="46" t="s">
        <v>2850</v>
      </c>
    </row>
    <row r="230" spans="1:2" x14ac:dyDescent="0.25">
      <c r="A230" s="47">
        <v>24994</v>
      </c>
      <c r="B230" s="46" t="s">
        <v>2849</v>
      </c>
    </row>
    <row r="231" spans="1:2" x14ac:dyDescent="0.25">
      <c r="A231" s="47">
        <v>24995</v>
      </c>
      <c r="B231" s="46" t="s">
        <v>2848</v>
      </c>
    </row>
    <row r="232" spans="1:2" x14ac:dyDescent="0.25">
      <c r="A232" s="47">
        <v>27401</v>
      </c>
      <c r="B232" s="46" t="s">
        <v>2847</v>
      </c>
    </row>
    <row r="233" spans="1:2" x14ac:dyDescent="0.25">
      <c r="A233" s="47">
        <v>29001</v>
      </c>
      <c r="B233" s="46" t="s">
        <v>2846</v>
      </c>
    </row>
    <row r="234" spans="1:2" x14ac:dyDescent="0.25">
      <c r="A234" s="47">
        <v>29002</v>
      </c>
      <c r="B234" s="46" t="s">
        <v>2845</v>
      </c>
    </row>
    <row r="235" spans="1:2" x14ac:dyDescent="0.25">
      <c r="A235" s="47">
        <v>29003</v>
      </c>
      <c r="B235" s="46" t="s">
        <v>2844</v>
      </c>
    </row>
    <row r="236" spans="1:2" x14ac:dyDescent="0.25">
      <c r="A236" s="47">
        <v>29004</v>
      </c>
      <c r="B236" s="46" t="s">
        <v>2843</v>
      </c>
    </row>
    <row r="237" spans="1:2" x14ac:dyDescent="0.25">
      <c r="A237" s="47">
        <v>29005</v>
      </c>
      <c r="B237" s="46" t="s">
        <v>2842</v>
      </c>
    </row>
    <row r="238" spans="1:2" x14ac:dyDescent="0.25">
      <c r="A238" s="47">
        <v>29090</v>
      </c>
      <c r="B238" s="46" t="s">
        <v>2841</v>
      </c>
    </row>
    <row r="239" spans="1:2" x14ac:dyDescent="0.25">
      <c r="A239" s="47">
        <v>29101</v>
      </c>
      <c r="B239" s="46" t="s">
        <v>2840</v>
      </c>
    </row>
    <row r="240" spans="1:2" x14ac:dyDescent="0.25">
      <c r="A240" s="47">
        <v>29102</v>
      </c>
      <c r="B240" s="46" t="s">
        <v>2839</v>
      </c>
    </row>
    <row r="241" spans="1:2" x14ac:dyDescent="0.25">
      <c r="A241" s="47">
        <v>29201</v>
      </c>
      <c r="B241" s="46" t="s">
        <v>2838</v>
      </c>
    </row>
    <row r="242" spans="1:2" x14ac:dyDescent="0.25">
      <c r="A242" s="47">
        <v>29203</v>
      </c>
      <c r="B242" s="46" t="s">
        <v>2837</v>
      </c>
    </row>
    <row r="243" spans="1:2" x14ac:dyDescent="0.25">
      <c r="A243" s="47">
        <v>29401</v>
      </c>
      <c r="B243" s="46" t="s">
        <v>2836</v>
      </c>
    </row>
    <row r="244" spans="1:2" x14ac:dyDescent="0.25">
      <c r="A244" s="47">
        <v>29402</v>
      </c>
      <c r="B244" s="46" t="s">
        <v>2835</v>
      </c>
    </row>
    <row r="245" spans="1:2" x14ac:dyDescent="0.25">
      <c r="A245" s="47">
        <v>29403</v>
      </c>
      <c r="B245" s="46" t="s">
        <v>2834</v>
      </c>
    </row>
    <row r="246" spans="1:2" x14ac:dyDescent="0.25">
      <c r="A246" s="47">
        <v>29903</v>
      </c>
      <c r="B246" s="46" t="s">
        <v>2833</v>
      </c>
    </row>
    <row r="247" spans="1:2" x14ac:dyDescent="0.25">
      <c r="A247" s="47">
        <v>29905</v>
      </c>
      <c r="B247" s="46" t="s">
        <v>2832</v>
      </c>
    </row>
    <row r="248" spans="1:2" x14ac:dyDescent="0.25">
      <c r="A248" s="47">
        <v>30201</v>
      </c>
      <c r="B248" s="46" t="s">
        <v>2198</v>
      </c>
    </row>
    <row r="249" spans="1:2" x14ac:dyDescent="0.25">
      <c r="A249" s="47">
        <v>30202</v>
      </c>
      <c r="B249" s="46" t="s">
        <v>2831</v>
      </c>
    </row>
    <row r="250" spans="1:2" x14ac:dyDescent="0.25">
      <c r="A250" s="47">
        <v>30301</v>
      </c>
      <c r="B250" s="46" t="s">
        <v>2830</v>
      </c>
    </row>
    <row r="251" spans="1:2" x14ac:dyDescent="0.25">
      <c r="A251" s="47">
        <v>30401</v>
      </c>
      <c r="B251" s="46" t="s">
        <v>2141</v>
      </c>
    </row>
    <row r="252" spans="1:2" x14ac:dyDescent="0.25">
      <c r="A252" s="47">
        <v>30501</v>
      </c>
      <c r="B252" s="46" t="s">
        <v>2829</v>
      </c>
    </row>
    <row r="253" spans="1:2" x14ac:dyDescent="0.25">
      <c r="A253" s="47">
        <v>35201</v>
      </c>
      <c r="B253" s="46" t="s">
        <v>2828</v>
      </c>
    </row>
    <row r="254" spans="1:2" x14ac:dyDescent="0.25">
      <c r="A254" s="51">
        <v>35301</v>
      </c>
      <c r="B254" s="46" t="s">
        <v>2827</v>
      </c>
    </row>
    <row r="255" spans="1:2" x14ac:dyDescent="0.25">
      <c r="A255" s="47">
        <v>35401</v>
      </c>
      <c r="B255" s="46" t="s">
        <v>2024</v>
      </c>
    </row>
    <row r="256" spans="1:2" x14ac:dyDescent="0.25">
      <c r="A256" s="47">
        <v>36001</v>
      </c>
      <c r="B256" s="46" t="s">
        <v>2826</v>
      </c>
    </row>
    <row r="257" spans="1:2" x14ac:dyDescent="0.25">
      <c r="A257" s="47">
        <v>36301</v>
      </c>
      <c r="B257" s="46" t="s">
        <v>2825</v>
      </c>
    </row>
    <row r="258" spans="1:2" x14ac:dyDescent="0.25">
      <c r="A258" s="47">
        <v>36401</v>
      </c>
      <c r="B258" s="46" t="s">
        <v>2397</v>
      </c>
    </row>
    <row r="259" spans="1:2" x14ac:dyDescent="0.25">
      <c r="A259" s="47">
        <v>36402</v>
      </c>
      <c r="B259" s="46" t="s">
        <v>2824</v>
      </c>
    </row>
    <row r="260" spans="1:2" x14ac:dyDescent="0.25">
      <c r="A260" s="47">
        <v>36501</v>
      </c>
      <c r="B260" s="46" t="s">
        <v>2823</v>
      </c>
    </row>
    <row r="261" spans="1:2" x14ac:dyDescent="0.25">
      <c r="A261" s="47">
        <v>36599</v>
      </c>
      <c r="B261" s="46" t="s">
        <v>2822</v>
      </c>
    </row>
    <row r="262" spans="1:2" x14ac:dyDescent="0.25">
      <c r="A262" s="47">
        <v>36601</v>
      </c>
      <c r="B262" s="46" t="s">
        <v>2821</v>
      </c>
    </row>
    <row r="263" spans="1:2" x14ac:dyDescent="0.25">
      <c r="A263" s="47">
        <v>36602</v>
      </c>
      <c r="B263" s="46" t="s">
        <v>2820</v>
      </c>
    </row>
    <row r="264" spans="1:2" x14ac:dyDescent="0.25">
      <c r="A264" s="47">
        <v>36603</v>
      </c>
      <c r="B264" s="46" t="s">
        <v>2819</v>
      </c>
    </row>
    <row r="265" spans="1:2" x14ac:dyDescent="0.25">
      <c r="A265" s="47">
        <v>36604</v>
      </c>
      <c r="B265" s="46" t="s">
        <v>2818</v>
      </c>
    </row>
    <row r="266" spans="1:2" x14ac:dyDescent="0.25">
      <c r="A266" s="49">
        <v>36605</v>
      </c>
      <c r="B266" s="48" t="s">
        <v>2817</v>
      </c>
    </row>
    <row r="267" spans="1:2" x14ac:dyDescent="0.25">
      <c r="A267" s="47">
        <v>36608</v>
      </c>
      <c r="B267" s="46" t="s">
        <v>2816</v>
      </c>
    </row>
    <row r="268" spans="1:2" x14ac:dyDescent="0.25">
      <c r="A268" s="47">
        <v>36609</v>
      </c>
      <c r="B268" s="46" t="s">
        <v>2815</v>
      </c>
    </row>
    <row r="269" spans="1:2" x14ac:dyDescent="0.25">
      <c r="A269" s="47">
        <v>36611</v>
      </c>
      <c r="B269" s="46" t="s">
        <v>2814</v>
      </c>
    </row>
    <row r="270" spans="1:2" x14ac:dyDescent="0.25">
      <c r="A270" s="47">
        <v>36612</v>
      </c>
      <c r="B270" s="46" t="s">
        <v>2813</v>
      </c>
    </row>
    <row r="271" spans="1:2" x14ac:dyDescent="0.25">
      <c r="A271" s="47">
        <v>36613</v>
      </c>
      <c r="B271" s="46" t="s">
        <v>2812</v>
      </c>
    </row>
    <row r="272" spans="1:2" x14ac:dyDescent="0.25">
      <c r="A272" s="47">
        <v>36614</v>
      </c>
      <c r="B272" s="46" t="s">
        <v>2811</v>
      </c>
    </row>
    <row r="273" spans="1:2" x14ac:dyDescent="0.25">
      <c r="A273" s="47">
        <v>36699</v>
      </c>
      <c r="B273" s="46" t="s">
        <v>2810</v>
      </c>
    </row>
    <row r="274" spans="1:2" x14ac:dyDescent="0.25">
      <c r="A274" s="47">
        <v>37001</v>
      </c>
      <c r="B274" s="46" t="s">
        <v>2809</v>
      </c>
    </row>
    <row r="275" spans="1:2" x14ac:dyDescent="0.25">
      <c r="A275" s="47">
        <v>37002</v>
      </c>
      <c r="B275" s="46" t="s">
        <v>2808</v>
      </c>
    </row>
    <row r="276" spans="1:2" x14ac:dyDescent="0.25">
      <c r="A276" s="47">
        <v>37003</v>
      </c>
      <c r="B276" s="46" t="s">
        <v>2807</v>
      </c>
    </row>
    <row r="277" spans="1:2" x14ac:dyDescent="0.25">
      <c r="A277" s="47">
        <v>37005</v>
      </c>
      <c r="B277" s="46" t="s">
        <v>2806</v>
      </c>
    </row>
    <row r="278" spans="1:2" x14ac:dyDescent="0.25">
      <c r="A278" s="47">
        <v>37006</v>
      </c>
      <c r="B278" s="46" t="s">
        <v>2805</v>
      </c>
    </row>
    <row r="279" spans="1:2" x14ac:dyDescent="0.25">
      <c r="A279" s="47">
        <v>37007</v>
      </c>
      <c r="B279" s="46" t="s">
        <v>2804</v>
      </c>
    </row>
    <row r="280" spans="1:2" x14ac:dyDescent="0.25">
      <c r="A280" s="47">
        <v>37008</v>
      </c>
      <c r="B280" s="46" t="s">
        <v>2803</v>
      </c>
    </row>
    <row r="281" spans="1:2" x14ac:dyDescent="0.25">
      <c r="A281" s="47">
        <v>37101</v>
      </c>
      <c r="B281" s="46" t="s">
        <v>2802</v>
      </c>
    </row>
    <row r="282" spans="1:2" x14ac:dyDescent="0.25">
      <c r="A282" s="47">
        <v>37102</v>
      </c>
      <c r="B282" s="46" t="s">
        <v>2801</v>
      </c>
    </row>
    <row r="283" spans="1:2" x14ac:dyDescent="0.25">
      <c r="A283" s="47">
        <v>37103</v>
      </c>
      <c r="B283" s="46" t="s">
        <v>2800</v>
      </c>
    </row>
    <row r="284" spans="1:2" x14ac:dyDescent="0.25">
      <c r="A284" s="47">
        <v>37104</v>
      </c>
      <c r="B284" s="46" t="s">
        <v>2799</v>
      </c>
    </row>
    <row r="285" spans="1:2" x14ac:dyDescent="0.25">
      <c r="A285" s="47">
        <v>37105</v>
      </c>
      <c r="B285" s="46" t="s">
        <v>2798</v>
      </c>
    </row>
    <row r="286" spans="1:2" x14ac:dyDescent="0.25">
      <c r="A286" s="47">
        <v>37106</v>
      </c>
      <c r="B286" s="46" t="s">
        <v>2797</v>
      </c>
    </row>
    <row r="287" spans="1:2" x14ac:dyDescent="0.25">
      <c r="A287" s="47">
        <v>37107</v>
      </c>
      <c r="B287" s="46" t="s">
        <v>2796</v>
      </c>
    </row>
    <row r="288" spans="1:2" x14ac:dyDescent="0.25">
      <c r="A288" s="47">
        <v>37108</v>
      </c>
      <c r="B288" s="46" t="s">
        <v>2795</v>
      </c>
    </row>
    <row r="289" spans="1:2" x14ac:dyDescent="0.25">
      <c r="A289" s="47">
        <v>37109</v>
      </c>
      <c r="B289" s="46" t="s">
        <v>2794</v>
      </c>
    </row>
    <row r="290" spans="1:2" x14ac:dyDescent="0.25">
      <c r="A290" s="47">
        <v>37110</v>
      </c>
      <c r="B290" s="46" t="s">
        <v>2793</v>
      </c>
    </row>
    <row r="291" spans="1:2" x14ac:dyDescent="0.25">
      <c r="A291" s="47">
        <v>37190</v>
      </c>
      <c r="B291" s="46" t="s">
        <v>2792</v>
      </c>
    </row>
    <row r="292" spans="1:2" x14ac:dyDescent="0.25">
      <c r="A292" s="47">
        <v>37199</v>
      </c>
      <c r="B292" s="46" t="s">
        <v>2791</v>
      </c>
    </row>
    <row r="293" spans="1:2" x14ac:dyDescent="0.25">
      <c r="A293" s="47">
        <v>37501</v>
      </c>
      <c r="B293" s="46" t="s">
        <v>2790</v>
      </c>
    </row>
    <row r="294" spans="1:2" x14ac:dyDescent="0.25">
      <c r="A294" s="47">
        <v>37505</v>
      </c>
      <c r="B294" s="46" t="s">
        <v>2789</v>
      </c>
    </row>
    <row r="295" spans="1:2" x14ac:dyDescent="0.25">
      <c r="A295" s="47">
        <v>37510</v>
      </c>
      <c r="B295" s="46" t="s">
        <v>2788</v>
      </c>
    </row>
    <row r="296" spans="1:2" x14ac:dyDescent="0.25">
      <c r="A296" s="47">
        <v>37511</v>
      </c>
      <c r="B296" s="46" t="s">
        <v>2787</v>
      </c>
    </row>
    <row r="297" spans="1:2" x14ac:dyDescent="0.25">
      <c r="A297" s="47">
        <v>37520</v>
      </c>
      <c r="B297" s="46" t="s">
        <v>2786</v>
      </c>
    </row>
    <row r="298" spans="1:2" x14ac:dyDescent="0.25">
      <c r="A298" s="47">
        <v>37802</v>
      </c>
      <c r="B298" s="46" t="s">
        <v>2785</v>
      </c>
    </row>
    <row r="299" spans="1:2" x14ac:dyDescent="0.25">
      <c r="A299" s="47">
        <v>37805</v>
      </c>
      <c r="B299" s="46" t="s">
        <v>2784</v>
      </c>
    </row>
    <row r="300" spans="1:2" x14ac:dyDescent="0.25">
      <c r="A300" s="47">
        <v>37807</v>
      </c>
      <c r="B300" s="46" t="s">
        <v>2783</v>
      </c>
    </row>
    <row r="301" spans="1:2" x14ac:dyDescent="0.25">
      <c r="A301" s="47">
        <v>37890</v>
      </c>
      <c r="B301" s="46" t="s">
        <v>2782</v>
      </c>
    </row>
    <row r="302" spans="1:2" x14ac:dyDescent="0.25">
      <c r="A302" s="47">
        <v>37891</v>
      </c>
      <c r="B302" s="46" t="s">
        <v>2781</v>
      </c>
    </row>
    <row r="303" spans="1:2" x14ac:dyDescent="0.25">
      <c r="A303" s="47">
        <v>37901</v>
      </c>
      <c r="B303" s="46" t="s">
        <v>1996</v>
      </c>
    </row>
    <row r="304" spans="1:2" x14ac:dyDescent="0.25">
      <c r="A304" s="47">
        <v>37902</v>
      </c>
      <c r="B304" s="46" t="s">
        <v>2780</v>
      </c>
    </row>
    <row r="305" spans="1:2" x14ac:dyDescent="0.25">
      <c r="A305" s="47">
        <v>37903</v>
      </c>
      <c r="B305" s="46" t="s">
        <v>2779</v>
      </c>
    </row>
    <row r="306" spans="1:2" x14ac:dyDescent="0.25">
      <c r="A306" s="47">
        <v>37904</v>
      </c>
      <c r="B306" s="46" t="s">
        <v>2778</v>
      </c>
    </row>
    <row r="307" spans="1:2" x14ac:dyDescent="0.25">
      <c r="A307" s="47">
        <v>37911</v>
      </c>
      <c r="B307" s="46" t="s">
        <v>2777</v>
      </c>
    </row>
    <row r="308" spans="1:2" x14ac:dyDescent="0.25">
      <c r="A308" s="50">
        <v>37990</v>
      </c>
      <c r="B308" s="46" t="s">
        <v>2776</v>
      </c>
    </row>
    <row r="309" spans="1:2" x14ac:dyDescent="0.25">
      <c r="A309" s="47">
        <v>39301</v>
      </c>
      <c r="B309" s="46" t="s">
        <v>2775</v>
      </c>
    </row>
    <row r="310" spans="1:2" x14ac:dyDescent="0.25">
      <c r="A310" s="47">
        <v>40101</v>
      </c>
      <c r="B310" s="46" t="s">
        <v>2774</v>
      </c>
    </row>
    <row r="311" spans="1:2" x14ac:dyDescent="0.25">
      <c r="A311" s="47">
        <v>40102</v>
      </c>
      <c r="B311" s="46" t="s">
        <v>2773</v>
      </c>
    </row>
    <row r="312" spans="1:2" x14ac:dyDescent="0.25">
      <c r="A312" s="47">
        <v>40103</v>
      </c>
      <c r="B312" s="46" t="s">
        <v>2772</v>
      </c>
    </row>
    <row r="313" spans="1:2" x14ac:dyDescent="0.25">
      <c r="A313" s="47">
        <v>40104</v>
      </c>
      <c r="B313" s="46" t="s">
        <v>2771</v>
      </c>
    </row>
    <row r="314" spans="1:2" x14ac:dyDescent="0.25">
      <c r="A314" s="47">
        <v>40105</v>
      </c>
      <c r="B314" s="46" t="s">
        <v>2770</v>
      </c>
    </row>
    <row r="315" spans="1:2" x14ac:dyDescent="0.25">
      <c r="A315" s="47">
        <v>40106</v>
      </c>
      <c r="B315" s="46" t="s">
        <v>2769</v>
      </c>
    </row>
    <row r="316" spans="1:2" x14ac:dyDescent="0.25">
      <c r="A316" s="47">
        <v>40107</v>
      </c>
      <c r="B316" s="46" t="s">
        <v>2768</v>
      </c>
    </row>
    <row r="317" spans="1:2" x14ac:dyDescent="0.25">
      <c r="A317" s="47">
        <v>40108</v>
      </c>
      <c r="B317" s="46" t="s">
        <v>2767</v>
      </c>
    </row>
    <row r="318" spans="1:2" x14ac:dyDescent="0.25">
      <c r="A318" s="47">
        <v>40110</v>
      </c>
      <c r="B318" s="46" t="s">
        <v>2766</v>
      </c>
    </row>
    <row r="319" spans="1:2" x14ac:dyDescent="0.25">
      <c r="A319" s="47">
        <v>40801</v>
      </c>
      <c r="B319" s="46" t="s">
        <v>2765</v>
      </c>
    </row>
    <row r="320" spans="1:2" x14ac:dyDescent="0.25">
      <c r="A320" s="47">
        <v>41801</v>
      </c>
      <c r="B320" s="46" t="s">
        <v>2764</v>
      </c>
    </row>
    <row r="321" spans="1:2" x14ac:dyDescent="0.25">
      <c r="A321" s="47">
        <v>41901</v>
      </c>
      <c r="B321" s="46" t="s">
        <v>2763</v>
      </c>
    </row>
    <row r="322" spans="1:2" x14ac:dyDescent="0.25">
      <c r="A322" s="47">
        <v>41902</v>
      </c>
      <c r="B322" s="46" t="s">
        <v>2762</v>
      </c>
    </row>
    <row r="323" spans="1:2" x14ac:dyDescent="0.25">
      <c r="A323" s="47">
        <v>41903</v>
      </c>
      <c r="B323" s="46" t="s">
        <v>2761</v>
      </c>
    </row>
    <row r="324" spans="1:2" x14ac:dyDescent="0.25">
      <c r="A324" s="47">
        <v>41904</v>
      </c>
      <c r="B324" s="46" t="s">
        <v>2760</v>
      </c>
    </row>
    <row r="325" spans="1:2" x14ac:dyDescent="0.25">
      <c r="A325" s="47">
        <v>41905</v>
      </c>
      <c r="B325" s="46" t="s">
        <v>2759</v>
      </c>
    </row>
    <row r="326" spans="1:2" x14ac:dyDescent="0.25">
      <c r="A326" s="47">
        <v>41906</v>
      </c>
      <c r="B326" s="46" t="s">
        <v>2758</v>
      </c>
    </row>
    <row r="327" spans="1:2" x14ac:dyDescent="0.25">
      <c r="A327" s="47">
        <v>41907</v>
      </c>
      <c r="B327" s="46" t="s">
        <v>2757</v>
      </c>
    </row>
    <row r="328" spans="1:2" x14ac:dyDescent="0.25">
      <c r="A328" s="47">
        <v>41908</v>
      </c>
      <c r="B328" s="46" t="s">
        <v>2756</v>
      </c>
    </row>
    <row r="329" spans="1:2" x14ac:dyDescent="0.25">
      <c r="A329" s="47">
        <v>41911</v>
      </c>
      <c r="B329" s="46" t="s">
        <v>2755</v>
      </c>
    </row>
    <row r="330" spans="1:2" x14ac:dyDescent="0.25">
      <c r="A330" s="47">
        <v>41912</v>
      </c>
      <c r="B330" s="46" t="s">
        <v>2754</v>
      </c>
    </row>
    <row r="331" spans="1:2" x14ac:dyDescent="0.25">
      <c r="A331" s="47">
        <v>41913</v>
      </c>
      <c r="B331" s="46" t="s">
        <v>2753</v>
      </c>
    </row>
    <row r="332" spans="1:2" x14ac:dyDescent="0.25">
      <c r="A332" s="47">
        <v>41914</v>
      </c>
      <c r="B332" s="46" t="s">
        <v>2752</v>
      </c>
    </row>
    <row r="333" spans="1:2" x14ac:dyDescent="0.25">
      <c r="A333" s="47">
        <v>41915</v>
      </c>
      <c r="B333" s="46" t="s">
        <v>2751</v>
      </c>
    </row>
    <row r="334" spans="1:2" x14ac:dyDescent="0.25">
      <c r="A334" s="47">
        <v>41916</v>
      </c>
      <c r="B334" s="46" t="s">
        <v>2750</v>
      </c>
    </row>
    <row r="335" spans="1:2" x14ac:dyDescent="0.25">
      <c r="A335" s="47">
        <v>41918</v>
      </c>
      <c r="B335" s="46" t="s">
        <v>2749</v>
      </c>
    </row>
    <row r="336" spans="1:2" x14ac:dyDescent="0.25">
      <c r="A336" s="47">
        <v>41919</v>
      </c>
      <c r="B336" s="46" t="s">
        <v>2748</v>
      </c>
    </row>
    <row r="337" spans="1:2" x14ac:dyDescent="0.25">
      <c r="A337" s="47">
        <v>41920</v>
      </c>
      <c r="B337" s="46" t="s">
        <v>2747</v>
      </c>
    </row>
    <row r="338" spans="1:2" x14ac:dyDescent="0.25">
      <c r="A338" s="47">
        <v>41921</v>
      </c>
      <c r="B338" s="46" t="s">
        <v>2746</v>
      </c>
    </row>
    <row r="339" spans="1:2" x14ac:dyDescent="0.25">
      <c r="A339" s="47">
        <v>41922</v>
      </c>
      <c r="B339" s="46" t="s">
        <v>2745</v>
      </c>
    </row>
    <row r="340" spans="1:2" x14ac:dyDescent="0.25">
      <c r="A340" s="47">
        <v>41923</v>
      </c>
      <c r="B340" s="46" t="s">
        <v>2744</v>
      </c>
    </row>
    <row r="341" spans="1:2" x14ac:dyDescent="0.25">
      <c r="A341" s="47">
        <v>41924</v>
      </c>
      <c r="B341" s="46" t="s">
        <v>2743</v>
      </c>
    </row>
    <row r="342" spans="1:2" x14ac:dyDescent="0.25">
      <c r="A342" s="47">
        <v>41925</v>
      </c>
      <c r="B342" s="46" t="s">
        <v>2742</v>
      </c>
    </row>
    <row r="343" spans="1:2" x14ac:dyDescent="0.25">
      <c r="A343" s="47">
        <v>41926</v>
      </c>
      <c r="B343" s="46" t="s">
        <v>2741</v>
      </c>
    </row>
    <row r="344" spans="1:2" x14ac:dyDescent="0.25">
      <c r="A344" s="47">
        <v>41927</v>
      </c>
      <c r="B344" s="46" t="s">
        <v>2740</v>
      </c>
    </row>
    <row r="345" spans="1:2" x14ac:dyDescent="0.25">
      <c r="A345" s="47">
        <v>41928</v>
      </c>
      <c r="B345" s="46" t="s">
        <v>2739</v>
      </c>
    </row>
    <row r="346" spans="1:2" x14ac:dyDescent="0.25">
      <c r="A346" s="47">
        <v>41929</v>
      </c>
      <c r="B346" s="46" t="s">
        <v>2738</v>
      </c>
    </row>
    <row r="347" spans="1:2" x14ac:dyDescent="0.25">
      <c r="A347" s="47">
        <v>41930</v>
      </c>
      <c r="B347" s="46" t="s">
        <v>2737</v>
      </c>
    </row>
    <row r="348" spans="1:2" x14ac:dyDescent="0.25">
      <c r="A348" s="47">
        <v>41931</v>
      </c>
      <c r="B348" s="46" t="s">
        <v>2736</v>
      </c>
    </row>
    <row r="349" spans="1:2" x14ac:dyDescent="0.25">
      <c r="A349" s="47">
        <v>41932</v>
      </c>
      <c r="B349" s="46" t="s">
        <v>2735</v>
      </c>
    </row>
    <row r="350" spans="1:2" x14ac:dyDescent="0.25">
      <c r="A350" s="47">
        <v>41933</v>
      </c>
      <c r="B350" s="46" t="s">
        <v>2734</v>
      </c>
    </row>
    <row r="351" spans="1:2" x14ac:dyDescent="0.25">
      <c r="A351" s="47">
        <v>41934</v>
      </c>
      <c r="B351" s="46" t="s">
        <v>2733</v>
      </c>
    </row>
    <row r="352" spans="1:2" x14ac:dyDescent="0.25">
      <c r="A352" s="47">
        <v>41935</v>
      </c>
      <c r="B352" s="46" t="s">
        <v>2732</v>
      </c>
    </row>
    <row r="353" spans="1:2" x14ac:dyDescent="0.25">
      <c r="A353" s="47">
        <v>41936</v>
      </c>
      <c r="B353" s="46" t="s">
        <v>2731</v>
      </c>
    </row>
    <row r="354" spans="1:2" x14ac:dyDescent="0.25">
      <c r="A354" s="47">
        <v>41938</v>
      </c>
      <c r="B354" s="46" t="s">
        <v>2730</v>
      </c>
    </row>
    <row r="355" spans="1:2" x14ac:dyDescent="0.25">
      <c r="A355" s="47">
        <v>41939</v>
      </c>
      <c r="B355" s="46" t="s">
        <v>2729</v>
      </c>
    </row>
    <row r="356" spans="1:2" x14ac:dyDescent="0.25">
      <c r="A356" s="47">
        <v>41940</v>
      </c>
      <c r="B356" s="46" t="s">
        <v>2728</v>
      </c>
    </row>
    <row r="357" spans="1:2" x14ac:dyDescent="0.25">
      <c r="A357" s="47">
        <v>41941</v>
      </c>
      <c r="B357" s="46" t="s">
        <v>2727</v>
      </c>
    </row>
    <row r="358" spans="1:2" x14ac:dyDescent="0.25">
      <c r="A358" s="47">
        <v>41942</v>
      </c>
      <c r="B358" s="46" t="s">
        <v>2726</v>
      </c>
    </row>
    <row r="359" spans="1:2" x14ac:dyDescent="0.25">
      <c r="A359" s="47">
        <v>41943</v>
      </c>
      <c r="B359" s="46" t="s">
        <v>2725</v>
      </c>
    </row>
    <row r="360" spans="1:2" x14ac:dyDescent="0.25">
      <c r="A360" s="47">
        <v>41944</v>
      </c>
      <c r="B360" s="46" t="s">
        <v>2724</v>
      </c>
    </row>
    <row r="361" spans="1:2" x14ac:dyDescent="0.25">
      <c r="A361" s="47">
        <v>41945</v>
      </c>
      <c r="B361" s="46" t="s">
        <v>2723</v>
      </c>
    </row>
    <row r="362" spans="1:2" x14ac:dyDescent="0.25">
      <c r="A362" s="47">
        <v>41946</v>
      </c>
      <c r="B362" s="46" t="s">
        <v>2722</v>
      </c>
    </row>
    <row r="363" spans="1:2" x14ac:dyDescent="0.25">
      <c r="A363" s="47">
        <v>41990</v>
      </c>
      <c r="B363" s="49" t="s">
        <v>2721</v>
      </c>
    </row>
    <row r="364" spans="1:2" x14ac:dyDescent="0.25">
      <c r="A364" s="47">
        <v>41991</v>
      </c>
      <c r="B364" s="46" t="s">
        <v>2720</v>
      </c>
    </row>
    <row r="365" spans="1:2" x14ac:dyDescent="0.25">
      <c r="A365" s="47">
        <v>41993</v>
      </c>
      <c r="B365" s="46" t="s">
        <v>2719</v>
      </c>
    </row>
    <row r="366" spans="1:2" x14ac:dyDescent="0.25">
      <c r="A366" s="47">
        <v>41994</v>
      </c>
      <c r="B366" s="46" t="s">
        <v>2718</v>
      </c>
    </row>
    <row r="367" spans="1:2" x14ac:dyDescent="0.25">
      <c r="A367" s="47">
        <v>44201</v>
      </c>
      <c r="B367" s="46" t="s">
        <v>791</v>
      </c>
    </row>
    <row r="368" spans="1:2" x14ac:dyDescent="0.25">
      <c r="A368" s="47">
        <v>45001</v>
      </c>
      <c r="B368" s="46" t="s">
        <v>2717</v>
      </c>
    </row>
    <row r="369" spans="1:2" x14ac:dyDescent="0.25">
      <c r="A369" s="47">
        <v>45002</v>
      </c>
      <c r="B369" s="46" t="s">
        <v>2716</v>
      </c>
    </row>
    <row r="370" spans="1:2" x14ac:dyDescent="0.25">
      <c r="A370" s="47">
        <v>45003</v>
      </c>
      <c r="B370" s="46" t="s">
        <v>2715</v>
      </c>
    </row>
    <row r="371" spans="1:2" x14ac:dyDescent="0.25">
      <c r="A371" s="47">
        <v>45004</v>
      </c>
      <c r="B371" s="46" t="s">
        <v>2714</v>
      </c>
    </row>
    <row r="372" spans="1:2" x14ac:dyDescent="0.25">
      <c r="A372" s="47">
        <v>45005</v>
      </c>
      <c r="B372" s="46" t="s">
        <v>2713</v>
      </c>
    </row>
    <row r="373" spans="1:2" x14ac:dyDescent="0.25">
      <c r="A373" s="47">
        <v>45006</v>
      </c>
      <c r="B373" s="46" t="s">
        <v>2712</v>
      </c>
    </row>
    <row r="374" spans="1:2" x14ac:dyDescent="0.25">
      <c r="A374" s="47">
        <v>45099</v>
      </c>
      <c r="B374" s="46" t="s">
        <v>2711</v>
      </c>
    </row>
    <row r="375" spans="1:2" x14ac:dyDescent="0.25">
      <c r="A375" s="47">
        <v>45101</v>
      </c>
      <c r="B375" s="46" t="s">
        <v>2710</v>
      </c>
    </row>
    <row r="376" spans="1:2" x14ac:dyDescent="0.25">
      <c r="A376" s="47">
        <v>46001</v>
      </c>
      <c r="B376" s="46" t="s">
        <v>2709</v>
      </c>
    </row>
    <row r="377" spans="1:2" x14ac:dyDescent="0.25">
      <c r="A377" s="47">
        <v>46002</v>
      </c>
      <c r="B377" s="46" t="s">
        <v>2708</v>
      </c>
    </row>
    <row r="378" spans="1:2" x14ac:dyDescent="0.25">
      <c r="A378" s="47">
        <v>46003</v>
      </c>
      <c r="B378" s="46" t="s">
        <v>2707</v>
      </c>
    </row>
    <row r="379" spans="1:2" x14ac:dyDescent="0.25">
      <c r="A379" s="47">
        <v>46004</v>
      </c>
      <c r="B379" s="46" t="s">
        <v>2706</v>
      </c>
    </row>
    <row r="380" spans="1:2" x14ac:dyDescent="0.25">
      <c r="A380" s="47">
        <v>46005</v>
      </c>
      <c r="B380" s="46" t="s">
        <v>2705</v>
      </c>
    </row>
    <row r="381" spans="1:2" x14ac:dyDescent="0.25">
      <c r="A381" s="47">
        <v>46101</v>
      </c>
      <c r="B381" s="46" t="s">
        <v>2704</v>
      </c>
    </row>
    <row r="382" spans="1:2" x14ac:dyDescent="0.25">
      <c r="A382" s="47">
        <v>46102</v>
      </c>
      <c r="B382" s="46" t="s">
        <v>2703</v>
      </c>
    </row>
    <row r="383" spans="1:2" x14ac:dyDescent="0.25">
      <c r="A383" s="47">
        <v>46201</v>
      </c>
      <c r="B383" s="46" t="s">
        <v>2702</v>
      </c>
    </row>
    <row r="384" spans="1:2" x14ac:dyDescent="0.25">
      <c r="A384" s="47">
        <v>50501</v>
      </c>
      <c r="B384" s="46" t="s">
        <v>2701</v>
      </c>
    </row>
    <row r="385" spans="1:2" x14ac:dyDescent="0.25">
      <c r="A385" s="47">
        <v>50502</v>
      </c>
      <c r="B385" s="46" t="s">
        <v>2700</v>
      </c>
    </row>
    <row r="386" spans="1:2" x14ac:dyDescent="0.25">
      <c r="A386" s="47">
        <v>50503</v>
      </c>
      <c r="B386" s="46" t="s">
        <v>2699</v>
      </c>
    </row>
    <row r="387" spans="1:2" x14ac:dyDescent="0.25">
      <c r="A387" s="47">
        <v>50504</v>
      </c>
      <c r="B387" s="46" t="s">
        <v>2698</v>
      </c>
    </row>
    <row r="388" spans="1:2" x14ac:dyDescent="0.25">
      <c r="A388" s="47">
        <v>50505</v>
      </c>
      <c r="B388" s="46" t="s">
        <v>2697</v>
      </c>
    </row>
    <row r="389" spans="1:2" x14ac:dyDescent="0.25">
      <c r="A389" s="47">
        <v>50506</v>
      </c>
      <c r="B389" s="46" t="s">
        <v>2696</v>
      </c>
    </row>
    <row r="390" spans="1:2" x14ac:dyDescent="0.25">
      <c r="A390" s="47">
        <v>50507</v>
      </c>
      <c r="B390" s="46" t="s">
        <v>2695</v>
      </c>
    </row>
    <row r="391" spans="1:2" x14ac:dyDescent="0.25">
      <c r="A391" s="47">
        <v>50508</v>
      </c>
      <c r="B391" s="46" t="s">
        <v>2694</v>
      </c>
    </row>
    <row r="392" spans="1:2" x14ac:dyDescent="0.25">
      <c r="A392" s="47">
        <v>50509</v>
      </c>
      <c r="B392" s="46" t="s">
        <v>2693</v>
      </c>
    </row>
    <row r="393" spans="1:2" x14ac:dyDescent="0.25">
      <c r="A393" s="47">
        <v>50901</v>
      </c>
      <c r="B393" s="46" t="s">
        <v>2692</v>
      </c>
    </row>
    <row r="394" spans="1:2" x14ac:dyDescent="0.25">
      <c r="A394" s="47">
        <v>50910</v>
      </c>
      <c r="B394" s="46" t="s">
        <v>2691</v>
      </c>
    </row>
    <row r="395" spans="1:2" x14ac:dyDescent="0.25">
      <c r="A395" s="47">
        <v>50920</v>
      </c>
      <c r="B395" s="46" t="s">
        <v>2690</v>
      </c>
    </row>
    <row r="396" spans="1:2" x14ac:dyDescent="0.25">
      <c r="A396" s="47">
        <v>50921</v>
      </c>
      <c r="B396" s="46" t="s">
        <v>2689</v>
      </c>
    </row>
    <row r="397" spans="1:2" x14ac:dyDescent="0.25">
      <c r="A397" s="47">
        <v>51701</v>
      </c>
      <c r="B397" s="46" t="s">
        <v>2467</v>
      </c>
    </row>
    <row r="398" spans="1:2" x14ac:dyDescent="0.25">
      <c r="A398" s="47">
        <v>51801</v>
      </c>
      <c r="B398" s="46" t="s">
        <v>2688</v>
      </c>
    </row>
    <row r="399" spans="1:2" x14ac:dyDescent="0.25">
      <c r="A399" s="47">
        <v>51802</v>
      </c>
      <c r="B399" s="46" t="s">
        <v>2687</v>
      </c>
    </row>
    <row r="400" spans="1:2" x14ac:dyDescent="0.25">
      <c r="A400" s="47">
        <v>51803</v>
      </c>
      <c r="B400" s="46" t="s">
        <v>2686</v>
      </c>
    </row>
    <row r="401" spans="1:2" x14ac:dyDescent="0.25">
      <c r="A401" s="47">
        <v>51804</v>
      </c>
      <c r="B401" s="46" t="s">
        <v>2685</v>
      </c>
    </row>
    <row r="402" spans="1:2" x14ac:dyDescent="0.25">
      <c r="A402" s="47">
        <v>51805</v>
      </c>
      <c r="B402" s="46" t="s">
        <v>2684</v>
      </c>
    </row>
    <row r="403" spans="1:2" x14ac:dyDescent="0.25">
      <c r="A403" s="47">
        <v>51810</v>
      </c>
      <c r="B403" s="46" t="s">
        <v>2683</v>
      </c>
    </row>
    <row r="404" spans="1:2" x14ac:dyDescent="0.25">
      <c r="A404" s="47">
        <v>51811</v>
      </c>
      <c r="B404" s="46" t="s">
        <v>2682</v>
      </c>
    </row>
    <row r="405" spans="1:2" x14ac:dyDescent="0.25">
      <c r="A405" s="47">
        <v>51812</v>
      </c>
      <c r="B405" s="46" t="s">
        <v>2681</v>
      </c>
    </row>
    <row r="406" spans="1:2" x14ac:dyDescent="0.25">
      <c r="A406" s="47">
        <v>51813</v>
      </c>
      <c r="B406" s="46" t="s">
        <v>2680</v>
      </c>
    </row>
    <row r="407" spans="1:2" x14ac:dyDescent="0.25">
      <c r="A407" s="47">
        <v>51814</v>
      </c>
      <c r="B407" s="46" t="s">
        <v>2679</v>
      </c>
    </row>
    <row r="408" spans="1:2" x14ac:dyDescent="0.25">
      <c r="A408" s="47">
        <v>51815</v>
      </c>
      <c r="B408" s="46" t="s">
        <v>2678</v>
      </c>
    </row>
    <row r="409" spans="1:2" x14ac:dyDescent="0.25">
      <c r="A409" s="47">
        <v>51820</v>
      </c>
      <c r="B409" s="46" t="s">
        <v>2677</v>
      </c>
    </row>
    <row r="410" spans="1:2" x14ac:dyDescent="0.25">
      <c r="A410" s="47">
        <v>51890</v>
      </c>
      <c r="B410" s="46" t="s">
        <v>2209</v>
      </c>
    </row>
    <row r="411" spans="1:2" x14ac:dyDescent="0.25">
      <c r="A411" s="47">
        <v>51891</v>
      </c>
      <c r="B411" s="46" t="s">
        <v>2676</v>
      </c>
    </row>
    <row r="412" spans="1:2" x14ac:dyDescent="0.25">
      <c r="A412" s="47">
        <v>52003</v>
      </c>
      <c r="B412" s="46" t="s">
        <v>2675</v>
      </c>
    </row>
    <row r="413" spans="1:2" x14ac:dyDescent="0.25">
      <c r="A413" s="47">
        <v>52090</v>
      </c>
      <c r="B413" s="46" t="s">
        <v>2674</v>
      </c>
    </row>
    <row r="414" spans="1:2" x14ac:dyDescent="0.25">
      <c r="A414" s="47">
        <v>60601</v>
      </c>
      <c r="B414" s="46" t="s">
        <v>2267</v>
      </c>
    </row>
    <row r="415" spans="1:2" x14ac:dyDescent="0.25">
      <c r="A415" s="47">
        <v>60602</v>
      </c>
      <c r="B415" s="46" t="s">
        <v>2274</v>
      </c>
    </row>
    <row r="416" spans="1:2" x14ac:dyDescent="0.25">
      <c r="A416" s="47">
        <v>60603</v>
      </c>
      <c r="B416" s="46" t="s">
        <v>2673</v>
      </c>
    </row>
    <row r="417" spans="1:2" x14ac:dyDescent="0.25">
      <c r="A417" s="47">
        <v>60604</v>
      </c>
      <c r="B417" s="46" t="s">
        <v>2672</v>
      </c>
    </row>
    <row r="418" spans="1:2" x14ac:dyDescent="0.25">
      <c r="A418" s="47">
        <v>60606</v>
      </c>
      <c r="B418" s="46" t="s">
        <v>2671</v>
      </c>
    </row>
    <row r="419" spans="1:2" x14ac:dyDescent="0.25">
      <c r="A419" s="47">
        <v>60610</v>
      </c>
      <c r="B419" s="46" t="s">
        <v>2215</v>
      </c>
    </row>
    <row r="420" spans="1:2" x14ac:dyDescent="0.25">
      <c r="A420" s="47">
        <v>60701</v>
      </c>
      <c r="B420" s="46" t="s">
        <v>2670</v>
      </c>
    </row>
    <row r="421" spans="1:2" x14ac:dyDescent="0.25">
      <c r="A421" s="47">
        <v>61001</v>
      </c>
      <c r="B421" s="46" t="s">
        <v>2669</v>
      </c>
    </row>
    <row r="422" spans="1:2" x14ac:dyDescent="0.25">
      <c r="A422" s="47">
        <v>61002</v>
      </c>
      <c r="B422" s="46" t="s">
        <v>2668</v>
      </c>
    </row>
    <row r="423" spans="1:2" x14ac:dyDescent="0.25">
      <c r="A423" s="47">
        <v>61003</v>
      </c>
      <c r="B423" s="46" t="s">
        <v>1923</v>
      </c>
    </row>
    <row r="424" spans="1:2" x14ac:dyDescent="0.25">
      <c r="A424" s="47">
        <v>61004</v>
      </c>
      <c r="B424" s="46" t="s">
        <v>2667</v>
      </c>
    </row>
    <row r="425" spans="1:2" x14ac:dyDescent="0.25">
      <c r="A425" s="47">
        <v>61005</v>
      </c>
      <c r="B425" s="46" t="s">
        <v>2666</v>
      </c>
    </row>
    <row r="426" spans="1:2" x14ac:dyDescent="0.25">
      <c r="A426" s="47">
        <v>61006</v>
      </c>
      <c r="B426" s="46" t="s">
        <v>2665</v>
      </c>
    </row>
    <row r="427" spans="1:2" x14ac:dyDescent="0.25">
      <c r="A427" s="47">
        <v>61090</v>
      </c>
      <c r="B427" s="46" t="s">
        <v>2664</v>
      </c>
    </row>
    <row r="428" spans="1:2" x14ac:dyDescent="0.25">
      <c r="A428" s="47">
        <v>61101</v>
      </c>
      <c r="B428" s="46" t="s">
        <v>2250</v>
      </c>
    </row>
    <row r="429" spans="1:2" x14ac:dyDescent="0.25">
      <c r="A429" s="47">
        <v>61102</v>
      </c>
      <c r="B429" s="46" t="s">
        <v>2663</v>
      </c>
    </row>
    <row r="430" spans="1:2" x14ac:dyDescent="0.25">
      <c r="A430" s="47">
        <v>61103</v>
      </c>
      <c r="B430" s="46" t="s">
        <v>2662</v>
      </c>
    </row>
    <row r="431" spans="1:2" x14ac:dyDescent="0.25">
      <c r="A431" s="47">
        <v>61104</v>
      </c>
      <c r="B431" s="46" t="s">
        <v>2661</v>
      </c>
    </row>
    <row r="432" spans="1:2" x14ac:dyDescent="0.25">
      <c r="A432" s="47">
        <v>61105</v>
      </c>
      <c r="B432" s="46" t="s">
        <v>2122</v>
      </c>
    </row>
    <row r="433" spans="1:2" x14ac:dyDescent="0.25">
      <c r="A433" s="47">
        <v>61106</v>
      </c>
      <c r="B433" s="46" t="s">
        <v>2660</v>
      </c>
    </row>
    <row r="434" spans="1:2" x14ac:dyDescent="0.25">
      <c r="A434" s="47">
        <v>61107</v>
      </c>
      <c r="B434" s="46" t="s">
        <v>2659</v>
      </c>
    </row>
    <row r="435" spans="1:2" x14ac:dyDescent="0.25">
      <c r="A435" s="47">
        <v>61108</v>
      </c>
      <c r="B435" s="46" t="s">
        <v>1910</v>
      </c>
    </row>
    <row r="436" spans="1:2" x14ac:dyDescent="0.25">
      <c r="A436" s="47">
        <v>61110</v>
      </c>
      <c r="B436" s="46" t="s">
        <v>2213</v>
      </c>
    </row>
    <row r="437" spans="1:2" x14ac:dyDescent="0.25">
      <c r="A437" s="47">
        <v>61111</v>
      </c>
      <c r="B437" s="46" t="s">
        <v>2272</v>
      </c>
    </row>
    <row r="438" spans="1:2" x14ac:dyDescent="0.25">
      <c r="A438" s="47">
        <v>61112</v>
      </c>
      <c r="B438" s="46" t="s">
        <v>2095</v>
      </c>
    </row>
    <row r="439" spans="1:2" x14ac:dyDescent="0.25">
      <c r="A439" s="47">
        <v>61113</v>
      </c>
      <c r="B439" s="46" t="s">
        <v>2290</v>
      </c>
    </row>
    <row r="440" spans="1:2" x14ac:dyDescent="0.25">
      <c r="A440" s="47">
        <v>61114</v>
      </c>
      <c r="B440" s="46" t="s">
        <v>2002</v>
      </c>
    </row>
    <row r="441" spans="1:2" x14ac:dyDescent="0.25">
      <c r="A441" s="47">
        <v>61115</v>
      </c>
      <c r="B441" s="46" t="s">
        <v>2658</v>
      </c>
    </row>
    <row r="442" spans="1:2" x14ac:dyDescent="0.25">
      <c r="A442" s="47">
        <v>61201</v>
      </c>
      <c r="B442" s="46" t="s">
        <v>2203</v>
      </c>
    </row>
    <row r="443" spans="1:2" x14ac:dyDescent="0.25">
      <c r="A443" s="49">
        <v>61205</v>
      </c>
      <c r="B443" s="48" t="s">
        <v>2657</v>
      </c>
    </row>
    <row r="444" spans="1:2" x14ac:dyDescent="0.25">
      <c r="A444" s="49">
        <v>61206</v>
      </c>
      <c r="B444" s="46" t="s">
        <v>2656</v>
      </c>
    </row>
    <row r="445" spans="1:2" x14ac:dyDescent="0.25">
      <c r="A445" s="49">
        <v>61207</v>
      </c>
      <c r="B445" s="46" t="s">
        <v>2655</v>
      </c>
    </row>
    <row r="446" spans="1:2" x14ac:dyDescent="0.25">
      <c r="A446" s="49">
        <v>61208</v>
      </c>
      <c r="B446" s="48" t="s">
        <v>2654</v>
      </c>
    </row>
    <row r="447" spans="1:2" x14ac:dyDescent="0.25">
      <c r="A447" s="49">
        <v>61210</v>
      </c>
      <c r="B447" s="48" t="s">
        <v>2653</v>
      </c>
    </row>
    <row r="448" spans="1:2" x14ac:dyDescent="0.25">
      <c r="A448" s="47">
        <v>61215</v>
      </c>
      <c r="B448" s="46" t="s">
        <v>2063</v>
      </c>
    </row>
    <row r="449" spans="1:2" x14ac:dyDescent="0.25">
      <c r="A449" s="49">
        <v>61220</v>
      </c>
      <c r="B449" s="48" t="s">
        <v>2652</v>
      </c>
    </row>
    <row r="450" spans="1:2" x14ac:dyDescent="0.25">
      <c r="A450" s="49">
        <v>61221</v>
      </c>
      <c r="B450" s="48" t="s">
        <v>2651</v>
      </c>
    </row>
    <row r="451" spans="1:2" x14ac:dyDescent="0.25">
      <c r="A451" s="49">
        <v>61222</v>
      </c>
      <c r="B451" s="48" t="s">
        <v>2650</v>
      </c>
    </row>
    <row r="452" spans="1:2" x14ac:dyDescent="0.25">
      <c r="A452" s="49">
        <v>61223</v>
      </c>
      <c r="B452" s="48" t="s">
        <v>2649</v>
      </c>
    </row>
    <row r="453" spans="1:2" x14ac:dyDescent="0.25">
      <c r="A453" s="49">
        <v>61224</v>
      </c>
      <c r="B453" s="48" t="s">
        <v>2648</v>
      </c>
    </row>
    <row r="454" spans="1:2" x14ac:dyDescent="0.25">
      <c r="A454" s="47">
        <v>61301</v>
      </c>
      <c r="B454" s="46" t="s">
        <v>2647</v>
      </c>
    </row>
    <row r="455" spans="1:2" x14ac:dyDescent="0.25">
      <c r="A455" s="47">
        <v>61302</v>
      </c>
      <c r="B455" s="46" t="s">
        <v>2169</v>
      </c>
    </row>
    <row r="456" spans="1:2" x14ac:dyDescent="0.25">
      <c r="A456" s="47">
        <v>61401</v>
      </c>
      <c r="B456" s="46" t="s">
        <v>2646</v>
      </c>
    </row>
    <row r="457" spans="1:2" x14ac:dyDescent="0.25">
      <c r="A457" s="47">
        <v>61402</v>
      </c>
      <c r="B457" s="46" t="s">
        <v>2381</v>
      </c>
    </row>
    <row r="458" spans="1:2" x14ac:dyDescent="0.25">
      <c r="A458" s="47">
        <v>61403</v>
      </c>
      <c r="B458" s="46" t="s">
        <v>2293</v>
      </c>
    </row>
    <row r="459" spans="1:2" x14ac:dyDescent="0.25">
      <c r="A459" s="47">
        <v>61404</v>
      </c>
      <c r="B459" s="46" t="s">
        <v>2645</v>
      </c>
    </row>
    <row r="460" spans="1:2" x14ac:dyDescent="0.25">
      <c r="A460" s="47">
        <v>61405</v>
      </c>
      <c r="B460" s="46" t="s">
        <v>2644</v>
      </c>
    </row>
    <row r="461" spans="1:2" x14ac:dyDescent="0.25">
      <c r="A461" s="47">
        <v>61406</v>
      </c>
      <c r="B461" s="46" t="s">
        <v>2643</v>
      </c>
    </row>
    <row r="462" spans="1:2" x14ac:dyDescent="0.25">
      <c r="A462" s="47">
        <v>61409</v>
      </c>
      <c r="B462" s="46" t="s">
        <v>2022</v>
      </c>
    </row>
    <row r="463" spans="1:2" x14ac:dyDescent="0.25">
      <c r="A463" s="47">
        <v>61411</v>
      </c>
      <c r="B463" s="46" t="s">
        <v>2642</v>
      </c>
    </row>
    <row r="464" spans="1:2" x14ac:dyDescent="0.25">
      <c r="A464" s="47">
        <v>61414</v>
      </c>
      <c r="B464" s="46" t="s">
        <v>2404</v>
      </c>
    </row>
    <row r="465" spans="1:2" x14ac:dyDescent="0.25">
      <c r="A465" s="47">
        <v>61490</v>
      </c>
      <c r="B465" s="46" t="s">
        <v>2641</v>
      </c>
    </row>
    <row r="466" spans="1:2" x14ac:dyDescent="0.25">
      <c r="A466" s="47">
        <v>61491</v>
      </c>
      <c r="B466" s="46" t="s">
        <v>1874</v>
      </c>
    </row>
    <row r="467" spans="1:2" x14ac:dyDescent="0.25">
      <c r="A467" s="47">
        <v>61501</v>
      </c>
      <c r="B467" s="46" t="s">
        <v>2640</v>
      </c>
    </row>
    <row r="468" spans="1:2" x14ac:dyDescent="0.25">
      <c r="A468" s="47">
        <v>61502</v>
      </c>
      <c r="B468" s="46" t="s">
        <v>2639</v>
      </c>
    </row>
    <row r="469" spans="1:2" x14ac:dyDescent="0.25">
      <c r="A469" s="47">
        <v>61504</v>
      </c>
      <c r="B469" s="46" t="s">
        <v>2638</v>
      </c>
    </row>
    <row r="470" spans="1:2" x14ac:dyDescent="0.25">
      <c r="A470" s="47">
        <v>61590</v>
      </c>
      <c r="B470" s="46" t="s">
        <v>2637</v>
      </c>
    </row>
    <row r="471" spans="1:2" x14ac:dyDescent="0.25">
      <c r="A471" s="47">
        <v>61601</v>
      </c>
      <c r="B471" s="46" t="s">
        <v>2243</v>
      </c>
    </row>
    <row r="472" spans="1:2" x14ac:dyDescent="0.25">
      <c r="A472" s="47">
        <v>61901</v>
      </c>
      <c r="B472" s="46" t="s">
        <v>2636</v>
      </c>
    </row>
    <row r="473" spans="1:2" x14ac:dyDescent="0.25">
      <c r="A473" s="50">
        <v>61990</v>
      </c>
      <c r="B473" s="46" t="s">
        <v>2635</v>
      </c>
    </row>
    <row r="474" spans="1:2" x14ac:dyDescent="0.25">
      <c r="A474" s="47">
        <v>62001</v>
      </c>
      <c r="B474" s="46" t="s">
        <v>2153</v>
      </c>
    </row>
    <row r="475" spans="1:2" x14ac:dyDescent="0.25">
      <c r="A475" s="47">
        <v>69501</v>
      </c>
      <c r="B475" s="46" t="s">
        <v>2634</v>
      </c>
    </row>
    <row r="476" spans="1:2" x14ac:dyDescent="0.25">
      <c r="A476" s="47">
        <v>69502</v>
      </c>
      <c r="B476" s="46" t="s">
        <v>2633</v>
      </c>
    </row>
    <row r="477" spans="1:2" x14ac:dyDescent="0.25">
      <c r="A477" s="47">
        <v>69801</v>
      </c>
      <c r="B477" s="46" t="s">
        <v>2632</v>
      </c>
    </row>
    <row r="478" spans="1:2" x14ac:dyDescent="0.25">
      <c r="A478" s="47">
        <v>69802</v>
      </c>
      <c r="B478" s="46" t="s">
        <v>2631</v>
      </c>
    </row>
    <row r="479" spans="1:2" x14ac:dyDescent="0.25">
      <c r="A479" s="47">
        <v>69803</v>
      </c>
      <c r="B479" s="46" t="s">
        <v>2630</v>
      </c>
    </row>
    <row r="480" spans="1:2" x14ac:dyDescent="0.25">
      <c r="A480" s="47">
        <v>69805</v>
      </c>
      <c r="B480" s="46" t="s">
        <v>2629</v>
      </c>
    </row>
    <row r="481" spans="1:2" x14ac:dyDescent="0.25">
      <c r="A481" s="47">
        <v>69806</v>
      </c>
      <c r="B481" s="46" t="s">
        <v>2628</v>
      </c>
    </row>
    <row r="482" spans="1:2" x14ac:dyDescent="0.25">
      <c r="A482" s="47">
        <v>69807</v>
      </c>
      <c r="B482" s="46" t="s">
        <v>2627</v>
      </c>
    </row>
    <row r="483" spans="1:2" x14ac:dyDescent="0.25">
      <c r="A483" s="47">
        <v>69808</v>
      </c>
      <c r="B483" s="46" t="s">
        <v>2626</v>
      </c>
    </row>
    <row r="484" spans="1:2" x14ac:dyDescent="0.25">
      <c r="A484" s="47">
        <v>78001</v>
      </c>
      <c r="B484" s="46" t="s">
        <v>2625</v>
      </c>
    </row>
    <row r="485" spans="1:2" x14ac:dyDescent="0.25">
      <c r="A485" s="47">
        <v>78103</v>
      </c>
      <c r="B485" s="46" t="s">
        <v>2624</v>
      </c>
    </row>
    <row r="486" spans="1:2" x14ac:dyDescent="0.25">
      <c r="A486" s="47">
        <v>78107</v>
      </c>
      <c r="B486" s="46" t="s">
        <v>2623</v>
      </c>
    </row>
    <row r="487" spans="1:2" x14ac:dyDescent="0.25">
      <c r="A487" s="47">
        <v>78108</v>
      </c>
      <c r="B487" s="46" t="s">
        <v>2622</v>
      </c>
    </row>
    <row r="488" spans="1:2" x14ac:dyDescent="0.25">
      <c r="A488" s="47">
        <v>78190</v>
      </c>
      <c r="B488" s="46" t="s">
        <v>2621</v>
      </c>
    </row>
    <row r="489" spans="1:2" x14ac:dyDescent="0.25">
      <c r="A489" s="47">
        <v>78201</v>
      </c>
      <c r="B489" s="46" t="s">
        <v>2620</v>
      </c>
    </row>
    <row r="490" spans="1:2" x14ac:dyDescent="0.25">
      <c r="A490" s="47">
        <v>78301</v>
      </c>
      <c r="B490" s="46" t="s">
        <v>2619</v>
      </c>
    </row>
    <row r="491" spans="1:2" x14ac:dyDescent="0.25">
      <c r="A491" s="47">
        <v>78401</v>
      </c>
      <c r="B491" s="46" t="s">
        <v>2618</v>
      </c>
    </row>
    <row r="492" spans="1:2" x14ac:dyDescent="0.25">
      <c r="A492" s="50">
        <v>78501</v>
      </c>
      <c r="B492" s="46" t="s">
        <v>2617</v>
      </c>
    </row>
    <row r="493" spans="1:2" x14ac:dyDescent="0.25">
      <c r="A493" s="47">
        <v>78503</v>
      </c>
      <c r="B493" s="46" t="s">
        <v>2616</v>
      </c>
    </row>
    <row r="494" spans="1:2" x14ac:dyDescent="0.25">
      <c r="A494" s="47">
        <v>78504</v>
      </c>
      <c r="B494" s="46" t="s">
        <v>2615</v>
      </c>
    </row>
    <row r="495" spans="1:2" x14ac:dyDescent="0.25">
      <c r="A495" s="47">
        <v>78801</v>
      </c>
      <c r="B495" s="46" t="s">
        <v>2614</v>
      </c>
    </row>
    <row r="496" spans="1:2" x14ac:dyDescent="0.25">
      <c r="A496" s="47">
        <v>78901</v>
      </c>
      <c r="B496" s="46" t="s">
        <v>2613</v>
      </c>
    </row>
    <row r="497" spans="1:2" x14ac:dyDescent="0.25">
      <c r="A497" s="47">
        <v>78902</v>
      </c>
      <c r="B497" s="46" t="s">
        <v>2612</v>
      </c>
    </row>
    <row r="498" spans="1:2" x14ac:dyDescent="0.25">
      <c r="A498" s="47">
        <v>79001</v>
      </c>
      <c r="B498" s="46" t="s">
        <v>2611</v>
      </c>
    </row>
    <row r="499" spans="1:2" x14ac:dyDescent="0.25">
      <c r="A499" s="47">
        <v>79002</v>
      </c>
      <c r="B499" s="46" t="s">
        <v>2610</v>
      </c>
    </row>
    <row r="500" spans="1:2" x14ac:dyDescent="0.25">
      <c r="A500" s="47">
        <v>79003</v>
      </c>
      <c r="B500" s="46" t="s">
        <v>2609</v>
      </c>
    </row>
    <row r="501" spans="1:2" x14ac:dyDescent="0.25">
      <c r="A501" s="47">
        <v>79004</v>
      </c>
      <c r="B501" s="46" t="s">
        <v>2608</v>
      </c>
    </row>
    <row r="502" spans="1:2" x14ac:dyDescent="0.25">
      <c r="A502" s="47">
        <v>79005</v>
      </c>
      <c r="B502" s="46" t="s">
        <v>2607</v>
      </c>
    </row>
    <row r="503" spans="1:2" x14ac:dyDescent="0.25">
      <c r="A503" s="47">
        <v>79006</v>
      </c>
      <c r="B503" s="46" t="s">
        <v>2606</v>
      </c>
    </row>
    <row r="504" spans="1:2" x14ac:dyDescent="0.25">
      <c r="A504" s="47">
        <v>79007</v>
      </c>
      <c r="B504" s="46" t="s">
        <v>2605</v>
      </c>
    </row>
    <row r="505" spans="1:2" x14ac:dyDescent="0.25">
      <c r="A505" s="47">
        <v>79008</v>
      </c>
      <c r="B505" s="46" t="s">
        <v>2604</v>
      </c>
    </row>
    <row r="506" spans="1:2" x14ac:dyDescent="0.25">
      <c r="A506" s="47">
        <v>79009</v>
      </c>
      <c r="B506" s="46" t="s">
        <v>2199</v>
      </c>
    </row>
    <row r="507" spans="1:2" x14ac:dyDescent="0.25">
      <c r="A507" s="47">
        <v>79010</v>
      </c>
      <c r="B507" s="46" t="s">
        <v>2603</v>
      </c>
    </row>
    <row r="508" spans="1:2" x14ac:dyDescent="0.25">
      <c r="A508" s="47">
        <v>79090</v>
      </c>
      <c r="B508" s="46" t="s">
        <v>2602</v>
      </c>
    </row>
    <row r="509" spans="1:2" x14ac:dyDescent="0.25">
      <c r="A509" s="47">
        <v>79101</v>
      </c>
      <c r="B509" s="46" t="s">
        <v>2601</v>
      </c>
    </row>
    <row r="510" spans="1:2" x14ac:dyDescent="0.25">
      <c r="A510" s="47">
        <v>79103</v>
      </c>
      <c r="B510" s="46" t="s">
        <v>2600</v>
      </c>
    </row>
    <row r="511" spans="1:2" x14ac:dyDescent="0.25">
      <c r="A511" s="47">
        <v>79104</v>
      </c>
      <c r="B511" s="46" t="s">
        <v>2599</v>
      </c>
    </row>
    <row r="512" spans="1:2" x14ac:dyDescent="0.25">
      <c r="A512" s="47">
        <v>79190</v>
      </c>
      <c r="B512" s="46" t="s">
        <v>2598</v>
      </c>
    </row>
    <row r="513" spans="1:2" x14ac:dyDescent="0.25">
      <c r="A513" s="47">
        <v>79301</v>
      </c>
      <c r="B513" s="46" t="s">
        <v>2597</v>
      </c>
    </row>
    <row r="514" spans="1:2" x14ac:dyDescent="0.25">
      <c r="A514" s="47">
        <v>85901</v>
      </c>
      <c r="B514" s="46" t="s">
        <v>2596</v>
      </c>
    </row>
    <row r="515" spans="1:2" x14ac:dyDescent="0.25">
      <c r="A515" s="47">
        <v>85903</v>
      </c>
      <c r="B515" s="46" t="s">
        <v>2595</v>
      </c>
    </row>
    <row r="516" spans="1:2" x14ac:dyDescent="0.25">
      <c r="A516" s="47">
        <v>85905</v>
      </c>
      <c r="B516" s="46" t="s">
        <v>2594</v>
      </c>
    </row>
    <row r="517" spans="1:2" x14ac:dyDescent="0.25">
      <c r="A517" s="47">
        <v>85906</v>
      </c>
      <c r="B517" s="46" t="s">
        <v>2593</v>
      </c>
    </row>
    <row r="518" spans="1:2" x14ac:dyDescent="0.25">
      <c r="A518" s="47">
        <v>87201</v>
      </c>
      <c r="B518" s="46" t="s">
        <v>2268</v>
      </c>
    </row>
    <row r="519" spans="1:2" x14ac:dyDescent="0.25">
      <c r="A519" s="47">
        <v>87202</v>
      </c>
      <c r="B519" s="46" t="s">
        <v>2106</v>
      </c>
    </row>
    <row r="520" spans="1:2" x14ac:dyDescent="0.25">
      <c r="A520" s="47">
        <v>87203</v>
      </c>
      <c r="B520" s="46" t="s">
        <v>2592</v>
      </c>
    </row>
    <row r="521" spans="1:2" x14ac:dyDescent="0.25">
      <c r="A521" s="47">
        <v>87204</v>
      </c>
      <c r="B521" s="46" t="s">
        <v>1974</v>
      </c>
    </row>
    <row r="522" spans="1:2" x14ac:dyDescent="0.25">
      <c r="A522" s="47">
        <v>87205</v>
      </c>
      <c r="B522" s="46" t="s">
        <v>1990</v>
      </c>
    </row>
    <row r="523" spans="1:2" x14ac:dyDescent="0.25">
      <c r="A523" s="47">
        <v>87301</v>
      </c>
      <c r="B523" s="46" t="s">
        <v>1767</v>
      </c>
    </row>
    <row r="524" spans="1:2" x14ac:dyDescent="0.25">
      <c r="A524" s="47">
        <v>87302</v>
      </c>
      <c r="B524" s="46" t="s">
        <v>2591</v>
      </c>
    </row>
    <row r="525" spans="1:2" x14ac:dyDescent="0.25">
      <c r="A525" s="47">
        <v>87303</v>
      </c>
      <c r="B525" s="46" t="s">
        <v>2125</v>
      </c>
    </row>
    <row r="526" spans="1:2" x14ac:dyDescent="0.25">
      <c r="A526" s="47">
        <v>87501</v>
      </c>
      <c r="B526" s="46" t="s">
        <v>2087</v>
      </c>
    </row>
    <row r="527" spans="1:2" x14ac:dyDescent="0.25">
      <c r="A527" s="47">
        <v>89001</v>
      </c>
      <c r="B527" s="46" t="s">
        <v>2590</v>
      </c>
    </row>
    <row r="528" spans="1:2" x14ac:dyDescent="0.25">
      <c r="A528" s="47">
        <v>89002</v>
      </c>
      <c r="B528" s="46" t="s">
        <v>2589</v>
      </c>
    </row>
    <row r="529" spans="1:2" x14ac:dyDescent="0.25">
      <c r="A529" s="47">
        <v>89003</v>
      </c>
      <c r="B529" s="46" t="s">
        <v>2588</v>
      </c>
    </row>
    <row r="530" spans="1:2" x14ac:dyDescent="0.25">
      <c r="A530" s="47">
        <v>89005</v>
      </c>
      <c r="B530" s="46" t="s">
        <v>2587</v>
      </c>
    </row>
    <row r="531" spans="1:2" x14ac:dyDescent="0.25">
      <c r="A531" s="47">
        <v>89006</v>
      </c>
      <c r="B531" s="46" t="s">
        <v>2586</v>
      </c>
    </row>
    <row r="532" spans="1:2" x14ac:dyDescent="0.25">
      <c r="A532" s="50">
        <v>89301</v>
      </c>
      <c r="B532" s="46" t="s">
        <v>2585</v>
      </c>
    </row>
    <row r="533" spans="1:2" x14ac:dyDescent="0.25">
      <c r="A533" s="47">
        <v>99090</v>
      </c>
      <c r="B533" s="46" t="s">
        <v>2584</v>
      </c>
    </row>
    <row r="534" spans="1:2" x14ac:dyDescent="0.25">
      <c r="A534" s="47">
        <v>99091</v>
      </c>
      <c r="B534" s="46" t="s">
        <v>2583</v>
      </c>
    </row>
    <row r="535" spans="1:2" x14ac:dyDescent="0.25">
      <c r="A535" s="47">
        <v>99190</v>
      </c>
      <c r="B535" s="46" t="s">
        <v>2582</v>
      </c>
    </row>
    <row r="536" spans="1:2" x14ac:dyDescent="0.25">
      <c r="A536" s="47">
        <v>99290</v>
      </c>
      <c r="B536" s="46" t="s">
        <v>2581</v>
      </c>
    </row>
    <row r="537" spans="1:2" x14ac:dyDescent="0.25">
      <c r="A537" s="50">
        <v>99390</v>
      </c>
      <c r="B537" s="46" t="s">
        <v>2580</v>
      </c>
    </row>
    <row r="538" spans="1:2" x14ac:dyDescent="0.25">
      <c r="A538" s="50">
        <v>99391</v>
      </c>
      <c r="B538" s="46" t="s">
        <v>2579</v>
      </c>
    </row>
    <row r="539" spans="1:2" x14ac:dyDescent="0.25">
      <c r="A539" s="47">
        <v>99801</v>
      </c>
      <c r="B539" s="46" t="s">
        <v>2578</v>
      </c>
    </row>
    <row r="540" spans="1:2" x14ac:dyDescent="0.25">
      <c r="A540" s="47">
        <v>99890</v>
      </c>
      <c r="B540" s="46" t="s">
        <v>2577</v>
      </c>
    </row>
    <row r="541" spans="1:2" x14ac:dyDescent="0.25">
      <c r="A541" s="47">
        <v>99899</v>
      </c>
      <c r="B541" s="46" t="s">
        <v>2576</v>
      </c>
    </row>
    <row r="542" spans="1:2" x14ac:dyDescent="0.25">
      <c r="A542" s="47">
        <v>99901</v>
      </c>
      <c r="B542" s="46" t="s">
        <v>2575</v>
      </c>
    </row>
    <row r="543" spans="1:2" x14ac:dyDescent="0.25">
      <c r="A543" s="47">
        <v>99902</v>
      </c>
      <c r="B543" s="46" t="s">
        <v>2574</v>
      </c>
    </row>
    <row r="544" spans="1:2" x14ac:dyDescent="0.25">
      <c r="A544" s="47">
        <v>99903</v>
      </c>
      <c r="B544" s="46" t="s">
        <v>2573</v>
      </c>
    </row>
    <row r="545" spans="1:2" x14ac:dyDescent="0.25">
      <c r="A545" s="47">
        <v>99904</v>
      </c>
      <c r="B545" s="46" t="s">
        <v>2572</v>
      </c>
    </row>
    <row r="546" spans="1:2" x14ac:dyDescent="0.25">
      <c r="A546" s="47">
        <v>99905</v>
      </c>
      <c r="B546" s="46" t="s">
        <v>2571</v>
      </c>
    </row>
    <row r="547" spans="1:2" x14ac:dyDescent="0.25">
      <c r="A547" s="49">
        <v>99906</v>
      </c>
      <c r="B547" s="46" t="s">
        <v>2570</v>
      </c>
    </row>
    <row r="548" spans="1:2" x14ac:dyDescent="0.25">
      <c r="A548" s="49">
        <v>99907</v>
      </c>
      <c r="B548" s="46" t="s">
        <v>2569</v>
      </c>
    </row>
    <row r="549" spans="1:2" x14ac:dyDescent="0.25">
      <c r="A549" s="49">
        <v>99908</v>
      </c>
      <c r="B549" s="46" t="s">
        <v>2568</v>
      </c>
    </row>
    <row r="550" spans="1:2" x14ac:dyDescent="0.25">
      <c r="A550" s="49">
        <v>99909</v>
      </c>
      <c r="B550" s="48" t="s">
        <v>2567</v>
      </c>
    </row>
    <row r="551" spans="1:2" x14ac:dyDescent="0.25">
      <c r="A551" s="49">
        <v>99910</v>
      </c>
      <c r="B551" s="48" t="s">
        <v>2566</v>
      </c>
    </row>
    <row r="552" spans="1:2" x14ac:dyDescent="0.25">
      <c r="A552" s="47">
        <v>99999</v>
      </c>
      <c r="B552" s="46" t="s">
        <v>2565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AF194B84EE0D419ED323144B71940C" ma:contentTypeVersion="8" ma:contentTypeDescription="Create a new document." ma:contentTypeScope="" ma:versionID="e95bc53bb68823bf42d3fd389d4cc1c0">
  <xsd:schema xmlns:xsd="http://www.w3.org/2001/XMLSchema" xmlns:xs="http://www.w3.org/2001/XMLSchema" xmlns:p="http://schemas.microsoft.com/office/2006/metadata/properties" xmlns:ns2="e2c03f95-a65a-4cb5-a84a-563c0f6640a2" xmlns:ns3="6dab36e7-c487-4780-8e35-3b48fa83d7a8" targetNamespace="http://schemas.microsoft.com/office/2006/metadata/properties" ma:root="true" ma:fieldsID="23cd7218588e49c1668256e83b7b06a8" ns2:_="" ns3:_="">
    <xsd:import namespace="e2c03f95-a65a-4cb5-a84a-563c0f6640a2"/>
    <xsd:import namespace="6dab36e7-c487-4780-8e35-3b48fa83d7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03f95-a65a-4cb5-a84a-563c0f6640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dab36e7-c487-4780-8e35-3b48fa83d7a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126F4F-31F1-4E7F-A597-7C26B37F65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c03f95-a65a-4cb5-a84a-563c0f6640a2"/>
    <ds:schemaRef ds:uri="6dab36e7-c487-4780-8e35-3b48fa83d7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2357A6-8390-4D31-85C9-1CBEE9E2273D}">
  <ds:schemaRefs>
    <ds:schemaRef ds:uri="http://schemas.microsoft.com/sharepoint/v3/contenttype/forms"/>
  </ds:schemaRefs>
</ds:datastoreItem>
</file>

<file path=customXml/itemProps3.xml><?xml version="1.0" encoding="utf-8"?>
<ds:datastoreItem xmlns:ds="http://schemas.openxmlformats.org/officeDocument/2006/customXml" ds:itemID="{C0C06CF1-1EF3-4A10-88D3-6B995425B8E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d6fa6db5-9f3a-4c93-9e38-61059ee07e95}" enabled="1" method="Standard" siteId="{4e8d09f7-cc79-4ccb-9149-a4238dd1742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 Details</vt:lpstr>
      <vt:lpstr>Data Dictionary</vt:lpstr>
      <vt:lpstr>Reference</vt:lpstr>
      <vt:lpstr>ASHE Codebook</vt:lpstr>
      <vt:lpstr>Census Individual Codebook</vt:lpstr>
      <vt:lpstr>Census Household Codebook</vt:lpstr>
      <vt:lpstr>Census Relationship Codebook</vt:lpstr>
      <vt:lpstr>Codebook_Country</vt:lpstr>
      <vt:lpstr>Codebook_Nationality</vt:lpstr>
      <vt:lpstr>Codebook_Language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Cameron, Alice</dc:creator>
  <cp:keywords/>
  <dc:description/>
  <cp:lastModifiedBy>Forth, John</cp:lastModifiedBy>
  <cp:revision/>
  <dcterms:created xsi:type="dcterms:W3CDTF">2021-06-24T12:20:19Z</dcterms:created>
  <dcterms:modified xsi:type="dcterms:W3CDTF">2026-04-20T13:52:21Z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0x0101007AAF194B84EE0D419ED323144B71940C</vt:lpwstr>
  </property>
  <property fmtid="{D5CDD505-2E9C-101B-9397-08002B2CF9AE}" pid="3" name="MSIP_Label_06c24981-b6df-48f8-949b-0896357b9b03_Enabled">
    <vt:lpwstr>true</vt:lpwstr>
  </property>
  <property fmtid="{D5CDD505-2E9C-101B-9397-08002B2CF9AE}" pid="4" name="MSIP_Label_06c24981-b6df-48f8-949b-0896357b9b03_SetDate">
    <vt:lpwstr>2026-03-25T12:19:27Z</vt:lpwstr>
  </property>
  <property fmtid="{D5CDD505-2E9C-101B-9397-08002B2CF9AE}" pid="5" name="MSIP_Label_06c24981-b6df-48f8-949b-0896357b9b03_Method">
    <vt:lpwstr>Standard</vt:lpwstr>
  </property>
  <property fmtid="{D5CDD505-2E9C-101B-9397-08002B2CF9AE}" pid="6" name="MSIP_Label_06c24981-b6df-48f8-949b-0896357b9b03_Name">
    <vt:lpwstr>Official</vt:lpwstr>
  </property>
  <property fmtid="{D5CDD505-2E9C-101B-9397-08002B2CF9AE}" pid="7" name="MSIP_Label_06c24981-b6df-48f8-949b-0896357b9b03_SiteId">
    <vt:lpwstr>dd615949-5bd0-4da0-ac52-28ef8d336373</vt:lpwstr>
  </property>
  <property fmtid="{D5CDD505-2E9C-101B-9397-08002B2CF9AE}" pid="8" name="MSIP_Label_06c24981-b6df-48f8-949b-0896357b9b03_ActionId">
    <vt:lpwstr>2967aaa6-a8fa-4a8e-bdf6-36f7164f4514</vt:lpwstr>
  </property>
  <property fmtid="{D5CDD505-2E9C-101B-9397-08002B2CF9AE}" pid="9" name="MSIP_Label_06c24981-b6df-48f8-949b-0896357b9b03_ContentBits">
    <vt:lpwstr>0</vt:lpwstr>
  </property>
  <property fmtid="{D5CDD505-2E9C-101B-9397-08002B2CF9AE}" pid="10" name="MSIP_Label_06c24981-b6df-48f8-949b-0896357b9b03_Tag">
    <vt:lpwstr>10, 3, 0, 1</vt:lpwstr>
  </property>
</Properties>
</file>